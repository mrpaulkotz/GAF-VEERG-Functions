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B3E7A09-0054-4967-98CF-02BC6CD9C6D8}" xr6:coauthVersionLast="47" xr6:coauthVersionMax="47" xr10:uidLastSave="{00000000-0000-0000-0000-000000000000}"/>
  <bookViews>
    <workbookView xWindow="330" yWindow="90" windowWidth="37920" windowHeight="20415" activeTab="6" xr2:uid="{D37248E2-1193-4B5E-BE4F-D7532AB14CA0}"/>
  </bookViews>
  <sheets>
    <sheet name="Input - Site" sheetId="10" r:id="rId1"/>
    <sheet name="Input - Fertiliser" sheetId="7" r:id="rId2"/>
    <sheet name="Input - Feed - Dairy" sheetId="15" r:id="rId3"/>
    <sheet name="Input - Other Farm Inputs" sheetId="13" r:id="rId4"/>
    <sheet name="Input - Fuel" sheetId="5" r:id="rId5"/>
    <sheet name="Input - Electricity" sheetId="9" r:id="rId6"/>
    <sheet name="Calcs - Scope 3" sheetId="12" r:id="rId7"/>
    <sheet name="Sheet1" sheetId="1" r:id="rId8"/>
    <sheet name="Constants - Fertiliser" sheetId="6" r:id="rId9"/>
    <sheet name="Constants - Fuel" sheetId="4" r:id="rId10"/>
    <sheet name="Constants - Electricity" sheetId="8" r:id="rId11"/>
    <sheet name="Constants - Common" sheetId="3" r:id="rId12"/>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AverageLiveweightMonth">_xlfn.LAMBDA(_xlpm.LiveweightAtMonthStart,_xlpm.LiveweightAtMonthEnd, _xlfn.IFS(_xlpm.LiveweightAtMonthStart &lt;= 0, _xlpm.LiveweightAtMonthEnd, _xlpm.LiveweightAtMonthEnd &lt;= 0, _xlpm.LiveweightAtMonthStart, TRUE, (_xlpm.LiveweightAtMonthStart + _xlpm.LiveweightAtMonthEnd) / 2))</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HeadMonth">_xlfn.LAMBDA(_xlpm.HeadAtMonthStart,_xlpm.HeadAtMonthEnd, _xlfn.IFS(_xlpm.HeadAtMonthStart &lt;= 0, _xlpm.HeadAtMonthEnd, _xlpm.HeadAtMonthEnd &lt;= 0, _xlpm.HeadAtMonthStart, TRUE, (_xlpm.HeadAtMonthStart + _xlpm.HeadAtMonthEnd) / 2))</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RemainingHead">_xlfn.LAMBDA(_xlpm.Month,_xlpm.LiveweightAtStart,_xlpm.LiveweightGain, _xlpm.LiveweightAtStart + (_xlpm.LiveweightGain * DATEDIF(EDATE(_xlpm.Month, 0), EDATE(_xlpm.Month, 1), "d")))</definedName>
    <definedName name="CommonLivestock_InputFunctions.LivestockMovement_CalculateGrowthFactor">_xlfn.LAMBDA(_xlpm.Month,_xlpm.LivestockClass,_xlpm.CPMonthArray,_xlpm.CPLivestockClassArray,_xlpm.CPReturnArray,_xlpm.CPTableName,_xlpm.DMDMonthArray,_xlpm.DMDLivestockClassArray,_xlpm.DMDReturnArray,_xlpm.DMDTableName, _xlfn.LET(_xlpm.monthCP, _xlfn.XLOOKUP(_xlpm.Month, _xlpm.CPMonthArray, _xlfn.XLOOKUP(_xlpm.LivestockClass, _xlpm.CPLivestockClassArray, _xlpm.CPReturnArray)), _xlpm.averageCP, AVERAGE(INDEX(_xlpm.CPTableName, , MATCH(_xlpm.LivestockClass, _xlpm.CPLivestockClassArray, 0))), _xlpm.monthDMD, _xlfn.XLOOKUP(_xlpm.Month, _xlpm.DMDMonthArray, _xlfn.XLOOKUP(_xlpm.LivestockClass, _xlpm.DMDLivestockClassArray, _xlpm.DMDReturnArray)), _xlpm.averageDMD, AVERAGE(INDEX(_xlpm.DMDTableName, , MATCH(_xlpm.LivestockClass, _xlpm.DMDLivestockClassArray, 0))), AVERAGE(_xlpm.monthCP / _xlpm.averageCP, _xlpm.monthDMD / _xlpm.averageDMD)))</definedName>
    <definedName name="CommonLivestock_InputFunctions.LivestockMovement_CalculateProportionCowsCalving">_xlfn.LAMBDA(_xlpm.Births,_xlpm.Head, IFERROR(_xlpm.Births / _xlpm.Head, 0))</definedName>
    <definedName name="CommonLivestock_InputFunctions.LivestockMovement_CalculateStayDurationToEnd2">_xlfn.LAMBDA(_xlpm.LivestockClass,_xlpm.ReportingPeriodStartDate,_xlpm.HeadAtReportingPeriodStartDate,_xlpm.ReportingPeriodEndDate,_xlpm.HeadAtReportingPeriodEndDate,_xlpm.MovementDateArray,_xlpm.MovementToArray,_xlpm.MovementFromArray, _xlfn.LET(_xlpm.durationStart, IF(_xlpm.HeadAtReportingPeriodStartDate &gt; 0, _xlpm.ReportingPeriodStartDate, _xlfn.MINIFS(_xlpm.MovementDateArray, _xlpm.MovementToArray, _xlpm.LivestockClass)), _xlpm.durationEnd, IF(_xlpm.HeadAtReportingPeriodEndDate &gt; 0, _xlpm.ReportingPeriodEndDate, _xlfn.MAXIFS(_xlpm.MovementDateArray, _xlpm.MovementFromArray, _xlpm.LivestockClass)), DATEDIF(_xlpm.durationStart, _xlpm.durationEnd, "d")))</definedName>
    <definedName name="CommonLivestock_InputFunctions.LivestockMovement_DaysMovementToMonthEnd">_xlfn.LAMBDA(_xlpm.MovementDate, DATEDIF(_xlpm.MovementDate, EOMONTH(_xlpm.MovementDate, 0), "d"))</definedName>
    <definedName name="CommonLivestock_InputFunctions.LivestockMovement_GetAdjustedLiveweightGain">_xlfn.LAMBDA(_xlpm.AverageLiveweightGain,_xlpm.LivestockClass,_xlpm.Month,_xlpm.LivestockClassArray,_xlpm.MonthArray,_xlpm.ReturnArray, _xlfn.XLOOKUP(_xlpm.Month, _xlpm.MonthArray, _xlfn.XLOOKUP(_xlpm.LivestockClass, _xlpm.LivestockClassArray, _xlpm.ReturnArray)) * _xlpm.AverageLiveweightGain)</definedName>
    <definedName name="CommonLivestock_InputFunctions.LivestockMovement_GetAverageLiveweightGain">_xlfn.LAMBDA(_xlpm.LiveweightAtStart,_xlpm.LiveweightAtEntry,_xlpm.LiveweightAtEnd,_xlpm.LiveweightAtExit,_xlpm.DurationOfStay, IFERROR(_xlfn.LET(_xlpm.startLiveweight, IF(_xlpm.LiveweightAtStart &gt; 0, _xlpm.LiveweightAtStart, _xlpm.LiveweightAtEntry), _xlpm.endLiveweight, IF(_xlpm.LiveweightAtEnd &gt; 0, _xlpm.LiveweightAtEnd, _xlpm.LiveweightAtExit), (_xlpm.endLiveweight - _xlpm.startLiveweight) / _xlpm.DurationOfStay), 0))</definedName>
    <definedName name="CommonLivestock_InputFunctions.LivestockMovement_GetDurationOfStay2">_xlfn.LAMBDA(_xlpm.EntryDate,_xlpm.HeadAtStart,_xlpm.HeadAtEnd,_xlpm.ReportingStartDate,_xlpm.ExitDate,_xlpm.ReportingEndDate, _xlfn.LET(_xlpm.dateOfEntry, IF(ISNUMBER(_xlpm.EntryDate), _xlpm.EntryDate, "-"), _xlpm.dateOfReportingStart, IF(_xlpm.HeadAtStart &gt; 0, _xlpm.ReportingStartDate, "-"), _xlpm.dateOfExit, IF(ISNUMBER(_xlpm.ExitDate), _xlpm.ExitDate, "-"), _xlpm.dateOfReportingEnd, IF(_xlpm.HeadAtEnd &gt; 0, _xlpm.ReportingEndDate, "-"), _xlpm.durationStart, IF(ISNUMBER(_xlpm.dateOfEntry), _xlpm.dateOfEntry, _xlpm.dateOfReportingStart), _xlpm.durationEnd, IF(ISNUMBER(_xlpm.dateOfExit), _xlpm.dateOfExit, _xlpm.dateOfReportingEnd), IFERROR(DATEDIF(_xlpm.durationStart, _xlpm.durationEnd, "d"), "-")))</definedName>
    <definedName name="CommonLivestock_InputFunctions.LivestockMovement_GetDurationOfStayPostWeaning">_xlfn.LAMBDA(_xlpm.DurationOfStay,_xlpm.DaysWeaning, _xlfn.FLOOR.MATH(IFERROR(_xlpm.DurationOfStay - _xlpm.DaysWeaning, 0)))</definedName>
    <definedName name="CommonLivestock_InputFunctions.LivestockMovement_GetEntryDate">_xlfn.LAMBDA(_xlpm.HeadAtStart,_xlpm.HeadAtEntry,_xlpm.LivestockClass,_xlpm.MovementDateArray,_xlpm.MovementToArray, IF(_xlpm.HeadAtStart = 0, IF(_xlfn.MINIFS(_xlpm.MovementDateArray, _xlpm.MovementToArray, _xlpm.LivestockClass), _xlfn.MINIFS(_xlpm.MovementDateArray, _xlpm.MovementToArray, _xlpm.LivestockClass), "-"), "-"))</definedName>
    <definedName name="CommonLivestock_InputFunctions.LivestockMovement_GetExitDate">_xlfn.LAMBDA(_xlpm.HeadAtEnd,_xlpm.LivestockClass,_xlpm.MovementDateArray,_xlpm.MovementFromArray, IF(_xlpm.HeadAtEnd = 0, IF(_xlfn.MAXIFS(_xlpm.MovementDateArray, _xlpm.MovementFromArray, _xlpm.LivestockClass), _xlfn.MAXIFS(_xlpm.MovementDateArray, _xlpm.MovementFromArray, _xlpm.LivestockClass), "-"), "-"))</definedName>
    <definedName name="CommonLivestock_InputFunctions.LivestockMovement_GetHeadAtEnd">_xlfn.LAMBDA(_xlpm.EndDate,_xlpm.LivestockClass,_xlpm.DateArray,_xlpm.LivestockClassArray,_xlpm.HeadAtEndOfMonthArray, IFERROR(_xlfn.XLOOKUP(TEXT(EDATE(_xlpm.EndDate, 0), "mmmm yyyy") &amp; _xlpm.LivestockClass, _xlpm.DateArray &amp; _xlpm.LivestockClassArray, _xlpm.HeadAtEndOfMonthArray), "-"))</definedName>
    <definedName name="CommonLivestock_InputFunctions.LivestockMovement_GetHeadAtExit">_xlfn.LAMBDA(_xlpm.ExitDate,_xlpm.LivestockClass,_xlpm.DateArray,_xlpm.LivestockClassArray,_xlpm.HeadAtStartOfMonthArray, IFERROR(_xlfn.XLOOKUP(TEXT(EDATE(_xlpm.ExitDate, 0), "mmmm yyyy") &amp; _xlpm.LivestockClass, _xlpm.DateArray &amp; _xlpm.LivestockClassArray, _xlpm.HeadAtStartOfMonthArray), "-"))</definedName>
    <definedName name="CommonLivestock_InputFunctions.LivestockMovement_GetLiveweightAtEnd">_xlfn.LAMBDA(_xlpm.LivestockClass, HLOOKUP(_xlpm.LivestockClass, Range_LivestockStartingValues, 4, FALSE))</definedName>
    <definedName name="CommonLivestock_InputFunctions.LivestockMovement_GetLiveweightAtEntry">_xlfn.LAMBDA(_xlpm.LivestockClass,_xlpm.LiveweightAtStart,_xlpm.EntryDate,_xlpm.MovementDateArray,_xlpm.MovementToArray,_xlpm.MovementLiveweightArray, IF(ISNUMBER(_xlpm.EntryDate), IF(_xlpm.LiveweightAtStart = 0, AVERAGEIFS(_xlpm.MovementLiveweightArray, _xlpm.MovementDateArray, _xlpm.EntryDate, _xlpm.MovementToArray, _xlpm.LivestockClass), "-"), "-"))</definedName>
    <definedName name="CommonLivestock_InputFunctions.LivestockMovement_GetLiveweightAtExit">_xlfn.LAMBDA(_xlpm.LivestockClass,_xlpm.LiveweightAtEnd,_xlpm.ExitDate,_xlpm.MovementDateArray,_xlpm.MovementFromArray,_xlpm.MovementLiveweightArray, IF(ISNUMBER(_xlpm.ExitDate), IF(_xlpm.LiveweightAtEnd = 0, AVERAGEIFS(_xlpm.MovementLiveweightArray, _xlpm.MovementDateArray, _xlpm.ExitDate, _xlpm.MovementFromArray, _xlpm.LivestockClass), "-"), "-"))</definedName>
    <definedName name="CommonLivestock_InputFunctions.LivestockMovement_GetLiveweightAtStart">_xlfn.LAMBDA(_xlpm.LivestockClass, HLOOKUP(_xlpm.LivestockClass, Range_LivestockStartingValues, 3, FALSE))</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FromStartOfMonth">_xlfn.LAMBDA(_xlpm.LiveweightAtStart,_xlpm.LiveweightGainPerDay,_xlpm.Month, _xlpm.LiveweightAtStart + (_xlpm.LiveweightGainPerDay * DATEDIF(EDATE(_xlpm.Month, 0), EDATE(_xlpm.Month, 1), "d")))</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SumPurchasedLiveweight">_xlfn.LAMBDA(_xlpm.MovementType,_xlpm.MovementTypeArray,_xlpm.Head,_xlpm.Liveweight,_xlop.Source,_xlop.SourceArray, _xlfn.LET(_xlpm.totalLiveweight, _xlpm.Head * _xlpm.Liveweight, _xlpm.criteria1, --(_xlpm.MovementTypeArray = _xlpm.MovementType), _xlpm.criteria2, IF(_xlfn.ISOMITTED(_xlpm.Source), 1, --(_xlpm.SourceArray = _xlpm.Source)), SUMPRODUCT(_xlpm.criteria1 * _xlpm.criteria2 * _xlpm.totalLiveweight)))</definedName>
    <definedName name="CommonLivestock_InputFunctions.LivestockMovement_TotalBirthsDuringMonth">_xlfn.LAMBDA(_xlpm.Month,_xlpm.MovementHeadArray,_xlpm.MovementDateArray,_xlpm.MovementTypeArray, IFERROR(SUM(_xlfn._xlws.FILTER(_xlpm.MovementHeadArray, (_xlpm.MovementDateArray &gt;= EOMONTH(_xlpm.Month, -1) + 1) * (_xlpm.MovementDateArray &lt;= EOMONTH(_xlpm.Month, 0)) * (_xlpm.MovementTypeArray = "Birth"))),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MovementLiveweightSold">_xlfn.LAMBDA(_xlpm.MovementType,_xlpm.Head,_xlpm.Liveweight, IF(_xlpm.MovementType = "Sale", _xlpm.Head * _xlpm.Liveweight, ""))</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Agrochemicals_Data">_xlfn.LAMBDA(_xlfn.MAKEARRAY(6, 7, _xlfn.LAMBDA(_xlpm.r,_xlpm.c, INDEX({"Category","Product","Source","Product Unit","Emission Factor","Embedded Emissions Unit","Emissions Intensity Unit";"Agrochemicals","Glyphosate","Location not specified","t",40101,"t","t CO2-e / t";"Agrochemicals","Paraquat, diquat","Location not specified","t",40102,"t","t CO2-e / t";"Agrochemicals","Generic Herbicide","Location not specified","t",40103,"t","t CO2-e / t";"Agrochemicals","Generic Insecticide","Location not specified","t",40104,"t","t CO2-e / t";"Agrochemicals","Generic Fungicide","Location not specified","t",40105,"t","t CO2-e / t"}, _xlpm.r, _xlpm.c))))</definedName>
    <definedName name="Scope3_SourceData.Scope3_Agrochemicals_Source">_xlfn.LAMBDA(("Scope 3 GHG Emission Factors for Australian Agriculture, Fisheries and Forestry 2026"))</definedName>
    <definedName name="Scope3_SourceData.Scope3_Agrochemicals_Title">_xlfn.LAMBDA(("Agrochemicals scope 3"))</definedName>
    <definedName name="Scope3_SourceData.Scope3_Agrochemicals_Variation">_xlfn.LAMBDA((""))</definedName>
    <definedName name="Scope3_SourceData.Scope3_AnimalFeed_Data">_xlfn.LAMBDA(_xlfn.MAKEARRAY(17, 7, _xlfn.LAMBDA(_xlpm.r,_xlpm.c, INDEX({"Category","Product","Source","Product Unit","Emission Factor","Embedded Emissions Unit","Emissions Intensity Unit";"Animal Feed","Grain","Location not specified","t",60101,"t","t CO2-e / t";"Animal Feed","Wheat","Location not specified","t",60102,"t","t CO2-e / t";"Animal Feed","Wheat Bran","Location not specified","t",60103,"t","t CO2-e / t";"Animal Feed","Barley","Location not specified","t",60104,"t","t CO2-e / t";"Animal Feed","Soybean","Location not specified","t",60105,"t","t CO2-e / t";"Animal Feed","Soybean meal","Location not specified","t",60106,"t","t CO2-e / t";"Animal Feed","Canola meal","Location not specified","t",60107,"t","t CO2-e / t";"Animal Feed","Canola oil","Location not specified","t",60108,"t","t CO2-e / t";"Animal Feed","Beet pulp","Location not specified","t",60109,"t","t CO2-e / t";"Animal Feed","Cotton seed","Location not specified","t",60110,"t","t CO2-e / t";"Animal Feed","Hay","Location not specified","t",60111,"t","t CO2-e / t";"Animal Feed","Feed formulations (chicken, pigs, cattle, dairy)","Location not specified","t",60112,"t","t CO2-e / t";"Animal Feed","Molasses","Location not specified","t",60113,"t","t CO2-e / t";"Animal Feed","Bentonite","Location not specified","t",60114,"t","t CO2-e / t";"Animal Feed","Meat meal","Location not specified","t",60115,"t","t CO2-e / t";"Animal Feed","BentLime, phosphorus, potashonite","Location not specified","t",60114,"t","t CO2-e / t"}, _xlpm.r, _xlpm.c))))</definedName>
    <definedName name="Scope3_SourceData.Scope3_AnimalFeed_Source">_xlfn.LAMBDA(("Scope 3 GHG Emission Factors for Australian Agriculture, Fisheries and Forestry 2026"))</definedName>
    <definedName name="Scope3_SourceData.Scope3_AnimalFeed_Title">_xlfn.LAMBDA(("Animal Feed scope 3"))</definedName>
    <definedName name="Scope3_SourceData.Scope3_AnimalFeed_Variation">_xlfn.LAMBDA((""))</definedName>
    <definedName name="Scope3_SourceData.Scope3_AquacultureFeedAndBait_Data">_xlfn.LAMBDA(_xlfn.MAKEARRAY(9, 7, _xlfn.LAMBDA(_xlpm.r,_xlpm.c, INDEX({"Category","Product","Source","Product Unit","Emission Factor","Embedded Emissions Unit","Emissions Intensity Unit";"Aquaculture Feed and Bait","Low Animal Protein Formulated Feed","Location not specified","t",70101,"t","t CO2-e / t";"Aquaculture Feed and Bait","High Animal Protein Formulated Feed","Location not specified","t",70102,"t","t CO2-e / t";"Aquaculture Feed and Bait","Cereal grain","Location not specified","t",70103,"t","t CO2-e / t";"Aquaculture Feed and Bait","Squid","Location not specified","t",70104,"t","t CO2-e / t";"Aquaculture Feed and Bait","Whole Fish","Location not specified","t",70105,"t","t CO2-e / t";"Aquaculture Feed and Bait","Whole Sardines","Location not specified","t",70106,"t","t CO2-e / t";"Aquaculture Feed and Bait","Fish Frames","Location not specified","t",70107,"t","t CO2-e / t";"Aquaculture Feed and Bait","Fish Heads","Location not specified","t",70108,"t","t CO2-e / t"}, _xlpm.r, _xlpm.c))))</definedName>
    <definedName name="Scope3_SourceData.Scope3_AquacultureFeedAndBait_Source">_xlfn.LAMBDA(("Scope 3 GHG Emission Factors for Australian Agriculture, Fisheries and Forestry 2026"))</definedName>
    <definedName name="Scope3_SourceData.Scope3_AquacultureFeedAndBait_Title">_xlfn.LAMBDA(("Aquaculture Feed and Bait scope 3"))</definedName>
    <definedName name="Scope3_SourceData.Scope3_AquacultureFeedAndBait_Variation">_xlfn.LAMBDA((""))</definedName>
    <definedName name="Scope3_SourceData.Scope3_CleaningChemicals_Data">_xlfn.LAMBDA(_xlfn.MAKEARRAY(4, 7, _xlfn.LAMBDA(_xlpm.r,_xlpm.c, INDEX({"Category","Product","Source","Product Unit","Emission Factor","Embedded Emissions Unit","Emissions Intensity Unit";"Cleaning chemicals","Detergent","Location not specified","t",110101,"t","t CO2-e / t";"Cleaning chemicals","Acid","Location not specified","t",110102,"t","t CO2-e / t";"Cleaning chemicals","Bleach","Location not specified","L",110103,"t","t CO2-e / L"}, _xlpm.r, _xlpm.c))))</definedName>
    <definedName name="Scope3_SourceData.Scope3_CleaningChemicals_Source">_xlfn.LAMBDA(("Scope 3 GHG Emission Factors for Australian Agriculture, Fisheries and Forestry 2026"))</definedName>
    <definedName name="Scope3_SourceData.Scope3_CleaningChemicals_Title">_xlfn.LAMBDA(("Cleaning chemicals scope 3"))</definedName>
    <definedName name="Scope3_SourceData.Scope3_CleaningChemicals_Variation">_xlfn.LAMBDA((""))</definedName>
    <definedName name="Scope3_SourceData.Scope3_Electricity_Data">_xlfn.LAMBDA(_xlfn.MAKEARRAY(11, 7, _xlfn.LAMBDA(_xlpm.r,_xlpm.c, INDEX({"Category","Product","Source","Product Unit","Emission Factor","Embedded Emissions Unit","Emissions Intensity Unit";"Electricity","State Grid","New South Wales","kWh","XXXXXX","t","t CO2 - e / Gj";"Electricity","State Grid","ACT","kWh","XXXXXX","t","t CO2 - e / Gj";"Electricity","State Grid","Victoria","kWh","XXXXXX","t","t CO2 - e / Gj";"Electricity","State Grid","Queensland","kWh","XXXXXX","t","t CO2 - e / Gj";"Electricity","State Grid","South Australia","kWh","XXXXXX","t","t CO2 - e / Gj";"Electricity","State Grid","Western Australia - South West Interconnected System (SWIS)","kWh","XXXXXX","t","t CO2 - e / Gj";"Electricity","State Grid","Western Australia - North Western Interconnected System (NWIS)","kWh","XXXXXX","t","t CO2 - e / Gj";"Electricity","State Grid","Tasmania","kWh","XXXXXX","t","t CO2 - e / Gj";"Electricity","State Grid","Northern Territory - Darwin Katherine Interconnected System (DKIS)","kWh","XXXXXX","t","t CO2 - e / Gj";"Electricity","State Grid","National","kWh","XXXXXX","t","t CO2 - e / Gj"}, _xlpm.r, _xlpm.c))))</definedName>
    <definedName name="Scope3_SourceData.Scope3_Electricity_Source">_xlfn.LAMBDA(("Scope 3 GHG Emission Factors for Australian Agriculture, Fisheries and Forestry 2026"))</definedName>
    <definedName name="Scope3_SourceData.Scope3_Electricity_Title">_xlfn.LAMBDA(("Electricity - State Grid scope 3"))</definedName>
    <definedName name="Scope3_SourceData.Scope3_Electricity_Variation">_xlfn.LAMBDA(("Emission factor values sourced from National Greenhouse Accounts Factors - See relevant table in 'Electricity Source Data'"))</definedName>
    <definedName name="Scope3_SourceData.Scope3_FuelStationaryGaseousData">_xlfn.LAMBDA(_xlfn.MAKEARRAY(17, 7, _xlfn.LAMBDA(_xlpm.r,_xlpm.c, INDEX({"Category","Product","Source","Product Unit","Emission Factor","Embedded Emissions Unit","Emissions Intensity Unit";"Fuel - Stationary - Gaseous","Natural gas distributed in a pipeline - Gigajoules","New South Wales","Gj","XXXXXX","t","t CO2 - e / Gj";"Fuel - Stationary - Gaseous","Natural gas distributed in a pipeline - Gigajoules","ACT","Gj","XXXXXX","t","t CO2 - e / Gj";"Fuel - Stationary - Gaseous","Natural gas distributed in a pipeline - Gigajoules","Victoria","Gj","XXXXXX","t","t CO2 - e / Gj";"Fuel - Stationary - Gaseous","Natural gas distributed in a pipeline - Gigajoules","Queensland","Gj","XXXXXX","t","t CO2 - e / Gj";"Fuel - Stationary - Gaseous","Natural gas distributed in a pipeline - Gigajoules","South Australia","Gj","XXXXXX","t","t CO2 - e / Gj";"Fuel - Stationary - Gaseous","Natural gas distributed in a pipeline - Gigajoules","Western Australia","Gj","XXXXXX","t","t CO2 - e / Gj";"Fuel - Stationary - Gaseous","Natural gas distributed in a pipeline - Gigajoules","Tasmania","Gj","XXXXXX","t","t CO2 - e / Gj";"Fuel - Stationary - Gaseous","Natural gas distributed in a pipeline - Gigajoules","Northern Territory","Gj","XXXXXX","t","t CO2 - e / Gj";"Fuel - Stationary - Gaseous","Town gas - Gigajoules","New South Wales","Gj","XXXXXX","t","t CO2 - e / Gj";"Fuel - Stationary - Gaseous","Town gas - Gigajoules","ACT","Gj","XXXXXX","t","t CO2 - e / Gj";"Fuel - Stationary - Gaseous","Town gas - Gigajoules","Victoria","Gj","XXXXXX","t","t CO2 - e / Gj";"Fuel - Stationary - Gaseous","Town gas - Gigajoules","Queensland","Gj","XXXXXX","t","t CO2 - e / Gj";"Fuel - Stationary - Gaseous","Town gas - Gigajoules","South Australia","Gj","XXXXXX","t","t CO2 - e / Gj";"Fuel - Stationary - Gaseous","Town gas - Gigajoules","Western Australia","Gj","XXXXXX","t","t CO2 - e / Gj";"Fuel - Stationary - Gaseous","Town gas - Gigajoules","Tasmania","Gj","XXXXXX","t","t CO2 - e / Gj";"Fuel - Stationary - Gaseous","Town gas - Gigajoules","Northern Territory","Gj","XXXXXX","t","t CO2 - e / Gj"}, _xlpm.r, _xlpm.c))))</definedName>
    <definedName name="Scope3_SourceData.Scope3_FuelStationaryGaseousSource">_xlfn.LAMBDA(("Scope 3 GHG Emission Factors for Australian Agriculture, Fisheries and Forestry 2026"))</definedName>
    <definedName name="Scope3_SourceData.Scope3_FuelStationaryGaseousTitle">_xlfn.LAMBDA(("Fuel - Stationary - Gaseous scope 3"))</definedName>
    <definedName name="Scope3_SourceData.Scope3_FuelStationaryGaseousVariation">_xlfn.LAMBDA(("Emission factor values sourced from National Greenhouse Accounts Factors - See relevant table in 'Fuel Source Data'"))</definedName>
    <definedName name="Scope3_SourceData.Scope3_FuelStationaryLiquid_Data">_xlfn.LAMBDA(_xlfn.MAKEARRAY(25, 7, _xlfn.LAMBDA(_xlpm.r,_xlpm.c, INDEX({"Category","Product","Source","Product Unit","Emission Factor","Embedded Emissions Unit","Emissions Intensity Unit";"Fuel - Stationary - Liquid","Petroleum based oils (other than petroleum based oil used as fuel), e.g. lubricants","Location not specified","kl","XXXXXX"," t ","t CO2 - e / kl ";"Fuel - Stationary - Liquid","Petroleum based greases","Location not specified","kl","XXXXXX","t","t CO2 - e / kl ";"Fuel - Stationary - Liquid","Crude oil including crude oil condensates","Location not specified","t","XXXXXX","t","t CO2 - e / t ";"Fuel - Stationary - Liquid","Other natural gas liquids","Location not specified","t","XXXXXX","t","t CO2 - e / t ";"Fuel - Stationary - Liquid","Automotive gasoline / petrol (other than for use as fuel in an aircraft)","Location not specified","kl","XXXXXX","t","t CO2 - e / kl ";"Fuel - Stationary - Liquid","Aviation gasoline","Location not specified","kl","XXXXXX","t","t CO2 - e / kl ";"Fuel - Stationary - Liquid","Kerosene (other than for use as fuel in an aircraft)","Location not specified","kl","XXXXXX","t","t CO2 - e / kl ";"Fuel - Stationary - Liquid","Aviation turbine fuel / kerosene","Location not specified","kl","XXXXXX","t","t CO2 - e / kl ";"Fuel - Stationary - Liquid","Heating oil","Location not specified","kl","XXXXXX","t","t CO2 - e / kl ";"Fuel - Stationary - Liquid","Diesel oil","Location not specified","kl","XXXXXX","t","t CO2 - e / kl ";"Fuel - Stationary - Liquid","Fuel oil","Location not specified","kl","XXXXXX","t","t CO2 - e / kl ";"Fuel - Stationary - Liquid","Liquefied aromatic hydrocarbons","Location not specified","kl","XXXXXX","t","t CO2 - e / kl ";"Fuel - Stationary - Liquid","Solvents: mineral turpentine or white spirits","Location not specified","kl","XXXXXX","t","t CO2 - e / kl ";"Fuel - Stationary - Liquid","Liquefied petroleum gas (LPG)","Location not specified","kl","XXXXXX","t","t CO2 - e / kl ";"Fuel - Stationary - Liquid","Naphtha","Location not specified","kl","XXXXXX","t","t CO2 - e / kl ";"Fuel - Stationary - Liquid","Petroleum coke","Location not specified","t","XXXXXX","t","t CO2 - e / t ";"Fuel - Stationary - Liquid","Refinery gas and liquids","Location not specified","t","XXXXXX","t","t CO2 - e / t ";"Fuel - Stationary - Liquid","Refinery coke","Location not specified","t","XXXXXX","t","t CO2 - e / t ";"Fuel - Stationary - Liquid","Petroleum based products other than mentioned in the items above","Location not specified","kl","XXXXXX","t","t CO2 - e / kl ";"Fuel - Stationary - Liquid","Biodiesel","Location not specified","kl","XXXXXX","t","t CO2 - e / kl ";"Fuel - Stationary - Liquid","Ethanol for use as a fuel in an internal combustion engine","Location not specified","kl","XXXXXX","t","t CO2 - e / kl ";"Fuel - Stationary - Liquid","Biofuels other than those mentioned in the items above and below","Location not specified","kl","XXXXXX","t","t CO2 - e / kl ";"Fuel - Stationary - Liquid","Renewable aviation kerosene","Location not specified","kl","XXXXXX","t","t CO2 - e / kl ";"Fuel - Stationary - Liquid","Renewable diesel","Location not specified","kl","XXXXXX","t","t CO2 - e / kl "}, _xlpm.r, _xlpm.c))))</definedName>
    <definedName name="Scope3_SourceData.Scope3_FuelStationaryLiquid_Source">_xlfn.LAMBDA(("Scope 3 GHG Emission Factors for Australian Agriculture, Fisheries and Forestry 2026"))</definedName>
    <definedName name="Scope3_SourceData.Scope3_FuelStationaryLiquid_Title">_xlfn.LAMBDA(("Fuel - Stationary - Liquid scope 3"))</definedName>
    <definedName name="Scope3_SourceData.Scope3_FuelStationaryLiquid_Variation">_xlfn.LAMBDA(("Emission factor values sourced from National Greenhouse Accounts Factors - See relevant table in 'Fuel Source Data'"))</definedName>
    <definedName name="Scope3_SourceData.Scope3_FuelTransport_Data">_xlfn.LAMBDA(_xlfn.MAKEARRAY(22, 7, _xlfn.LAMBDA(_xlpm.r,_xlpm.c, INDEX({"Category","Product","Source","Product Unit","Emission Factor","Embedded Emissions Unit","Emissions Intensity Unit";"Fuel - Transport - Cars and light commercial vehicles","Gasoline","Location not specified","kl","XXXXXX","t","t CO2-e / kl";"Fuel - Transport - Cars and light commercial vehicles","Diesel oil","Location not specified","kl","XXXXXX","t","t CO2-e / kl";"Fuel - Transport - Cars and light commercial vehicles","Liquefied petroleum gas (LPG)","Location not specified","kl","XXXXXX","t","t CO2-e / kl";"Fuel - Transport - Cars and light commercial vehicles","Fuel oil","Location not specified","kl","XXXXXX","t","t CO2-e / kl";"Fuel - Transport - Cars and light commercial vehicles","Ethanol","Location not specified","kl","XXXXXX","t","t CO2-e / kl";"Fuel - Transport - Cars and light commercial vehicles","Biodiesel","Location not specified","kl","XXXXXX","t","t CO2-e / kl";"Fuel - Transport - Cars and light commercial vehicles","Renewable diesel","Location not specified","kl","XXXXXX","t","t CO2-e / kl";"Fuel - Transport - Cars and light commercial vehicles","Other biofuels","Location not specified","kl","XXXXXX","t","t CO2-e / kl";"Fuel - Transport - Light duty vehicles","Compressed natural gas","Location not specified","m3","XXXXXX","t","t CO2-e / m3";"Fuel - Transport - Light duty vehicles","Liquefied natural gas","Location not specified","kl","XXXXXX","t","t CO2-e / kl";"Fuel - Transport - Heavy duty vehicles","Compressed natural gas","Location not specified","m3","XXXXXX","t","t CO2-e / m3";"Fuel - Transport - Heavy duty vehicles","Liquefied natural gas","Location not specified","kl","XXXXXX","t","t CO2-e / kl";"Fuel - Transport - Heavy duty vehicles","Diesel oil - Euro iv or higher","Location not specified","kl","XXXXXX","t","t CO2-e / kl";"Fuel - Transport - Heavy duty vehicles","Diesel oil - Euro iii","Location not specified","kl","XXXXXX","t","t CO2-e / kl";"Fuel - Transport - Heavy duty vehicles","Diesel oil - Euro i","Location not specified","kl","XXXXXX","t","t CO2-e / kl";"Fuel - Transport - Heavy duty vehicles","Renewable diesel - Euro iv or higher","Location not specified","kl","XXXXXX","t","t CO2-e / kl";"Fuel - Transport - Heavy duty vehicles","Renewable diesel - Euro iii","Location not specified","kl","XXXXXX","t","t CO2-e / kl";"Fuel - Transport - Heavy duty vehicles","Renewable diesel - Euro i","Location not specified","kl","XXXXXX","t","t CO2-e / kl";"Fuel - Transport - Aviation","Gasoline for use as fuel in an aircraft","Location not specified","kl","XXXXXX","t","t CO2-e / kl";"Fuel - Transport - Aviation","Kerosene for use as fuel in an aircraft","Location not specified","kl","XXXXXX","t","t CO2-e / kl";"Fuel - Transport - Aviation","Renewable aviation kerosene","Location not specified","kl","XXXXXX","t","t CO2-e / kl"}, _xlpm.r, _xlpm.c))))</definedName>
    <definedName name="Scope3_SourceData.Scope3_FuelTransport_Source">_xlfn.LAMBDA(("Scope 3 GHG Emission Factors for Australian Agriculture, Fisheries and Forestry 2026"))</definedName>
    <definedName name="Scope3_SourceData.Scope3_FuelTransport_Title">_xlfn.LAMBDA(("Fuel - Transport scope 3"))</definedName>
    <definedName name="Scope3_SourceData.Scope3_FuelTransport_Variation">_xlfn.LAMBDA(("Emission factor values sourced from National Greenhouse Accounts Factors - See relevant table in 'Fuel Source Data'"))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_xlfn.LAMBDA(("Scope 3 GHG Emission Factors for Australian Agriculture, Fisheries and Forestry 2026"))</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ckBlocks_Data">_xlfn.LAMBDA(_xlfn.MAKEARRAY(4, 7, _xlfn.LAMBDA(_xlpm.r,_xlpm.c, INDEX({"Category","Product","Source","Product Unit","Emission Factor","Embedded Emissions Unit","Emissions Intensity Unit";"Lick Blocks","Mineral block","Location not specified","t",50101,"t","t CO2-e / t";"Lick Blocks","Weaner block","Location not specified","t",50102,"t","t CO2-e / t";"Lick Blocks","Dry season mix","Location not specified","t",50103,"t","t CO2-e / t"}, _xlpm.r, _xlpm.c))))</definedName>
    <definedName name="Scope3_SourceData.Scope3_LickBlocks_Source">_xlfn.LAMBDA(("Scope 3 GHG Emission Factors for Australian Agriculture, Fisheries and Forestry 2026"))</definedName>
    <definedName name="Scope3_SourceData.Scope3_LickBlocks_Title">_xlfn.LAMBDA(("Lick Blocks scope 3"))</definedName>
    <definedName name="Scope3_SourceData.Scope3_LickBlocks_Variation">_xlfn.LAMBDA((""))</definedName>
    <definedName name="Scope3_SourceData.Scope3_Livestock_Data">_xlfn.LAMBDA(_xlfn.MAKEARRAY(8, 7, _xlfn.LAMBDA(_xlpm.r,_xlpm.c, INDEX({"Category","Product","Source","Product Unit","Emission Factor","Embedded Emissions Unit","Emissions Intensity Unit";"Livestock","Beef cattle","Northern Australia","t LW",80101,"t","t CO2-e / t LW";"Livestock","Beef cattle","Southern Australia","t LW",80102,"t","t CO2-e / t LW";"Livestock","Beef cattle","Dairy Origin","t LW",80102,"t","t CO2-e / t LW";"Livestock","Dairy cattle","Location not specified","t LW",80103,"t","t CO2-e / t LW";"Livestock","Sheep","Location not specified","t LW",80104,"t","t CO2-e / t LW";"Livestock","Pigs","Location not specified","t LW",80105,"t","t CO2-e / t LW";"Livestock","Chickens","Location not specified","t LW",80106,"t","t CO2-e / t LW"}, _xlpm.r, _xlpm.c))))</definedName>
    <definedName name="Scope3_SourceData.Scope3_Livestock_Source">_xlfn.LAMBDA(("Scope 3 GHG Emission Factors for Australian Agriculture, Fisheries and Forestry 2026"))</definedName>
    <definedName name="Scope3_SourceData.Scope3_Livestock_Title">_xlfn.LAMBDA(("Livestock scope 3"))</definedName>
    <definedName name="Scope3_SourceData.Scope3_Livestock_Variation">_xlfn.LAMBDA((""))</definedName>
    <definedName name="Scope3_SourceData.Scope3_OrganicFertilisers_Data">_xlfn.LAMBDA(_xlfn.MAKEARRAY(11, 7, _xlfn.LAMBDA(_xlpm.r,_xlpm.c, INDEX({"Category","Product","Source","Product Unit","Emission Factor","Embedded Emissions Unit","Emissions Intensity Unit";"Organic Fertilisers","Dairy Manure","Primary MMS","t",20101,"t","t CO2-e / t";"Organic Fertilisers","Dairy Manure","Secondary MMS","t",20102,"t","t CO2-e / t";"Organic Fertilisers","Pork Manure","Primary MMS","t",20201,"t","t CO2-e / t";"Organic Fertilisers","Pork Manure","Secondary MMS","t",20202,"t","t CO2-e / t";"Organic Fertilisers","Feedlot Manure","Primary MMS","t",20301,"t","t CO2-e / t";"Organic Fertilisers","Feedlot Manure","Secondary MMS","t",20302,"t","t CO2-e / t";"Organic Fertilisers","Feedlot Manure","Tertiary MMS","t",20303,"t","t CO2-e / t";"Organic Fertilisers","Poultry Manure","Primary MMS","t",20401,"t","t CO2-e / t";"Organic Fertilisers","Poultry Manure","Secondary MMS","t",20402,"t","t CO2-e / t";"Organic Fertilisers","Other","Location not specified","t",20501,"t","t CO2-e / t"}, _xlpm.r, _xlpm.c))))</definedName>
    <definedName name="Scope3_SourceData.Scope3_OrganicFertilisers_Source">_xlfn.LAMBDA(("Scope 3 GHG Emission Factors for Australian Agriculture, Fisheries and Forestry 2026"))</definedName>
    <definedName name="Scope3_SourceData.Scope3_OrganicFertilisers_Title">_xlfn.LAMBDA(("Organic fertiliser scope 3"))</definedName>
    <definedName name="Scope3_SourceData.Scope3_OrganicFertilisers_Variation">_xlfn.LAMBDA((""))</definedName>
    <definedName name="Scope3_SourceData.Scope3_OtherAgriculturalInputs_Data">_xlfn.LAMBDA(_xlfn.MAKEARRAY(7, 7, _xlfn.LAMBDA(_xlpm.r,_xlpm.c, INDEX({"Category","Product","Source","Product Unit","Emission Factor","Embedded Emissions Unit","Emissions Intensity Unit";"Other Agricultural Inputs","CO2 for carbonation","Location not specified","t",120101,"t","t CO2-e / t";"Other Agricultural Inputs","Livestock antibiotics","Location not specified","t",110102,"t","t CO2-e / t";"Other Agricultural Inputs","Nylon netting for horticulture","Location not specified","t",110103,"t","t CO2-e / t";"Other Agricultural Inputs","Pallets - Wood","Location not specified","t",110104,"t","t CO2-e / t";"Other Agricultural Inputs","Pallets - Plastic","Location not specified","t",110105,"t","t CO2-e / t";"Other Agricultural Inputs","Livestock tags","Location not specified","t",110106,"t","t CO2-e / t"}, _xlpm.r, _xlpm.c))))</definedName>
    <definedName name="Scope3_SourceData.Scope3_OtherAgriculturalInputs_Source">_xlfn.LAMBDA(("Scope 3 GHG Emission Factors for Australian Agriculture, Fisheries and Forestry 2026"))</definedName>
    <definedName name="Scope3_SourceData.Scope3_OtherAgriculturalInputs_Title">_xlfn.LAMBDA(("Other agricultural inputs scope 3"))</definedName>
    <definedName name="Scope3_SourceData.Scope3_OtherAgriculturalInputs_Variation">_xlfn.LAMBDA((""))</definedName>
    <definedName name="Scope3_SourceData.Scope3_Packaging_Data">_xlfn.LAMBDA(_xlfn.MAKEARRAY(7, 7, _xlfn.LAMBDA(_xlpm.r,_xlpm.c, INDEX({"Category","Product","Source","Product Unit","Emission Factor","Embedded Emissions Unit","Emissions Intensity Unit";"Packaging","Wine bottles: Glass - conventional","Location not specified","bottle",90101,"bottle","kg CO2-e / bottle";"Packaging","Wine bottles: Glass - light","Location not specified","bottle",90102,"bottle","kg CO2-e / bottle";"Packaging","Plastic packaging","Location not specified","kg",90201,"kg","kg CO2-e / kg";"Packaging","Polyethylene terephthalate (PET)","Location not specified","kg",90202,"kg","kg CO2-e / kg";"Packaging","Polypropylene (PP)","Location not specified","kg",90203,"kg","kg CO2-e / kg";"Packaging","Cardboard","Location not specified","kg",90204,"kg","kg CO2-e / kg"}, _xlpm.r, _xlpm.c))))</definedName>
    <definedName name="Scope3_SourceData.Scope3_Packaging_Source">_xlfn.LAMBDA(("Scope 3 GHG Emission Factors for Australian Agriculture, Fisheries and Forestry 2026"))</definedName>
    <definedName name="Scope3_SourceData.Scope3_Packaging_Title">_xlfn.LAMBDA(("Packaging scope 3"))</definedName>
    <definedName name="Scope3_SourceData.Scope3_Packaging_Variation">_xlfn.LAMBDA((""))</definedName>
    <definedName name="Scope3_SourceData.Scope3_SeedsAndSeedlings_Data">_xlfn.LAMBDA(_xlfn.MAKEARRAY(3, 7, _xlfn.LAMBDA(_xlpm.r,_xlpm.c, INDEX({"Category","Product","Source","Product Unit","Emission Factor","Embedded Emissions Unit","Emissions Intensity Unit";"Seeds and Seedlings","Seed (general crop and pasture)","Location not specified","t",100101,"t","t CO2-e / t";"Seeds and Seedlings","Seedlings (forestry, horticulture, environmental)","Location not specified","Seedling",100102,"t","t CO2-e / Seedling"}, _xlpm.r, _xlpm.c))))</definedName>
    <definedName name="Scope3_SourceData.Scope3_SeedsAndSeedlings_Source">_xlfn.LAMBDA(("Scope 3 GHG Emission Factors for Australian Agriculture, Fisheries and Forestry 2026"))</definedName>
    <definedName name="Scope3_SourceData.Scope3_SeedsAndSeedlings_Title">_xlfn.LAMBDA(("Seeds and Seedlings scope 3"))</definedName>
    <definedName name="Scope3_SourceData.Scope3_SeedsAndSeedlings_Variation">_xlfn.LAMBDA((""))</definedName>
    <definedName name="Scope3_SourceData.Scope3_SoilAmendments_Data">_xlfn.LAMBDA(_xlfn.MAKEARRAY(6, 7, _xlfn.LAMBDA(_xlpm.r,_xlpm.c, INDEX({"Category","Product","Source","Product Unit","Emission Factor","Embedded Emissions Unit","Emissions Intensity Unit";"Soil Amendments","Lime","Location not specified","t",30101,"t","t CO2-e / t";"Soil Amendments","Limesand","Location not specified","t",30102,"t","t CO2-e / t";"Soil Amendments","Dolomite","Location not specified","t",30103,"t","t CO2-e / t";"Soil Amendments","Gypsum","Location not specified","t",30104,"t","t CO2-e / t";"Soil Amendments","Potash","Location not specified","t",30105,"t","t CO2-e / t"}, _xlpm.r, _xlpm.c))))</definedName>
    <definedName name="Scope3_SourceData.Scope3_SoilAmendments_Source">_xlfn.LAMBDA(("Scope 3 GHG Emission Factors for Australian Agriculture, Fisheries and Forestry 2026"))</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19" i="7" l="1"/>
  <c r="F19" i="7"/>
  <c r="G19" i="7"/>
  <c r="I19" i="7" s="1"/>
  <c r="J19" i="7" a="1"/>
  <c r="J19" i="7" s="1"/>
  <c r="K19" i="7" a="1"/>
  <c r="K19" i="7" s="1"/>
  <c r="L19" i="7" a="1"/>
  <c r="L19" i="7" s="1"/>
  <c r="M19" i="7" a="1"/>
  <c r="M19" i="7" s="1"/>
  <c r="N19" i="7" a="1"/>
  <c r="N19" i="7" s="1"/>
  <c r="O19" i="7" a="1"/>
  <c r="O19" i="7" s="1"/>
  <c r="P19" i="7" a="1"/>
  <c r="P19" i="7" s="1"/>
  <c r="Q19" i="7" a="1"/>
  <c r="Q19" i="7" s="1"/>
  <c r="R19" i="7" a="1"/>
  <c r="R19" i="7" s="1"/>
  <c r="S19" i="7" a="1"/>
  <c r="S19" i="7" s="1"/>
  <c r="T19" i="7" a="1"/>
  <c r="T19" i="7" s="1"/>
  <c r="U19" i="7" a="1"/>
  <c r="U19" i="7" s="1"/>
  <c r="X19" i="7"/>
  <c r="G15" i="12"/>
  <c r="D38" i="6" a="1"/>
  <c r="D38" i="6" s="1"/>
  <c r="E38" i="6" a="1"/>
  <c r="E38" i="6" s="1"/>
  <c r="F38" i="6" a="1"/>
  <c r="F38" i="6" s="1"/>
  <c r="G38" i="6" a="1"/>
  <c r="G38" i="6" s="1"/>
  <c r="H38" i="6" a="1"/>
  <c r="H38" i="6" s="1"/>
  <c r="I38" i="6" a="1"/>
  <c r="I38" i="6" s="1"/>
  <c r="L33" i="12" a="1"/>
  <c r="L33" i="12" s="1"/>
  <c r="L32" i="12" a="1"/>
  <c r="L32" i="12" s="1"/>
  <c r="L31" i="12" a="1"/>
  <c r="L31" i="12" s="1"/>
  <c r="L30" i="12" a="1"/>
  <c r="L30" i="12" s="1"/>
  <c r="L29" i="12" a="1"/>
  <c r="L29" i="12" s="1"/>
  <c r="L28" i="12" a="1"/>
  <c r="L28" i="12" s="1"/>
  <c r="L27" i="12" a="1"/>
  <c r="L27" i="12" s="1"/>
  <c r="L26" i="12" a="1"/>
  <c r="L26" i="12" s="1"/>
  <c r="L25" i="12" a="1"/>
  <c r="L25" i="12" s="1"/>
  <c r="L24" i="12" a="1"/>
  <c r="L24" i="12" s="1"/>
  <c r="L23" i="12" a="1"/>
  <c r="L23" i="12" s="1"/>
  <c r="L22" i="12" a="1"/>
  <c r="L22" i="12" s="1"/>
  <c r="L21" i="12" a="1"/>
  <c r="L21" i="12" s="1"/>
  <c r="L20" i="12" a="1"/>
  <c r="L20" i="12" s="1"/>
  <c r="L19" i="12" a="1"/>
  <c r="L19" i="12" s="1"/>
  <c r="L18" i="12" a="1"/>
  <c r="L18" i="12" s="1"/>
  <c r="L17" i="12" a="1"/>
  <c r="L17" i="12" s="1"/>
  <c r="L16" i="12" a="1"/>
  <c r="L16" i="12" s="1"/>
  <c r="L15" i="12" a="1"/>
  <c r="L15" i="12" s="1"/>
  <c r="L14" i="12" a="1"/>
  <c r="L14" i="12" s="1"/>
  <c r="L13" i="12" a="1"/>
  <c r="L13" i="12" s="1"/>
  <c r="L12" i="12" a="1"/>
  <c r="L12" i="12" s="1"/>
  <c r="L11" i="12" a="1"/>
  <c r="L11" i="12" s="1"/>
  <c r="L10" i="12" a="1"/>
  <c r="L10" i="12" s="1"/>
  <c r="L9" i="12" a="1"/>
  <c r="L9" i="12" s="1"/>
  <c r="K33" i="12" a="1"/>
  <c r="K33" i="12" s="1"/>
  <c r="K32" i="12" a="1"/>
  <c r="K32" i="12" s="1"/>
  <c r="K31" i="12" a="1"/>
  <c r="K31" i="12" s="1"/>
  <c r="K30" i="12" a="1"/>
  <c r="K30" i="12" s="1"/>
  <c r="K29" i="12" a="1"/>
  <c r="K29" i="12" s="1"/>
  <c r="K28" i="12" a="1"/>
  <c r="K28" i="12" s="1"/>
  <c r="K27" i="12" a="1"/>
  <c r="K27" i="12" s="1"/>
  <c r="K26" i="12" a="1"/>
  <c r="K26" i="12" s="1"/>
  <c r="K25" i="12" a="1"/>
  <c r="K25" i="12" s="1"/>
  <c r="K24" i="12" a="1"/>
  <c r="K24" i="12" s="1"/>
  <c r="K23" i="12" a="1"/>
  <c r="K23" i="12" s="1"/>
  <c r="K22" i="12" a="1"/>
  <c r="K22" i="12" s="1"/>
  <c r="K21" i="12" a="1"/>
  <c r="K21" i="12" s="1"/>
  <c r="K20" i="12" a="1"/>
  <c r="K20" i="12" s="1"/>
  <c r="K19" i="12" a="1"/>
  <c r="K19" i="12" s="1"/>
  <c r="K18" i="12" a="1"/>
  <c r="K18" i="12" s="1"/>
  <c r="K17" i="12" a="1"/>
  <c r="K17" i="12" s="1"/>
  <c r="K16" i="12" a="1"/>
  <c r="K16" i="12" s="1"/>
  <c r="K15" i="12" a="1"/>
  <c r="K15" i="12" s="1"/>
  <c r="K14" i="12" a="1"/>
  <c r="K14" i="12" s="1"/>
  <c r="K13" i="12" a="1"/>
  <c r="K13" i="12" s="1"/>
  <c r="K12" i="12" a="1"/>
  <c r="K12" i="12" s="1"/>
  <c r="K11" i="12" a="1"/>
  <c r="K11" i="12" s="1"/>
  <c r="K10" i="12" a="1"/>
  <c r="K10" i="12" s="1"/>
  <c r="K9" i="12" a="1"/>
  <c r="K9" i="12" s="1"/>
  <c r="F33" i="12" a="1"/>
  <c r="F33" i="12" s="1"/>
  <c r="F32" i="12" a="1"/>
  <c r="F32" i="12" s="1"/>
  <c r="F31" i="12" a="1"/>
  <c r="F31" i="12" s="1"/>
  <c r="F30" i="12" a="1"/>
  <c r="F30" i="12" s="1"/>
  <c r="F29" i="12" a="1"/>
  <c r="F29" i="12" s="1"/>
  <c r="F28" i="12" a="1"/>
  <c r="F28" i="12" s="1"/>
  <c r="F27" i="12" a="1"/>
  <c r="F27" i="12" s="1"/>
  <c r="F26" i="12" a="1"/>
  <c r="F26" i="12" s="1"/>
  <c r="F25" i="12" a="1"/>
  <c r="F25" i="12" s="1"/>
  <c r="F24" i="12" a="1"/>
  <c r="F24" i="12" s="1"/>
  <c r="F23" i="12" a="1"/>
  <c r="F23" i="12" s="1"/>
  <c r="F22" i="12" a="1"/>
  <c r="F22" i="12" s="1"/>
  <c r="F21" i="12" a="1"/>
  <c r="F21" i="12" s="1"/>
  <c r="F20" i="12" a="1"/>
  <c r="F20" i="12" s="1"/>
  <c r="F19" i="12" a="1"/>
  <c r="F19" i="12" s="1"/>
  <c r="F18" i="12" a="1"/>
  <c r="F18" i="12" s="1"/>
  <c r="F17" i="12" a="1"/>
  <c r="F17" i="12" s="1"/>
  <c r="F16" i="12" a="1"/>
  <c r="F16" i="12" s="1"/>
  <c r="F15" i="12" a="1"/>
  <c r="F15" i="12" s="1"/>
  <c r="F14" i="12" a="1"/>
  <c r="F14" i="12" s="1"/>
  <c r="F13" i="12" a="1"/>
  <c r="F13" i="12" s="1"/>
  <c r="F12" i="12" a="1"/>
  <c r="F12" i="12" s="1"/>
  <c r="F11" i="12" a="1"/>
  <c r="F11" i="12" s="1"/>
  <c r="F10" i="12" a="1"/>
  <c r="F10" i="12" s="1"/>
  <c r="F9" i="12" a="1"/>
  <c r="F9" i="12" s="1"/>
  <c r="F24" i="7"/>
  <c r="G24" i="7"/>
  <c r="V19" i="7" l="1"/>
  <c r="V23" i="6" l="1" a="1"/>
  <c r="V23" i="6" s="1"/>
  <c r="V22" i="6" a="1"/>
  <c r="V22" i="6" s="1"/>
  <c r="V21" i="6" a="1"/>
  <c r="V21" i="6" s="1"/>
  <c r="V20" i="6" a="1"/>
  <c r="V20" i="6" s="1"/>
  <c r="V18" i="6" a="1"/>
  <c r="V18" i="6" s="1"/>
  <c r="V17" i="6" a="1"/>
  <c r="V17" i="6" s="1"/>
  <c r="H18" i="7"/>
  <c r="G24" i="13"/>
  <c r="H24" i="13"/>
  <c r="H29" i="12" l="1"/>
  <c r="I9" i="12"/>
  <c r="I12" i="12"/>
  <c r="H32" i="12"/>
  <c r="I10" i="12"/>
  <c r="H30" i="12"/>
  <c r="I11" i="12"/>
  <c r="H31" i="12"/>
  <c r="E108" i="12" l="1"/>
  <c r="E107" i="12"/>
  <c r="E106" i="12"/>
  <c r="A39" i="15" l="1"/>
  <c r="A38" i="15"/>
  <c r="A37" i="15"/>
  <c r="A36" i="15"/>
  <c r="A33" i="15"/>
  <c r="A30" i="15"/>
  <c r="A29" i="15"/>
  <c r="A28" i="15"/>
  <c r="A27" i="15"/>
  <c r="A26" i="15"/>
  <c r="A25" i="15"/>
  <c r="A24" i="15"/>
  <c r="A19" i="15"/>
  <c r="A18" i="15"/>
  <c r="A15" i="15"/>
  <c r="A14" i="15"/>
  <c r="A13" i="15"/>
  <c r="A12" i="15"/>
  <c r="A11" i="15"/>
  <c r="A10" i="15"/>
  <c r="A9" i="15"/>
  <c r="A8" i="15"/>
  <c r="A7" i="15"/>
  <c r="A4" i="15"/>
  <c r="E188" i="12" l="1"/>
  <c r="E187" i="12"/>
  <c r="E198" i="12"/>
  <c r="E203" i="12"/>
  <c r="E202" i="12"/>
  <c r="E201" i="12"/>
  <c r="E200" i="12"/>
  <c r="E199" i="12"/>
  <c r="A39" i="13"/>
  <c r="A38" i="13"/>
  <c r="A37" i="13"/>
  <c r="A36" i="13"/>
  <c r="A33" i="13"/>
  <c r="A30" i="13"/>
  <c r="A29" i="13"/>
  <c r="A28" i="13"/>
  <c r="A27" i="13"/>
  <c r="A26" i="13"/>
  <c r="A25" i="13"/>
  <c r="A24" i="13"/>
  <c r="A19" i="13"/>
  <c r="A18" i="13"/>
  <c r="A15" i="13"/>
  <c r="A14" i="13"/>
  <c r="A13" i="13"/>
  <c r="A12" i="13"/>
  <c r="A11" i="13"/>
  <c r="A10" i="13"/>
  <c r="A9" i="13"/>
  <c r="A8" i="13"/>
  <c r="A7" i="13"/>
  <c r="A4" i="13"/>
  <c r="O203" i="12" l="1" a="1"/>
  <c r="O203" i="12" s="1"/>
  <c r="I203" i="12" a="1"/>
  <c r="I203" i="12" s="1"/>
  <c r="G203" i="12" a="1"/>
  <c r="G203" i="12" s="1"/>
  <c r="F203" i="12" a="1"/>
  <c r="F203" i="12" s="1"/>
  <c r="F11" i="13" s="1"/>
  <c r="D203" i="12" a="1"/>
  <c r="D203" i="12" s="1"/>
  <c r="D11" i="13" s="1"/>
  <c r="O202" i="12" a="1"/>
  <c r="O202" i="12" s="1"/>
  <c r="I202" i="12" a="1"/>
  <c r="I202" i="12" s="1"/>
  <c r="G202" i="12" a="1"/>
  <c r="G202" i="12" s="1"/>
  <c r="F202" i="12" a="1"/>
  <c r="F202" i="12" s="1"/>
  <c r="F10" i="13" s="1"/>
  <c r="D202" i="12" a="1"/>
  <c r="D202" i="12" s="1"/>
  <c r="D10" i="13" s="1"/>
  <c r="O201" i="12" a="1"/>
  <c r="O201" i="12" s="1"/>
  <c r="I201" i="12" a="1"/>
  <c r="I201" i="12" s="1"/>
  <c r="G201" i="12" a="1"/>
  <c r="G201" i="12" s="1"/>
  <c r="F201" i="12" a="1"/>
  <c r="F201" i="12" s="1"/>
  <c r="F9" i="13" s="1"/>
  <c r="D201" i="12" a="1"/>
  <c r="D201" i="12" s="1"/>
  <c r="D9" i="13" s="1"/>
  <c r="O200" i="12" a="1"/>
  <c r="O200" i="12" s="1"/>
  <c r="I200" i="12" a="1"/>
  <c r="I200" i="12" s="1"/>
  <c r="G200" i="12" a="1"/>
  <c r="G200" i="12" s="1"/>
  <c r="F200" i="12" a="1"/>
  <c r="F200" i="12" s="1"/>
  <c r="F8" i="13" s="1"/>
  <c r="D200" i="12" a="1"/>
  <c r="D200" i="12" s="1"/>
  <c r="D8" i="13" s="1"/>
  <c r="O199" i="12" a="1"/>
  <c r="O199" i="12" s="1"/>
  <c r="I199" i="12" a="1"/>
  <c r="I199" i="12" s="1"/>
  <c r="G199" i="12" a="1"/>
  <c r="G199" i="12" s="1"/>
  <c r="F199" i="12" a="1"/>
  <c r="F199" i="12" s="1"/>
  <c r="F7" i="13" s="1"/>
  <c r="D199" i="12" a="1"/>
  <c r="D199" i="12" s="1"/>
  <c r="D7" i="13" s="1"/>
  <c r="O198" i="12" a="1"/>
  <c r="O198" i="12" s="1"/>
  <c r="I198" i="12" a="1"/>
  <c r="I198" i="12" s="1"/>
  <c r="G198" i="12" a="1"/>
  <c r="G198" i="12" s="1"/>
  <c r="F198" i="12" a="1"/>
  <c r="F198" i="12" s="1"/>
  <c r="F6" i="13" s="1"/>
  <c r="D198" i="12" a="1"/>
  <c r="D198" i="12" s="1"/>
  <c r="D6" i="13" s="1"/>
  <c r="D195" i="12" a="1"/>
  <c r="D195" i="12" s="1"/>
  <c r="D194" i="12" a="1"/>
  <c r="D194" i="12" s="1"/>
  <c r="O188" i="12" a="1"/>
  <c r="O188" i="12" s="1"/>
  <c r="I188" i="12" a="1"/>
  <c r="I188" i="12" s="1"/>
  <c r="G188" i="12" a="1"/>
  <c r="G188" i="12" s="1"/>
  <c r="F188" i="12" a="1"/>
  <c r="F188" i="12" s="1"/>
  <c r="F13" i="13" s="1"/>
  <c r="D188" i="12" a="1"/>
  <c r="D188" i="12" s="1"/>
  <c r="O187" i="12" a="1"/>
  <c r="O187" i="12" s="1"/>
  <c r="K187" i="12"/>
  <c r="I187" i="12" a="1"/>
  <c r="I187" i="12" s="1"/>
  <c r="G187" i="12" a="1"/>
  <c r="G187" i="12" s="1"/>
  <c r="J187" i="12" s="1"/>
  <c r="F187" i="12" a="1"/>
  <c r="F187" i="12" s="1"/>
  <c r="F12" i="13" s="1"/>
  <c r="D187" i="12" a="1"/>
  <c r="D187" i="12" s="1"/>
  <c r="D184" i="12" a="1"/>
  <c r="D184" i="12" s="1"/>
  <c r="D183" i="12" a="1"/>
  <c r="D183" i="12" s="1"/>
  <c r="O177" i="12" a="1"/>
  <c r="O177" i="12" s="1"/>
  <c r="I177" i="12" a="1"/>
  <c r="I177" i="12" s="1"/>
  <c r="G177" i="12" a="1"/>
  <c r="G177" i="12" s="1"/>
  <c r="F177" i="12" a="1"/>
  <c r="F177" i="12" s="1"/>
  <c r="D177" i="12" a="1"/>
  <c r="D177" i="12" s="1"/>
  <c r="E177" i="12" s="1" a="1"/>
  <c r="E177" i="12" s="1"/>
  <c r="O176" i="12" a="1"/>
  <c r="O176" i="12" s="1"/>
  <c r="I176" i="12" a="1"/>
  <c r="I176" i="12" s="1"/>
  <c r="G176" i="12" a="1"/>
  <c r="G176" i="12" s="1"/>
  <c r="F176" i="12" a="1"/>
  <c r="F176" i="12" s="1"/>
  <c r="D176" i="12" a="1"/>
  <c r="D176" i="12" s="1"/>
  <c r="E176" i="12" s="1" a="1"/>
  <c r="E176" i="12" s="1"/>
  <c r="O175" i="12" a="1"/>
  <c r="O175" i="12" s="1"/>
  <c r="I175" i="12" a="1"/>
  <c r="I175" i="12" s="1"/>
  <c r="G175" i="12" a="1"/>
  <c r="G175" i="12" s="1"/>
  <c r="F175" i="12" a="1"/>
  <c r="F175" i="12" s="1"/>
  <c r="D175" i="12" a="1"/>
  <c r="D175" i="12" s="1"/>
  <c r="E175" i="12" s="1" a="1"/>
  <c r="E175" i="12" s="1"/>
  <c r="D172" i="12" a="1"/>
  <c r="D172" i="12" s="1"/>
  <c r="D171" i="12" a="1"/>
  <c r="D171" i="12" s="1"/>
  <c r="O165" i="12" a="1"/>
  <c r="O165" i="12" s="1"/>
  <c r="I165" i="12" a="1"/>
  <c r="I165" i="12" s="1"/>
  <c r="G165" i="12" a="1"/>
  <c r="G165" i="12" s="1"/>
  <c r="F165" i="12" a="1"/>
  <c r="F165" i="12" s="1"/>
  <c r="D165" i="12" a="1"/>
  <c r="D165" i="12" s="1"/>
  <c r="E165" i="12" s="1" a="1"/>
  <c r="E165" i="12" s="1"/>
  <c r="O164" i="12" a="1"/>
  <c r="O164" i="12" s="1"/>
  <c r="I164" i="12" a="1"/>
  <c r="I164" i="12" s="1"/>
  <c r="G164" i="12" a="1"/>
  <c r="G164" i="12" s="1"/>
  <c r="F164" i="12" a="1"/>
  <c r="F164" i="12" s="1"/>
  <c r="D164" i="12" a="1"/>
  <c r="D164" i="12" s="1"/>
  <c r="E164" i="12" s="1" a="1"/>
  <c r="E164" i="12" s="1"/>
  <c r="O163" i="12" a="1"/>
  <c r="O163" i="12" s="1"/>
  <c r="I163" i="12" a="1"/>
  <c r="I163" i="12" s="1"/>
  <c r="G163" i="12" a="1"/>
  <c r="G163" i="12" s="1"/>
  <c r="F163" i="12" a="1"/>
  <c r="F163" i="12" s="1"/>
  <c r="D163" i="12" a="1"/>
  <c r="D163" i="12" s="1"/>
  <c r="E163" i="12" s="1" a="1"/>
  <c r="E163" i="12" s="1"/>
  <c r="O162" i="12" a="1"/>
  <c r="O162" i="12" s="1"/>
  <c r="I162" i="12" a="1"/>
  <c r="I162" i="12" s="1"/>
  <c r="G162" i="12" a="1"/>
  <c r="G162" i="12" s="1"/>
  <c r="F162" i="12" a="1"/>
  <c r="F162" i="12" s="1"/>
  <c r="D162" i="12" a="1"/>
  <c r="D162" i="12" s="1"/>
  <c r="E162" i="12" s="1" a="1"/>
  <c r="E162" i="12" s="1"/>
  <c r="O161" i="12" a="1"/>
  <c r="O161" i="12" s="1"/>
  <c r="I161" i="12" a="1"/>
  <c r="I161" i="12" s="1"/>
  <c r="G161" i="12" a="1"/>
  <c r="G161" i="12" s="1"/>
  <c r="F161" i="12" a="1"/>
  <c r="F161" i="12" s="1"/>
  <c r="D161" i="12" a="1"/>
  <c r="D161" i="12" s="1"/>
  <c r="E161" i="12" s="1" a="1"/>
  <c r="E161" i="12" s="1"/>
  <c r="O160" i="12" a="1"/>
  <c r="O160" i="12" s="1"/>
  <c r="I160" i="12" a="1"/>
  <c r="I160" i="12" s="1"/>
  <c r="G160" i="12" a="1"/>
  <c r="G160" i="12" s="1"/>
  <c r="F160" i="12" a="1"/>
  <c r="F160" i="12" s="1"/>
  <c r="D160" i="12" a="1"/>
  <c r="D160" i="12" s="1"/>
  <c r="D157" i="12" a="1"/>
  <c r="D157" i="12" s="1"/>
  <c r="D156" i="12" a="1"/>
  <c r="D156" i="12" s="1"/>
  <c r="O150" i="12" a="1"/>
  <c r="O150" i="12" s="1"/>
  <c r="I150" i="12" a="1"/>
  <c r="I150" i="12" s="1"/>
  <c r="G150" i="12" a="1"/>
  <c r="G150" i="12" s="1"/>
  <c r="F150" i="12" a="1"/>
  <c r="F150" i="12" s="1"/>
  <c r="D150" i="12" a="1"/>
  <c r="D150" i="12" s="1"/>
  <c r="E150" i="12" s="1" a="1"/>
  <c r="E150" i="12" s="1"/>
  <c r="O149" i="12" a="1"/>
  <c r="O149" i="12" s="1"/>
  <c r="I149" i="12" a="1"/>
  <c r="I149" i="12" s="1"/>
  <c r="G149" i="12" a="1"/>
  <c r="G149" i="12" s="1"/>
  <c r="F149" i="12" a="1"/>
  <c r="F149" i="12" s="1"/>
  <c r="D149" i="12" a="1"/>
  <c r="D149" i="12" s="1"/>
  <c r="E149" i="12" s="1" a="1"/>
  <c r="E149" i="12" s="1"/>
  <c r="O148" i="12" a="1"/>
  <c r="O148" i="12" s="1"/>
  <c r="I148" i="12" a="1"/>
  <c r="I148" i="12" s="1"/>
  <c r="G148" i="12" a="1"/>
  <c r="G148" i="12" s="1"/>
  <c r="F148" i="12" a="1"/>
  <c r="F148" i="12" s="1"/>
  <c r="D148" i="12" a="1"/>
  <c r="D148" i="12" s="1"/>
  <c r="E148" i="12" s="1" a="1"/>
  <c r="E148" i="12" s="1"/>
  <c r="O147" i="12" a="1"/>
  <c r="O147" i="12" s="1"/>
  <c r="I147" i="12" a="1"/>
  <c r="I147" i="12" s="1"/>
  <c r="G147" i="12" a="1"/>
  <c r="G147" i="12" s="1"/>
  <c r="F147" i="12" a="1"/>
  <c r="F147" i="12" s="1"/>
  <c r="D147" i="12" a="1"/>
  <c r="D147" i="12" s="1"/>
  <c r="E147" i="12" s="1" a="1"/>
  <c r="E147" i="12" s="1"/>
  <c r="O146" i="12" a="1"/>
  <c r="O146" i="12" s="1"/>
  <c r="I146" i="12" a="1"/>
  <c r="I146" i="12" s="1"/>
  <c r="G146" i="12" a="1"/>
  <c r="G146" i="12" s="1"/>
  <c r="F146" i="12" a="1"/>
  <c r="F146" i="12" s="1"/>
  <c r="D146" i="12" a="1"/>
  <c r="D146" i="12" s="1"/>
  <c r="E146" i="12" s="1" a="1"/>
  <c r="E146" i="12" s="1"/>
  <c r="O145" i="12" a="1"/>
  <c r="O145" i="12" s="1"/>
  <c r="I145" i="12" a="1"/>
  <c r="I145" i="12" s="1"/>
  <c r="G145" i="12" a="1"/>
  <c r="G145" i="12" s="1"/>
  <c r="F145" i="12" a="1"/>
  <c r="F145" i="12" s="1"/>
  <c r="D145" i="12" a="1"/>
  <c r="D145" i="12" s="1"/>
  <c r="E145" i="12" s="1" a="1"/>
  <c r="E145" i="12" s="1"/>
  <c r="O144" i="12" a="1"/>
  <c r="O144" i="12" s="1"/>
  <c r="I144" i="12" a="1"/>
  <c r="I144" i="12" s="1"/>
  <c r="G144" i="12" a="1"/>
  <c r="G144" i="12" s="1"/>
  <c r="F144" i="12" a="1"/>
  <c r="F144" i="12" s="1"/>
  <c r="D144" i="12" a="1"/>
  <c r="D144" i="12" s="1"/>
  <c r="E144" i="12" s="1" a="1"/>
  <c r="E144" i="12" s="1"/>
  <c r="O143" i="12" a="1"/>
  <c r="O143" i="12" s="1"/>
  <c r="I143" i="12" a="1"/>
  <c r="I143" i="12" s="1"/>
  <c r="G143" i="12" a="1"/>
  <c r="G143" i="12" s="1"/>
  <c r="F143" i="12" a="1"/>
  <c r="F143" i="12" s="1"/>
  <c r="D143" i="12" a="1"/>
  <c r="D143" i="12" s="1"/>
  <c r="E143" i="12" s="1" a="1"/>
  <c r="E143" i="12" s="1"/>
  <c r="D140" i="12" a="1"/>
  <c r="D140" i="12" s="1"/>
  <c r="D139" i="12" a="1"/>
  <c r="D139" i="12" s="1"/>
  <c r="O133" i="12" a="1"/>
  <c r="O133" i="12" s="1"/>
  <c r="I133" i="12" a="1"/>
  <c r="I133" i="12" s="1"/>
  <c r="G133" i="12" a="1"/>
  <c r="G133" i="12" s="1"/>
  <c r="F133" i="12" a="1"/>
  <c r="F133" i="12" s="1"/>
  <c r="D133" i="12" a="1"/>
  <c r="D133" i="12" s="1"/>
  <c r="E133" i="12" s="1" a="1"/>
  <c r="E133" i="12" s="1"/>
  <c r="O132" i="12" a="1"/>
  <c r="O132" i="12" s="1"/>
  <c r="I132" i="12" a="1"/>
  <c r="I132" i="12" s="1"/>
  <c r="G132" i="12" a="1"/>
  <c r="G132" i="12" s="1"/>
  <c r="F132" i="12" a="1"/>
  <c r="F132" i="12" s="1"/>
  <c r="D132" i="12" a="1"/>
  <c r="D132" i="12" s="1"/>
  <c r="E132" i="12" s="1" a="1"/>
  <c r="E132" i="12" s="1"/>
  <c r="O131" i="12" a="1"/>
  <c r="O131" i="12" s="1"/>
  <c r="I131" i="12" a="1"/>
  <c r="I131" i="12" s="1"/>
  <c r="G131" i="12" a="1"/>
  <c r="G131" i="12" s="1"/>
  <c r="F131" i="12" a="1"/>
  <c r="F131" i="12" s="1"/>
  <c r="D131" i="12" a="1"/>
  <c r="D131" i="12" s="1"/>
  <c r="E131" i="12" s="1" a="1"/>
  <c r="E131" i="12" s="1"/>
  <c r="O130" i="12" a="1"/>
  <c r="O130" i="12" s="1"/>
  <c r="I130" i="12" a="1"/>
  <c r="I130" i="12" s="1"/>
  <c r="G130" i="12" a="1"/>
  <c r="G130" i="12" s="1"/>
  <c r="F130" i="12" a="1"/>
  <c r="F130" i="12" s="1"/>
  <c r="D130" i="12" a="1"/>
  <c r="D130" i="12" s="1"/>
  <c r="E130" i="12" s="1" a="1"/>
  <c r="E130" i="12" s="1"/>
  <c r="O129" i="12" a="1"/>
  <c r="O129" i="12" s="1"/>
  <c r="I129" i="12" a="1"/>
  <c r="I129" i="12" s="1"/>
  <c r="G129" i="12" a="1"/>
  <c r="G129" i="12" s="1"/>
  <c r="F129" i="12" a="1"/>
  <c r="F129" i="12" s="1"/>
  <c r="D129" i="12" a="1"/>
  <c r="D129" i="12" s="1"/>
  <c r="E129" i="12" s="1" a="1"/>
  <c r="E129" i="12" s="1"/>
  <c r="O128" i="12" a="1"/>
  <c r="O128" i="12" s="1"/>
  <c r="I128" i="12" a="1"/>
  <c r="I128" i="12" s="1"/>
  <c r="G128" i="12" a="1"/>
  <c r="G128" i="12" s="1"/>
  <c r="F128" i="12" a="1"/>
  <c r="F128" i="12" s="1"/>
  <c r="D128" i="12" a="1"/>
  <c r="D128" i="12" s="1"/>
  <c r="E128" i="12" s="1" a="1"/>
  <c r="E128" i="12" s="1"/>
  <c r="O127" i="12" a="1"/>
  <c r="O127" i="12" s="1"/>
  <c r="I127" i="12" a="1"/>
  <c r="I127" i="12" s="1"/>
  <c r="G127" i="12" a="1"/>
  <c r="G127" i="12" s="1"/>
  <c r="F127" i="12" a="1"/>
  <c r="F127" i="12" s="1"/>
  <c r="D127" i="12" a="1"/>
  <c r="D127" i="12" s="1"/>
  <c r="E127" i="12" s="1" a="1"/>
  <c r="E127" i="12" s="1"/>
  <c r="O126" i="12" a="1"/>
  <c r="O126" i="12" s="1"/>
  <c r="I126" i="12" a="1"/>
  <c r="I126" i="12" s="1"/>
  <c r="G126" i="12" a="1"/>
  <c r="G126" i="12" s="1"/>
  <c r="F126" i="12" a="1"/>
  <c r="F126" i="12" s="1"/>
  <c r="D126" i="12" a="1"/>
  <c r="D126" i="12" s="1"/>
  <c r="E126" i="12" s="1" a="1"/>
  <c r="E126" i="12" s="1"/>
  <c r="O125" i="12" a="1"/>
  <c r="O125" i="12" s="1"/>
  <c r="I125" i="12" a="1"/>
  <c r="I125" i="12" s="1"/>
  <c r="G125" i="12" a="1"/>
  <c r="G125" i="12" s="1"/>
  <c r="F125" i="12" a="1"/>
  <c r="F125" i="12" s="1"/>
  <c r="D125" i="12" a="1"/>
  <c r="D125" i="12" s="1"/>
  <c r="E125" i="12" s="1" a="1"/>
  <c r="E125" i="12" s="1"/>
  <c r="O124" i="12" a="1"/>
  <c r="O124" i="12" s="1"/>
  <c r="I124" i="12" a="1"/>
  <c r="I124" i="12" s="1"/>
  <c r="G124" i="12" a="1"/>
  <c r="G124" i="12" s="1"/>
  <c r="F124" i="12" a="1"/>
  <c r="F124" i="12" s="1"/>
  <c r="D124" i="12" a="1"/>
  <c r="D124" i="12" s="1"/>
  <c r="E124" i="12" s="1" a="1"/>
  <c r="E124" i="12" s="1"/>
  <c r="O123" i="12" a="1"/>
  <c r="O123" i="12" s="1"/>
  <c r="I123" i="12" a="1"/>
  <c r="I123" i="12" s="1"/>
  <c r="G123" i="12" a="1"/>
  <c r="G123" i="12" s="1"/>
  <c r="F123" i="12" a="1"/>
  <c r="F123" i="12" s="1"/>
  <c r="D123" i="12" a="1"/>
  <c r="D123" i="12" s="1"/>
  <c r="E123" i="12" s="1" a="1"/>
  <c r="E123" i="12" s="1"/>
  <c r="O122" i="12" a="1"/>
  <c r="O122" i="12" s="1"/>
  <c r="I122" i="12" a="1"/>
  <c r="I122" i="12" s="1"/>
  <c r="G122" i="12" a="1"/>
  <c r="G122" i="12" s="1"/>
  <c r="F122" i="12" a="1"/>
  <c r="F122" i="12" s="1"/>
  <c r="D122" i="12" a="1"/>
  <c r="D122" i="12" s="1"/>
  <c r="E122" i="12" s="1" a="1"/>
  <c r="E122" i="12" s="1"/>
  <c r="O121" i="12" a="1"/>
  <c r="O121" i="12" s="1"/>
  <c r="I121" i="12" a="1"/>
  <c r="I121" i="12" s="1"/>
  <c r="G121" i="12" a="1"/>
  <c r="G121" i="12" s="1"/>
  <c r="F121" i="12" a="1"/>
  <c r="F121" i="12" s="1"/>
  <c r="D121" i="12" a="1"/>
  <c r="D121" i="12" s="1"/>
  <c r="E121" i="12" s="1" a="1"/>
  <c r="E121" i="12" s="1"/>
  <c r="O120" i="12" a="1"/>
  <c r="O120" i="12" s="1"/>
  <c r="I120" i="12" a="1"/>
  <c r="I120" i="12" s="1"/>
  <c r="G120" i="12" a="1"/>
  <c r="G120" i="12" s="1"/>
  <c r="F120" i="12" a="1"/>
  <c r="F120" i="12" s="1"/>
  <c r="D120" i="12" a="1"/>
  <c r="D120" i="12" s="1"/>
  <c r="E120" i="12" s="1" a="1"/>
  <c r="E120" i="12" s="1"/>
  <c r="O119" i="12" a="1"/>
  <c r="O119" i="12" s="1"/>
  <c r="I119" i="12" a="1"/>
  <c r="I119" i="12" s="1"/>
  <c r="G119" i="12" a="1"/>
  <c r="G119" i="12" s="1"/>
  <c r="F119" i="12" a="1"/>
  <c r="F119" i="12" s="1"/>
  <c r="D119" i="12" a="1"/>
  <c r="D119" i="12" s="1"/>
  <c r="E119" i="12" s="1" a="1"/>
  <c r="E119" i="12" s="1"/>
  <c r="O118" i="12" a="1"/>
  <c r="O118" i="12" s="1"/>
  <c r="I118" i="12" a="1"/>
  <c r="I118" i="12" s="1"/>
  <c r="G118" i="12" a="1"/>
  <c r="G118" i="12" s="1"/>
  <c r="F118" i="12" a="1"/>
  <c r="F118" i="12" s="1"/>
  <c r="D118" i="12" a="1"/>
  <c r="D118" i="12" s="1"/>
  <c r="E118" i="12" s="1" a="1"/>
  <c r="E118" i="12" s="1"/>
  <c r="D115" i="12" a="1"/>
  <c r="D115" i="12" s="1"/>
  <c r="D114" i="12" a="1"/>
  <c r="D114" i="12" s="1"/>
  <c r="O108" i="12" a="1"/>
  <c r="O108" i="12" s="1"/>
  <c r="I108" i="12" a="1"/>
  <c r="I108" i="12" s="1"/>
  <c r="G108" i="12" a="1"/>
  <c r="G108" i="12" s="1"/>
  <c r="F108" i="12" a="1"/>
  <c r="F108" i="12" s="1"/>
  <c r="D108" i="12" a="1"/>
  <c r="D108" i="12" s="1"/>
  <c r="D11" i="15" s="1"/>
  <c r="O107" i="12" a="1"/>
  <c r="O107" i="12" s="1"/>
  <c r="I107" i="12" a="1"/>
  <c r="I107" i="12" s="1"/>
  <c r="G107" i="12" a="1"/>
  <c r="G107" i="12" s="1"/>
  <c r="F107" i="12" a="1"/>
  <c r="F107" i="12" s="1"/>
  <c r="D107" i="12" a="1"/>
  <c r="D107" i="12" s="1"/>
  <c r="D10" i="15" s="1"/>
  <c r="O106" i="12" a="1"/>
  <c r="O106" i="12" s="1"/>
  <c r="K106" i="12"/>
  <c r="I106" i="12" a="1"/>
  <c r="I106" i="12" s="1"/>
  <c r="G106" i="12" a="1"/>
  <c r="G106" i="12" s="1"/>
  <c r="J106" i="12" s="1"/>
  <c r="F106" i="12" a="1"/>
  <c r="F106" i="12" s="1"/>
  <c r="D106" i="12" a="1"/>
  <c r="D106" i="12" s="1"/>
  <c r="D9" i="15" s="1"/>
  <c r="D103" i="12" a="1"/>
  <c r="D103" i="12" s="1"/>
  <c r="D102" i="12" a="1"/>
  <c r="D102" i="12" s="1"/>
  <c r="O96" i="12" a="1"/>
  <c r="O96" i="12" s="1"/>
  <c r="I96" i="12" a="1"/>
  <c r="I96" i="12" s="1"/>
  <c r="G96" i="12" a="1"/>
  <c r="G96" i="12" s="1"/>
  <c r="F96" i="12" a="1"/>
  <c r="F96" i="12" s="1"/>
  <c r="D96" i="12" a="1"/>
  <c r="D96" i="12" s="1"/>
  <c r="E96" i="12" s="1" a="1"/>
  <c r="E96" i="12" s="1"/>
  <c r="O95" i="12" a="1"/>
  <c r="O95" i="12" s="1"/>
  <c r="I95" i="12" a="1"/>
  <c r="I95" i="12" s="1"/>
  <c r="G95" i="12" a="1"/>
  <c r="G95" i="12" s="1"/>
  <c r="F95" i="12" a="1"/>
  <c r="F95" i="12" s="1"/>
  <c r="D95" i="12" a="1"/>
  <c r="D95" i="12" s="1"/>
  <c r="E95" i="12" s="1" a="1"/>
  <c r="E95" i="12" s="1"/>
  <c r="O94" i="12" a="1"/>
  <c r="O94" i="12" s="1"/>
  <c r="I94" i="12" a="1"/>
  <c r="I94" i="12" s="1"/>
  <c r="G94" i="12" a="1"/>
  <c r="G94" i="12" s="1"/>
  <c r="F94" i="12" a="1"/>
  <c r="F94" i="12" s="1"/>
  <c r="D94" i="12" a="1"/>
  <c r="D94" i="12" s="1"/>
  <c r="E94" i="12" s="1" a="1"/>
  <c r="E94" i="12" s="1"/>
  <c r="O93" i="12" a="1"/>
  <c r="O93" i="12" s="1"/>
  <c r="I93" i="12" a="1"/>
  <c r="I93" i="12" s="1"/>
  <c r="G93" i="12" a="1"/>
  <c r="G93" i="12" s="1"/>
  <c r="F93" i="12" a="1"/>
  <c r="F93" i="12" s="1"/>
  <c r="D93" i="12" a="1"/>
  <c r="D93" i="12" s="1"/>
  <c r="E93" i="12" s="1" a="1"/>
  <c r="E93" i="12" s="1"/>
  <c r="O92" i="12" a="1"/>
  <c r="O92" i="12" s="1"/>
  <c r="I92" i="12" a="1"/>
  <c r="I92" i="12" s="1"/>
  <c r="G92" i="12" a="1"/>
  <c r="G92" i="12" s="1"/>
  <c r="F92" i="12" a="1"/>
  <c r="F92" i="12" s="1"/>
  <c r="D92" i="12" a="1"/>
  <c r="D92" i="12" s="1"/>
  <c r="E92" i="12" s="1" a="1"/>
  <c r="E92" i="12" s="1"/>
  <c r="D89" i="12" a="1"/>
  <c r="D89" i="12" s="1"/>
  <c r="D88" i="12" a="1"/>
  <c r="D88" i="12" s="1"/>
  <c r="O82" i="12" a="1"/>
  <c r="O82" i="12" s="1"/>
  <c r="I82" i="12" a="1"/>
  <c r="I82" i="12" s="1"/>
  <c r="G82" i="12" a="1"/>
  <c r="G82" i="12" s="1"/>
  <c r="F82" i="12" a="1"/>
  <c r="F82" i="12" s="1"/>
  <c r="D82" i="12" a="1"/>
  <c r="D82" i="12" s="1"/>
  <c r="O81" i="12" a="1"/>
  <c r="O81" i="12" s="1"/>
  <c r="I81" i="12" a="1"/>
  <c r="I81" i="12" s="1"/>
  <c r="G81" i="12" a="1"/>
  <c r="G81" i="12" s="1"/>
  <c r="F81" i="12" a="1"/>
  <c r="F81" i="12" s="1"/>
  <c r="D81" i="12" a="1"/>
  <c r="D81" i="12" s="1"/>
  <c r="O80" i="12" a="1"/>
  <c r="O80" i="12" s="1"/>
  <c r="I80" i="12" a="1"/>
  <c r="I80" i="12" s="1"/>
  <c r="G80" i="12" a="1"/>
  <c r="G80" i="12" s="1"/>
  <c r="F80" i="12" a="1"/>
  <c r="F80" i="12" s="1"/>
  <c r="D80" i="12" a="1"/>
  <c r="D80" i="12" s="1"/>
  <c r="O79" i="12" a="1"/>
  <c r="O79" i="12" s="1"/>
  <c r="I79" i="12" a="1"/>
  <c r="I79" i="12" s="1"/>
  <c r="G79" i="12" a="1"/>
  <c r="G79" i="12" s="1"/>
  <c r="F79" i="12" a="1"/>
  <c r="F79" i="12" s="1"/>
  <c r="D79" i="12" a="1"/>
  <c r="D79" i="12" s="1"/>
  <c r="O78" i="12" a="1"/>
  <c r="O78" i="12" s="1"/>
  <c r="I78" i="12" a="1"/>
  <c r="I78" i="12" s="1"/>
  <c r="G78" i="12" a="1"/>
  <c r="G78" i="12" s="1"/>
  <c r="F78" i="12" a="1"/>
  <c r="F78" i="12" s="1"/>
  <c r="D78" i="12" a="1"/>
  <c r="D78" i="12" s="1"/>
  <c r="D75" i="12" a="1"/>
  <c r="D75" i="12" s="1"/>
  <c r="D74" i="12" a="1"/>
  <c r="D74" i="12" s="1"/>
  <c r="P68" i="12" a="1"/>
  <c r="P68" i="12" s="1"/>
  <c r="J68" i="12" a="1"/>
  <c r="J68" i="12" s="1"/>
  <c r="H68" i="12" a="1"/>
  <c r="H68" i="12" s="1"/>
  <c r="G68" i="12" a="1"/>
  <c r="G68" i="12" s="1"/>
  <c r="E68" i="12" a="1"/>
  <c r="E68" i="12" s="1"/>
  <c r="D68" i="12" a="1"/>
  <c r="D68" i="12" s="1"/>
  <c r="P67" i="12" a="1"/>
  <c r="P67" i="12" s="1"/>
  <c r="J67" i="12" a="1"/>
  <c r="J67" i="12" s="1"/>
  <c r="H67" i="12" a="1"/>
  <c r="H67" i="12" s="1"/>
  <c r="G67" i="12" a="1"/>
  <c r="G67" i="12" s="1"/>
  <c r="E67" i="12" a="1"/>
  <c r="E67" i="12" s="1"/>
  <c r="D67" i="12" a="1"/>
  <c r="D67" i="12" s="1"/>
  <c r="P66" i="12" a="1"/>
  <c r="P66" i="12" s="1"/>
  <c r="J66" i="12" a="1"/>
  <c r="J66" i="12" s="1"/>
  <c r="H66" i="12" a="1"/>
  <c r="H66" i="12" s="1"/>
  <c r="G66" i="12" a="1"/>
  <c r="G66" i="12" s="1"/>
  <c r="E66" i="12" a="1"/>
  <c r="E66" i="12" s="1"/>
  <c r="D66" i="12" a="1"/>
  <c r="D66" i="12" s="1"/>
  <c r="P65" i="12" a="1"/>
  <c r="P65" i="12" s="1"/>
  <c r="J65" i="12" a="1"/>
  <c r="J65" i="12" s="1"/>
  <c r="H65" i="12" a="1"/>
  <c r="H65" i="12" s="1"/>
  <c r="G65" i="12" a="1"/>
  <c r="G65" i="12" s="1"/>
  <c r="E65" i="12" a="1"/>
  <c r="E65" i="12" s="1"/>
  <c r="D65" i="12" a="1"/>
  <c r="D65" i="12" s="1"/>
  <c r="P64" i="12" a="1"/>
  <c r="P64" i="12" s="1"/>
  <c r="J64" i="12" a="1"/>
  <c r="J64" i="12" s="1"/>
  <c r="H64" i="12" a="1"/>
  <c r="H64" i="12" s="1"/>
  <c r="G64" i="12" a="1"/>
  <c r="G64" i="12" s="1"/>
  <c r="E64" i="12" a="1"/>
  <c r="E64" i="12" s="1"/>
  <c r="D64" i="12" a="1"/>
  <c r="D64" i="12" s="1"/>
  <c r="P63" i="12" a="1"/>
  <c r="P63" i="12" s="1"/>
  <c r="J63" i="12" a="1"/>
  <c r="J63" i="12" s="1"/>
  <c r="H63" i="12" a="1"/>
  <c r="H63" i="12" s="1"/>
  <c r="G63" i="12" a="1"/>
  <c r="G63" i="12" s="1"/>
  <c r="E63" i="12" a="1"/>
  <c r="E63" i="12" s="1"/>
  <c r="D63" i="12" a="1"/>
  <c r="D63" i="12" s="1"/>
  <c r="P62" i="12" a="1"/>
  <c r="P62" i="12" s="1"/>
  <c r="J62" i="12" a="1"/>
  <c r="J62" i="12" s="1"/>
  <c r="H62" i="12" a="1"/>
  <c r="H62" i="12" s="1"/>
  <c r="G62" i="12" a="1"/>
  <c r="G62" i="12" s="1"/>
  <c r="E62" i="12" a="1"/>
  <c r="E62" i="12" s="1"/>
  <c r="D62" i="12" a="1"/>
  <c r="D62" i="12" s="1"/>
  <c r="D59" i="12" a="1"/>
  <c r="D59" i="12" s="1"/>
  <c r="D58" i="12" a="1"/>
  <c r="D58" i="12" s="1"/>
  <c r="P52" i="12" a="1"/>
  <c r="P52" i="12" s="1"/>
  <c r="J52" i="12" a="1"/>
  <c r="J52" i="12" s="1"/>
  <c r="H52" i="12" a="1"/>
  <c r="H52" i="12" s="1"/>
  <c r="G52" i="12" a="1"/>
  <c r="G52" i="12" s="1"/>
  <c r="E52" i="12" a="1"/>
  <c r="E52" i="12" s="1"/>
  <c r="D52" i="12" a="1"/>
  <c r="D52" i="12" s="1"/>
  <c r="P51" i="12" a="1"/>
  <c r="P51" i="12" s="1"/>
  <c r="J51" i="12" a="1"/>
  <c r="J51" i="12" s="1"/>
  <c r="H51" i="12" a="1"/>
  <c r="H51" i="12" s="1"/>
  <c r="G51" i="12" a="1"/>
  <c r="G51" i="12" s="1"/>
  <c r="E51" i="12" a="1"/>
  <c r="E51" i="12" s="1"/>
  <c r="D51" i="12" a="1"/>
  <c r="D51" i="12" s="1"/>
  <c r="P50" i="12" a="1"/>
  <c r="P50" i="12" s="1"/>
  <c r="J50" i="12" a="1"/>
  <c r="J50" i="12" s="1"/>
  <c r="H50" i="12" a="1"/>
  <c r="H50" i="12" s="1"/>
  <c r="G50" i="12" a="1"/>
  <c r="G50" i="12" s="1"/>
  <c r="E50" i="12" a="1"/>
  <c r="E50" i="12" s="1"/>
  <c r="D50" i="12" a="1"/>
  <c r="D50" i="12" s="1"/>
  <c r="P49" i="12" a="1"/>
  <c r="P49" i="12" s="1"/>
  <c r="J49" i="12" a="1"/>
  <c r="J49" i="12" s="1"/>
  <c r="H49" i="12" a="1"/>
  <c r="H49" i="12" s="1"/>
  <c r="G49" i="12" a="1"/>
  <c r="G49" i="12" s="1"/>
  <c r="E49" i="12" a="1"/>
  <c r="E49" i="12" s="1"/>
  <c r="D49" i="12" a="1"/>
  <c r="D49" i="12" s="1"/>
  <c r="P48" i="12" a="1"/>
  <c r="P48" i="12" s="1"/>
  <c r="J48" i="12" a="1"/>
  <c r="J48" i="12" s="1"/>
  <c r="H48" i="12" a="1"/>
  <c r="H48" i="12" s="1"/>
  <c r="G48" i="12" a="1"/>
  <c r="G48" i="12" s="1"/>
  <c r="E48" i="12" a="1"/>
  <c r="E48" i="12" s="1"/>
  <c r="D48" i="12" a="1"/>
  <c r="D48" i="12" s="1"/>
  <c r="P47" i="12" a="1"/>
  <c r="P47" i="12" s="1"/>
  <c r="J47" i="12" a="1"/>
  <c r="J47" i="12" s="1"/>
  <c r="H47" i="12" a="1"/>
  <c r="H47" i="12" s="1"/>
  <c r="G47" i="12" a="1"/>
  <c r="G47" i="12" s="1"/>
  <c r="E47" i="12" a="1"/>
  <c r="E47" i="12" s="1"/>
  <c r="D47" i="12" a="1"/>
  <c r="D47" i="12" s="1"/>
  <c r="P46" i="12" a="1"/>
  <c r="P46" i="12" s="1"/>
  <c r="J46" i="12" a="1"/>
  <c r="J46" i="12" s="1"/>
  <c r="H46" i="12" a="1"/>
  <c r="H46" i="12" s="1"/>
  <c r="G46" i="12" a="1"/>
  <c r="G46" i="12" s="1"/>
  <c r="E46" i="12" a="1"/>
  <c r="E46" i="12" s="1"/>
  <c r="D46" i="12" a="1"/>
  <c r="D46" i="12" s="1"/>
  <c r="P45" i="12" a="1"/>
  <c r="P45" i="12" s="1"/>
  <c r="J45" i="12" a="1"/>
  <c r="J45" i="12" s="1"/>
  <c r="H45" i="12" a="1"/>
  <c r="H45" i="12" s="1"/>
  <c r="G45" i="12" a="1"/>
  <c r="G45" i="12" s="1"/>
  <c r="E45" i="12" a="1"/>
  <c r="E45" i="12" s="1"/>
  <c r="D45" i="12" a="1"/>
  <c r="D45" i="12" s="1"/>
  <c r="P44" i="12" a="1"/>
  <c r="P44" i="12" s="1"/>
  <c r="J44" i="12" a="1"/>
  <c r="J44" i="12" s="1"/>
  <c r="H44" i="12" a="1"/>
  <c r="H44" i="12" s="1"/>
  <c r="G44" i="12" a="1"/>
  <c r="G44" i="12" s="1"/>
  <c r="E44" i="12" a="1"/>
  <c r="E44" i="12" s="1"/>
  <c r="D44" i="12" a="1"/>
  <c r="D44" i="12" s="1"/>
  <c r="P43" i="12" a="1"/>
  <c r="P43" i="12" s="1"/>
  <c r="J43" i="12" a="1"/>
  <c r="J43" i="12" s="1"/>
  <c r="H43" i="12" a="1"/>
  <c r="H43" i="12" s="1"/>
  <c r="G43" i="12" a="1"/>
  <c r="G43" i="12" s="1"/>
  <c r="E43" i="12" a="1"/>
  <c r="E43" i="12" s="1"/>
  <c r="D43" i="12" a="1"/>
  <c r="D43" i="12" s="1"/>
  <c r="D40" i="12" a="1"/>
  <c r="D40" i="12" s="1"/>
  <c r="D39" i="12" a="1"/>
  <c r="D39" i="12" s="1"/>
  <c r="A39" i="12"/>
  <c r="A38" i="12"/>
  <c r="A37" i="12"/>
  <c r="A36" i="12"/>
  <c r="T33" i="12" a="1"/>
  <c r="T33" i="12" s="1"/>
  <c r="N33" i="12" a="1"/>
  <c r="N33" i="12" s="1"/>
  <c r="E33" i="12" a="1"/>
  <c r="E33" i="12" s="1"/>
  <c r="D33" i="12" a="1"/>
  <c r="D33" i="12" s="1"/>
  <c r="A33" i="12"/>
  <c r="T32" i="12" a="1"/>
  <c r="T32" i="12" s="1"/>
  <c r="N32" i="12" a="1"/>
  <c r="N32" i="12" s="1"/>
  <c r="E32" i="12" a="1"/>
  <c r="E32" i="12" s="1"/>
  <c r="D32" i="12" a="1"/>
  <c r="D32" i="12" s="1"/>
  <c r="T31" i="12" a="1"/>
  <c r="T31" i="12" s="1"/>
  <c r="N31" i="12" a="1"/>
  <c r="N31" i="12" s="1"/>
  <c r="E31" i="12" a="1"/>
  <c r="E31" i="12" s="1"/>
  <c r="D31" i="12" a="1"/>
  <c r="D31" i="12" s="1"/>
  <c r="T30" i="12" a="1"/>
  <c r="T30" i="12" s="1"/>
  <c r="N30" i="12" a="1"/>
  <c r="N30" i="12" s="1"/>
  <c r="E30" i="12" a="1"/>
  <c r="E30" i="12" s="1"/>
  <c r="D30" i="12" a="1"/>
  <c r="D30" i="12" s="1"/>
  <c r="A30" i="12"/>
  <c r="T29" i="12" a="1"/>
  <c r="T29" i="12" s="1"/>
  <c r="N29" i="12" a="1"/>
  <c r="N29" i="12" s="1"/>
  <c r="E29" i="12" a="1"/>
  <c r="E29" i="12" s="1"/>
  <c r="D29" i="12" a="1"/>
  <c r="D29" i="12" s="1"/>
  <c r="A29" i="12"/>
  <c r="T28" i="12" a="1"/>
  <c r="T28" i="12" s="1"/>
  <c r="N28" i="12" a="1"/>
  <c r="N28" i="12" s="1"/>
  <c r="E28" i="12" a="1"/>
  <c r="E28" i="12" s="1"/>
  <c r="D28" i="12" a="1"/>
  <c r="D28" i="12" s="1"/>
  <c r="A28" i="12"/>
  <c r="T27" i="12" a="1"/>
  <c r="T27" i="12" s="1"/>
  <c r="N27" i="12" a="1"/>
  <c r="N27" i="12" s="1"/>
  <c r="E27" i="12" a="1"/>
  <c r="E27" i="12" s="1"/>
  <c r="D27" i="12" a="1"/>
  <c r="D27" i="12" s="1"/>
  <c r="A27" i="12"/>
  <c r="T26" i="12" a="1"/>
  <c r="T26" i="12" s="1"/>
  <c r="N26" i="12" a="1"/>
  <c r="N26" i="12" s="1"/>
  <c r="E26" i="12" a="1"/>
  <c r="E26" i="12" s="1"/>
  <c r="D26" i="12" a="1"/>
  <c r="D26" i="12" s="1"/>
  <c r="A26" i="12"/>
  <c r="T25" i="12" a="1"/>
  <c r="T25" i="12" s="1"/>
  <c r="N25" i="12" a="1"/>
  <c r="N25" i="12" s="1"/>
  <c r="E25" i="12" a="1"/>
  <c r="E25" i="12" s="1"/>
  <c r="D25" i="12" a="1"/>
  <c r="D25" i="12" s="1"/>
  <c r="A25" i="12"/>
  <c r="T24" i="12" a="1"/>
  <c r="T24" i="12" s="1"/>
  <c r="N24" i="12" a="1"/>
  <c r="N24" i="12" s="1"/>
  <c r="E24" i="12" a="1"/>
  <c r="E24" i="12" s="1"/>
  <c r="D24" i="12" a="1"/>
  <c r="D24" i="12" s="1"/>
  <c r="A24" i="12"/>
  <c r="T23" i="12" a="1"/>
  <c r="T23" i="12" s="1"/>
  <c r="N23" i="12" a="1"/>
  <c r="N23" i="12" s="1"/>
  <c r="E23" i="12" a="1"/>
  <c r="E23" i="12" s="1"/>
  <c r="D23" i="12" a="1"/>
  <c r="D23" i="12" s="1"/>
  <c r="T22" i="12" a="1"/>
  <c r="T22" i="12" s="1"/>
  <c r="N22" i="12" a="1"/>
  <c r="N22" i="12" s="1"/>
  <c r="E22" i="12" a="1"/>
  <c r="E22" i="12" s="1"/>
  <c r="D22" i="12" a="1"/>
  <c r="D22" i="12" s="1"/>
  <c r="T21" i="12" a="1"/>
  <c r="T21" i="12" s="1"/>
  <c r="N21" i="12" a="1"/>
  <c r="N21" i="12" s="1"/>
  <c r="E21" i="12" a="1"/>
  <c r="E21" i="12" s="1"/>
  <c r="D21" i="12" a="1"/>
  <c r="D21" i="12" s="1"/>
  <c r="T20" i="12" a="1"/>
  <c r="T20" i="12" s="1"/>
  <c r="N20" i="12" a="1"/>
  <c r="N20" i="12" s="1"/>
  <c r="E20" i="12" a="1"/>
  <c r="E20" i="12" s="1"/>
  <c r="D20" i="12" a="1"/>
  <c r="D20" i="12" s="1"/>
  <c r="T19" i="12" a="1"/>
  <c r="T19" i="12" s="1"/>
  <c r="N19" i="12" a="1"/>
  <c r="N19" i="12" s="1"/>
  <c r="E19" i="12" a="1"/>
  <c r="E19" i="12" s="1"/>
  <c r="D19" i="12" a="1"/>
  <c r="D19" i="12" s="1"/>
  <c r="A19" i="12"/>
  <c r="T18" i="12" a="1"/>
  <c r="T18" i="12" s="1"/>
  <c r="N18" i="12" a="1"/>
  <c r="N18" i="12" s="1"/>
  <c r="E18" i="12" a="1"/>
  <c r="E18" i="12" s="1"/>
  <c r="D18" i="12" a="1"/>
  <c r="D18" i="12" s="1"/>
  <c r="A18" i="12"/>
  <c r="T17" i="12" a="1"/>
  <c r="T17" i="12" s="1"/>
  <c r="N17" i="12" a="1"/>
  <c r="N17" i="12" s="1"/>
  <c r="E17" i="12" a="1"/>
  <c r="E17" i="12" s="1"/>
  <c r="D17" i="12" a="1"/>
  <c r="D17" i="12" s="1"/>
  <c r="T16" i="12" a="1"/>
  <c r="T16" i="12" s="1"/>
  <c r="N16" i="12" a="1"/>
  <c r="N16" i="12" s="1"/>
  <c r="E16" i="12" a="1"/>
  <c r="E16" i="12" s="1"/>
  <c r="D16" i="12" a="1"/>
  <c r="D16" i="12" s="1"/>
  <c r="T15" i="12" a="1"/>
  <c r="T15" i="12" s="1"/>
  <c r="N15" i="12" a="1"/>
  <c r="N15" i="12" s="1"/>
  <c r="E15" i="12" a="1"/>
  <c r="E15" i="12" s="1"/>
  <c r="D15" i="12" a="1"/>
  <c r="D15" i="12" s="1"/>
  <c r="A15" i="12"/>
  <c r="T14" i="12" a="1"/>
  <c r="T14" i="12" s="1"/>
  <c r="N14" i="12" a="1"/>
  <c r="N14" i="12" s="1"/>
  <c r="E14" i="12" a="1"/>
  <c r="E14" i="12" s="1"/>
  <c r="D14" i="12" a="1"/>
  <c r="D14" i="12" s="1"/>
  <c r="A14" i="12"/>
  <c r="T13" i="12" a="1"/>
  <c r="T13" i="12" s="1"/>
  <c r="N13" i="12" a="1"/>
  <c r="N13" i="12" s="1"/>
  <c r="E13" i="12" a="1"/>
  <c r="E13" i="12" s="1"/>
  <c r="D13" i="12" a="1"/>
  <c r="D13" i="12" s="1"/>
  <c r="A13" i="12"/>
  <c r="T12" i="12" a="1"/>
  <c r="T12" i="12" s="1"/>
  <c r="N12" i="12" a="1"/>
  <c r="N12" i="12" s="1"/>
  <c r="E12" i="12" a="1"/>
  <c r="E12" i="12" s="1"/>
  <c r="D12" i="12" a="1"/>
  <c r="D12" i="12" s="1"/>
  <c r="A12" i="12"/>
  <c r="T11" i="12" a="1"/>
  <c r="T11" i="12" s="1"/>
  <c r="N11" i="12" a="1"/>
  <c r="N11" i="12" s="1"/>
  <c r="E11" i="12" a="1"/>
  <c r="E11" i="12" s="1"/>
  <c r="D11" i="12" a="1"/>
  <c r="D11" i="12" s="1"/>
  <c r="A11" i="12"/>
  <c r="T10" i="12" a="1"/>
  <c r="T10" i="12" s="1"/>
  <c r="N10" i="12" a="1"/>
  <c r="N10" i="12" s="1"/>
  <c r="E10" i="12" a="1"/>
  <c r="E10" i="12" s="1"/>
  <c r="D10" i="12" a="1"/>
  <c r="D10" i="12" s="1"/>
  <c r="A10" i="12"/>
  <c r="T9" i="12" a="1"/>
  <c r="T9" i="12" s="1"/>
  <c r="N9" i="12" a="1"/>
  <c r="N9" i="12" s="1"/>
  <c r="E9" i="12" a="1"/>
  <c r="E9" i="12" s="1"/>
  <c r="D9" i="12" a="1"/>
  <c r="D9" i="12" s="1"/>
  <c r="A9" i="12"/>
  <c r="A8" i="12"/>
  <c r="A7" i="12"/>
  <c r="D6" i="12" a="1"/>
  <c r="D6" i="12" s="1"/>
  <c r="D5" i="12" a="1"/>
  <c r="D5" i="12" s="1"/>
  <c r="A4" i="12"/>
  <c r="G29" i="13" l="1" a="1"/>
  <c r="G29" i="13" s="1"/>
  <c r="G32" i="13" a="1"/>
  <c r="G32" i="13" s="1"/>
  <c r="G31" i="13" a="1"/>
  <c r="G31" i="13" s="1"/>
  <c r="G30" i="13" a="1"/>
  <c r="G30" i="13" s="1"/>
  <c r="E160" i="12" a="1"/>
  <c r="E160" i="12" s="1"/>
  <c r="J160" i="12" s="1"/>
  <c r="L46" i="12"/>
  <c r="K65" i="12"/>
  <c r="L65" i="12"/>
  <c r="L51" i="12"/>
  <c r="L48" i="12"/>
  <c r="K46" i="12"/>
  <c r="L62" i="12"/>
  <c r="K62" i="12"/>
  <c r="L43" i="12"/>
  <c r="K43" i="12"/>
  <c r="L50" i="12"/>
  <c r="K50" i="12"/>
  <c r="K45" i="12"/>
  <c r="L45" i="12"/>
  <c r="L63" i="12"/>
  <c r="K63" i="12"/>
  <c r="K51" i="12"/>
  <c r="K67" i="12"/>
  <c r="L67" i="12"/>
  <c r="K130" i="12"/>
  <c r="J130" i="12"/>
  <c r="K119" i="12"/>
  <c r="J119" i="12"/>
  <c r="K133" i="12"/>
  <c r="J133" i="12"/>
  <c r="K144" i="12"/>
  <c r="J144" i="12"/>
  <c r="K162" i="12"/>
  <c r="J162" i="12"/>
  <c r="K175" i="12"/>
  <c r="J175" i="12"/>
  <c r="K177" i="12"/>
  <c r="J177" i="12"/>
  <c r="L66" i="12"/>
  <c r="J95" i="12"/>
  <c r="K95" i="12"/>
  <c r="K122" i="12"/>
  <c r="J122" i="12"/>
  <c r="K125" i="12"/>
  <c r="J125" i="12"/>
  <c r="K128" i="12"/>
  <c r="J128" i="12"/>
  <c r="K147" i="12"/>
  <c r="J147" i="12"/>
  <c r="K165" i="12"/>
  <c r="J165" i="12"/>
  <c r="L64" i="12"/>
  <c r="K64" i="12"/>
  <c r="K107" i="12"/>
  <c r="J107" i="12"/>
  <c r="K120" i="12"/>
  <c r="J120" i="12"/>
  <c r="K108" i="12"/>
  <c r="J108" i="12"/>
  <c r="K131" i="12"/>
  <c r="J131" i="12"/>
  <c r="J94" i="12"/>
  <c r="K94" i="12"/>
  <c r="K123" i="12"/>
  <c r="J123" i="12"/>
  <c r="K145" i="12"/>
  <c r="J145" i="12"/>
  <c r="K163" i="12"/>
  <c r="J163" i="12"/>
  <c r="J92" i="12"/>
  <c r="K92" i="12"/>
  <c r="K149" i="12"/>
  <c r="J149" i="12"/>
  <c r="K66" i="12"/>
  <c r="K126" i="12"/>
  <c r="J126" i="12"/>
  <c r="K176" i="12"/>
  <c r="J176" i="12"/>
  <c r="K188" i="12"/>
  <c r="G191" i="12" s="1"/>
  <c r="J188" i="12"/>
  <c r="G190" i="12" s="1"/>
  <c r="K47" i="12"/>
  <c r="L47" i="12"/>
  <c r="K129" i="12"/>
  <c r="J129" i="12"/>
  <c r="K143" i="12"/>
  <c r="J143" i="12"/>
  <c r="K150" i="12"/>
  <c r="J150" i="12"/>
  <c r="K161" i="12"/>
  <c r="J161" i="12"/>
  <c r="L68" i="12"/>
  <c r="K68" i="12"/>
  <c r="K118" i="12"/>
  <c r="J118" i="12"/>
  <c r="K132" i="12"/>
  <c r="J132" i="12"/>
  <c r="K121" i="12"/>
  <c r="J121" i="12"/>
  <c r="K148" i="12"/>
  <c r="J148" i="12"/>
  <c r="J93" i="12"/>
  <c r="K93" i="12"/>
  <c r="J96" i="12"/>
  <c r="K96" i="12"/>
  <c r="K124" i="12"/>
  <c r="J124" i="12"/>
  <c r="K127" i="12"/>
  <c r="J127" i="12"/>
  <c r="K146" i="12"/>
  <c r="J146" i="12"/>
  <c r="K164" i="12"/>
  <c r="J164" i="12"/>
  <c r="G110" i="12" l="1"/>
  <c r="K160" i="12"/>
  <c r="G206" i="12"/>
  <c r="G70" i="12"/>
  <c r="G71" i="12"/>
  <c r="G205" i="12"/>
  <c r="K48" i="12"/>
  <c r="G99" i="12"/>
  <c r="G98" i="12"/>
  <c r="K52" i="12"/>
  <c r="L52" i="12"/>
  <c r="G180" i="12"/>
  <c r="G111" i="12"/>
  <c r="L44" i="12"/>
  <c r="K44" i="12"/>
  <c r="G179" i="12"/>
  <c r="G152" i="12"/>
  <c r="G167" i="12"/>
  <c r="K203" i="12"/>
  <c r="J203" i="12"/>
  <c r="K201" i="12"/>
  <c r="J201" i="12"/>
  <c r="G153" i="12"/>
  <c r="G168" i="12"/>
  <c r="K199" i="12"/>
  <c r="J199" i="12"/>
  <c r="K202" i="12"/>
  <c r="J202" i="12"/>
  <c r="K200" i="12"/>
  <c r="J200" i="12"/>
  <c r="L49" i="12"/>
  <c r="K49" i="12"/>
  <c r="K198" i="12"/>
  <c r="J198" i="12"/>
  <c r="G136" i="12" l="1"/>
  <c r="G54" i="12"/>
  <c r="G135" i="12"/>
  <c r="G55" i="12"/>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4" i="7" l="1"/>
  <c r="I44" i="7" s="1"/>
  <c r="G44" i="7"/>
  <c r="H43" i="7"/>
  <c r="I43" i="7" s="1"/>
  <c r="G43" i="7"/>
  <c r="A44" i="7"/>
  <c r="L34" i="7"/>
  <c r="F34" i="7"/>
  <c r="G34" i="7" s="1"/>
  <c r="L33" i="7"/>
  <c r="F33" i="7"/>
  <c r="G33" i="7" s="1"/>
  <c r="F23" i="7"/>
  <c r="G23"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G25" i="12" s="1"/>
  <c r="I35" i="6" a="1"/>
  <c r="I35" i="6" s="1"/>
  <c r="H35" i="6" a="1"/>
  <c r="H35" i="6" s="1"/>
  <c r="G35" i="6" a="1"/>
  <c r="G35" i="6" s="1"/>
  <c r="F35" i="6" a="1"/>
  <c r="F35" i="6" s="1"/>
  <c r="E35" i="6" a="1"/>
  <c r="E35" i="6" s="1"/>
  <c r="D35" i="6" a="1"/>
  <c r="D35" i="6" s="1"/>
  <c r="G17" i="12" s="1"/>
  <c r="I34" i="6" a="1"/>
  <c r="I34" i="6" s="1"/>
  <c r="H34" i="6" a="1"/>
  <c r="H34" i="6" s="1"/>
  <c r="G34" i="6" a="1"/>
  <c r="G34" i="6" s="1"/>
  <c r="F34" i="6" a="1"/>
  <c r="F34" i="6" s="1"/>
  <c r="E34" i="6" a="1"/>
  <c r="E34" i="6" s="1"/>
  <c r="D34" i="6" a="1"/>
  <c r="D34" i="6" s="1"/>
  <c r="G19" i="12" s="1"/>
  <c r="I33" i="6" a="1"/>
  <c r="I33" i="6" s="1"/>
  <c r="H33" i="6" a="1"/>
  <c r="H33" i="6" s="1"/>
  <c r="G33" i="6" a="1"/>
  <c r="G33" i="6" s="1"/>
  <c r="F33" i="6" a="1"/>
  <c r="F33" i="6" s="1"/>
  <c r="E33" i="6" a="1"/>
  <c r="E33" i="6" s="1"/>
  <c r="D33" i="6" a="1"/>
  <c r="D33" i="6" s="1"/>
  <c r="G33" i="12" s="1"/>
  <c r="I32" i="6" a="1"/>
  <c r="I32" i="6" s="1"/>
  <c r="H32" i="6" a="1"/>
  <c r="H32" i="6" s="1"/>
  <c r="G32" i="6" a="1"/>
  <c r="G32" i="6" s="1"/>
  <c r="F32" i="6" a="1"/>
  <c r="F32" i="6" s="1"/>
  <c r="E32" i="6" a="1"/>
  <c r="E32" i="6" s="1"/>
  <c r="D32" i="6" a="1"/>
  <c r="D32" i="6" s="1"/>
  <c r="G26" i="12" s="1"/>
  <c r="I31" i="6" a="1"/>
  <c r="I31" i="6" s="1"/>
  <c r="H31" i="6" a="1"/>
  <c r="H31" i="6" s="1"/>
  <c r="G31" i="6" a="1"/>
  <c r="G31" i="6" s="1"/>
  <c r="F31" i="6" a="1"/>
  <c r="F31" i="6" s="1"/>
  <c r="E31" i="6" a="1"/>
  <c r="E31" i="6" s="1"/>
  <c r="D31" i="6" a="1"/>
  <c r="D31" i="6" s="1"/>
  <c r="G24" i="12" s="1"/>
  <c r="I30" i="6" a="1"/>
  <c r="I30" i="6" s="1"/>
  <c r="H30" i="6" a="1"/>
  <c r="H30" i="6" s="1"/>
  <c r="G30" i="6" a="1"/>
  <c r="G30" i="6" s="1"/>
  <c r="F30" i="6" a="1"/>
  <c r="F30" i="6" s="1"/>
  <c r="E30" i="6" a="1"/>
  <c r="E30" i="6" s="1"/>
  <c r="D30" i="6" a="1"/>
  <c r="D30" i="6" s="1"/>
  <c r="G23" i="12" s="1"/>
  <c r="I29" i="6" a="1"/>
  <c r="I29" i="6" s="1"/>
  <c r="H29" i="6" a="1"/>
  <c r="H29" i="6" s="1"/>
  <c r="G29" i="6" a="1"/>
  <c r="G29" i="6" s="1"/>
  <c r="F29" i="6" a="1"/>
  <c r="F29" i="6" s="1"/>
  <c r="E29" i="6" a="1"/>
  <c r="E29" i="6" s="1"/>
  <c r="D29" i="6" a="1"/>
  <c r="D29" i="6" s="1"/>
  <c r="G21" i="12" s="1"/>
  <c r="R28" i="6" a="1"/>
  <c r="R28" i="6" s="1"/>
  <c r="Q28" i="6" a="1"/>
  <c r="Q28" i="6" s="1"/>
  <c r="L28" i="6" a="1"/>
  <c r="L28" i="6" s="1"/>
  <c r="K28" i="6" a="1"/>
  <c r="K28" i="6" s="1"/>
  <c r="I28" i="6" a="1"/>
  <c r="I28" i="6" s="1"/>
  <c r="H28" i="6" a="1"/>
  <c r="H28" i="6" s="1"/>
  <c r="G28" i="6" a="1"/>
  <c r="G28" i="6" s="1"/>
  <c r="F28" i="6" a="1"/>
  <c r="F28" i="6" s="1"/>
  <c r="E28" i="6" a="1"/>
  <c r="E28" i="6" s="1"/>
  <c r="D28" i="6" a="1"/>
  <c r="D28" i="6" s="1"/>
  <c r="G22" i="12" s="1"/>
  <c r="R27" i="6" a="1"/>
  <c r="R27" i="6" s="1"/>
  <c r="Q27" i="6" a="1"/>
  <c r="Q27" i="6" s="1"/>
  <c r="L27" i="6" a="1"/>
  <c r="L27" i="6" s="1"/>
  <c r="K27" i="6" a="1"/>
  <c r="K27" i="6" s="1"/>
  <c r="I27" i="6" a="1"/>
  <c r="I27" i="6" s="1"/>
  <c r="H27" i="6" a="1"/>
  <c r="H27" i="6" s="1"/>
  <c r="G27" i="6" a="1"/>
  <c r="G27" i="6" s="1"/>
  <c r="F27" i="6" a="1"/>
  <c r="F27" i="6" s="1"/>
  <c r="E27" i="6" a="1"/>
  <c r="E27" i="6" s="1"/>
  <c r="D27" i="6" a="1"/>
  <c r="D27" i="6" s="1"/>
  <c r="G20" i="12" s="1"/>
  <c r="R26" i="6" a="1"/>
  <c r="R26" i="6" s="1"/>
  <c r="Q26" i="6" a="1"/>
  <c r="Q26" i="6" s="1"/>
  <c r="L26" i="6" a="1"/>
  <c r="L26" i="6" s="1"/>
  <c r="K26" i="6" a="1"/>
  <c r="K26" i="6" s="1"/>
  <c r="I26" i="6" a="1"/>
  <c r="I26" i="6" s="1"/>
  <c r="H26" i="6" a="1"/>
  <c r="H26" i="6" s="1"/>
  <c r="G26" i="6" a="1"/>
  <c r="G26" i="6" s="1"/>
  <c r="F26" i="6" a="1"/>
  <c r="F26" i="6" s="1"/>
  <c r="E26" i="6" a="1"/>
  <c r="E26" i="6" s="1"/>
  <c r="D26" i="6" a="1"/>
  <c r="D26" i="6" s="1"/>
  <c r="G14" i="12" s="1"/>
  <c r="R25" i="6" a="1"/>
  <c r="R25" i="6" s="1"/>
  <c r="Q25" i="6" a="1"/>
  <c r="Q25" i="6" s="1"/>
  <c r="L25" i="6" a="1"/>
  <c r="L25" i="6" s="1"/>
  <c r="K25" i="6" a="1"/>
  <c r="K25" i="6" s="1"/>
  <c r="I25" i="6" a="1"/>
  <c r="I25" i="6" s="1"/>
  <c r="H25" i="6" a="1"/>
  <c r="H25" i="6" s="1"/>
  <c r="G25" i="6" a="1"/>
  <c r="G25" i="6" s="1"/>
  <c r="F25" i="6" a="1"/>
  <c r="F25" i="6" s="1"/>
  <c r="E25" i="6" a="1"/>
  <c r="E25" i="6" s="1"/>
  <c r="D25" i="6" a="1"/>
  <c r="D25" i="6" s="1"/>
  <c r="G13" i="12" s="1"/>
  <c r="R24" i="6" a="1"/>
  <c r="R24" i="6" s="1"/>
  <c r="Q24" i="6" a="1"/>
  <c r="Q24" i="6" s="1"/>
  <c r="L24" i="6" a="1"/>
  <c r="L24" i="6" s="1"/>
  <c r="K24" i="6" a="1"/>
  <c r="K24" i="6" s="1"/>
  <c r="I24" i="6" a="1"/>
  <c r="I24" i="6" s="1"/>
  <c r="H24" i="6" a="1"/>
  <c r="H24" i="6" s="1"/>
  <c r="G24" i="6" a="1"/>
  <c r="G24" i="6" s="1"/>
  <c r="F24" i="6" a="1"/>
  <c r="F24" i="6" s="1"/>
  <c r="E24" i="6" a="1"/>
  <c r="E24" i="6" s="1"/>
  <c r="D24" i="6" a="1"/>
  <c r="D24" i="6" s="1"/>
  <c r="G28" i="12" s="1"/>
  <c r="R23" i="6" a="1"/>
  <c r="R23" i="6" s="1"/>
  <c r="Q23" i="6" a="1"/>
  <c r="Q23" i="6" s="1"/>
  <c r="L23" i="6" a="1"/>
  <c r="L23" i="6" s="1"/>
  <c r="K23" i="6" a="1"/>
  <c r="K23" i="6" s="1"/>
  <c r="I23" i="6" a="1"/>
  <c r="I23" i="6" s="1"/>
  <c r="H23" i="6" a="1"/>
  <c r="H23" i="6" s="1"/>
  <c r="G23" i="6" a="1"/>
  <c r="G23" i="6" s="1"/>
  <c r="F23" i="6" a="1"/>
  <c r="F23" i="6" s="1"/>
  <c r="E23" i="6" a="1"/>
  <c r="E23" i="6" s="1"/>
  <c r="D23" i="6" a="1"/>
  <c r="D23" i="6" s="1"/>
  <c r="G27" i="12"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G16" i="12"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G32" i="12" l="1"/>
  <c r="G31" i="12"/>
  <c r="G29" i="12"/>
  <c r="G30" i="12"/>
  <c r="G12" i="12"/>
  <c r="G11" i="12"/>
  <c r="G10" i="12"/>
  <c r="G9" i="12"/>
  <c r="G18" i="12"/>
  <c r="P24"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J44" i="7"/>
  <c r="D31" i="7"/>
  <c r="J43" i="7"/>
  <c r="E80" i="12" a="1"/>
  <c r="E80" i="12" s="1"/>
  <c r="E81" i="12" a="1"/>
  <c r="E81" i="12" s="1"/>
  <c r="E82" i="12" a="1"/>
  <c r="E82" i="12" s="1"/>
  <c r="E78" i="12" a="1"/>
  <c r="E78" i="12" s="1"/>
  <c r="E79" i="12" a="1"/>
  <c r="E79" i="12" s="1"/>
  <c r="D25" i="1" a="1"/>
  <c r="D25" i="1" s="1"/>
  <c r="P23" i="7"/>
  <c r="J29" i="12" l="1" a="1"/>
  <c r="J29" i="12" s="1"/>
  <c r="J32" i="12" a="1"/>
  <c r="J32" i="12" s="1"/>
  <c r="J31" i="12" a="1"/>
  <c r="J31" i="12" s="1"/>
  <c r="J30" i="12" a="1"/>
  <c r="J30" i="12" s="1"/>
  <c r="I18" i="7"/>
  <c r="J12" i="12" a="1"/>
  <c r="J12" i="12" s="1"/>
  <c r="J11" i="12" a="1"/>
  <c r="J11" i="12" s="1"/>
  <c r="J10" i="12" a="1"/>
  <c r="J10" i="12" s="1"/>
  <c r="J9" i="12" a="1"/>
  <c r="J9" i="12" s="1"/>
  <c r="O9" i="12" s="1"/>
  <c r="J33" i="12" a="1"/>
  <c r="J33" i="12" s="1"/>
  <c r="J17" i="12" a="1"/>
  <c r="J17" i="12" s="1"/>
  <c r="J22" i="12" a="1"/>
  <c r="J22" i="12" s="1"/>
  <c r="J28" i="12" a="1"/>
  <c r="J28" i="12" s="1"/>
  <c r="J16" i="12" a="1"/>
  <c r="J16" i="12" s="1"/>
  <c r="J27" i="12" a="1"/>
  <c r="J27" i="12" s="1"/>
  <c r="J26" i="12" a="1"/>
  <c r="J26" i="12" s="1"/>
  <c r="J15" i="12" a="1"/>
  <c r="J15" i="12" s="1"/>
  <c r="J25" i="12" a="1"/>
  <c r="J25" i="12" s="1"/>
  <c r="J14" i="12" a="1"/>
  <c r="J14" i="12" s="1"/>
  <c r="J21" i="12" a="1"/>
  <c r="J21" i="12" s="1"/>
  <c r="J24" i="12" a="1"/>
  <c r="J24" i="12" s="1"/>
  <c r="J13" i="12" a="1"/>
  <c r="J13" i="12" s="1"/>
  <c r="J23" i="12" a="1"/>
  <c r="J23" i="12" s="1"/>
  <c r="J20" i="12" a="1"/>
  <c r="J20" i="12" s="1"/>
  <c r="J18" i="12" a="1"/>
  <c r="J18" i="12" s="1"/>
  <c r="J19" i="12" a="1"/>
  <c r="J19" i="12" s="1"/>
  <c r="E39" i="1" a="1"/>
  <c r="E39" i="1" s="1"/>
  <c r="V18" i="7"/>
  <c r="J79" i="12"/>
  <c r="K79" i="12"/>
  <c r="K78" i="12"/>
  <c r="J78" i="12"/>
  <c r="J82" i="12"/>
  <c r="K82" i="12"/>
  <c r="K81" i="12"/>
  <c r="J81" i="12"/>
  <c r="J80" i="12"/>
  <c r="K80" i="12"/>
  <c r="E25" i="1" a="1"/>
  <c r="E25" i="1" s="1"/>
  <c r="E28" i="1" a="1"/>
  <c r="E28" i="1" s="1"/>
  <c r="E34" i="1" a="1"/>
  <c r="E34" i="1" s="1"/>
  <c r="E29" i="1" a="1"/>
  <c r="E29" i="1" s="1"/>
  <c r="E38" i="1" a="1"/>
  <c r="E38" i="1" s="1"/>
  <c r="E40" i="1" a="1"/>
  <c r="E40" i="1" s="1"/>
  <c r="E41" i="1" a="1"/>
  <c r="E41" i="1" s="1"/>
  <c r="E36" i="1" a="1"/>
  <c r="E36" i="1" s="1"/>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O29" i="12" l="1"/>
  <c r="P29" i="12"/>
  <c r="O30" i="12"/>
  <c r="P30" i="12"/>
  <c r="O31" i="12"/>
  <c r="P31" i="12"/>
  <c r="P32" i="12"/>
  <c r="O32" i="12"/>
  <c r="P9" i="12"/>
  <c r="P10" i="12"/>
  <c r="O10" i="12"/>
  <c r="O11" i="12"/>
  <c r="P11" i="12"/>
  <c r="O12" i="12"/>
  <c r="P12" i="12"/>
  <c r="P23" i="12"/>
  <c r="O23" i="12"/>
  <c r="O26" i="12"/>
  <c r="P26" i="12"/>
  <c r="P13" i="12"/>
  <c r="O13" i="12"/>
  <c r="P24" i="12"/>
  <c r="O24" i="12"/>
  <c r="P25" i="12"/>
  <c r="O25" i="12"/>
  <c r="O21" i="12"/>
  <c r="P21" i="12"/>
  <c r="P27" i="12"/>
  <c r="O27" i="12"/>
  <c r="P16" i="12"/>
  <c r="O16" i="12"/>
  <c r="P15" i="12"/>
  <c r="O15" i="12"/>
  <c r="P19" i="12"/>
  <c r="O19" i="12"/>
  <c r="P22" i="12"/>
  <c r="O22" i="12"/>
  <c r="P17" i="12"/>
  <c r="O17" i="12"/>
  <c r="O14" i="12"/>
  <c r="P14" i="12"/>
  <c r="P28" i="12"/>
  <c r="O28" i="12"/>
  <c r="P18" i="12"/>
  <c r="O18" i="12"/>
  <c r="P20" i="12"/>
  <c r="O20" i="12"/>
  <c r="P33" i="12"/>
  <c r="O33" i="12"/>
  <c r="E26" i="1" a="1"/>
  <c r="E26" i="1" s="1"/>
  <c r="E33" i="1" a="1"/>
  <c r="E33" i="1" s="1"/>
  <c r="E30" i="1" a="1"/>
  <c r="E30" i="1" s="1"/>
  <c r="E31" i="1" a="1"/>
  <c r="E31" i="1" s="1"/>
  <c r="E32" i="1" a="1"/>
  <c r="E32" i="1" s="1"/>
  <c r="E35" i="1" a="1"/>
  <c r="E35" i="1" s="1"/>
  <c r="E37" i="1" a="1"/>
  <c r="E37" i="1" s="1"/>
  <c r="E27" i="1" a="1"/>
  <c r="E27" i="1" s="1"/>
  <c r="E42" i="1" a="1"/>
  <c r="E42" i="1" s="1"/>
  <c r="G84" i="12"/>
  <c r="G85" i="12"/>
  <c r="F20" i="1"/>
  <c r="F19" i="1"/>
  <c r="F18" i="1"/>
  <c r="F17" i="1"/>
  <c r="F16" i="1"/>
  <c r="F15" i="1"/>
  <c r="D20" i="1"/>
  <c r="D19" i="1"/>
  <c r="D18" i="1"/>
  <c r="D17" i="1"/>
  <c r="D16" i="1"/>
  <c r="D15" i="1"/>
  <c r="D14" i="1"/>
  <c r="D13" i="1"/>
  <c r="D12" i="1"/>
  <c r="D11" i="1"/>
  <c r="D10" i="1"/>
  <c r="D9" i="1"/>
  <c r="D8" i="1"/>
  <c r="D7" i="1"/>
  <c r="D6" i="1"/>
  <c r="G35" i="12" l="1"/>
  <c r="G36" i="12"/>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E19" i="1" l="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<sst xmlns="http://schemas.openxmlformats.org/spreadsheetml/2006/main" count="781" uniqueCount="438">
  <si>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</si>
  <si>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</si>
  <si>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</si>
  <si>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</si>
  <si>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</si>
  <si>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</si>
  <si>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</si>
  <si>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</si>
  <si>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</si>
  <si>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</si>
  <si>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</si>
  <si>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</si>
  <si>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</si>
  <si>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</si>
  <si>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</si>
  <si>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</si>
  <si>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</si>
  <si>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</si>
  <si>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</si>
  <si>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</si>
  <si>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</si>
  <si>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</si>
  <si>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</si>
  <si>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</si>
  <si>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</si>
  <si>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</si>
  <si>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</si>
  <si>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</si>
  <si>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</si>
  <si>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</si>
  <si>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</si>
  <si>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</si>
  <si>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</si>
  <si>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</si>
  <si>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</si>
  <si>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</si>
  <si>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</si>
  <si>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</si>
  <si>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</si>
  <si>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</si>
  <si>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</si>
  <si>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</si>
  <si>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</si>
  <si>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</si>
  <si>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</si>
  <si>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</si>
  <si>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</si>
  <si>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</si>
  <si>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</si>
  <si>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</si>
  <si>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</si>
  <si>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</si>
  <si>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</si>
  <si>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</si>
  <si>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</si>
  <si>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</si>
  <si>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</si>
  <si>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</si>
  <si>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</si>
  <si>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</si>
  <si>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</si>
  <si>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</si>
  <si>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</si>
  <si>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</si>
  <si>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</si>
  <si>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</si>
  <si>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</si>
  <si>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</si>
  <si>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</si>
  <si>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</si>
  <si>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</si>
  <si>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</si>
  <si>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</si>
  <si>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</si>
  <si>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</si>
  <si>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</si>
  <si>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</si>
  <si>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</si>
  <si>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</si>
  <si>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</si>
  <si>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</si>
  <si>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</si>
  <si>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</si>
  <si>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</si>
  <si>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</si>
  <si>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</si>
  <si>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</si>
  <si>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</si>
  <si>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</si>
  <si>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</si>
  <si>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</si>
  <si>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</si>
  <si>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</si>
  <si>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</si>
  <si>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</si>
  <si>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</si>
  <si>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</si>
  <si>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</si>
  <si>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</si>
  <si>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</si>
  <si>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</si>
  <si>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</si>
  <si>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</si>
  <si>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</si>
  <si>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</si>
  <si>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</si>
  <si>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</si>
  <si>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</si>
  <si>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</si>
  <si>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</si>
  <si>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</si>
  <si>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</si>
  <si>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</si>
  <si>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</si>
  <si>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</si>
  <si>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</si>
  <si>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</si>
  <si>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</si>
  <si>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</si>
  <si>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</si>
  <si>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</si>
  <si>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</si>
  <si>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</si>
  <si>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</si>
  <si>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</si>
  <si>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</si>
  <si>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</si>
  <si>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</si>
  <si>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</si>
  <si>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</si>
  <si>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</si>
  <si>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</si>
  <si>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</si>
  <si>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</si>
  <si>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</si>
  <si>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</si>
  <si>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</si>
  <si>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</si>
  <si>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</si>
  <si>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</si>
  <si>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</si>
  <si>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</si>
  <si>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</si>
  <si>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</si>
  <si>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</si>
  <si>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</si>
  <si>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</si>
  <si>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</si>
  <si>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</si>
  <si>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</si>
  <si>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</si>
  <si>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</si>
  <si>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</si>
  <si>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</si>
  <si>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</si>
  <si>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</si>
  <si>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</si>
  <si>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</si>
  <si>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</si>
  <si>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</si>
  <si>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</si>
  <si>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</si>
  <si>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</si>
  <si>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</si>
  <si>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</si>
  <si>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</si>
  <si>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</si>
  <si>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</si>
  <si>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</si>
  <si>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</si>
  <si>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</si>
  <si>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</si>
  <si>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</si>
  <si>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</si>
  <si>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</si>
  <si>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</si>
  <si>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</si>
  <si>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</si>
  <si>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</si>
  <si>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</si>
  <si>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</si>
  <si>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</si>
  <si>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</si>
  <si>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</si>
  <si>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</si>
  <si>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</si>
  <si>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</si>
  <si>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</si>
  <si>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</si>
  <si>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</si>
  <si>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</si>
  <si>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</si>
  <si>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</si>
  <si>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</si>
  <si>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</si>
  <si>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</si>
  <si>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</si>
  <si>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</si>
  <si>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</si>
  <si>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</si>
  <si>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</si>
  <si>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</si>
  <si>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</si>
  <si>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</si>
  <si>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</si>
  <si>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</si>
  <si>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</si>
  <si>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</si>
  <si>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</si>
  <si>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</si>
  <si>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</si>
  <si>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</si>
  <si>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</si>
  <si>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</si>
  <si>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</si>
  <si>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</si>
  <si>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</si>
  <si>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</si>
  <si>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</si>
  <si>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Soil amendments</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</si>
  <si>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</si>
  <si>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</si>
  <si>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</si>
  <si>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</si>
  <si>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</si>
  <si>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</si>
  <si>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</si>
  <si>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</si>
  <si>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</si>
  <si>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</si>
  <si>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</si>
  <si>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</si>
  <si>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</si>
  <si>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</si>
  <si>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</si>
  <si>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</si>
  <si>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</si>
  <si>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</si>
  <si>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</si>
  <si>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</si>
  <si>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</si>
  <si>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</si>
  <si>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</si>
  <si>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</si>
  <si>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</si>
  <si>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</si>
  <si>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</si>
  <si>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</si>
  <si>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</si>
  <si>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</si>
  <si>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</si>
  <si>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</si>
  <si>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</si>
  <si>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</si>
  <si>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</si>
  <si>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</si>
  <si>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</si>
  <si>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</si>
  <si>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</si>
  <si>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</si>
  <si>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</si>
  <si>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</si>
  <si>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</si>
  <si>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</si>
  <si>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</si>
  <si>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</si>
  <si>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</si>
  <si>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</si>
  <si>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</si>
  <si>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</si>
  <si>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</si>
  <si>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</si>
  <si>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</si>
  <si>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</si>
  <si>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</si>
  <si>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</si>
  <si>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</si>
  <si>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</si>
  <si>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</si>
  <si>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</si>
  <si>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</si>
  <si>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</si>
  <si>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</si>
  <si>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</si>
  <si>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</si>
  <si>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</si>
  <si>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</si>
  <si>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</si>
  <si>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</si>
  <si>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</si>
  <si>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</si>
  <si>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</si>
  <si>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</si>
  <si>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</si>
  <si>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</si>
  <si>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</si>
  <si>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</si>
  <si>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</si>
  <si>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</si>
  <si>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</si>
  <si>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</si>
  <si>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Calculations - Purchased goods scope 3</t>
  </si>
  <si>
    <t>Home</t>
  </si>
  <si>
    <t>Chemical compound</t>
  </si>
  <si>
    <t>Quantity</t>
  </si>
  <si>
    <t>Quantity Unit</t>
  </si>
  <si>
    <t>AusLCI Emissions intensity</t>
  </si>
  <si>
    <t>Custom emissions intensity</t>
  </si>
  <si>
    <t>Emissions intensity unit</t>
  </si>
  <si>
    <t>Scope 3 emissions exc. cusotm (t CO2-e)</t>
  </si>
  <si>
    <t>Scope 3 emissions inc. custom (t CO2-e)2</t>
  </si>
  <si>
    <t>Custom emissions intensity source</t>
  </si>
  <si>
    <t>Custom emissions intensity source type (Select)</t>
  </si>
  <si>
    <t>Custom emissions intensity credential / certification link</t>
  </si>
  <si>
    <t>Scope 3 data score</t>
  </si>
  <si>
    <t>Emissions intensity calculated from approved method</t>
  </si>
  <si>
    <t>Waste</t>
  </si>
  <si>
    <t>Freight and transport</t>
  </si>
  <si>
    <t>N2O MMS</t>
  </si>
  <si>
    <t>Enteric methane</t>
  </si>
  <si>
    <t>Total scope 3 - Inorganic fertiliser chemical compounds exc. custom</t>
  </si>
  <si>
    <t>t CO2-e</t>
  </si>
  <si>
    <t>Total scope 3 - Inorganic fertiliser chemical compounds inc. custom</t>
  </si>
  <si>
    <t>Sources &amp; acknowledgements</t>
  </si>
  <si>
    <t>Scope 3 emissions exc. custom (t CO2-e)</t>
  </si>
  <si>
    <t>Total scope 3 - Organic fertiliser exc. custom</t>
  </si>
  <si>
    <t>Total scope 3 - Organic fertiliser inc. custom</t>
  </si>
  <si>
    <t>Livestock class</t>
  </si>
  <si>
    <t>Liveweight</t>
  </si>
  <si>
    <t>Liveweight Unit</t>
  </si>
  <si>
    <t>Total scope 3 - Purchased Livestock exc. custom</t>
  </si>
  <si>
    <t>Total scope 3 - Purchased Livestock inc. custom</t>
  </si>
  <si>
    <t>Soil amendment type</t>
  </si>
  <si>
    <t>Total scope 3 - Soil Amendments exc. custom</t>
  </si>
  <si>
    <t>Total scope 3 - Soil Amendments inc. custom</t>
  </si>
  <si>
    <t>Agrochemical type</t>
  </si>
  <si>
    <t>Total scope 3 - Agrochemicals exc. custom</t>
  </si>
  <si>
    <t>Total scope 3 - Agrochemicals inc. custom</t>
  </si>
  <si>
    <t>Lick block type</t>
  </si>
  <si>
    <t>Total scope 3 - Lick Blocks exc. custom</t>
  </si>
  <si>
    <t>Total scope 3 - Lick Blocks inc. custom</t>
  </si>
  <si>
    <t>Feed ingredient</t>
  </si>
  <si>
    <t>Total scope 3 - Animal Feed exc. custom</t>
  </si>
  <si>
    <t>Total scope 3 - Animal Feed inc. custom</t>
  </si>
  <si>
    <t>Feed / Bait ingredient</t>
  </si>
  <si>
    <t>Total scope 3 - Aquaculture feed and Bait exc. custom</t>
  </si>
  <si>
    <t>Total scope 3 - Aquaculture feed and Bait inc. custom</t>
  </si>
  <si>
    <t>Packaging component</t>
  </si>
  <si>
    <t>Verified credential matching ISO14067</t>
  </si>
  <si>
    <t>Total scope 3 - Packaging exc. custom</t>
  </si>
  <si>
    <t>Total scope 3 - Packaging inc. custom</t>
  </si>
  <si>
    <t>Chemical type</t>
  </si>
  <si>
    <t>Total scope 3 - Cleaning chemicals exc. custom</t>
  </si>
  <si>
    <t>Total scope 3 - Cleaning chemicals inc. custom</t>
  </si>
  <si>
    <t>Type</t>
  </si>
  <si>
    <t>Total scope 3 - Seeds and seedlings exc. custom</t>
  </si>
  <si>
    <t>Total scope 3 - Seeds and seedlings inc. custom</t>
  </si>
  <si>
    <t>Total scope 3 - Other agricultural inputs exc. custom</t>
  </si>
  <si>
    <t>Total scope 3 - Other agricultural inputs inc. custom</t>
  </si>
  <si>
    <t>Input - Other farm inputs</t>
  </si>
  <si>
    <t>Tip: You can add more rows to the table by right-clicking on the table and selecting "Insert &gt; Table rows above/below".</t>
  </si>
  <si>
    <t>Packaging name</t>
  </si>
  <si>
    <t>Packaging component (select)</t>
  </si>
  <si>
    <t>Quantity purchased</t>
  </si>
  <si>
    <t>Quantity unit</t>
  </si>
  <si>
    <t>Reisling bottle</t>
  </si>
  <si>
    <t>Plastic packaging</t>
  </si>
  <si>
    <t>Cardboard</t>
  </si>
  <si>
    <t>Cleaning chemicals</t>
  </si>
  <si>
    <t>Chemical name</t>
  </si>
  <si>
    <t>Quantity purchased (L)</t>
  </si>
  <si>
    <t>Detergent</t>
  </si>
  <si>
    <t>Acid</t>
  </si>
  <si>
    <t>White king</t>
  </si>
  <si>
    <t>Bleach</t>
  </si>
  <si>
    <t>Polypropylene (PP)</t>
  </si>
  <si>
    <t>Seed (general crop and pasture)</t>
  </si>
  <si>
    <t>Seedlings (forestry, horticulture, environmental)</t>
  </si>
  <si>
    <t>Input - Purchased feed - Livestock</t>
  </si>
  <si>
    <t>Supplemental feed</t>
  </si>
  <si>
    <t>Lick blocks</t>
  </si>
  <si>
    <t>Amount (t)</t>
  </si>
  <si>
    <t>Feed blends</t>
  </si>
  <si>
    <t>Feed blend name</t>
  </si>
  <si>
    <t>Amount fed (kg)</t>
  </si>
  <si>
    <t>Ingredient 2 (select)</t>
  </si>
  <si>
    <t>Ingredient 3 (select)</t>
  </si>
  <si>
    <t>Ingredient 4 (select)</t>
  </si>
  <si>
    <t>Ingredient 5 (select)</t>
  </si>
  <si>
    <t>Beet pulp</t>
  </si>
  <si>
    <t>Wheat</t>
  </si>
  <si>
    <t>Canola oil</t>
  </si>
  <si>
    <t>Bentonite</t>
  </si>
  <si>
    <t>Meat meal</t>
  </si>
  <si>
    <t>Wheat Bran</t>
  </si>
  <si>
    <t>Hay bales in paddock</t>
  </si>
  <si>
    <t>Hay</t>
  </si>
  <si>
    <t>Cotton seed</t>
  </si>
  <si>
    <r>
      <rPr>
        <b/>
        <i/>
        <sz val="12"/>
        <color rgb="FF0070C0"/>
        <rFont val="Times New Roman"/>
        <family val="1"/>
      </rPr>
      <t>Tip:</t>
    </r>
    <r>
      <rPr>
        <i/>
        <sz val="12"/>
        <color rgb="FF0070C0"/>
        <rFont val="Times New Roman"/>
        <family val="1"/>
      </rPr>
      <t xml:space="preserve"> You can add more rows to the table by right-clicking on the table and selecting "Insert &gt; Table rows above/below".</t>
    </r>
  </si>
  <si>
    <t>High Animal Protein Formulated Feed</t>
  </si>
  <si>
    <t>Cereal grain</t>
  </si>
  <si>
    <t>Squid</t>
  </si>
  <si>
    <t>Whole Sardines</t>
  </si>
  <si>
    <t>Feed blends Aquaculture and fishery</t>
  </si>
  <si>
    <t>Whole Fish</t>
  </si>
  <si>
    <t>Agrochemicals applied</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</si>
  <si>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</si>
  <si>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</si>
  <si>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</si>
  <si>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</si>
  <si>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</si>
  <si>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</si>
  <si>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</si>
  <si>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unit (select)</t>
  </si>
  <si>
    <t>Active ingredient 1 amount</t>
  </si>
  <si>
    <t>Active ingredient 2 (select)</t>
  </si>
  <si>
    <t>Active ingredient 2 unit (select)</t>
  </si>
  <si>
    <t>Active ingredient 2 amount</t>
  </si>
  <si>
    <t>Active ingredient 3 (select)</t>
  </si>
  <si>
    <t>Active ingredient 3 unit (select)</t>
  </si>
  <si>
    <t>Active ingredient 3 amount</t>
  </si>
  <si>
    <t>RELYON DI-PAR 250 SC HERBICIDE</t>
  </si>
  <si>
    <t>litre / hectare</t>
  </si>
  <si>
    <t>Paraquat, diquat</t>
  </si>
  <si>
    <t>Grams / litre</t>
  </si>
  <si>
    <t>Generic Insecticide</t>
  </si>
  <si>
    <t>Grams / kg</t>
  </si>
  <si>
    <t>Application area</t>
  </si>
  <si>
    <t>ACT</t>
  </si>
  <si>
    <t>Western Australia - South West Interconnected System (SWIS)</t>
  </si>
  <si>
    <t>Application unit</t>
  </si>
  <si>
    <t>Density</t>
  </si>
  <si>
    <t>Canada</t>
  </si>
  <si>
    <t>Category</t>
  </si>
  <si>
    <t>Region of origin</t>
  </si>
  <si>
    <t>Calcium nitrate</t>
  </si>
  <si>
    <t>Ammonia</t>
  </si>
  <si>
    <t>Amount applied per hectare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</si>
</sst>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63"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b/>
      <sz val="11"/>
      <color theme="7" tint="-0.499984740745262"/>
      <name val="Aptos Narrow"/>
      <family val="1"/>
      <scheme val="minor"/>
    </font>
    <font>
      <sz val="11"/>
      <color theme="1" tint="0.24994659260841701"/>
      <name val="Aptos Narrow"/>
      <family val="2"/>
      <scheme val="minor"/>
    </font>
    <font>
      <b/>
      <sz val="16"/>
      <color theme="1"/>
      <name val="Aptos Narrow"/>
      <family val="1"/>
      <scheme val="minor"/>
    </font>
    <font>
      <sz val="16"/>
      <color theme="1"/>
      <name val="Aptos Narrow"/>
      <family val="1"/>
      <scheme val="minor"/>
    </font>
    <font>
      <b/>
      <sz val="12"/>
      <color theme="1"/>
      <name val="Aptos Narrow"/>
      <family val="1"/>
      <scheme val="minor"/>
    </font>
    <font>
      <sz val="12"/>
      <color theme="1"/>
      <name val="Aptos Narrow"/>
      <family val="1"/>
      <scheme val="minor"/>
    </font>
    <font>
      <sz val="14"/>
      <color theme="5"/>
      <name val="Times New Roman"/>
      <family val="1"/>
    </font>
    <font>
      <b/>
      <i/>
      <sz val="12"/>
      <color rgb="FF0070C0"/>
      <name val="Times New Roman"/>
      <family val="1"/>
    </font>
    <font>
      <i/>
      <sz val="12"/>
      <color rgb="FF0070C0"/>
      <name val="Times New Roman"/>
      <family val="1"/>
    </font>
    <font>
      <b/>
      <sz val="11"/>
      <color theme="5" tint="-0.499984740745262"/>
      <name val="Aptos Narrow"/>
      <family val="1"/>
      <scheme val="minor"/>
    </font>
  </fonts>
  <fills count="14">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FFC000"/>
        <bgColor indexed="64"/>
      </patternFill>
    </fill>
    <fill>
      <patternFill patternType="solid">
        <fgColor rgb="FF008000"/>
        <bgColor indexed="64"/>
      </patternFill>
    </fill>
  </fills>
  <borders count="2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right style="thin">
        <color theme="0" tint="-0.34998626667073579"/>
      </right>
      <top/>
      <bottom/>
      <diagonal/>
    </border>
    <border>
      <left style="thin">
        <color theme="0" tint="-0.34998626667073579"/>
      </left>
      <right/>
      <top/>
      <bottom/>
      <diagonal/>
    </border>
    <border>
      <left/>
      <right/>
      <top/>
      <bottom style="thin">
        <color indexed="64"/>
      </bottom>
      <diagonal/>
    </border>
    <border>
      <left/>
      <right/>
      <top style="thin">
        <color theme="0" tint="-0.34998626667073579"/>
      </top>
      <bottom/>
      <diagonal/>
    </border>
  </borders>
  <cellStyleXfs count="4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3" borderId="0">
      <alignment horizontal="left" vertical="center" indent="1"/>
    </xf>
    <xf numFmtId="0" fontId="59" fillId="2" borderId="0">
      <alignment horizontal="left" vertical="center"/>
    </xf>
  </cellStyleXfs>
  <cellXfs count="199">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52" fillId="0" borderId="0" xfId="44" applyFont="1" applyFill="1">
      <alignment horizontal="left" vertical="center" indent="1"/>
      <protection locked="0"/>
    </xf>
    <xf numFmtId="0" fontId="53" fillId="12" borderId="0" xfId="44" applyFont="1" applyFill="1">
      <alignment horizontal="left" vertical="center" indent="1"/>
      <protection locked="0"/>
    </xf>
    <xf numFmtId="4" fontId="11" fillId="5" borderId="1" xfId="32" applyFill="1">
      <alignment horizontal="center" vertical="center"/>
    </xf>
    <xf numFmtId="0" fontId="3" fillId="5" borderId="0" xfId="3" applyFill="1"/>
    <xf numFmtId="0" fontId="54" fillId="2" borderId="1" xfId="3" applyFont="1" applyFill="1" applyBorder="1"/>
    <xf numFmtId="0" fontId="3" fillId="0" borderId="22" xfId="3" applyBorder="1"/>
    <xf numFmtId="0" fontId="4" fillId="5" borderId="1" xfId="19" applyFill="1">
      <alignment horizontal="center" vertical="center"/>
    </xf>
    <xf numFmtId="0" fontId="54" fillId="2" borderId="0" xfId="3" applyFont="1" applyFill="1"/>
    <xf numFmtId="0" fontId="18" fillId="13" borderId="0" xfId="45">
      <alignment horizontal="left" vertical="center" indent="1"/>
    </xf>
    <xf numFmtId="0" fontId="3" fillId="2" borderId="23" xfId="3" applyFill="1" applyBorder="1"/>
    <xf numFmtId="3" fontId="11" fillId="2" borderId="24" xfId="43" applyFill="1" applyBorder="1">
      <alignment horizontal="center" vertical="center"/>
    </xf>
    <xf numFmtId="0" fontId="55" fillId="2" borderId="10" xfId="3" applyFont="1" applyFill="1" applyBorder="1"/>
    <xf numFmtId="0" fontId="56" fillId="2" borderId="10" xfId="3" applyFont="1" applyFill="1" applyBorder="1"/>
    <xf numFmtId="0" fontId="3" fillId="2" borderId="10" xfId="3" applyFill="1" applyBorder="1"/>
    <xf numFmtId="0" fontId="10" fillId="2" borderId="10" xfId="10" applyBorder="1">
      <alignment horizontal="left" vertical="center"/>
    </xf>
    <xf numFmtId="0" fontId="57" fillId="2" borderId="10" xfId="3" applyFont="1" applyFill="1" applyBorder="1"/>
    <xf numFmtId="0" fontId="58" fillId="2" borderId="10" xfId="3" applyFont="1" applyFill="1" applyBorder="1"/>
    <xf numFmtId="0" fontId="12" fillId="0" borderId="0" xfId="3" applyFont="1"/>
    <xf numFmtId="0" fontId="52" fillId="4" borderId="0" xfId="44" applyFont="1" applyProtection="1">
      <alignment horizontal="left" vertical="center" indent="1"/>
    </xf>
    <xf numFmtId="0" fontId="53" fillId="12" borderId="0" xfId="44" applyFont="1" applyFill="1" applyProtection="1">
      <alignment horizontal="left" vertical="center" indent="1"/>
    </xf>
    <xf numFmtId="0" fontId="57" fillId="2" borderId="0" xfId="3" applyFont="1" applyFill="1"/>
    <xf numFmtId="0" fontId="58" fillId="2" borderId="0" xfId="3" applyFont="1" applyFill="1"/>
    <xf numFmtId="4" fontId="3" fillId="2" borderId="0" xfId="3" applyNumberFormat="1" applyFill="1"/>
    <xf numFmtId="0" fontId="54" fillId="5" borderId="1" xfId="3" applyFont="1" applyFill="1" applyBorder="1"/>
    <xf numFmtId="0" fontId="54" fillId="5" borderId="1" xfId="19" applyFont="1" applyFill="1">
      <alignment horizontal="center" vertical="center"/>
    </xf>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9" fillId="2" borderId="0" xfId="46">
      <alignment horizontal="left" vertical="center"/>
    </xf>
    <xf numFmtId="0" fontId="34" fillId="2" borderId="0" xfId="3" applyFont="1" applyFill="1" applyAlignment="1" applyProtection="1">
      <alignment horizontal="center"/>
      <protection locked="0"/>
    </xf>
    <xf numFmtId="4" fontId="0" fillId="0" borderId="0" xfId="32" applyFont="1" applyBorder="1">
      <alignment horizontal="center" vertical="center"/>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62" fillId="0" borderId="0" xfId="4" applyFont="1" applyFill="1" applyAlignment="1">
      <alignment horizontal="center" vertical="center"/>
    </xf>
    <xf numFmtId="0" fontId="0" fillId="5" borderId="0" xfId="4" applyFont="1" applyFill="1">
      <alignment horizontal="left" vertical="center"/>
    </xf>
    <xf numFmtId="0" fontId="11" fillId="0" borderId="1" xfId="32" applyNumberFormat="1">
      <alignment horizontal="center" vertical="center"/>
    </xf>
    <xf numFmtId="0" fontId="0" fillId="5" borderId="21" xfId="4" applyFont="1" applyFill="1" applyBorder="1">
      <alignment horizontal="left" vertical="center"/>
    </xf>
    <xf numFmtId="0" fontId="34" fillId="2" borderId="0" xfId="0" applyFont="1" applyFill="1" applyAlignment="1">
      <alignment horizontal="center" vertical="center"/>
    </xf>
    <xf numFmtId="0" fontId="34" fillId="2" borderId="0" xfId="0" applyFont="1" applyFill="1"/>
    <xf numFmtId="0" fontId="35" fillId="2" borderId="0" xfId="0" applyFont="1" applyFill="1"/>
    <xf numFmtId="0" fontId="0" fillId="0" borderId="0" xfId="0" applyAlignment="1">
      <alignment horizontal="center" vertical="center" wrapText="1"/>
    </xf>
    <xf numFmtId="0" fontId="0" fillId="0" borderId="0" xfId="6" applyFont="1" applyFill="1" applyBorder="1">
      <alignment horizontal="left" vertical="center"/>
    </xf>
    <xf numFmtId="0" fontId="11" fillId="0" borderId="1" xfId="35" applyFill="1">
      <alignment horizontal="center" vertical="center"/>
    </xf>
    <xf numFmtId="4" fontId="39" fillId="0" borderId="1" xfId="32" applyFont="1" applyFill="1" applyAlignment="1">
      <alignment horizontal="center" vertical="center" wrapText="1"/>
    </xf>
    <xf numFmtId="0" fontId="24" fillId="2" borderId="1" xfId="20" applyBorder="1" applyAlignment="1">
      <alignment horizontal="center" vertical="center" wrapText="1"/>
    </xf>
    <xf numFmtId="9" fontId="11" fillId="0" borderId="1" xfId="21" applyFill="1">
      <alignment horizontal="center" vertical="center"/>
    </xf>
  </cellXfs>
  <cellStyles count="47">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43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border outline="0">
        <left style="thin">
          <color theme="0" tint="-0.34998626667073579"/>
        </left>
      </border>
    </dxf>
    <dxf>
      <numFmt numFmtId="0" formatCode="General"/>
    </dxf>
    <dxf>
      <fill>
        <patternFill>
          <fgColor indexed="64"/>
          <bgColor theme="0"/>
        </patternFill>
      </fill>
      <border outline="0">
        <right style="thin">
          <color theme="0" tint="-0.34998626667073579"/>
        </right>
      </border>
    </dxf>
    <dxf>
      <font>
        <b/>
        <strike val="0"/>
        <outline val="0"/>
        <shadow val="0"/>
        <u val="none"/>
        <vertAlign val="baseline"/>
        <sz val="11"/>
        <color theme="5" tint="-0.499984740745262"/>
        <name val="Aptos Narrow"/>
        <family val="1"/>
        <scheme val="minor"/>
      </font>
      <alignment horizontal="center" vertical="center" textRotation="0" wrapText="0" indent="0" justifyLastLine="0" shrinkToFit="0" readingOrder="0"/>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4" formatCode="#,##0.00"/>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left style="thin">
          <color theme="0" tint="-0.34998626667073579"/>
        </left>
      </border>
    </dxf>
    <dxf>
      <fill>
        <patternFill patternType="solid">
          <fgColor indexed="64"/>
          <bgColor theme="0"/>
        </patternFill>
      </fill>
    </dxf>
    <dxf>
      <border outline="0">
        <right style="thin">
          <color theme="0" tint="-0.34998626667073579"/>
        </right>
      </border>
    </dxf>
    <dxf>
      <font>
        <b/>
        <strike val="0"/>
        <outline val="0"/>
        <shadow val="0"/>
        <u val="none"/>
        <vertAlign val="baseline"/>
        <sz val="11"/>
        <color rgb="FF183C1B"/>
        <name val="Aptos Narrow"/>
        <family val="1"/>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438"/>
      <tableStyleElement type="headerRow" dxfId="437"/>
      <tableStyleElement type="totalRow" dxfId="436"/>
      <tableStyleElement type="firstColumn" dxfId="435"/>
      <tableStyleElement type="firstRowStripe" dxfId="434"/>
      <tableStyleElement type="secondRowStripe" dxfId="433"/>
    </tableStyle>
    <tableStyle name="Equation table" pivot="0" count="6" xr9:uid="{0B4491E8-4F2C-4EE8-9336-DC99561B4B77}">
      <tableStyleElement type="wholeTable" dxfId="432"/>
      <tableStyleElement type="headerRow" dxfId="431"/>
      <tableStyleElement type="totalRow" dxfId="430"/>
      <tableStyleElement type="firstColumn" dxfId="429"/>
      <tableStyleElement type="firstRowStripe" dxfId="428"/>
      <tableStyleElement type="secondRowStripe" dxfId="4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19" headerRowDxfId="426" dataDxfId="425" totalsRowDxfId="424">
  <autoFilter ref="D17:X19"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423" totalsRowDxfId="422" dataCellStyle="Input select"/>
    <tableColumn id="23" xr3:uid="{F727E370-72E8-46CC-9F10-18494CAC017E}" name="Amount applied per hectare" totalsRowFunction="custom" dataDxfId="421" totalsRowDxfId="420">
      <totalsRowFormula>SUM(Table_Input_InorganicFertiliser_Brands[[#Headers],[#Data],[Amount applied per hectare]])</totalsRowFormula>
    </tableColumn>
    <tableColumn id="18" xr3:uid="{2253738D-C34B-45FC-A347-3594DD12A0FD}" name="Application unit" totalsRowDxfId="64"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63"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419" totalsRowDxfId="418">
      <calculatedColumnFormula>$E$9</calculatedColumnFormula>
    </tableColumn>
    <tableColumn id="1" xr3:uid="{DE25213C-DDD2-412A-85A4-29987D633B72}" name="Total applied (kg)" dataDxfId="417" totalsRowDxfId="41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415" totalsRowDxfId="41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413" totalsRowDxfId="41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41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410" totalsRowDxfId="40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08" totalsRowDxfId="40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06" totalsRowDxfId="40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04" totalsRowDxfId="40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0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0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0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9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9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97" totalsRowDxfId="39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69" totalsRowDxfId="68"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62" totalsRowDxfId="67"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2:R24" totalsRowShown="0" headerRowDxfId="395" dataDxfId="394">
  <autoFilter ref="D22:R2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93"/>
    <tableColumn id="3" xr3:uid="{9EAF254B-17DE-4675-8AF9-F68B80BF582C}" name="Application area (ha)" dataDxfId="392" dataCellStyle="Input number 2 decimal places">
      <calculatedColumnFormula>$E$9</calculatedColumnFormula>
    </tableColumn>
    <tableColumn id="4" xr3:uid="{CFA5CCED-3BC5-4DD2-AC3F-E4DC58D9B605}" name="Total applied (kg)" dataDxfId="391"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390" dataCellStyle="Input select"/>
    <tableColumn id="6" xr3:uid="{3F30B499-2152-42DE-8F13-8F97800C0F82}" name="Ingredient 1 percent" dataDxfId="389"/>
    <tableColumn id="8" xr3:uid="{81DBD2AF-CE79-4DFA-ABE1-18247069D1B2}" name="Ingredient 2" dataDxfId="388" dataCellStyle="Input select"/>
    <tableColumn id="9" xr3:uid="{1CF7EE6F-57DF-414D-AEE5-FBCA6348094D}" name="Ingredient 2 percent" dataDxfId="387"/>
    <tableColumn id="11" xr3:uid="{A18D28AA-C181-4552-8786-2ECF509C16C8}" name="Ingredient 3" dataDxfId="386" dataCellStyle="Input select"/>
    <tableColumn id="12" xr3:uid="{B6A6831A-C9EE-4F80-B87F-A0C4C20DFCFD}" name="Ingredient 3 percent" dataDxfId="385"/>
    <tableColumn id="14" xr3:uid="{4467B432-BBEC-488F-912D-5D7123AE260A}" name="Ingredient 4" dataDxfId="384" dataCellStyle="Input select"/>
    <tableColumn id="15" xr3:uid="{0FA01265-32D2-4FC6-BCD7-17164873ADC9}" name="Ingredient 4 percent" dataCellStyle="Input percent"/>
    <tableColumn id="7" xr3:uid="{BF8B607F-8C2E-4E2B-B89D-E699723F771C}" name="N application rate (kg/ha)" dataDxfId="38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66"/>
    <tableColumn id="13" xr3:uid="{CA785B69-1D00-4D4E-954C-77FAF8F67EDB}" name="Ammonia source" dataDxfId="65"/>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2:L34" totalsRowShown="0" headerRowDxfId="382" dataDxfId="381" headerRowCellStyle="Input table column header">
  <autoFilter ref="D32:L3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55C6D57-C99E-4560-95BE-1D32508E9DC1}" name="Product" dataDxfId="380"/>
    <tableColumn id="2" xr3:uid="{BBD9A28E-9144-4A75-B4E2-101A86320BD7}" name="Amount applied (t/hectare)" dataDxfId="379"/>
    <tableColumn id="4" xr3:uid="{28D6DB55-F183-4018-A8CF-F5EECD3B6F14}" name="Application area (ha)" dataDxfId="378">
      <calculatedColumnFormula>$E$9</calculatedColumnFormula>
    </tableColumn>
    <tableColumn id="3" xr3:uid="{A873C277-F431-4770-984D-50E37F5B322A}" name="Total amount applied (t)" dataDxfId="377"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DxfId="376"/>
    <tableColumn id="8" xr3:uid="{87445951-81DE-4186-A628-A263C2301F74}" name="Percent Dolomite CaMg(CO3)2" dataDxfId="375"/>
    <tableColumn id="7" xr3:uid="{7689CF48-369A-4C18-99A1-A2DDCFE99B7F}" name="Percent Gypsum" dataDxfId="374"/>
    <tableColumn id="9" xr3:uid="{6D9C9366-2A84-4F0D-B1D0-A748B17B5C0D}" name="Percent Potash" dataDxfId="373"/>
    <tableColumn id="10" xr3:uid="{E00BF7C1-7D20-4C62-A394-32D1C7721ABB}" name="Total" dataDxfId="372">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2:J44" totalsRowShown="0" headerRowDxfId="371" dataDxfId="370" headerRowCellStyle="Input table column header">
  <autoFilter ref="D42: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369" dataCellStyle="Input select"/>
    <tableColumn id="5" xr3:uid="{90211506-45BB-448E-9141-3C3CE3626033}" name="Percentage of N in fertiliser" dataDxfId="368"/>
    <tableColumn id="2" xr3:uid="{FBF064EA-8FB5-43A6-A6A6-369C36395228}" name="Amount applied (kg/hectare)" dataDxfId="367"/>
    <tableColumn id="11" xr3:uid="{C66580F9-10D5-43D2-89CD-7DC865B9F8D9}" name="Amount N applied (kg/hectare)" dataDxfId="366"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365">
      <calculatedColumnFormula>$E$9</calculatedColumnFormula>
    </tableColumn>
    <tableColumn id="7" xr3:uid="{C9641984-3538-4424-A9FC-1F56669263A3}" name="Total organic fertliser applied" dataDxfId="364"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363"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41080D4-224C-452D-8770-96095FF2D84C}" name="Table_Input_LickBlocks" displayName="Table_Input_LickBlocks" ref="D8:E11" totalsRowShown="0">
  <autoFilter ref="D8:E11" xr:uid="{23CC8ACE-49F5-489C-AA70-D6D9F6B88E9E}">
    <filterColumn colId="0" hiddenButton="1"/>
    <filterColumn colId="1" hiddenButton="1"/>
  </autoFilter>
  <tableColumns count="2">
    <tableColumn id="1" xr3:uid="{38AE9B23-AA45-43DD-8732-E68556C90F92}" name="Product">
      <calculatedColumnFormula>'Calcs - Scope 3'!D106</calculatedColumnFormula>
    </tableColumn>
    <tableColumn id="2" xr3:uid="{44E220C6-A6A0-48E9-AABA-9EA1B21AD31B}" name="Amount (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O19" totalsRowShown="0">
  <autoFilter ref="D16:O19"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9491CF8-20F0-4FE5-B2E5-824F35323759}" name="Feed blend name"/>
    <tableColumn id="2" xr3:uid="{B20486A1-6FF2-452C-92CA-CCED9D67FD05}" name="Amount fed (kg)"/>
    <tableColumn id="4" xr3:uid="{47465BD2-065D-4E8F-9CB3-6E6F67E11E4D}" name="Ingredient 1 (select)" dataCellStyle="Input select"/>
    <tableColumn id="5" xr3:uid="{1B19298C-F8E3-4AF0-9B9E-CE0CD24308C3}" name="Ingredient 1 percent"/>
    <tableColumn id="6" xr3:uid="{250D764C-1759-4C06-9C17-CD1C40A86BF4}" name="Ingredient 2 (select)" dataCellStyle="Input select"/>
    <tableColumn id="7" xr3:uid="{F61D43DF-B902-4B65-AB44-E98C6D51FD13}" name="Ingredient 2 percent"/>
    <tableColumn id="8" xr3:uid="{B9F5222F-9F2A-4E26-931C-754BB15D7CDC}" name="Ingredient 3 (select)" dataCellStyle="Input select"/>
    <tableColumn id="9" xr3:uid="{30B89A53-F667-4FBE-AF8B-FB021EB3D926}" name="Ingredient 3 percent"/>
    <tableColumn id="10" xr3:uid="{51F803AC-A802-43FA-8B0E-24B789B98A9C}" name="Ingredient 4 (select)" dataCellStyle="Input select"/>
    <tableColumn id="11" xr3:uid="{33104403-8828-4357-9E7C-9063DE9C33A5}" name="Ingredient 4 percent"/>
    <tableColumn id="12" xr3:uid="{45138421-33E6-4367-A8DE-BFC8C4CBB63F}" name="Ingredient 5 (select)" dataCellStyle="Input select"/>
    <tableColumn id="13" xr3:uid="{986577A3-172B-40AF-A1FA-4DF40DB752F6}" name="Ingredient 5 percen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9522DB5-5990-4913-8C85-8036034BCCFF}" name="Table_Input_AquacultureFeed" displayName="Table_Input_AquacultureFeed" ref="D25:O27" totalsRowShown="0" headerRowDxfId="73">
  <autoFilter ref="D25:O27" xr:uid="{49522DB5-5990-4913-8C85-8036034BCCFF}"/>
  <tableColumns count="12">
    <tableColumn id="1" xr3:uid="{6383F67F-7EC8-4491-B6E2-F42CE1446819}" name="Feed blend name" dataDxfId="72"/>
    <tableColumn id="2" xr3:uid="{6F8228DB-F597-482F-8F7E-556A06B31A1E}" name="Amount fed (kg)" dataDxfId="71" dataCellStyle="Input number 2 decimal places"/>
    <tableColumn id="4" xr3:uid="{61190F26-0D6E-4E3D-BD15-3C34861B65BC}" name="Ingredient 1 (select)" dataDxfId="70" dataCellStyle="Input select"/>
    <tableColumn id="5" xr3:uid="{C8104EC4-4E8A-4566-AD11-22D595E84539}" name="Ingredient 1 percent" dataCellStyle="Input percent"/>
    <tableColumn id="6" xr3:uid="{2A996D99-E581-4763-A595-785729DB930E}" name="Ingredient 2 (select)" dataCellStyle="Input select"/>
    <tableColumn id="7" xr3:uid="{12F933A7-5B2F-4DF7-A1C8-49CC4A0A3B28}" name="Ingredient 2 percent" dataCellStyle="Input percent"/>
    <tableColumn id="8" xr3:uid="{8D83EC54-84AF-4F36-9C43-7DF24B21EF80}" name="Ingredient 3 (select)" dataCellStyle="Input select"/>
    <tableColumn id="9" xr3:uid="{2EADACC8-241A-4833-B15C-CA9E0CB6F878}" name="Ingredient 3 percent" dataCellStyle="Input percent"/>
    <tableColumn id="10" xr3:uid="{DE50EA53-AEBB-4D88-848D-446CB72B7F74}" name="Ingredient 4 (select)" dataCellStyle="Input select"/>
    <tableColumn id="11" xr3:uid="{5A91AE37-5D82-4188-B9BC-BACB6987541D}" name="Ingredient 4 percent" dataCellStyle="Input percent"/>
    <tableColumn id="12" xr3:uid="{C467554F-D728-4444-932E-4AB1AC3D91C3}" name="Ingredient 5 (select)" dataCellStyle="Input select"/>
    <tableColumn id="13" xr3:uid="{D54F08CC-198E-4895-AE8D-248008BA5417}" name="Ingredient 5 percent" dataCellStyle="Input percen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leaningChemicals" displayName="Table_Input_CleaningChemicals" ref="D39:F44" totalsRowShown="0" headerRowCellStyle="Input table column header">
  <autoFilter ref="D39:F44" xr:uid="{4FE24B05-BD40-4784-8F98-E98038ED84BF}">
    <filterColumn colId="0" hiddenButton="1"/>
    <filterColumn colId="1" hiddenButton="1"/>
    <filterColumn colId="2" hiddenButton="1"/>
  </autoFilter>
  <tableColumns count="3">
    <tableColumn id="3" xr3:uid="{E67DFCD7-C12B-4EA2-8140-D78C5ABDB407}" name="Chemical name" dataDxfId="75" dataCellStyle="Input select"/>
    <tableColumn id="1" xr3:uid="{87D126BF-005E-4246-BF36-6C26A15AD99A}" name="Type"/>
    <tableColumn id="2" xr3:uid="{56461109-5CAC-43CC-94E5-D96155D01EEF}" name="Quantity purchased (L)"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28:G32" totalsRowShown="0" headerRowCellStyle="Input table column header">
  <autoFilter ref="D28:G32" xr:uid="{3E433F59-4BF1-4341-8498-3E5DACCDF2D3}">
    <filterColumn colId="0" hiddenButton="1"/>
    <filterColumn colId="1" hiddenButton="1"/>
    <filterColumn colId="2" hiddenButton="1"/>
    <filterColumn colId="3" hiddenButton="1"/>
  </autoFilter>
  <tableColumns count="4">
    <tableColumn id="1" xr3:uid="{8E849261-8F35-48DE-BE22-FE2C6971C01F}" name="Packaging name"/>
    <tableColumn id="2" xr3:uid="{360D1B02-386E-49B9-8B92-E9676AD4A378}" name="Packaging component (select)" dataCellStyle="Input select"/>
    <tableColumn id="3" xr3:uid="{14ED4487-F547-485F-9AFB-212F5584207F}" name="Quantity purchased" dataCellStyle="Input number general"/>
    <tableColumn id="4" xr3:uid="{BBF04413-741D-4D84-88D9-1F89896D7D6F}" name="Quantity unit" dataCellStyle="Input number general calculated">
      <calculatedColumnFormula array="1">Common_InputFunctions.Utility_LookupValueInTable(Table_Input_Packaging[[#This Row],[Packaging component (select)]], Table_Scope3_Packaging[Packaging component],Table_Scope3_Packaging[Quantity Unit])</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Agrochemicals" displayName="Table_Input_Agrochemicals" ref="D23:Q24" totalsRowShown="0">
  <autoFilter ref="D23:Q24" xr:uid="{BA52E4BB-C3D1-441A-A568-0AD50449E880}"/>
  <tableColumns count="14">
    <tableColumn id="1" xr3:uid="{A72BC848-73BB-4B46-B499-37E30C638D3A}" name="Product"/>
    <tableColumn id="2" xr3:uid="{53230D96-4E84-460D-9046-7CE32E68C856}" name="Amount applied per ha"/>
    <tableColumn id="7" xr3:uid="{69498A75-62A6-484D-B013-ED14417EEBB4}" name="Application unit (select)" dataCellStyle="Input select"/>
    <tableColumn id="6" xr3:uid="{209ECDF7-51D4-4C0E-850D-19BAB4D0D3B8}" name="Application area (ha)">
      <calculatedColumnFormula>I20</calculatedColumnFormula>
    </tableColumn>
    <tableColumn id="3" xr3:uid="{DEE684A7-4E1A-46AA-B0D4-02E9625D315A}" name="Total applied" dataCellStyle="Input number general calculated">
      <calculatedColumnFormula>Table_Input_Agrochemicals[[#This Row],[Amount applied per ha]]*Table_Input_Agrochemicals[[#This Row],[Application area (ha)]]</calculatedColumnFormula>
    </tableColumn>
    <tableColumn id="4" xr3:uid="{EC89C89A-4D36-451B-BCBE-1C016D3F8F34}" name="Active ingredient 1 (select)" dataCellStyle="Input select"/>
    <tableColumn id="5" xr3:uid="{1DB0C7A3-E8B5-4E6D-AA5F-8D94DC978EA5}" name="Active ingredient 1 unit (select)" dataCellStyle="Input select"/>
    <tableColumn id="8" xr3:uid="{F058D2A6-41E8-4384-8586-262C5EAC5D9F}" name="Active ingredient 1 amount"/>
    <tableColumn id="9" xr3:uid="{74F84648-C9E3-4305-994A-7D3B973043A9}" name="Active ingredient 2 (select)" dataCellStyle="Input select"/>
    <tableColumn id="10" xr3:uid="{98D19D64-9603-4825-8116-20183EFA70DA}" name="Active ingredient 2 unit (select)" dataCellStyle="Input select"/>
    <tableColumn id="11" xr3:uid="{78375E20-4985-4634-B5B1-6B81635A6FC6}" name="Active ingredient 2 amount"/>
    <tableColumn id="12" xr3:uid="{7449CB84-4B0D-4B55-95E5-3523F3590622}" name="Active ingredient 3 (select)" dataCellStyle="Input select"/>
    <tableColumn id="13" xr3:uid="{2007A993-273E-48CE-AE78-DD96978BFFC3}" name="Active ingredient 3 unit (select)" dataCellStyle="Input select"/>
    <tableColumn id="14" xr3:uid="{71087BB0-6CBC-4FB4-9C30-2409748F8A46}" name="Active ingredient 3 amou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362"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361" dataCellStyle="Input select" totalsRowCellStyle="Input select"/>
    <tableColumn id="3" xr3:uid="{2F4926CE-6EFC-4996-91EA-985E04C68CA4}" name="Fuel type (select)" totalsRowDxfId="360" dataCellStyle="Input select" totalsRowCellStyle="Input select"/>
    <tableColumn id="4" xr3:uid="{1FFC5489-922D-4440-BFF8-1C82F89D7C13}" name="Amount purchased" totalsRowDxfId="359" totalsRowCellStyle="Content bold"/>
    <tableColumn id="6" xr3:uid="{8FECDE7F-72E1-4F9F-9717-51DFCFC8B7FA}" name="Amount unit" totalsRowDxfId="358"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357" totalsRowCellStyle="Input percent">
      <calculatedColumnFormula>1</calculatedColumnFormula>
    </tableColumn>
    <tableColumn id="1" xr3:uid="{0B1E778F-5088-434C-9ED2-6721724D18B8}" name="Amount consumed" totalsRowFunction="custom" totalsRowDxfId="356"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355"/>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354"/>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889AA07-8652-4118-9D63-0669DF435473}" name="Table_Scope3_InorganicFertiliser" displayName="Table_Scope3_InorganicFertiliser" ref="D8:T33" totalsRowShown="0" headerRowDxfId="237">
  <autoFilter ref="D8:T33" xr:uid="{3792A08B-29D7-43AC-8F2D-9CFFDAF4E1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A26E62E6-9988-4467-98CF-5D143A43BCBC}" name="Category">
      <calculatedColumnFormula array="1">Common_InputFunctions.Utility_DisplayArrayInTable(Scope3_SourceData.Scope3_InorganicFertilisers_Data(), Table_Scope3_InorganicFertiliser[[#Headers],[Category]], 0, 2)</calculatedColumnFormula>
    </tableColumn>
    <tableColumn id="2" xr3:uid="{D116A3CB-B6B4-4AA0-8E1C-32CF32CE5F75}" name="Product">
      <calculatedColumnFormula array="1">Common_InputFunctions.Utility_DisplayArrayInTable(Scope3_SourceData.Scope3_InorganicFertilisers_Data(), Table_Scope3_InorganicFertiliser[[#Headers],[Category]], 0, 2)</calculatedColumnFormula>
    </tableColumn>
    <tableColumn id="13" xr3:uid="{C177358E-B721-4277-B535-3BCE77721E50}" name="Region of origin" dataCellStyle="Normal 2">
      <calculatedColumnFormula array="1">Common_InputFunctions.Utility_DisplayArrayInTable(Scope3_SourceData.Scope3_InorganicFertilisers_Data(), Table_Scope3_InorganicFertiliser[[#Headers],[Category]], 0, 2)</calculatedColumnFormula>
    </tableColumn>
    <tableColumn id="17" xr3:uid="{C63AD841-3779-4F9E-979C-C4B240019827}" name="Chemical compound" dataCellStyle="Normal 2"/>
    <tableColumn id="18" xr3:uid="{0F58EC34-CC51-4883-B676-2A758A134A0C}" name="Urea source" dataCellStyle="Normal 2"/>
    <tableColumn id="16" xr3:uid="{4351E302-6CA8-41C0-831F-6BF02C2156CF}" name="Ammonia source" dataCellStyle="Normal 2"/>
    <tableColumn id="3" xr3:uid="{094195E4-44D5-4A3A-BDF7-51BACCF8C322}" name="Quantity"/>
    <tableColumn id="4" xr3:uid="{F138BFEE-7488-47AA-B818-9AACC5E92950}" name="Quantity Unit">
      <calculatedColumnFormula array="1">Common_InputFunctions.Utility_DisplayArrayInTable(Scope3_SourceData.Scope3_InorganicFertilisers_Data(), Table_Scope3_InorganicFertiliser[[#Headers],[Category]], 0, 1)</calculatedColumnFormula>
    </tableColumn>
    <tableColumn id="5" xr3:uid="{01ECA038-88AE-47F2-8DBB-09545BB31DA7}" name="AusLCI Emissions intensity" dataDxfId="236">
      <calculatedColumnFormula array="1">Common_InputFunctions.Utility_DisplayArrayInTable(Scope3_SourceData.Scope3_InorganicFertilisers_Data(), Table_Scope3_InorganicFertiliser[[#Headers],[Category]], 0, 1)</calculatedColumnFormula>
    </tableColumn>
    <tableColumn id="6" xr3:uid="{F38E8F4D-9D96-4D94-AB35-84195C2383BF}" name="Custom emissions intensity" dataDxfId="235" dataCellStyle="Input number 2 decimal places"/>
    <tableColumn id="12" xr3:uid="{6CD7BF08-7733-491C-BA9F-1EAD8F25F6AB}" name="Emissions intensity unit" dataDxfId="234">
      <calculatedColumnFormula array="1">Common_InputFunctions.Utility_DisplayArrayInTable(Scope3_SourceData.Scope3_InorganicFertilisers_Data(), Table_Scope3_InorganicFertiliser[[#Headers],[Category]], 0, 1)</calculatedColumnFormula>
    </tableColumn>
    <tableColumn id="14" xr3:uid="{78FD8AF0-6919-444D-9308-760263A10C62}" name="Scope 3 emissions exc. cusotm (t CO2-e)">
      <calculatedColumnFormula>Table_Scope3_InorganicFertiliser[[#This Row],[Quantity]]*Table_Scope3_InorganicFertiliser[[#This Row],[AusLCI Emissions intensity]]</calculatedColumnFormula>
    </tableColumn>
    <tableColumn id="15" xr3:uid="{2132CD9B-C820-453D-8EFD-A121ACE8F670}" name="Scope 3 emissions inc. custom (t CO2-e)2" dataDxfId="233">
      <calculatedColumnFormula>Table_Scope3_InorganicFertiliser[[#This Row],[Quantity]]*IF(Table_Scope3_InorganicFertiliser[[#This Row],[Custom emissions intensity]], Table_Scope3_InorganicFertiliser[[#This Row],[Custom emissions intensity]], Table_Scope3_InorganicFertiliser[[#This Row],[AusLCI Emissions intensity]])</calculatedColumnFormula>
    </tableColumn>
    <tableColumn id="7" xr3:uid="{31E6FB17-15EC-468A-8F48-0266EEBF3CAB}" name="Custom emissions intensity source" dataDxfId="232"/>
    <tableColumn id="8" xr3:uid="{CC453D67-3C9F-40DA-BAEA-31459E646CAA}" name="Custom emissions intensity source type (Select)" dataDxfId="231" dataCellStyle="Input select"/>
    <tableColumn id="9" xr3:uid="{392E54E6-4C8A-499A-BE04-EA7908E8D9F3}" name="Custom emissions intensity credential / certification link" dataDxfId="230"/>
    <tableColumn id="11" xr3:uid="{AD530986-C50B-4EE7-AABD-8864CCB8B330}" name="Scope 3 data score">
      <calculatedColumnFormula array="1">Common_InputFunctions.Utility_LookupValueInTableNumber(Table_Scope3_InorganicFertiliser[[#This Row],[Custom emissions intensity source type (Select)]],#REF!,#REF!)</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322E309-A1C9-4F30-AA3A-4C1BCEE1E6BE}" name="Table_Scope3_OrganicFertiliser" displayName="Table_Scope3_OrganicFertiliser" ref="D42:P52" totalsRowShown="0" headerRowDxfId="229" dataDxfId="228" headerRowCellStyle="Equation table header">
  <autoFilter ref="D42:P52" xr:uid="{E172E861-22BE-4FC8-A0B7-83CA1966C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6934AAE-98FF-4C43-9786-8EE25B1865FF}" name="Organic fertiliser type" dataDxfId="227">
      <calculatedColumnFormula array="1">Common_InputFunctions.Utility_DisplayArrayInTable(Scope3_SourceData.Scope3_OrganicFertilisers_Data(), Table_Scope3_OrganicFertiliser[[#Headers],[Organic fertiliser type]], 0, 2)</calculatedColumnFormula>
    </tableColumn>
    <tableColumn id="2" xr3:uid="{123D2550-6776-410A-8885-A8C46DC49525}" name="Source" dataDxfId="226">
      <calculatedColumnFormula array="1">Common_InputFunctions.Utility_DisplayArrayInTable(Scope3_SourceData.Scope3_OrganicFertilisers_Data(), Table_Scope3_OrganicFertiliser[[#Headers],[Organic fertiliser type]], 0, 2)</calculatedColumnFormula>
    </tableColumn>
    <tableColumn id="3" xr3:uid="{354D6E88-EC7E-4377-BB92-92661572380C}" name="Quantity" dataDxfId="225"/>
    <tableColumn id="4" xr3:uid="{AF3095DD-89D8-4D36-BD6B-1A36DE87634F}" name="Quantity Unit" dataDxfId="224">
      <calculatedColumnFormula array="1">Common_InputFunctions.Utility_DisplayArrayInTable(Scope3_SourceData.Scope3_OrganicFertilisers_Data(), Table_Scope3_OrganicFertiliser[[#Headers],[Organic fertiliser type]], 0, 1)</calculatedColumnFormula>
    </tableColumn>
    <tableColumn id="5" xr3:uid="{A46E2149-3367-4F3C-9A46-A9A7436F9AA8}" name="AusLCI Emissions intensity" dataDxfId="223">
      <calculatedColumnFormula array="1">Common_InputFunctions.Utility_DisplayArrayInTable(Scope3_SourceData.Scope3_OrganicFertilisers_Data(), Table_Scope3_OrganicFertiliser[[#Headers],[Organic fertiliser type]], 0, 1)</calculatedColumnFormula>
    </tableColumn>
    <tableColumn id="6" xr3:uid="{2F223D06-24D7-4DF6-ACB5-9F1A090C1476}" name="Custom emissions intensity" dataDxfId="222"/>
    <tableColumn id="7" xr3:uid="{ED194064-6E2B-4CA8-80FA-D34D7B7A9DFF}" name="Emissions intensity unit" dataDxfId="221">
      <calculatedColumnFormula array="1">Common_InputFunctions.Utility_DisplayArrayInTable(Scope3_SourceData.Scope3_OrganicFertilisers_Data(), Table_Scope3_OrganicFertiliser[[#Headers],[Organic fertiliser type]], 0, 1)</calculatedColumnFormula>
    </tableColumn>
    <tableColumn id="8" xr3:uid="{691E5BEE-9C3E-4416-AFF1-79DC8A265137}" name="Scope 3 emissions exc. custom (t CO2-e)" dataDxfId="220">
      <calculatedColumnFormula>Table_Scope3_OrganicFertiliser[[#This Row],[Quantity]]*Table_Scope3_OrganicFertiliser[[#This Row],[AusLCI Emissions intensity]]</calculatedColumnFormula>
    </tableColumn>
    <tableColumn id="9" xr3:uid="{AB077C2D-134C-40B4-BFA8-CF72021D901C}" name="Scope 3 emissions inc. custom (t CO2-e)2" dataDxfId="219">
      <calculatedColumnFormula>Table_Scope3_OrganicFertiliser[[#This Row],[Quantity]]*IF(Table_Scope3_OrganicFertiliser[[#This Row],[Custom emissions intensity]], Table_Scope3_OrganicFertiliser[[#This Row],[Custom emissions intensity]], Table_Scope3_OrganicFertiliser[[#This Row],[AusLCI Emissions intensity]])</calculatedColumnFormula>
    </tableColumn>
    <tableColumn id="10" xr3:uid="{0205BF8D-9906-495F-90B6-2D1BABCFFA7E}" name="Custom emissions intensity source" dataDxfId="218"/>
    <tableColumn id="11" xr3:uid="{20DE4F6F-5D34-47A0-96F7-613CB05A2F00}" name="Custom emissions intensity source type (Select)" dataCellStyle="Input select"/>
    <tableColumn id="12" xr3:uid="{BE6CEBBB-FC0D-4310-B460-1AF164F818D0}" name="Custom emissions intensity credential / certification link" dataDxfId="217"/>
    <tableColumn id="13" xr3:uid="{8FD29B83-E6F0-48D4-9BD8-4D62D615F8F8}" name="Scope 3 data score" dataDxfId="216">
      <calculatedColumnFormula array="1">Common_InputFunctions.Utility_LookupValueInTableNumber(Table_Scope3_OrganicFertiliser[[#This Row],[Custom emissions intensity source type (Select)]],#REF!,#REF!)</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C5BDA1E-9FCE-41CA-AA15-6DF12E27FC48}" name="Table_Scope3_SoilAmendments" displayName="Table_Scope3_SoilAmendments" ref="D77:O82" totalsRowShown="0" headerRowDxfId="215" dataDxfId="214" headerRowCellStyle="Equation table header">
  <autoFilter ref="D77:O82" xr:uid="{BCB52E1B-7F3C-4E5F-89B5-9DD992D6DF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ADE3720-C155-40DE-BF99-E5E961C227EC}" name="Soil amendment type" dataDxfId="213">
      <calculatedColumnFormula array="1">Common_InputFunctions.Utility_DisplayArrayInTable(Scope3_SourceData.Scope3_SoilAmendments_Data(), Table_Scope3_SoilAmendments[[#Headers],[Soil amendment type]], 0, 2)</calculatedColumnFormula>
    </tableColumn>
    <tableColumn id="3" xr3:uid="{81D43BA9-E39D-466C-B2A8-DE0C6296C924}" name="Quantity" dataDxfId="74" dataCellStyle="Normal 2">
      <calculatedColumnFormula array="1">Fertiliser_InputFunctions.Fertiliser_TotalSoilAmendmentApplied(Table_Input_Lime[Total amount applied (t)],Table_Input_Lime[Percent Lime CaCO3])</calculatedColumnFormula>
    </tableColumn>
    <tableColumn id="4" xr3:uid="{6501C009-A9A4-4181-BFF4-F9603616F2A9}" name="Quantity Unit" dataDxfId="212">
      <calculatedColumnFormula array="1">Common_InputFunctions.Utility_DisplayArrayInTable(Scope3_SourceData.Scope3_OrganicFertilisers_Data(), Table_Scope3_SoilAmendments[[#Headers],[Soil amendment type]], 0, 2)</calculatedColumnFormula>
    </tableColumn>
    <tableColumn id="5" xr3:uid="{39EECE04-C60D-46BD-9AFA-C54EC36D3FE7}" name="AusLCI Emissions intensity" dataDxfId="211">
      <calculatedColumnFormula array="1">Common_InputFunctions.Utility_DisplayArrayInTable(Scope3_SourceData.Scope3_SoilAmendments_Data(), Table_Scope3_SoilAmendments[[#Headers],[Soil amendment type]], 0, 2)</calculatedColumnFormula>
    </tableColumn>
    <tableColumn id="6" xr3:uid="{A5699586-0D6D-4174-B9FD-275D074320BB}" name="Custom emissions intensity" dataDxfId="210"/>
    <tableColumn id="7" xr3:uid="{98F1F39C-CAC6-4200-815B-D3698B75D8BA}" name="Emissions intensity unit" dataDxfId="209">
      <calculatedColumnFormula array="1">Common_InputFunctions.Utility_DisplayArrayInTable(Scope3_SourceData.Scope3_SoilAmendments_Data(), Table_Scope3_SoilAmendments[[#Headers],[Soil amendment type]], 0, 2)</calculatedColumnFormula>
    </tableColumn>
    <tableColumn id="8" xr3:uid="{FEFD5B3A-6044-4E89-B9F9-0A47CF9B6846}" name="Scope 3 emissions exc. custom (t CO2-e)" dataDxfId="208">
      <calculatedColumnFormula>Table_Scope3_SoilAmendments[[#This Row],[Quantity]]*Table_Scope3_SoilAmendments[[#This Row],[AusLCI Emissions intensity]]</calculatedColumnFormula>
    </tableColumn>
    <tableColumn id="9" xr3:uid="{543409B5-2E30-4E07-B328-34B9E02BCDB3}" name="Scope 3 emissions inc. custom (t CO2-e)2" dataDxfId="207">
      <calculatedColumnFormula>Table_Scope3_SoilAmendments[[#This Row],[Quantity]]*IF(Table_Scope3_SoilAmendments[[#This Row],[Custom emissions intensity]], Table_Scope3_SoilAmendments[[#This Row],[Custom emissions intensity]], Table_Scope3_SoilAmendments[[#This Row],[AusLCI Emissions intensity]])</calculatedColumnFormula>
    </tableColumn>
    <tableColumn id="10" xr3:uid="{C6CEB8A5-E71A-4D46-B435-1E1602BFEF90}" name="Custom emissions intensity source" dataDxfId="206"/>
    <tableColumn id="11" xr3:uid="{489B5F84-8E65-4F39-9BBC-E78CC0BE3CD0}" name="Custom emissions intensity source type (Select)" dataDxfId="205" dataCellStyle="Input select"/>
    <tableColumn id="12" xr3:uid="{4CF75BF2-BD55-4391-ACB4-588470EFA7A3}" name="Custom emissions intensity credential / certification link" dataDxfId="204"/>
    <tableColumn id="13" xr3:uid="{C3D5AA1F-E5A7-40F7-B344-D03BD1431326}" name="Scope 3 data score" dataDxfId="203">
      <calculatedColumnFormula array="1">Common_InputFunctions.Utility_LookupValueInTableNumber(Table_Scope3_SoilAmendments[[#This Row],[Custom emissions intensity source type (Select)]],#REF!,#REF!)</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E6974DB-8E99-4067-86AE-FE845D052DF7}" name="Table_Scope3_Agrochemicals" displayName="Table_Scope3_Agrochemicals" ref="D91:O96" totalsRowShown="0" headerRowDxfId="202" dataDxfId="201" headerRowCellStyle="Equation table header">
  <autoFilter ref="D91:O96" xr:uid="{3693AC8C-71E5-4A67-A7C1-3A271982E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B9239E5-8AE1-4DDB-80A7-778A50C75B04}" name="Agrochemical type" dataDxfId="200">
      <calculatedColumnFormula array="1">Common_InputFunctions.Utility_DisplayArrayInTable(Scope3_SourceData.Scope3_Agrochemicals_Data(), Table_Scope3_Agrochemicals[[#Headers],[Agrochemical type]], 0, 2)</calculatedColumnFormula>
    </tableColumn>
    <tableColumn id="3" xr3:uid="{C9915B4D-9645-4DA2-BCF5-1528B62C39F1}" name="Quantity" dataDxfId="199"/>
    <tableColumn id="4" xr3:uid="{DFB9053F-5CFC-4AE4-9036-4592828A192A}" name="Quantity Unit" dataDxfId="198">
      <calculatedColumnFormula array="1">Common_InputFunctions.Utility_DisplayArrayInTable(Scope3_SourceData.Scope3_Agrochemicals_Data(), Table_Scope3_Agrochemicals[[#Headers],[Agrochemical type]], 0, 2)</calculatedColumnFormula>
    </tableColumn>
    <tableColumn id="5" xr3:uid="{E8D3E719-2A5E-483A-9377-A79610CE84BA}" name="AusLCI Emissions intensity" dataDxfId="197">
      <calculatedColumnFormula array="1">Common_InputFunctions.Utility_DisplayArrayInTable(Scope3_SourceData.Scope3_Agrochemicals_Data(), Table_Scope3_Agrochemicals[[#Headers],[Agrochemical type]], 0, 2)</calculatedColumnFormula>
    </tableColumn>
    <tableColumn id="6" xr3:uid="{AE546F26-6FD4-4093-89DC-94C7CED9A9F2}" name="Custom emissions intensity" dataDxfId="196"/>
    <tableColumn id="7" xr3:uid="{A67960B4-7A0D-47E4-84DD-812458CC8633}" name="Emissions intensity unit" dataDxfId="195">
      <calculatedColumnFormula array="1">Common_InputFunctions.Utility_DisplayArrayInTable(Scope3_SourceData.Scope3_Agrochemicals_Data(), Table_Scope3_Agrochemicals[[#Headers],[Agrochemical type]], 0, 2)</calculatedColumnFormula>
    </tableColumn>
    <tableColumn id="8" xr3:uid="{A52E5303-9A66-40E6-B2D1-9BFB1F8DCB87}" name="Scope 3 emissions exc. custom (t CO2-e)" dataDxfId="194">
      <calculatedColumnFormula>Table_Scope3_Agrochemicals[[#This Row],[Quantity]]*Table_Scope3_Agrochemicals[[#This Row],[AusLCI Emissions intensity]]</calculatedColumnFormula>
    </tableColumn>
    <tableColumn id="9" xr3:uid="{9BEE8F3F-1516-4C76-A1DD-B80075407F60}" name="Scope 3 emissions inc. custom (t CO2-e)2" dataDxfId="193">
      <calculatedColumnFormula>Table_Scope3_Agrochemicals[[#This Row],[Quantity]]*IF(Table_Scope3_Agrochemicals[[#This Row],[Custom emissions intensity]], Table_Scope3_Agrochemicals[[#This Row],[Custom emissions intensity]], Table_Scope3_Agrochemicals[[#This Row],[AusLCI Emissions intensity]])</calculatedColumnFormula>
    </tableColumn>
    <tableColumn id="10" xr3:uid="{EB00C0C9-58CE-47C6-BC17-1630867D7EC7}" name="Custom emissions intensity source" dataDxfId="192"/>
    <tableColumn id="11" xr3:uid="{BCC280A4-70B3-4C0E-8867-0DDF4348CD1E}" name="Custom emissions intensity source type (Select)" dataDxfId="191" dataCellStyle="Input select"/>
    <tableColumn id="12" xr3:uid="{A488298E-41BE-414B-A691-6BF06CC16487}" name="Custom emissions intensity credential / certification link" dataDxfId="190"/>
    <tableColumn id="13" xr3:uid="{BAFCF88E-DDA4-4655-B797-2A797B0A305A}" name="Scope 3 data score" dataDxfId="189">
      <calculatedColumnFormula array="1">Common_InputFunctions.Utility_LookupValueInTableNumber(Table_Scope3_Agrochemicals[[#This Row],[Custom emissions intensity source type (Select)]],#REF!,#REF!)</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DCE235B-14D5-479C-8490-6C77374E0AD6}" name="Table68" displayName="Table68" ref="D105:O108" totalsRowShown="0" headerRowDxfId="188" dataDxfId="187" headerRowCellStyle="Equation table header">
  <autoFilter ref="D105:O108" xr:uid="{2BD37221-6228-41F3-8E25-E7922F3C09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201E3D2-D8B3-44F6-A2BB-3CB56697A062}" name="Lick block type" dataDxfId="186">
      <calculatedColumnFormula array="1">Common_InputFunctions.Utility_DisplayArrayInTable(Scope3_SourceData.Scope3_LickBlocks_Data(), Table68[[#Headers],[Lick block type]], 0, 2)</calculatedColumnFormula>
    </tableColumn>
    <tableColumn id="2" xr3:uid="{DA652F67-ACF2-45FA-B5F7-8948109EB6E0}" name="Quantity" dataDxfId="185"/>
    <tableColumn id="3" xr3:uid="{19B996C8-D69C-4B31-8A1A-53E04E32DD8B}" name="Quantity Unit" dataDxfId="184">
      <calculatedColumnFormula array="1">Common_InputFunctions.Utility_DisplayArrayInTable(Scope3_SourceData.Scope3_LickBlocks_Data(), Table68[[#Headers],[Lick block type]], 0, 2)</calculatedColumnFormula>
    </tableColumn>
    <tableColumn id="4" xr3:uid="{0BBA9652-55A0-4ADC-8679-910D7D9BECE8}" name="AusLCI Emissions intensity" dataDxfId="183">
      <calculatedColumnFormula array="1">Common_InputFunctions.Utility_DisplayArrayInTable(Scope3_SourceData.Scope3_LickBlocks_Data(), Table68[[#Headers],[Lick block type]], 0, 2)</calculatedColumnFormula>
    </tableColumn>
    <tableColumn id="5" xr3:uid="{35DFE3B5-382A-4DD4-AF8A-5BEEF9989085}" name="Custom emissions intensity" dataDxfId="182"/>
    <tableColumn id="6" xr3:uid="{57CCC596-EAA4-4752-99FE-80BB013322CC}" name="Emissions intensity unit" dataDxfId="181">
      <calculatedColumnFormula array="1">Common_InputFunctions.Utility_DisplayArrayInTable(Scope3_SourceData.Scope3_LickBlocks_Data(), Table68[[#Headers],[Lick block type]], 0, 2)</calculatedColumnFormula>
    </tableColumn>
    <tableColumn id="7" xr3:uid="{52FCEC3F-745B-45BC-848C-FDF48E168366}" name="Scope 3 emissions exc. custom (t CO2-e)" dataDxfId="180">
      <calculatedColumnFormula>Table68[[#This Row],[Quantity]]*Table68[[#This Row],[AusLCI Emissions intensity]]</calculatedColumnFormula>
    </tableColumn>
    <tableColumn id="8" xr3:uid="{ACEAD9C0-64C5-4DB5-A632-9C95391E16BA}" name="Scope 3 emissions inc. custom (t CO2-e)2" dataDxfId="179">
      <calculatedColumnFormula>Table68[[#This Row],[Quantity]]*IF(Table68[[#This Row],[Custom emissions intensity]], Table68[[#This Row],[Custom emissions intensity]], Table68[[#This Row],[AusLCI Emissions intensity]])</calculatedColumnFormula>
    </tableColumn>
    <tableColumn id="9" xr3:uid="{6D56F11C-FDD6-4BDF-B8E1-B3B94F441CF6}" name="Custom emissions intensity source" dataDxfId="178"/>
    <tableColumn id="10" xr3:uid="{3FE4C6F0-46BC-4CAE-BB4B-E2388FD8F5DE}" name="Custom emissions intensity source type (Select)" dataDxfId="177" dataCellStyle="Input select"/>
    <tableColumn id="11" xr3:uid="{7C058F3A-D9B7-4B57-988F-7C114A1D1B0E}" name="Custom emissions intensity credential / certification link" dataDxfId="176"/>
    <tableColumn id="12" xr3:uid="{91B54F2B-4870-4004-BA7C-24F0081E7D43}" name="Scope 3 data score" dataDxfId="175">
      <calculatedColumnFormula array="1">Common_InputFunctions.Utility_LookupValueInTableNumber(Table68[[#This Row],[Custom emissions intensity source type (Select)]],#REF!,#REF!)</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B67CB68-19C9-41C6-BD2C-B7ED574A900C}" name="Table_Scope3_AnimalFeed" displayName="Table_Scope3_AnimalFeed" ref="D117:O133" totalsRowShown="0" headerRowDxfId="174" dataDxfId="173" headerRowCellStyle="Equation table header">
  <autoFilter ref="D117:O133" xr:uid="{DAB87CE6-879B-4536-B39F-9EB7F056F7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BD27C13-197F-40CA-90A4-FCB9A876CA6F}" name="Feed ingredient" dataDxfId="172">
      <calculatedColumnFormula array="1">Common_InputFunctions.Utility_DisplayArrayInTable(Scope3_SourceData.Scope3_AnimalFeed_Data(), Table_Scope3_AnimalFeed[[#Headers],[Feed ingredient]], 0, 2)</calculatedColumnFormula>
    </tableColumn>
    <tableColumn id="2" xr3:uid="{2C47578D-1CC6-4911-9115-3B20D15CC269}" name="Quantity" dataDxfId="171"/>
    <tableColumn id="3" xr3:uid="{B6D0EB09-D24D-437B-9239-AC59FD1E1DE6}" name="Quantity Unit" dataDxfId="170">
      <calculatedColumnFormula array="1">Common_InputFunctions.Utility_DisplayArrayInTable(Scope3_SourceData.Scope3_AnimalFeed_Data(), Table_Scope3_AnimalFeed[[#Headers],[Feed ingredient]], 0, 2)</calculatedColumnFormula>
    </tableColumn>
    <tableColumn id="4" xr3:uid="{6B296D7E-154E-4113-AC1F-979122BFC644}" name="AusLCI Emissions intensity" dataDxfId="169">
      <calculatedColumnFormula array="1">Common_InputFunctions.Utility_DisplayArrayInTable(Scope3_SourceData.Scope3_AnimalFeed_Data(), Table_Scope3_AnimalFeed[[#Headers],[Feed ingredient]], 0, 2)</calculatedColumnFormula>
    </tableColumn>
    <tableColumn id="5" xr3:uid="{5004FF5B-716F-4260-A746-601E5243C2C0}" name="Custom emissions intensity" dataDxfId="168"/>
    <tableColumn id="6" xr3:uid="{7E2A15D3-418B-4623-BB0A-004779B919AE}" name="Emissions intensity unit" dataDxfId="167">
      <calculatedColumnFormula array="1">Common_InputFunctions.Utility_DisplayArrayInTable(Scope3_SourceData.Scope3_AnimalFeed_Data(), Table_Scope3_AnimalFeed[[#Headers],[Feed ingredient]], 0, 2)</calculatedColumnFormula>
    </tableColumn>
    <tableColumn id="7" xr3:uid="{767AED52-72E7-49C0-B02C-E266D9C271EA}" name="Scope 3 emissions exc. custom (t CO2-e)" dataDxfId="166">
      <calculatedColumnFormula>Table_Scope3_AnimalFeed[[#This Row],[Quantity]]*Table_Scope3_AnimalFeed[[#This Row],[AusLCI Emissions intensity]]</calculatedColumnFormula>
    </tableColumn>
    <tableColumn id="8" xr3:uid="{EB611953-88C5-4706-B438-ADDF33321847}" name="Scope 3 emissions inc. custom (t CO2-e)2" dataDxfId="165">
      <calculatedColumnFormula>Table_Scope3_AnimalFeed[[#This Row],[Quantity]]*IF(Table_Scope3_AnimalFeed[[#This Row],[Custom emissions intensity]], Table_Scope3_AnimalFeed[[#This Row],[Custom emissions intensity]], Table_Scope3_AnimalFeed[[#This Row],[AusLCI Emissions intensity]])</calculatedColumnFormula>
    </tableColumn>
    <tableColumn id="9" xr3:uid="{AE7A4E20-4DA5-43E0-BCE1-D83D4F7740FE}" name="Custom emissions intensity source" dataDxfId="164"/>
    <tableColumn id="10" xr3:uid="{8DE4F761-3544-4E4C-BDE3-DC02EE855AE6}" name="Custom emissions intensity source type (Select)" dataDxfId="163" dataCellStyle="Input select"/>
    <tableColumn id="11" xr3:uid="{3921779E-8049-4FA4-863E-C1CB0FC21B60}" name="Custom emissions intensity credential / certification link" dataDxfId="162"/>
    <tableColumn id="12" xr3:uid="{C378A2CF-3CA8-42AE-8BCC-9E749FEE7162}" name="Scope 3 data score" dataDxfId="161">
      <calculatedColumnFormula array="1">Common_InputFunctions.Utility_LookupValueInTableNumber(Table_Scope3_AnimalFeed[[#This Row],[Custom emissions intensity source type (Select)]],#REF!,#REF!)</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68A9F2B-5819-40D8-A5BC-B9E88CC6AFB2}" name="Table_Scope3_AquacultureFeedBait" displayName="Table_Scope3_AquacultureFeedBait" ref="D142:O150" totalsRowShown="0" headerRowDxfId="160" dataDxfId="159" headerRowCellStyle="Equation table header">
  <autoFilter ref="D142:O150" xr:uid="{F7E7200E-0C08-48D1-8A07-9947FD77E2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188F981-9EE9-4FE8-9CA6-CE7AB469CF85}" name="Feed / Bait ingredient" dataDxfId="158">
      <calculatedColumnFormula array="1">Common_InputFunctions.Utility_DisplayArrayInTable(Scope3_SourceData.Scope3_AquacultureFeedAndBait_Data(), Table_Scope3_AquacultureFeedBait[[#Headers],[Feed / Bait ingredient]], 0, 2)</calculatedColumnFormula>
    </tableColumn>
    <tableColumn id="2" xr3:uid="{D68BA8D2-5829-4CDB-824F-394076346A27}" name="Quantity" dataDxfId="157"/>
    <tableColumn id="3" xr3:uid="{2619AB87-005B-4BC3-BF2C-4DF1E341C37D}" name="Quantity Unit" dataDxfId="156">
      <calculatedColumnFormula array="1">Common_InputFunctions.Utility_DisplayArrayInTable(Scope3_SourceData.Scope3_AquacultureFeedAndBait_Data(), Table_Scope3_AquacultureFeedBait[[#Headers],[Feed / Bait ingredient]], 0, 2)</calculatedColumnFormula>
    </tableColumn>
    <tableColumn id="4" xr3:uid="{1367638C-1D66-455D-B92C-D9F4792B2F62}" name="AusLCI Emissions intensity" dataDxfId="155">
      <calculatedColumnFormula array="1">Common_InputFunctions.Utility_DisplayArrayInTable(Scope3_SourceData.Scope3_AquacultureFeedAndBait_Data(), Table_Scope3_AquacultureFeedBait[[#Headers],[Feed / Bait ingredient]], 0, 2)</calculatedColumnFormula>
    </tableColumn>
    <tableColumn id="5" xr3:uid="{B74F0CD0-6052-409E-A908-0E970AB4B509}" name="Custom emissions intensity" dataDxfId="154"/>
    <tableColumn id="6" xr3:uid="{487B1346-7F0C-4540-843A-47F14BF4CBDF}" name="Emissions intensity unit" dataDxfId="153">
      <calculatedColumnFormula array="1">Common_InputFunctions.Utility_DisplayArrayInTable(Scope3_SourceData.Scope3_AquacultureFeedAndBait_Data(), Table_Scope3_AquacultureFeedBait[[#Headers],[Feed / Bait ingredient]], 0, 2)</calculatedColumnFormula>
    </tableColumn>
    <tableColumn id="7" xr3:uid="{27CEE63D-18C5-4029-9958-274DCF0DF53A}" name="Scope 3 emissions exc. custom (t CO2-e)" dataDxfId="152">
      <calculatedColumnFormula>Table_Scope3_AquacultureFeedBait[[#This Row],[Quantity]]*Table_Scope3_AquacultureFeedBait[[#This Row],[AusLCI Emissions intensity]]</calculatedColumnFormula>
    </tableColumn>
    <tableColumn id="8" xr3:uid="{90F179EF-9158-4D18-B1E6-2CC2AD7DE50E}" name="Scope 3 emissions inc. custom (t CO2-e)2" dataDxfId="151">
      <calculatedColumnFormula>Table_Scope3_AquacultureFeedBait[[#This Row],[Quantity]]*IF(Table_Scope3_AquacultureFeedBait[[#This Row],[Custom emissions intensity]], Table_Scope3_AquacultureFeedBait[[#This Row],[Custom emissions intensity]], Table_Scope3_AquacultureFeedBait[[#This Row],[AusLCI Emissions intensity]])</calculatedColumnFormula>
    </tableColumn>
    <tableColumn id="9" xr3:uid="{D3E5C197-F174-4357-9FFD-7C31D1749DBD}" name="Custom emissions intensity source" dataDxfId="150"/>
    <tableColumn id="10" xr3:uid="{6E51CC5A-A48D-4108-B0FC-9C3FD2967088}" name="Custom emissions intensity source type (Select)" dataDxfId="149" dataCellStyle="Input select"/>
    <tableColumn id="11" xr3:uid="{D7926F02-B044-4771-8CD8-3404809FC58C}" name="Custom emissions intensity credential / certification link" dataDxfId="148"/>
    <tableColumn id="12" xr3:uid="{02355A58-E083-4126-96A0-2A4D76149118}" name="Scope 3 data score" dataDxfId="147">
      <calculatedColumnFormula array="1">Common_InputFunctions.Utility_LookupValueInTableNumber(Table_Scope3_AquacultureFeedBait[[#This Row],[Custom emissions intensity source type (Select)]],#REF!,#REF!)</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A61C346-2591-4183-84C6-77A652B432D8}" name="Table_Scope3_Livestock" displayName="Table_Scope3_Livestock" ref="D61:P68" totalsRowShown="0" headerRowDxfId="146" dataDxfId="145" headerRowCellStyle="Equation table header">
  <autoFilter ref="D61:P68" xr:uid="{F10D1153-4A60-475C-B050-639402A54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72CF0FA-0926-4C2A-A087-50B6323D88D1}" name="Livestock class" dataDxfId="144">
      <calculatedColumnFormula array="1">Common_InputFunctions.Utility_DisplayArrayInTable(Scope3_SourceData.Scope3_Livestock_Data(), Table_Scope3_Livestock[[#Headers],[Livestock class]], 0, 2)</calculatedColumnFormula>
    </tableColumn>
    <tableColumn id="13" xr3:uid="{3316FFAF-CA1A-40A3-A5AA-4CD3F33D4A04}" name="Source" dataDxfId="143">
      <calculatedColumnFormula array="1">Common_InputFunctions.Utility_DisplayArrayInTable(Scope3_SourceData.Scope3_Livestock_Data(), Table_Scope3_Livestock[[#Headers],[Livestock class]], 0, 2)</calculatedColumnFormula>
    </tableColumn>
    <tableColumn id="2" xr3:uid="{CCC5F36E-AD44-4679-97C2-0FBE53FF44CF}" name="Liveweight" dataDxfId="142"/>
    <tableColumn id="3" xr3:uid="{F57AEE38-889B-43EC-B866-CDA3EDB7AF3B}" name="Liveweight Unit" dataDxfId="141">
      <calculatedColumnFormula array="1">Common_InputFunctions.Utility_DisplayArrayInTable(Scope3_SourceData.Scope3_Livestock_Data(), Table_Scope3_Livestock[[#Headers],[Livestock class]], 0, 1)</calculatedColumnFormula>
    </tableColumn>
    <tableColumn id="4" xr3:uid="{98556593-DBA8-4E21-A6DF-CACBCBC9DD88}" name="AusLCI Emissions intensity" dataDxfId="140">
      <calculatedColumnFormula array="1">Common_InputFunctions.Utility_DisplayArrayInTable(Scope3_SourceData.Scope3_Livestock_Data(), Table_Scope3_Livestock[[#Headers],[Livestock class]], 0, 1)</calculatedColumnFormula>
    </tableColumn>
    <tableColumn id="5" xr3:uid="{62B9E2F2-BA64-4F8D-9EDC-45950F3D431D}" name="Custom emissions intensity" dataDxfId="139"/>
    <tableColumn id="6" xr3:uid="{36CCFC7B-DFDE-40CB-A235-6BB125639B81}" name="Emissions intensity unit" dataDxfId="138">
      <calculatedColumnFormula array="1">Common_InputFunctions.Utility_DisplayArrayInTable(Scope3_SourceData.Scope3_Livestock_Data(), Table_Scope3_Livestock[[#Headers],[Livestock class]], 0, 1)</calculatedColumnFormula>
    </tableColumn>
    <tableColumn id="7" xr3:uid="{DAF93A78-9B42-492A-BFB2-234CE5059B38}" name="Scope 3 emissions exc. custom (t CO2-e)" dataDxfId="137">
      <calculatedColumnFormula>Table_Scope3_Livestock[[#This Row],[Liveweight]]*Table_Scope3_Livestock[[#This Row],[AusLCI Emissions intensity]]</calculatedColumnFormula>
    </tableColumn>
    <tableColumn id="8" xr3:uid="{CBFBC27A-62AB-4957-AA65-46A0F2D4E298}" name="Scope 3 emissions inc. custom (t CO2-e)2" dataDxfId="136">
      <calculatedColumnFormula>Table_Scope3_Livestock[[#This Row],[Liveweight]]*IF(Table_Scope3_Livestock[[#This Row],[Custom emissions intensity]], Table_Scope3_Livestock[[#This Row],[Custom emissions intensity]], Table_Scope3_Livestock[[#This Row],[AusLCI Emissions intensity]])</calculatedColumnFormula>
    </tableColumn>
    <tableColumn id="9" xr3:uid="{172F798E-0852-464E-A052-9321163FFE0B}" name="Custom emissions intensity source" dataDxfId="135"/>
    <tableColumn id="10" xr3:uid="{140DD246-897A-4254-ABC3-184B0752C8BC}" name="Custom emissions intensity source type (Select)" dataDxfId="134" dataCellStyle="Input select"/>
    <tableColumn id="11" xr3:uid="{024D51E6-1B28-4F3F-87A3-0C69EE7C1A2B}" name="Custom emissions intensity credential / certification link" dataDxfId="133"/>
    <tableColumn id="12" xr3:uid="{76186394-3B2E-4C37-920B-CE8FD85249D2}" name="Scope 3 data score" dataDxfId="132">
      <calculatedColumnFormula array="1">Common_InputFunctions.Utility_LookupValueInTableNumber(Table_Scope3_Livestock[[#This Row],[Custom emissions intensity source type (Select)]],#REF!,#REF!)</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BCF46AD-0532-4CB4-A4E7-D6FE0618ECB0}" name="Table_Scope3_Packaging" displayName="Table_Scope3_Packaging" ref="D159:O165" totalsRowShown="0" headerRowDxfId="131" dataDxfId="130" headerRowCellStyle="Equation table header">
  <autoFilter ref="D159:O165" xr:uid="{3F2FA35B-A7CA-4FCD-B882-1E7CEC13CD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28A72D9-C0CD-4DC2-84C8-D5F5F073E6A0}" name="Packaging component" dataDxfId="129">
      <calculatedColumnFormula array="1">Common_InputFunctions.Utility_DisplayArrayInTable(Scope3_SourceData.Scope3_Packaging_Data(),Table_Scope3_Packaging[[#Headers],[Packaging component]], 0, 2)</calculatedColumnFormula>
    </tableColumn>
    <tableColumn id="2" xr3:uid="{97453D1F-B100-4444-9D44-D6A3C09C4D0E}" name="Quantity" dataDxfId="128">
      <calculatedColumnFormula array="1">Common_InputFunctions.Utility_SumQuantityFromCriteria(Table_Scope3_Packaging[[#This Row],[Packaging component]],Table_Input_Packaging[Packaging component (select)],Table_Input_Packaging[Quantity purchased])</calculatedColumnFormula>
    </tableColumn>
    <tableColumn id="3" xr3:uid="{E73E745C-5683-475B-838D-AEA14ACD15A8}" name="Quantity Unit" dataDxfId="127">
      <calculatedColumnFormula array="1">Common_InputFunctions.Utility_DisplayArrayInTable(Scope3_SourceData.Scope3_Packaging_Data(),Table_Scope3_Packaging[[#Headers],[Packaging component]], 0, 2)</calculatedColumnFormula>
    </tableColumn>
    <tableColumn id="4" xr3:uid="{3FD643F8-559E-4D30-B7ED-16C4E920F33D}" name="AusLCI Emissions intensity" dataDxfId="126">
      <calculatedColumnFormula array="1">Common_InputFunctions.Utility_DisplayArrayInTable(Scope3_SourceData.Scope3_Packaging_Data(),Table_Scope3_Packaging[[#Headers],[Packaging component]], 0, 2)</calculatedColumnFormula>
    </tableColumn>
    <tableColumn id="5" xr3:uid="{FD8AC028-A450-47E2-90D5-151005AF9D58}" name="Custom emissions intensity" dataDxfId="125"/>
    <tableColumn id="6" xr3:uid="{ECCFA26D-A2BD-472C-9EE5-9589D767755D}" name="Emissions intensity unit" dataDxfId="124">
      <calculatedColumnFormula array="1">Common_InputFunctions.Utility_DisplayArrayInTable(Scope3_SourceData.Scope3_Packaging_Data(),Table_Scope3_Packaging[[#Headers],[Packaging component]], 0, 2)</calculatedColumnFormula>
    </tableColumn>
    <tableColumn id="7" xr3:uid="{30C79202-10CD-44D3-8398-686225EE1EB4}" name="Scope 3 emissions exc. custom (t CO2-e)" dataDxfId="123">
      <calculatedColumnFormula>Table_Scope3_Packaging[[#This Row],[Quantity]]*Table_Scope3_Packaging[[#This Row],[AusLCI Emissions intensity]]</calculatedColumnFormula>
    </tableColumn>
    <tableColumn id="8" xr3:uid="{3232BA05-6709-45B1-96A7-5A89E22A7648}" name="Scope 3 emissions inc. custom (t CO2-e)2" dataDxfId="122">
      <calculatedColumnFormula>Table_Scope3_Packaging[[#This Row],[Quantity]]*IF(Table_Scope3_Packaging[[#This Row],[Custom emissions intensity]], Table_Scope3_Packaging[[#This Row],[Custom emissions intensity]], Table_Scope3_Packaging[[#This Row],[AusLCI Emissions intensity]])</calculatedColumnFormula>
    </tableColumn>
    <tableColumn id="9" xr3:uid="{573CA4B3-9514-4539-9FDD-798316EC634C}" name="Custom emissions intensity source" dataDxfId="121"/>
    <tableColumn id="10" xr3:uid="{03479FBE-F8B9-4A37-9A74-4F7F8B621BCF}" name="Custom emissions intensity source type (Select)" dataDxfId="120" dataCellStyle="Input select"/>
    <tableColumn id="11" xr3:uid="{DF57E7E3-AB6B-4CCA-94A5-B8E8874AFE53}" name="Custom emissions intensity credential / certification link" dataDxfId="119"/>
    <tableColumn id="12" xr3:uid="{DDCFA855-4F48-43FD-A178-71B5B9D9EDE6}" name="Scope 3 data score" dataDxfId="118">
      <calculatedColumnFormula array="1">Common_InputFunctions.Utility_LookupValueInTableNumber(Table_Scope3_Packaging[[#This Row],[Custom emissions intensity source type (Select)]],#REF!,#REF!)</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69C855B-5B8B-430F-9B78-16BD3F75EB22}" name="Table_Scope3_CleaningChemicals" displayName="Table_Scope3_CleaningChemicals" ref="D174:O177" totalsRowShown="0" headerRowDxfId="117" dataDxfId="116" headerRowCellStyle="Equation table header">
  <autoFilter ref="D174:O177" xr:uid="{26083B28-B3BC-4816-8CAE-E89967B2E9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150FEC9-7493-4B26-9160-0C5E34EAE1BB}" name="Chemical type" dataDxfId="115">
      <calculatedColumnFormula array="1">Common_InputFunctions.Utility_DisplayArrayInTable(Scope3_SourceData.Scope3_CleaningChemicals_Data(), Table_Scope3_CleaningChemicals[[#Headers],[Chemical type]], 0, 2)</calculatedColumnFormula>
    </tableColumn>
    <tableColumn id="2" xr3:uid="{1D36C3F8-D0F4-4EB8-921C-E057BF8EE780}" name="Quantity" dataDxfId="114">
      <calculatedColumnFormula array="1">Common_InputFunctions.Utility_SumQuantityFromCriteria(Table_Scope3_CleaningChemicals[[#This Row],[Chemical type]],Table_Input_CleaningChemicals[Type],Table_Input_CleaningChemicals[Quantity purchased (L)])</calculatedColumnFormula>
    </tableColumn>
    <tableColumn id="3" xr3:uid="{67B3B0D4-A203-4DF9-9685-A7D04DCD58F5}" name="Quantity Unit" dataDxfId="113">
      <calculatedColumnFormula array="1">Common_InputFunctions.Utility_DisplayArrayInTable(Scope3_SourceData.Scope3_CleaningChemicals_Data(), Table_Scope3_CleaningChemicals[[#Headers],[Chemical type]], 0, 2)</calculatedColumnFormula>
    </tableColumn>
    <tableColumn id="4" xr3:uid="{56A0010A-0F49-4283-856B-AD8BFFD20FE5}" name="AusLCI Emissions intensity" dataDxfId="112">
      <calculatedColumnFormula array="1">Common_InputFunctions.Utility_DisplayArrayInTable(Scope3_SourceData.Scope3_CleaningChemicals_Data(), Table_Scope3_CleaningChemicals[[#Headers],[Chemical type]], 0, 2)</calculatedColumnFormula>
    </tableColumn>
    <tableColumn id="5" xr3:uid="{6579B8BB-E0F3-4022-AA1B-B7667E2C4B9E}" name="Custom emissions intensity" dataDxfId="111"/>
    <tableColumn id="6" xr3:uid="{42FD4F88-135A-433F-817B-5EF0A2C1CC99}" name="Emissions intensity unit" dataDxfId="110">
      <calculatedColumnFormula array="1">Common_InputFunctions.Utility_DisplayArrayInTable(Scope3_SourceData.Scope3_CleaningChemicals_Data(), Table_Scope3_CleaningChemicals[[#Headers],[Chemical type]], 0, 2)</calculatedColumnFormula>
    </tableColumn>
    <tableColumn id="7" xr3:uid="{B55FCB45-7851-4DC1-B0D0-27B7D1EAA91E}" name="Scope 3 emissions exc. custom (t CO2-e)" dataDxfId="109">
      <calculatedColumnFormula>Table_Scope3_CleaningChemicals[[#This Row],[Quantity]]*Table_Scope3_CleaningChemicals[[#This Row],[AusLCI Emissions intensity]]</calculatedColumnFormula>
    </tableColumn>
    <tableColumn id="8" xr3:uid="{B36A1114-E107-4736-814E-862B9005C600}" name="Scope 3 emissions inc. custom (t CO2-e)2" dataDxfId="108">
      <calculatedColumnFormula>Table_Scope3_CleaningChemicals[[#This Row],[Quantity]]*IF(Table_Scope3_CleaningChemicals[[#This Row],[Custom emissions intensity]], Table_Scope3_CleaningChemicals[[#This Row],[Custom emissions intensity]], Table_Scope3_CleaningChemicals[[#This Row],[AusLCI Emissions intensity]])</calculatedColumnFormula>
    </tableColumn>
    <tableColumn id="9" xr3:uid="{B97981A5-BFCD-4796-BF56-AB27C9696A26}" name="Custom emissions intensity source" dataDxfId="107"/>
    <tableColumn id="10" xr3:uid="{EEB70F68-6156-49E4-B0B4-208B3E4F7026}" name="Custom emissions intensity source type (Select)" dataDxfId="106" dataCellStyle="Input select"/>
    <tableColumn id="11" xr3:uid="{BA5DFBCA-79FA-4F03-9757-F52930F566CC}" name="Custom emissions intensity credential / certification link" dataDxfId="105"/>
    <tableColumn id="12" xr3:uid="{5DD64AB4-D99C-4EA4-A163-66A5344CAE67}" name="Scope 3 data score" dataDxfId="104">
      <calculatedColumnFormula array="1">Common_InputFunctions.Utility_LookupValueInTableNumber(Table_Scope3_CleaningChemicals[[#This Row],[Custom emissions intensity source type (Select)]],#REF!,#REF!)</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BCD346-7A40-4750-B0EE-EC53FA5BD9E6}" name="Table_Scope3_SeedsAndSeedlings" displayName="Table_Scope3_SeedsAndSeedlings" ref="D186:O188" totalsRowShown="0" headerRowDxfId="103" dataDxfId="102" headerRowCellStyle="Equation table header">
  <autoFilter ref="D186:O188" xr:uid="{554A9086-F44A-4342-A732-951CBF128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8D98FCA-668D-4B49-885B-2D37B18AB688}" name="Type" dataDxfId="101">
      <calculatedColumnFormula array="1">Common_InputFunctions.Utility_DisplayArrayInTable(Scope3_SourceData.Scope3_SeedsAndSeedlings_Data(), Table_Scope3_SeedsAndSeedlings[[#Headers],[Type]], 0, 2)</calculatedColumnFormula>
    </tableColumn>
    <tableColumn id="2" xr3:uid="{7B694384-D0B4-4B10-977F-338E97AEE84C}" name="Quantity" dataDxfId="100"/>
    <tableColumn id="3" xr3:uid="{63805590-3971-4A60-929B-D93809E38DF0}" name="Quantity Unit" dataDxfId="99">
      <calculatedColumnFormula array="1">Common_InputFunctions.Utility_DisplayArrayInTable(Scope3_SourceData.Scope3_SeedsAndSeedlings_Data(), Table_Scope3_SeedsAndSeedlings[[#Headers],[Type]], 0, 2)</calculatedColumnFormula>
    </tableColumn>
    <tableColumn id="4" xr3:uid="{AE0CF8BA-0345-4457-B150-DB9D2E95C744}" name="AusLCI Emissions intensity" dataDxfId="98">
      <calculatedColumnFormula array="1">Common_InputFunctions.Utility_DisplayArrayInTable(Scope3_SourceData.Scope3_SeedsAndSeedlings_Data(), Table_Scope3_SeedsAndSeedlings[[#Headers],[Type]], 0, 2)</calculatedColumnFormula>
    </tableColumn>
    <tableColumn id="5" xr3:uid="{2D5A096B-DC1A-4FC8-80BF-74CFB631F8F7}" name="Custom emissions intensity" dataDxfId="97"/>
    <tableColumn id="6" xr3:uid="{960D495E-0E8D-4D30-BC61-38A22BE904C7}" name="Emissions intensity unit" dataDxfId="96">
      <calculatedColumnFormula array="1">Common_InputFunctions.Utility_DisplayArrayInTable(Scope3_SourceData.Scope3_SeedsAndSeedlings_Data(), Table_Scope3_SeedsAndSeedlings[[#Headers],[Type]], 0, 2)</calculatedColumnFormula>
    </tableColumn>
    <tableColumn id="7" xr3:uid="{D3780652-803F-47CE-9DAF-E4A037066AB0}" name="Scope 3 emissions exc. custom (t CO2-e)" dataDxfId="95">
      <calculatedColumnFormula>Table_Scope3_SeedsAndSeedlings[[#This Row],[Quantity]]*Table_Scope3_SeedsAndSeedlings[[#This Row],[AusLCI Emissions intensity]]</calculatedColumnFormula>
    </tableColumn>
    <tableColumn id="8" xr3:uid="{AE235AA0-F3A1-4253-9D93-564F20006938}" name="Scope 3 emissions inc. custom (t CO2-e)2" dataDxfId="94">
      <calculatedColumnFormula>Table_Scope3_SeedsAndSeedlings[[#This Row],[Quantity]]*IF(Table_Scope3_SeedsAndSeedlings[[#This Row],[Custom emissions intensity]], Table_Scope3_SeedsAndSeedlings[[#This Row],[Custom emissions intensity]], Table_Scope3_SeedsAndSeedlings[[#This Row],[AusLCI Emissions intensity]])</calculatedColumnFormula>
    </tableColumn>
    <tableColumn id="9" xr3:uid="{F8EC6892-59F4-4D09-89F0-B86407819470}" name="Custom emissions intensity source" dataDxfId="93"/>
    <tableColumn id="10" xr3:uid="{5E3F759A-7CF7-4F32-AC47-C403C13E0582}" name="Custom emissions intensity source type (Select)" dataDxfId="92" dataCellStyle="Input select"/>
    <tableColumn id="11" xr3:uid="{A13B6EC5-BD65-4FA5-8B09-64B174833640}" name="Custom emissions intensity credential / certification link" dataDxfId="91"/>
    <tableColumn id="12" xr3:uid="{DC7BD0B8-3757-44E3-B057-917F174C2634}" name="Scope 3 data score" dataDxfId="90">
      <calculatedColumnFormula array="1">Common_InputFunctions.Utility_LookupValueInTableNumber(Table_Scope3_SeedsAndSeedlings[[#This Row],[Custom emissions intensity source type (Select)]],#REF!,#REF!)</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CAAF18-1BF9-4F9F-A8A1-7B710191EF2E}" name="Table_Scope3_OtherInputs" displayName="Table_Scope3_OtherInputs" ref="D197:O203" totalsRowShown="0" headerRowDxfId="89" dataDxfId="88" headerRowCellStyle="Equation table header">
  <autoFilter ref="D197:O203" xr:uid="{79FBD0D7-6F21-4960-82E5-53B1BF766321}"/>
  <tableColumns count="12">
    <tableColumn id="1" xr3:uid="{9118B514-5A77-4BBB-9BA7-F9D0F1CFE720}" name="Type" dataDxfId="87">
      <calculatedColumnFormula array="1">Common_InputFunctions.Utility_DisplayArrayInTable(Scope3_SourceData.Scope3_OtherAgriculturalInputs_Data(), Table_Scope3_OtherInputs[[#Headers],[Type]], 0, 2)</calculatedColumnFormula>
    </tableColumn>
    <tableColumn id="2" xr3:uid="{7C701687-D054-4D5D-8D50-2C3451587D5E}" name="Quantity" dataDxfId="86"/>
    <tableColumn id="3" xr3:uid="{57057AAD-AF35-42B5-85F1-B6F80380B944}" name="Quantity Unit" dataDxfId="85">
      <calculatedColumnFormula array="1">Common_InputFunctions.Utility_DisplayArrayInTable(Scope3_SourceData.Scope3_OtherAgriculturalInputs_Data(), Table_Scope3_OtherInputs[[#Headers],[Type]], 0, 2)</calculatedColumnFormula>
    </tableColumn>
    <tableColumn id="4" xr3:uid="{1523AD08-BCA3-4978-9878-634E3C3C38FE}" name="AusLCI Emissions intensity" dataDxfId="84">
      <calculatedColumnFormula array="1">Common_InputFunctions.Utility_DisplayArrayInTable(Scope3_SourceData.Scope3_OtherAgriculturalInputs_Data(), Table_Scope3_OtherInputs[[#Headers],[Type]], 0, 2)</calculatedColumnFormula>
    </tableColumn>
    <tableColumn id="5" xr3:uid="{022ACB78-B94C-412F-A59C-CBC62C09C189}" name="Custom emissions intensity" dataDxfId="83"/>
    <tableColumn id="6" xr3:uid="{22BAB356-6544-4E5A-A0DE-8695FBE35E4E}" name="Emissions intensity unit" dataDxfId="82">
      <calculatedColumnFormula array="1">Common_InputFunctions.Utility_DisplayArrayInTable(Scope3_SourceData.Scope3_OtherAgriculturalInputs_Data(), Table_Scope3_OtherInputs[[#Headers],[Type]], 0, 2)</calculatedColumnFormula>
    </tableColumn>
    <tableColumn id="7" xr3:uid="{66A32FD2-5926-463E-87BB-086E704122DD}" name="Scope 3 emissions exc. custom (t CO2-e)" dataDxfId="81">
      <calculatedColumnFormula>Table_Scope3_OtherInputs[[#This Row],[Quantity]]*Table_Scope3_OtherInputs[[#This Row],[AusLCI Emissions intensity]]</calculatedColumnFormula>
    </tableColumn>
    <tableColumn id="8" xr3:uid="{473A5C7C-830F-414E-AA0D-66B41B3BE560}" name="Scope 3 emissions inc. custom (t CO2-e)2" dataDxfId="80">
      <calculatedColumnFormula>Table_Scope3_OtherInputs[[#This Row],[Quantity]]*IF(Table_Scope3_OtherInputs[[#This Row],[Custom emissions intensity]], Table_Scope3_OtherInputs[[#This Row],[Custom emissions intensity]], Table_Scope3_OtherInputs[[#This Row],[AusLCI Emissions intensity]])</calculatedColumnFormula>
    </tableColumn>
    <tableColumn id="9" xr3:uid="{AFFB28D0-B534-48B1-8DEE-44E340FC0D95}" name="Custom emissions intensity source" dataDxfId="79"/>
    <tableColumn id="10" xr3:uid="{5072550B-A59D-4A10-A807-07808D4CD2E2}" name="Custom emissions intensity source type (Select)" dataDxfId="78" dataCellStyle="Input select"/>
    <tableColumn id="11" xr3:uid="{6C77E12A-D02E-43F8-94B3-23590AFE1962}" name="Custom emissions intensity credential / certification link" dataDxfId="77"/>
    <tableColumn id="12" xr3:uid="{8D10CD65-7F4F-4AE1-8545-9C47C0955D63}" name="Scope 3 data score" dataDxfId="76">
      <calculatedColumnFormula array="1">Common_InputFunctions.Utility_LookupValueInTableNumber(Table_Scope3_OtherInputs[[#This Row],[Custom emissions intensity source type (Select)]],#REF!,#REF!)</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353"/>
    <tableColumn id="2" xr3:uid="{B4717C55-1B95-4E74-B4A0-5CE7A609A36B}" name="Notes" totalsRowDxfId="352"/>
    <tableColumn id="3" xr3:uid="{D976AB1A-52FF-4FBD-9860-B9717ABA5514}" name="Company" totalsRowDxfId="351"/>
    <tableColumn id="4" xr3:uid="{D8F5EA32-4865-44AD-B9C7-F91CA2638E8B}" name="Product name" totalsRowDxfId="350"/>
    <tableColumn id="5" xr3:uid="{D241BEEC-C636-4A92-9BDB-FA8FAA1CAFB2}" name="Unit" totalsRowDxfId="349"/>
    <tableColumn id="6" xr3:uid="{78DBDBE9-27C7-4A0D-B9DA-9F57440C9DE9}" name="Density / gravity" totalsRowDxfId="348"/>
    <tableColumn id="7" xr3:uid="{A50CBE27-EC38-4A34-A2CE-1002E6BA3DD3}" name="Urea source" totalsRowDxfId="347"/>
    <tableColumn id="8" xr3:uid="{16B5D74A-9810-4E92-A540-3E051DC2151D}" name="Ammonia source" totalsRowDxfId="346"/>
    <tableColumn id="9" xr3:uid="{DA7A3BF5-8B40-4495-AD97-6B95B429B465}" name="Ingredient 1" totalsRowDxfId="345"/>
    <tableColumn id="10" xr3:uid="{2A0B8472-D8FF-4086-BE70-2E8BCA80080B}" name="Ingredient 1 percent" totalsRowDxfId="344"/>
    <tableColumn id="11" xr3:uid="{F12415FE-ED65-47A4-AFBE-CEA738CED011}" name="Ingredient 2" totalsRowDxfId="343"/>
    <tableColumn id="12" xr3:uid="{26500CB3-2A36-4020-8DCD-96905995028A}" name="Ingredient 2 percent" totalsRowDxfId="342"/>
    <tableColumn id="13" xr3:uid="{8F8E6FFC-24C1-4EC1-A491-92E852D1C21B}" name="Ingredient 3" totalsRowDxfId="341"/>
    <tableColumn id="14" xr3:uid="{0D08C50E-A1D4-4D59-8D20-E9C72FE59C88}" name="Ingredient 3 percent" totalsRowDxfId="340"/>
    <tableColumn id="15" xr3:uid="{E71FD370-71A1-4861-8573-8E095564A6C6}" name="Ingredient 4" totalsRowDxfId="339"/>
    <tableColumn id="16" xr3:uid="{05524065-59E0-4732-9D5C-80182402ACED}" name="Ingredient 4 percent" totalsRowDxfId="338"/>
    <tableColumn id="17" xr3:uid="{E73E9DAE-88FE-451C-83BB-46CE2CD11EAC}" name="Ingredient 5" totalsRowDxfId="337"/>
    <tableColumn id="18" xr3:uid="{E43B92CC-872A-4D81-AE03-F2A3A1AA9B65}" name="Ingredient 5 percent" totalsRowDxfId="336"/>
    <tableColumn id="19" xr3:uid="{877362A6-7696-4C2B-9AC9-A50CEF0951B6}" name="Ingredient 6" totalsRowDxfId="335"/>
    <tableColumn id="37" xr3:uid="{22756E59-4033-405C-B6C2-0A2E122D072F}" name="Ingredient 6 percent" totalsRowDxfId="334"/>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33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33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33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330" dataCellStyle="Content normal">
  <autoFilter ref="K19:L28" xr:uid="{27B93029-EB1F-4C4A-A946-CD673A8A6C46}">
    <filterColumn colId="0" hiddenButton="1"/>
    <filterColumn colId="1" hiddenButton="1"/>
  </autoFilter>
  <tableColumns count="2">
    <tableColumn id="1" xr3:uid="{D0F0FE53-48EF-4C1D-923D-46B182A1D219}" name="Fertiliser type f" dataDxfId="329"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32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327" dataCellStyle="Content normal">
  <autoFilter ref="Q19:R28" xr:uid="{791CEA59-796C-47AB-86BC-41E8F699030C}">
    <filterColumn colId="0" hiddenButton="1"/>
    <filterColumn colId="1" hiddenButton="1"/>
  </autoFilter>
  <tableColumns count="2">
    <tableColumn id="1" xr3:uid="{8D461AD8-9C85-4218-9322-36C1AD6A4022}" name="Fertiliser type f" dataDxfId="326"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32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324" dataDxfId="32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322">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321">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320">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319">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318">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317">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316">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31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314" dataDxfId="31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312">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311">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310">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309">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308">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307">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306">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305">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30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303" dataDxfId="302">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301"/>
    <tableColumn id="2" xr3:uid="{13C467F2-26C0-4F6F-B92F-24A4B990E442}" name="Power standalone machinery or heating" dataDxfId="300"/>
    <tableColumn id="3" xr3:uid="{15E7EDC3-8A83-409D-86B7-926996BE8FBC}" name="Aviation" dataDxfId="299"/>
    <tableColumn id="5" xr3:uid="{F31E6FAB-A518-436D-BFB8-D7426676641C}" name="Cars and light commercial vehicles" dataDxfId="298"/>
    <tableColumn id="7" xr3:uid="{6CC11CFE-89B6-44EE-8AED-42AC5C27DB07}" name="Off-road Agriculture and forestry equipment" dataDxfId="297" dataCellStyle="Content bold"/>
    <tableColumn id="8" xr3:uid="{30476670-3728-4B3D-9436-B58D01B767DE}" name="Vessels" dataDxfId="296" dataCellStyle="Content bold"/>
    <tableColumn id="6" xr3:uid="{701F62A8-8600-449C-8513-D7CA0BE9C5D9}" name="General use" dataDxfId="295"/>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294" dataDxfId="29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292">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291">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290">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289">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288">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287">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28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285" totalsRowDxfId="284">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283">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282">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28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28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27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27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27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27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27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274">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273"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272"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271"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270"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269"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268"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267"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266"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265"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264"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263"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262"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261"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260"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25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25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25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25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25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25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2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2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2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2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2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2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2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2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2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2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2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2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2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2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2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23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2.bin"/><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2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2" Type="http://schemas.openxmlformats.org/officeDocument/2006/relationships/table" Target="../tables/table15.xml"/><Relationship Id="rId1" Type="http://schemas.openxmlformats.org/officeDocument/2006/relationships/table" Target="../tables/table14.xml"/><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11" Type="http://schemas.openxmlformats.org/officeDocument/2006/relationships/table" Target="../tables/table36.xml"/><Relationship Id="rId5" Type="http://schemas.openxmlformats.org/officeDocument/2006/relationships/table" Target="../tables/table30.xml"/><Relationship Id="rId10" Type="http://schemas.openxmlformats.org/officeDocument/2006/relationships/table" Target="../tables/table35.xml"/><Relationship Id="rId4" Type="http://schemas.openxmlformats.org/officeDocument/2006/relationships/table" Target="../tables/table29.xml"/><Relationship Id="rId9" Type="http://schemas.openxmlformats.org/officeDocument/2006/relationships/table" Target="../tables/table3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52.xml"/><Relationship Id="rId13" Type="http://schemas.openxmlformats.org/officeDocument/2006/relationships/table" Target="../tables/table57.xml"/><Relationship Id="rId18" Type="http://schemas.openxmlformats.org/officeDocument/2006/relationships/table" Target="../tables/table62.xml"/><Relationship Id="rId3" Type="http://schemas.openxmlformats.org/officeDocument/2006/relationships/table" Target="../tables/table47.xml"/><Relationship Id="rId7" Type="http://schemas.openxmlformats.org/officeDocument/2006/relationships/table" Target="../tables/table51.xml"/><Relationship Id="rId12" Type="http://schemas.openxmlformats.org/officeDocument/2006/relationships/table" Target="../tables/table56.xml"/><Relationship Id="rId17" Type="http://schemas.openxmlformats.org/officeDocument/2006/relationships/table" Target="../tables/table61.xml"/><Relationship Id="rId2" Type="http://schemas.openxmlformats.org/officeDocument/2006/relationships/table" Target="../tables/table46.xml"/><Relationship Id="rId16" Type="http://schemas.openxmlformats.org/officeDocument/2006/relationships/table" Target="../tables/table60.xml"/><Relationship Id="rId1" Type="http://schemas.openxmlformats.org/officeDocument/2006/relationships/printerSettings" Target="../printerSettings/printerSettings5.bin"/><Relationship Id="rId6" Type="http://schemas.openxmlformats.org/officeDocument/2006/relationships/table" Target="../tables/table50.xml"/><Relationship Id="rId11" Type="http://schemas.openxmlformats.org/officeDocument/2006/relationships/table" Target="../tables/table55.xml"/><Relationship Id="rId5" Type="http://schemas.openxmlformats.org/officeDocument/2006/relationships/table" Target="../tables/table49.xml"/><Relationship Id="rId15" Type="http://schemas.openxmlformats.org/officeDocument/2006/relationships/table" Target="../tables/table59.xml"/><Relationship Id="rId10" Type="http://schemas.openxmlformats.org/officeDocument/2006/relationships/table" Target="../tables/table54.xml"/><Relationship Id="rId4" Type="http://schemas.openxmlformats.org/officeDocument/2006/relationships/table" Target="../tables/table48.xml"/><Relationship Id="rId9" Type="http://schemas.openxmlformats.org/officeDocument/2006/relationships/table" Target="../tables/table53.xml"/><Relationship Id="rId14" Type="http://schemas.openxmlformats.org/officeDocument/2006/relationships/table" Target="../tables/table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279</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280</v>
      </c>
      <c r="N5" s="110"/>
    </row>
    <row r="6" spans="1:24" ht="20.100000000000001" customHeight="1" x14ac:dyDescent="0.25">
      <c r="D6" s="111"/>
      <c r="N6" s="112"/>
    </row>
    <row r="7" spans="1:24" ht="20.100000000000001" customHeight="1" x14ac:dyDescent="0.25">
      <c r="A7" s="19" t="s">
        <v>67</v>
      </c>
      <c r="D7" s="8" t="s">
        <v>281</v>
      </c>
      <c r="E7" s="86" t="s">
        <v>282</v>
      </c>
      <c r="F7" s="68"/>
    </row>
    <row r="8" spans="1:24" ht="20.100000000000001" customHeight="1" x14ac:dyDescent="0.25">
      <c r="A8" s="16" t="str">
        <f>HYPERLINK("#'Input - Electricity'!A1", "Electricity")</f>
        <v>Electricity</v>
      </c>
      <c r="D8" s="113" t="s">
        <v>283</v>
      </c>
      <c r="E8" s="86" t="s">
        <v>284</v>
      </c>
    </row>
    <row r="9" spans="1:24" ht="20.100000000000001" customHeight="1" x14ac:dyDescent="0.25">
      <c r="A9" s="16"/>
      <c r="N9" s="114"/>
    </row>
    <row r="10" spans="1:24" ht="20.100000000000001" customHeight="1" x14ac:dyDescent="0.25">
      <c r="A10" s="21" t="s">
        <v>77</v>
      </c>
      <c r="D10" s="100" t="s">
        <v>285</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286</v>
      </c>
      <c r="E12" s="118">
        <v>45292</v>
      </c>
      <c r="F12" s="68" t="s">
        <v>287</v>
      </c>
    </row>
    <row r="13" spans="1:24" ht="20.100000000000001" customHeight="1" x14ac:dyDescent="0.25">
      <c r="A13" s="23" t="s">
        <v>78</v>
      </c>
      <c r="D13" s="113" t="s">
        <v>288</v>
      </c>
      <c r="E13" s="119">
        <f>DATE(YEAR(E12)+1,MONTH(E12),DAY(E12))-1</f>
        <v>45657</v>
      </c>
      <c r="F13" s="68" t="s">
        <v>289</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290</v>
      </c>
      <c r="N16" s="120"/>
      <c r="O16" s="120"/>
    </row>
    <row r="17" spans="1:25" ht="20.100000000000001" customHeight="1" x14ac:dyDescent="0.25">
      <c r="A17" s="3"/>
    </row>
    <row r="18" spans="1:25" ht="20.100000000000001" customHeight="1" x14ac:dyDescent="0.25">
      <c r="A18" s="3"/>
      <c r="D18" s="121" t="s">
        <v>291</v>
      </c>
      <c r="E18" s="41"/>
      <c r="F18" s="41"/>
      <c r="G18" s="42"/>
    </row>
    <row r="19" spans="1:25" ht="20.100000000000001" customHeight="1" x14ac:dyDescent="0.25">
      <c r="A19" s="3"/>
      <c r="D19" s="44" t="s">
        <v>292</v>
      </c>
      <c r="E19" s="45"/>
      <c r="F19" s="45"/>
      <c r="G19" s="46"/>
      <c r="N19" s="110"/>
    </row>
    <row r="20" spans="1:25" ht="20.100000000000001" customHeight="1" x14ac:dyDescent="0.25">
      <c r="A20" s="3"/>
      <c r="D20" s="8"/>
      <c r="E20" s="122"/>
      <c r="F20" s="68"/>
      <c r="N20" s="112"/>
    </row>
    <row r="21" spans="1:25" ht="20.100000000000001" customHeight="1" x14ac:dyDescent="0.25">
      <c r="A21" s="3"/>
      <c r="D21" s="8" t="s">
        <v>293</v>
      </c>
      <c r="E21" s="48" t="s">
        <v>428</v>
      </c>
      <c r="F21" s="68" t="s">
        <v>198</v>
      </c>
    </row>
    <row r="22" spans="1:25" ht="20.100000000000001" customHeight="1" x14ac:dyDescent="0.25">
      <c r="A22" s="3"/>
      <c r="D22" s="8" t="s">
        <v>294</v>
      </c>
      <c r="E22" s="48" t="s">
        <v>295</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0"/>
  <sheetViews>
    <sheetView showGridLines="0" topLeftCell="A6" zoomScale="85" zoomScaleNormal="85" workbookViewId="0">
      <selection activeCell="E19" sqref="E19"/>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437</v>
      </c>
      <c r="F17" s="67" t="s">
        <v>430</v>
      </c>
      <c r="G17" s="67" t="s">
        <v>431</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211</v>
      </c>
      <c r="E19" s="77">
        <v>200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1.2150000000000001</v>
      </c>
      <c r="H19" s="77">
        <v>0</v>
      </c>
      <c r="I19" s="78">
        <f>(Table_Input_InorganicFertiliser_Brands[[#This Row],[Amount applied per hectare]]*Table_Input_InorganicFertiliser_Brands[[#This Row],[Density]])*Table_Input_InorganicFertiliser_Brands[[#This Row],[Application area (ha)]]</f>
        <v>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0.1</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Boron</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8"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8"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29.160000009720008</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9"/>
      <c r="E20" s="80"/>
      <c r="F20" s="81"/>
      <c r="G20" s="81"/>
      <c r="H20" s="81"/>
      <c r="I20" s="81"/>
      <c r="J20" s="82"/>
      <c r="K20" s="82"/>
      <c r="L20" s="83"/>
      <c r="M20" s="83"/>
      <c r="N20" s="53"/>
      <c r="O20" s="53"/>
      <c r="P20" s="53"/>
      <c r="Q20" s="53"/>
      <c r="R20" s="53"/>
      <c r="S20" s="53"/>
      <c r="T20" s="53"/>
      <c r="U20" s="53"/>
      <c r="V20" s="53"/>
      <c r="W20" s="53"/>
      <c r="X20" s="53"/>
    </row>
    <row r="21" spans="1:24" ht="36" customHeight="1" x14ac:dyDescent="0.25">
      <c r="A21" s="16" t="str">
        <f>HYPERLINK("#'Constants - Common'!A1", "Constants - Common")</f>
        <v>Constants - Common</v>
      </c>
      <c r="D21" s="84" t="s">
        <v>212</v>
      </c>
      <c r="E21" s="85"/>
      <c r="F21" s="85"/>
      <c r="G21" s="85"/>
      <c r="H21" s="85"/>
      <c r="I21" s="85"/>
      <c r="J21" s="85"/>
      <c r="K21" s="85"/>
      <c r="L21" s="85"/>
      <c r="M21" s="85"/>
      <c r="N21" s="53"/>
      <c r="O21" s="53"/>
      <c r="P21" s="53"/>
      <c r="Q21" s="53"/>
      <c r="R21" s="53"/>
      <c r="S21" s="53"/>
      <c r="T21" s="53"/>
      <c r="U21" s="53"/>
      <c r="V21" s="53"/>
      <c r="W21" s="53"/>
      <c r="X21" s="53"/>
    </row>
    <row r="22" spans="1:24" ht="36" customHeight="1" x14ac:dyDescent="0.25">
      <c r="D22" s="67" t="s">
        <v>213</v>
      </c>
      <c r="E22" s="67" t="s">
        <v>207</v>
      </c>
      <c r="F22" s="67" t="s">
        <v>208</v>
      </c>
      <c r="G22" s="67" t="s">
        <v>209</v>
      </c>
      <c r="H22" s="67" t="s">
        <v>214</v>
      </c>
      <c r="I22" s="67" t="s">
        <v>178</v>
      </c>
      <c r="J22" s="67" t="s">
        <v>179</v>
      </c>
      <c r="K22" s="67" t="s">
        <v>180</v>
      </c>
      <c r="L22" s="67" t="s">
        <v>181</v>
      </c>
      <c r="M22" s="67" t="s">
        <v>182</v>
      </c>
      <c r="N22" s="67" t="s">
        <v>183</v>
      </c>
      <c r="O22" s="67" t="s">
        <v>184</v>
      </c>
      <c r="P22" s="67" t="s">
        <v>210</v>
      </c>
      <c r="Q22" s="75" t="s">
        <v>175</v>
      </c>
      <c r="R22" s="75" t="s">
        <v>176</v>
      </c>
      <c r="S22" s="53"/>
      <c r="T22" s="53"/>
      <c r="U22" s="53"/>
      <c r="V22" s="53"/>
      <c r="W22" s="53"/>
      <c r="X22" s="53"/>
    </row>
    <row r="23" spans="1:24" ht="36" customHeight="1" x14ac:dyDescent="0.25">
      <c r="A23" s="16"/>
      <c r="D23" s="86" t="s">
        <v>215</v>
      </c>
      <c r="E23" s="67">
        <v>0</v>
      </c>
      <c r="F23" s="77">
        <f>$E$9</f>
        <v>100</v>
      </c>
      <c r="G23" s="78">
        <f>Table_Input_InorganicFertiliser_Custom[[#This Row],[Amount applied (kg / ha)]]*Table_Input_InorganicFertiliser_Custom[[#This Row],[Application area (ha)]]</f>
        <v>0</v>
      </c>
      <c r="H23" s="87" t="s">
        <v>436</v>
      </c>
      <c r="I23" s="88">
        <v>0.45</v>
      </c>
      <c r="J23" s="87" t="s">
        <v>435</v>
      </c>
      <c r="K23" s="88">
        <v>0.3</v>
      </c>
      <c r="L23" s="87" t="s">
        <v>217</v>
      </c>
      <c r="M23" s="88">
        <v>0.1</v>
      </c>
      <c r="N23" s="89" t="s">
        <v>218</v>
      </c>
      <c r="O23" s="90">
        <v>0.1</v>
      </c>
      <c r="P23"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3" s="48" t="s">
        <v>432</v>
      </c>
      <c r="R23" s="48" t="s">
        <v>432</v>
      </c>
    </row>
    <row r="24" spans="1:24" ht="36" customHeight="1" x14ac:dyDescent="0.25">
      <c r="D24" s="195"/>
      <c r="E24" s="67">
        <v>0</v>
      </c>
      <c r="F24" s="196">
        <f>$E$9</f>
        <v>100</v>
      </c>
      <c r="G24" s="197">
        <f>Table_Input_InorganicFertiliser_Custom[[#This Row],[Amount applied (kg / ha)]]*Table_Input_InorganicFertiliser_Custom[[#This Row],[Application area (ha)]]</f>
        <v>0</v>
      </c>
      <c r="H24" s="87" t="s">
        <v>216</v>
      </c>
      <c r="I24" s="91">
        <v>0.9</v>
      </c>
      <c r="J24" s="87" t="s">
        <v>436</v>
      </c>
      <c r="K24" s="91">
        <v>0.1</v>
      </c>
      <c r="L24" s="87"/>
      <c r="M24" s="91"/>
      <c r="N24" s="89"/>
      <c r="O24" s="198"/>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4" s="76" t="s">
        <v>432</v>
      </c>
      <c r="R24" s="76" t="s">
        <v>432</v>
      </c>
    </row>
    <row r="25" spans="1:24" ht="36" customHeight="1" x14ac:dyDescent="0.25"/>
    <row r="26" spans="1:24" ht="36" customHeight="1" x14ac:dyDescent="0.25">
      <c r="D26" s="9" t="s">
        <v>219</v>
      </c>
      <c r="E26" s="7"/>
      <c r="F26" s="7"/>
      <c r="G26" s="7"/>
      <c r="H26" s="7"/>
      <c r="I26" s="7"/>
      <c r="J26" s="7"/>
      <c r="K26" s="14"/>
      <c r="L26" s="14"/>
      <c r="M26" s="14"/>
    </row>
    <row r="27" spans="1:24" ht="20.100000000000001" customHeight="1" x14ac:dyDescent="0.25">
      <c r="D27" s="14"/>
      <c r="E27" s="14"/>
      <c r="F27" s="14"/>
      <c r="G27" s="14"/>
      <c r="H27" s="14"/>
      <c r="I27" s="14"/>
      <c r="J27" s="14"/>
      <c r="K27" s="14"/>
      <c r="L27" s="14"/>
      <c r="M27" s="7"/>
    </row>
    <row r="28" spans="1:24" ht="20.100000000000001" customHeight="1" x14ac:dyDescent="0.25">
      <c r="D28" s="40" t="s">
        <v>220</v>
      </c>
      <c r="E28" s="41"/>
      <c r="F28" s="42"/>
      <c r="G28" s="40"/>
      <c r="H28" s="42"/>
      <c r="I28" s="7"/>
      <c r="J28" s="7"/>
      <c r="K28" s="14"/>
      <c r="L28" s="14"/>
      <c r="M28" s="14"/>
    </row>
    <row r="29" spans="1:24" ht="20.100000000000001" customHeight="1" x14ac:dyDescent="0.25">
      <c r="A29" s="16"/>
      <c r="D29" s="92" t="s">
        <v>221</v>
      </c>
      <c r="E29" s="93"/>
      <c r="F29" s="94"/>
      <c r="G29" s="92"/>
      <c r="H29" s="94"/>
      <c r="I29" s="14"/>
      <c r="J29" s="14"/>
      <c r="K29" s="14"/>
      <c r="L29" s="14"/>
      <c r="M29" s="7"/>
    </row>
    <row r="30" spans="1:24" ht="20.100000000000001" customHeight="1" x14ac:dyDescent="0.25">
      <c r="A30" s="16"/>
      <c r="D30" s="44" t="s">
        <v>204</v>
      </c>
      <c r="E30" s="45"/>
      <c r="F30" s="45"/>
      <c r="G30" s="45"/>
      <c r="H30" s="46"/>
      <c r="I30" s="14"/>
      <c r="J30" s="14"/>
      <c r="K30" s="14"/>
      <c r="L30" s="14"/>
      <c r="M30" s="7"/>
    </row>
    <row r="31" spans="1:24" ht="20.100000000000001" customHeight="1" x14ac:dyDescent="0.25">
      <c r="A31" s="52"/>
      <c r="D31" s="57" t="str">
        <f>IF(MAX(Table_Input_Lime[Total]) &gt; 1, "There can not be more than 100% ingredients in a product. Check the table below.", "")</f>
        <v/>
      </c>
    </row>
    <row r="32" spans="1:24" ht="20.100000000000001" customHeight="1" x14ac:dyDescent="0.25">
      <c r="A32" s="52"/>
      <c r="D32" s="95" t="s">
        <v>222</v>
      </c>
      <c r="E32" s="95" t="s">
        <v>223</v>
      </c>
      <c r="F32" s="95" t="s">
        <v>208</v>
      </c>
      <c r="G32" s="95" t="s">
        <v>224</v>
      </c>
      <c r="H32" s="95" t="s">
        <v>225</v>
      </c>
      <c r="I32" s="95" t="s">
        <v>226</v>
      </c>
      <c r="J32" s="95" t="s">
        <v>227</v>
      </c>
      <c r="K32" s="95" t="s">
        <v>228</v>
      </c>
      <c r="L32" s="95" t="s">
        <v>229</v>
      </c>
    </row>
    <row r="33" spans="1:25" ht="36" customHeight="1" x14ac:dyDescent="0.25">
      <c r="A33" s="16"/>
      <c r="D33" s="96" t="s">
        <v>230</v>
      </c>
      <c r="E33" s="77">
        <v>100</v>
      </c>
      <c r="F33" s="77">
        <f>$E$9</f>
        <v>100</v>
      </c>
      <c r="G33" s="78">
        <f>IFERROR(Table_Input_Lime[[#This Row],[Amount applied (t/hectare)]]*Table_Input_Lime[[#This Row],[Application area (ha)]], 0)</f>
        <v>10000</v>
      </c>
      <c r="H33" s="97">
        <v>0.4</v>
      </c>
      <c r="I33" s="97">
        <v>0.3</v>
      </c>
      <c r="J33" s="97">
        <v>0.25</v>
      </c>
      <c r="K33" s="97">
        <v>0.05</v>
      </c>
      <c r="L33" s="98">
        <f>SUM(Table_Input_Lime[[#This Row],[Percent Lime CaCO3]:[Percent Potash]])</f>
        <v>1</v>
      </c>
    </row>
    <row r="34" spans="1:25" ht="36" customHeight="1" x14ac:dyDescent="0.25">
      <c r="D34" s="96" t="s">
        <v>231</v>
      </c>
      <c r="E34" s="77">
        <v>100</v>
      </c>
      <c r="F34" s="77">
        <f>$E$9</f>
        <v>100</v>
      </c>
      <c r="G34" s="78">
        <f>IFERROR(Table_Input_Lime[[#This Row],[Amount applied (t/hectare)]]*Table_Input_Lime[[#This Row],[Application area (ha)]], 0)</f>
        <v>10000</v>
      </c>
      <c r="H34" s="97"/>
      <c r="I34" s="97">
        <v>1</v>
      </c>
      <c r="J34" s="97"/>
      <c r="K34" s="97"/>
      <c r="L34" s="98">
        <f>SUM(Table_Input_Lime[[#This Row],[Percent Lime CaCO3]:[Percent Potash]])</f>
        <v>1</v>
      </c>
    </row>
    <row r="35" spans="1:25" ht="36" customHeight="1" x14ac:dyDescent="0.25">
      <c r="D35" s="14"/>
      <c r="E35" s="14"/>
      <c r="F35" s="14"/>
      <c r="G35" s="14"/>
      <c r="H35" s="14"/>
      <c r="I35" s="14"/>
      <c r="J35" s="14"/>
      <c r="L35" s="7"/>
      <c r="M35" s="7"/>
    </row>
    <row r="36" spans="1:25" ht="36" customHeight="1" x14ac:dyDescent="0.25">
      <c r="D36" s="14"/>
      <c r="E36" s="14"/>
      <c r="F36" s="14"/>
      <c r="G36" s="14"/>
      <c r="H36" s="14"/>
      <c r="I36" s="14"/>
      <c r="J36" s="99"/>
      <c r="K36" s="7"/>
      <c r="L36" s="7"/>
      <c r="M36" s="7"/>
    </row>
    <row r="37" spans="1:25" ht="20.100000000000001" customHeight="1" x14ac:dyDescent="0.25">
      <c r="D37" s="9" t="s">
        <v>232</v>
      </c>
      <c r="E37" s="7"/>
      <c r="F37" s="7"/>
      <c r="G37" s="7"/>
      <c r="H37" s="14"/>
      <c r="I37" s="14"/>
      <c r="J37" s="14"/>
      <c r="K37" s="14"/>
      <c r="L37" s="14"/>
      <c r="M37" s="14"/>
    </row>
    <row r="38" spans="1:25" ht="20.100000000000001" customHeight="1" x14ac:dyDescent="0.25">
      <c r="C38" s="53"/>
      <c r="D38" s="14"/>
      <c r="E38" s="14"/>
      <c r="F38" s="14"/>
      <c r="G38" s="14"/>
      <c r="H38" s="14"/>
      <c r="I38" s="14"/>
      <c r="J38" s="14"/>
      <c r="K38" s="14"/>
      <c r="L38" s="14"/>
      <c r="M38" s="14"/>
    </row>
    <row r="39" spans="1:25" ht="20.100000000000001" customHeight="1" x14ac:dyDescent="0.25">
      <c r="A39" s="16"/>
      <c r="C39" s="53"/>
      <c r="D39" s="40" t="s">
        <v>220</v>
      </c>
      <c r="E39" s="41"/>
      <c r="F39" s="41"/>
      <c r="G39" s="41"/>
      <c r="H39" s="42"/>
      <c r="I39" s="14"/>
      <c r="J39" s="14"/>
      <c r="K39" s="14"/>
      <c r="L39" s="14"/>
      <c r="M39" s="14"/>
      <c r="Q39" s="53"/>
      <c r="R39" s="53"/>
      <c r="S39" s="53"/>
    </row>
    <row r="40" spans="1:25" s="54" customFormat="1" ht="20.100000000000001" customHeight="1" x14ac:dyDescent="0.25">
      <c r="C40" s="8"/>
      <c r="D40" s="44" t="s">
        <v>204</v>
      </c>
      <c r="E40" s="45"/>
      <c r="F40" s="45"/>
      <c r="G40" s="45"/>
      <c r="H40" s="46"/>
      <c r="I40" s="14"/>
      <c r="J40" s="14"/>
      <c r="K40" s="14"/>
      <c r="L40" s="14"/>
      <c r="M40" s="14"/>
      <c r="N40" s="8"/>
      <c r="O40" s="53"/>
      <c r="P40" s="53"/>
      <c r="Q40" s="53"/>
      <c r="R40" s="53"/>
      <c r="S40" s="53"/>
      <c r="T40" s="8"/>
      <c r="U40" s="8"/>
      <c r="V40" s="8"/>
      <c r="W40" s="8"/>
      <c r="X40" s="8"/>
      <c r="Y40" s="8"/>
    </row>
    <row r="41" spans="1:25" s="54" customFormat="1" ht="20.100000000000001" customHeight="1" x14ac:dyDescent="0.25">
      <c r="A41" s="55"/>
      <c r="C41" s="8"/>
      <c r="D41" s="14"/>
      <c r="E41" s="14"/>
      <c r="F41" s="14"/>
      <c r="G41" s="14"/>
      <c r="H41" s="14"/>
      <c r="I41" s="14"/>
      <c r="J41" s="14"/>
      <c r="K41" s="14"/>
      <c r="L41" s="14"/>
      <c r="M41" s="53"/>
      <c r="N41" s="53"/>
      <c r="O41" s="53"/>
      <c r="P41" s="53"/>
      <c r="Q41" s="8"/>
      <c r="R41" s="8"/>
      <c r="S41" s="8"/>
      <c r="T41" s="8"/>
      <c r="U41" s="8"/>
      <c r="V41" s="8"/>
      <c r="W41" s="8"/>
      <c r="X41" s="8"/>
      <c r="Y41" s="8"/>
    </row>
    <row r="42" spans="1:25" ht="20.100000000000001" customHeight="1" x14ac:dyDescent="0.25">
      <c r="D42" s="95" t="s">
        <v>233</v>
      </c>
      <c r="E42" s="95" t="s">
        <v>234</v>
      </c>
      <c r="F42" s="95" t="s">
        <v>235</v>
      </c>
      <c r="G42" s="95" t="s">
        <v>236</v>
      </c>
      <c r="H42" s="95" t="s">
        <v>208</v>
      </c>
      <c r="I42" s="95" t="s">
        <v>237</v>
      </c>
      <c r="J42" s="95" t="s">
        <v>238</v>
      </c>
      <c r="K42" s="85"/>
      <c r="L42" s="85"/>
      <c r="M42" s="53"/>
      <c r="N42" s="53"/>
    </row>
    <row r="43" spans="1:25" ht="36" customHeight="1" x14ac:dyDescent="0.25">
      <c r="D43" s="76" t="s">
        <v>162</v>
      </c>
      <c r="E43" s="97">
        <v>0.3</v>
      </c>
      <c r="F43" s="77">
        <v>10</v>
      </c>
      <c r="G43" s="78">
        <f>Table_Input_OrganicFertiliser[[#This Row],[Amount applied (kg/hectare)]]*Table_Input_OrganicFertiliser[[#This Row],[Percentage of N in fertiliser]]</f>
        <v>3</v>
      </c>
      <c r="H43" s="77">
        <f>$E$9</f>
        <v>100</v>
      </c>
      <c r="I43" s="78">
        <f>Table_Input_OrganicFertiliser[[#This Row],[Amount applied (kg/hectare)]]*Table_Input_OrganicFertiliser[[#This Row],[Application area (ha)]]</f>
        <v>1000</v>
      </c>
      <c r="J43" s="78">
        <f>IFERROR(Table_Input_OrganicFertiliser[[#This Row],[Amount N applied (kg/hectare)]]*Table_Input_OrganicFertiliser[[#This Row],[Application area (ha)]], 0)</f>
        <v>300</v>
      </c>
      <c r="K43" s="85"/>
      <c r="L43" s="85"/>
    </row>
    <row r="44" spans="1:25" ht="36" customHeight="1" x14ac:dyDescent="0.25">
      <c r="A44" s="56" t="str">
        <f>HYPERLINK("#A1", "▲ Back to top")</f>
        <v>▲ Back to top</v>
      </c>
      <c r="D44" s="76" t="s">
        <v>156</v>
      </c>
      <c r="E44" s="97">
        <v>0.25</v>
      </c>
      <c r="F44" s="77">
        <v>10</v>
      </c>
      <c r="G44" s="78">
        <f>Table_Input_OrganicFertiliser[[#This Row],[Amount applied (kg/hectare)]]*Table_Input_OrganicFertiliser[[#This Row],[Percentage of N in fertiliser]]</f>
        <v>2.5</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250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c r="M110" s="7"/>
    </row>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9" spans="12:12" x14ac:dyDescent="0.25">
      <c r="L209" s="68"/>
    </row>
    <row r="210" spans="12:12" x14ac:dyDescent="0.25">
      <c r="L210" s="68"/>
    </row>
    <row r="211" spans="12:12" x14ac:dyDescent="0.25">
      <c r="L211" s="68"/>
    </row>
    <row r="212" spans="12:12" x14ac:dyDescent="0.25">
      <c r="L212" s="68"/>
    </row>
    <row r="213" spans="12:12" x14ac:dyDescent="0.25">
      <c r="L213" s="68"/>
    </row>
    <row r="215" spans="12:12" x14ac:dyDescent="0.25">
      <c r="L215" s="68"/>
    </row>
    <row r="217" spans="12:12" x14ac:dyDescent="0.25">
      <c r="L217" s="68"/>
    </row>
    <row r="218" spans="12:12" x14ac:dyDescent="0.25">
      <c r="L218" s="68"/>
    </row>
    <row r="219" spans="12:12" x14ac:dyDescent="0.25">
      <c r="L219" s="68"/>
    </row>
    <row r="220" spans="12:12" x14ac:dyDescent="0.25">
      <c r="L220" s="68"/>
    </row>
    <row r="222" spans="12:12" x14ac:dyDescent="0.25">
      <c r="L222" s="68"/>
    </row>
    <row r="230" spans="12:12" x14ac:dyDescent="0.25">
      <c r="L230" s="68"/>
    </row>
    <row r="231" spans="12:12" x14ac:dyDescent="0.25">
      <c r="L231" s="68"/>
    </row>
    <row r="232" spans="12:12" x14ac:dyDescent="0.25">
      <c r="L232" s="68"/>
    </row>
    <row r="235" spans="12:12" x14ac:dyDescent="0.25">
      <c r="L235" s="68"/>
    </row>
    <row r="236" spans="12:12" x14ac:dyDescent="0.25">
      <c r="L236" s="68"/>
    </row>
    <row r="237" spans="12:12" x14ac:dyDescent="0.25">
      <c r="L237" s="68"/>
    </row>
    <row r="240" spans="12:12" x14ac:dyDescent="0.25">
      <c r="L240" s="68"/>
    </row>
    <row r="241" spans="11:12" x14ac:dyDescent="0.25">
      <c r="L241" s="68"/>
    </row>
    <row r="242" spans="11:12" x14ac:dyDescent="0.25">
      <c r="L242" s="68"/>
    </row>
    <row r="245" spans="11:12" x14ac:dyDescent="0.25">
      <c r="L245" s="68"/>
    </row>
    <row r="246" spans="11:12" x14ac:dyDescent="0.25">
      <c r="K246" s="68"/>
      <c r="L246" s="68"/>
    </row>
    <row r="247" spans="11:12" x14ac:dyDescent="0.25">
      <c r="L247" s="68"/>
    </row>
    <row r="251" spans="11:12" x14ac:dyDescent="0.25">
      <c r="K251" s="68"/>
    </row>
    <row r="254" spans="11:12" x14ac:dyDescent="0.25">
      <c r="L254" s="68"/>
    </row>
    <row r="255" spans="11:12" x14ac:dyDescent="0.25">
      <c r="L255" s="68"/>
    </row>
    <row r="256" spans="11:12" x14ac:dyDescent="0.25">
      <c r="K256" s="68"/>
      <c r="L256" s="68"/>
    </row>
    <row r="259" spans="11:12" x14ac:dyDescent="0.25">
      <c r="L259" s="68"/>
    </row>
    <row r="260" spans="11:12" x14ac:dyDescent="0.25">
      <c r="L260" s="68"/>
    </row>
    <row r="261" spans="11:12" x14ac:dyDescent="0.25">
      <c r="K261" s="68"/>
      <c r="L261" s="68"/>
    </row>
    <row r="262" spans="11:12" x14ac:dyDescent="0.25">
      <c r="K262" s="68"/>
    </row>
    <row r="263" spans="11:12" x14ac:dyDescent="0.25">
      <c r="K263" s="68"/>
    </row>
    <row r="264" spans="11:12" x14ac:dyDescent="0.25">
      <c r="K264" s="68"/>
      <c r="L264" s="68"/>
    </row>
    <row r="265" spans="11:12" x14ac:dyDescent="0.25">
      <c r="K265" s="68"/>
      <c r="L265" s="68"/>
    </row>
    <row r="266" spans="11:12" x14ac:dyDescent="0.25">
      <c r="L266" s="68"/>
    </row>
    <row r="267" spans="11:12" x14ac:dyDescent="0.25">
      <c r="K267" s="68"/>
    </row>
    <row r="269" spans="11:12" x14ac:dyDescent="0.25">
      <c r="K269" s="68"/>
      <c r="L269" s="68"/>
    </row>
    <row r="270" spans="11:12" x14ac:dyDescent="0.25">
      <c r="K270" s="68"/>
      <c r="L270" s="68"/>
    </row>
    <row r="271" spans="11:12" x14ac:dyDescent="0.25">
      <c r="K271" s="68"/>
      <c r="L271" s="68"/>
    </row>
    <row r="272" spans="11:12" x14ac:dyDescent="0.25">
      <c r="K272" s="68"/>
    </row>
    <row r="274" spans="11:11" x14ac:dyDescent="0.25">
      <c r="K274" s="68"/>
    </row>
    <row r="280" spans="11:11" x14ac:dyDescent="0.25">
      <c r="K280" s="68"/>
    </row>
    <row r="285" spans="11:11" x14ac:dyDescent="0.25">
      <c r="K285" s="68"/>
    </row>
    <row r="290" spans="11:11" x14ac:dyDescent="0.25">
      <c r="K290" s="68"/>
    </row>
    <row r="295" spans="11:11" x14ac:dyDescent="0.25">
      <c r="K295" s="68"/>
    </row>
    <row r="296" spans="11:11" x14ac:dyDescent="0.25">
      <c r="K296" s="68"/>
    </row>
    <row r="297" spans="11:11" x14ac:dyDescent="0.25">
      <c r="K297" s="68"/>
    </row>
    <row r="298" spans="11:11" x14ac:dyDescent="0.25">
      <c r="K298" s="68"/>
    </row>
    <row r="299" spans="11:11" x14ac:dyDescent="0.25">
      <c r="K299" s="68"/>
    </row>
    <row r="301" spans="11:11" x14ac:dyDescent="0.25">
      <c r="K301" s="68"/>
    </row>
    <row r="303" spans="11:11" x14ac:dyDescent="0.25">
      <c r="K303" s="68"/>
    </row>
    <row r="304" spans="11:11" x14ac:dyDescent="0.25">
      <c r="K304" s="68"/>
    </row>
    <row r="305" spans="11:11" x14ac:dyDescent="0.25">
      <c r="K305" s="68"/>
    </row>
    <row r="306" spans="11:11" x14ac:dyDescent="0.25">
      <c r="K306" s="68"/>
    </row>
    <row r="308" spans="11:11" x14ac:dyDescent="0.25">
      <c r="K308" s="68"/>
    </row>
    <row r="316" spans="11:11" x14ac:dyDescent="0.25">
      <c r="K316" s="68"/>
    </row>
    <row r="317" spans="11:11" x14ac:dyDescent="0.25">
      <c r="K317" s="68"/>
    </row>
    <row r="318" spans="11:11" x14ac:dyDescent="0.25">
      <c r="K318"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40" spans="11:11" x14ac:dyDescent="0.25">
      <c r="K340" s="68"/>
    </row>
    <row r="341" spans="11:11" x14ac:dyDescent="0.25">
      <c r="K341" s="68"/>
    </row>
    <row r="342" spans="11:11" x14ac:dyDescent="0.25">
      <c r="K342"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D360" s="57"/>
    </row>
  </sheetData>
  <conditionalFormatting sqref="F46">
    <cfRule type="cellIs" dxfId="61" priority="19" operator="lessThan">
      <formula>0</formula>
    </cfRule>
  </conditionalFormatting>
  <conditionalFormatting sqref="F125:F126">
    <cfRule type="cellIs" dxfId="60" priority="17" operator="lessThan">
      <formula>0</formula>
    </cfRule>
  </conditionalFormatting>
  <conditionalFormatting sqref="F137:F138">
    <cfRule type="cellIs" dxfId="59" priority="16" operator="lessThan">
      <formula>0</formula>
    </cfRule>
  </conditionalFormatting>
  <conditionalFormatting sqref="F149:F150">
    <cfRule type="cellIs" dxfId="58" priority="15" operator="lessThan">
      <formula>0</formula>
    </cfRule>
  </conditionalFormatting>
  <conditionalFormatting sqref="F161:F162">
    <cfRule type="cellIs" dxfId="57" priority="14" operator="lessThan">
      <formula>0</formula>
    </cfRule>
  </conditionalFormatting>
  <conditionalFormatting sqref="F249:F250">
    <cfRule type="cellIs" dxfId="56" priority="27" operator="lessThan">
      <formula>0</formula>
    </cfRule>
  </conditionalFormatting>
  <conditionalFormatting sqref="F254:F255">
    <cfRule type="cellIs" dxfId="55" priority="26" operator="lessThan">
      <formula>0</formula>
    </cfRule>
  </conditionalFormatting>
  <conditionalFormatting sqref="F259:F260">
    <cfRule type="cellIs" dxfId="54" priority="25" operator="lessThan">
      <formula>0</formula>
    </cfRule>
  </conditionalFormatting>
  <conditionalFormatting sqref="F283:F284">
    <cfRule type="cellIs" dxfId="53" priority="24" operator="lessThan">
      <formula>0</formula>
    </cfRule>
  </conditionalFormatting>
  <conditionalFormatting sqref="F288:F289">
    <cfRule type="cellIs" dxfId="52" priority="23" operator="lessThan">
      <formula>0</formula>
    </cfRule>
  </conditionalFormatting>
  <conditionalFormatting sqref="F293:F294">
    <cfRule type="cellIs" dxfId="51" priority="22" operator="lessThan">
      <formula>0</formula>
    </cfRule>
  </conditionalFormatting>
  <conditionalFormatting sqref="I30 I32:I36 I40:I41 H42:H44 O43 N44 I45 I47:I49 I51:I52 I203:J203 K208:L208 E209:G209 I209:J209 K246 J247 K251 J252 K256 J257 K261:K265 J262:J266 K267 J268 K269:K272 J270:J273 K274 J275 K280 J281 K285 J286 K290 J291 K295:K299 J296:J300 K301 J302 K303:K306 J304:J307 K308 J309">
    <cfRule type="cellIs" dxfId="50" priority="21" operator="lessThan">
      <formula>0</formula>
    </cfRule>
  </conditionalFormatting>
  <conditionalFormatting sqref="I56:I60">
    <cfRule type="cellIs" dxfId="49" priority="4" operator="lessThan">
      <formula>0</formula>
    </cfRule>
  </conditionalFormatting>
  <conditionalFormatting sqref="I64 M103 I123:J123 K183:L183 K187:L188 K191:L192 K197:L198 K201:L202">
    <cfRule type="cellIs" dxfId="48" priority="20" operator="lessThan">
      <formula>0</formula>
    </cfRule>
  </conditionalFormatting>
  <conditionalFormatting sqref="I75:I77">
    <cfRule type="cellIs" dxfId="47" priority="3" operator="lessThan">
      <formula>0</formula>
    </cfRule>
  </conditionalFormatting>
  <conditionalFormatting sqref="I81:I84">
    <cfRule type="cellIs" dxfId="46" priority="2" operator="lessThan">
      <formula>0</formula>
    </cfRule>
  </conditionalFormatting>
  <conditionalFormatting sqref="I88:I92">
    <cfRule type="cellIs" dxfId="45" priority="1" operator="lessThan">
      <formula>0</formula>
    </cfRule>
  </conditionalFormatting>
  <conditionalFormatting sqref="J151">
    <cfRule type="cellIs" dxfId="44" priority="18" operator="lessThan">
      <formula>0</formula>
    </cfRule>
  </conditionalFormatting>
  <conditionalFormatting sqref="L116:L119">
    <cfRule type="cellIs" dxfId="43" priority="8" operator="lessThan">
      <formula>0</formula>
    </cfRule>
  </conditionalFormatting>
  <conditionalFormatting sqref="L122">
    <cfRule type="cellIs" dxfId="42" priority="13" operator="lessThan">
      <formula>0</formula>
    </cfRule>
  </conditionalFormatting>
  <conditionalFormatting sqref="L128:L131">
    <cfRule type="cellIs" dxfId="41" priority="7" operator="lessThan">
      <formula>0</formula>
    </cfRule>
  </conditionalFormatting>
  <conditionalFormatting sqref="L134">
    <cfRule type="cellIs" dxfId="40" priority="12" operator="lessThan">
      <formula>0</formula>
    </cfRule>
  </conditionalFormatting>
  <conditionalFormatting sqref="L140:L143">
    <cfRule type="cellIs" dxfId="39" priority="6" operator="lessThan">
      <formula>0</formula>
    </cfRule>
  </conditionalFormatting>
  <conditionalFormatting sqref="L146">
    <cfRule type="cellIs" dxfId="38" priority="11" operator="lessThan">
      <formula>0</formula>
    </cfRule>
  </conditionalFormatting>
  <conditionalFormatting sqref="L152:L155">
    <cfRule type="cellIs" dxfId="37" priority="5" operator="lessThan">
      <formula>0</formula>
    </cfRule>
  </conditionalFormatting>
  <conditionalFormatting sqref="L158">
    <cfRule type="cellIs" dxfId="36" priority="10" operator="lessThan">
      <formula>0</formula>
    </cfRule>
  </conditionalFormatting>
  <conditionalFormatting sqref="L162:L163">
    <cfRule type="cellIs" dxfId="35" priority="9" operator="lessThan">
      <formula>0</formula>
    </cfRule>
  </conditionalFormatting>
  <conditionalFormatting sqref="L209:L213 L215 L217:L220 L222 J227:J229 J232:J234">
    <cfRule type="cellIs" dxfId="34" priority="28" operator="lessThan">
      <formula>0</formula>
    </cfRule>
  </conditionalFormatting>
  <dataValidations count="12">
    <dataValidation type="list" allowBlank="1" showInputMessage="1" showErrorMessage="1" sqref="D18:D19" xr:uid="{DFB1096D-C6F6-4F85-BE80-B4F0EFA04D5F}">
      <formula1>INDIRECT("FertiliserProducts[Product Name]")</formula1>
    </dataValidation>
    <dataValidation type="list" allowBlank="1" showInputMessage="1" showErrorMessage="1" sqref="D43:D44" xr:uid="{933F6C75-4F8D-4677-98CD-E5EE702A5D18}">
      <formula1>INDIRECT("Table_SourceData_OrganicFertiliserTypes[Organic fertiliser type]")</formula1>
    </dataValidation>
    <dataValidation type="list" allowBlank="1" showInputMessage="1" showErrorMessage="1" sqref="H23:H24 J23:J24 L23:L24 N23:N24"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3" xr:uid="{0C22F7DB-C841-4220-875C-77CE00E27B46}">
      <formula1>INDIRECT("Table_SourceData_Swine_CropProdSystems[Production system]")</formula1>
    </dataValidation>
    <dataValidation type="list" allowBlank="1" showInputMessage="1" showErrorMessage="1" sqref="E64" xr:uid="{1A26CE76-D0A3-489D-A86A-781AB458D170}">
      <formula1>INDIRECT("Table_SourceData_Swine_IrrigationMethods[Irrigation method]")</formula1>
    </dataValidation>
    <dataValidation type="list" allowBlank="1" showInputMessage="1" showErrorMessage="1" sqref="E248 E253 E258 E292 E287 E282 E160 E148 E124 E136" xr:uid="{25F6A59C-0583-41B9-9DD8-3BA15915AFD8}">
      <formula1>"Yes, No"</formula1>
    </dataValidation>
    <dataValidation type="list" allowBlank="1" showInputMessage="1" showErrorMessage="1" sqref="E224" xr:uid="{2695B8EE-F17D-4863-835D-8745430A24C1}">
      <formula1>INDIRECT("Table_SourceData_Dairy_ProductionSystemTemplates[Area]")</formula1>
    </dataValidation>
    <dataValidation type="list" allowBlank="1" showInputMessage="1" showErrorMessage="1" sqref="D276" xr:uid="{B3E90F14-EC39-4891-8BD5-CB7DD89D5A7E}">
      <formula1>INDIRECT("Table_SourceData_PoultryMMSStage1[MMS]")</formula1>
    </dataValidation>
    <dataValidation type="list" allowBlank="1" showInputMessage="1" showErrorMessage="1" sqref="Q23:R24"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zoomScaleNormal="100" workbookViewId="0">
      <selection activeCell="F26" sqref="F26"/>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4.125" style="7" customWidth="1"/>
    <col min="17" max="24" width="26.875" style="4" customWidth="1"/>
    <col min="25" max="25" width="25.125" style="4" customWidth="1"/>
    <col min="26" max="27" width="8" style="4"/>
    <col min="28" max="16384" width="8" style="7"/>
  </cols>
  <sheetData>
    <row r="1" spans="1:149" s="4" customFormat="1" ht="30" customHeight="1" x14ac:dyDescent="0.35">
      <c r="A1" s="150" t="e" vm="1">
        <v>#VALUE!</v>
      </c>
      <c r="C1" s="108" t="s">
        <v>378</v>
      </c>
    </row>
    <row r="2" spans="1:149" s="4" customFormat="1" ht="20.100000000000001" customHeight="1" x14ac:dyDescent="0.25">
      <c r="C2" s="2"/>
      <c r="D2" s="2"/>
      <c r="E2" s="2"/>
      <c r="F2" s="2"/>
      <c r="G2" s="2"/>
      <c r="H2" s="2"/>
      <c r="I2" s="2"/>
      <c r="J2" s="2"/>
    </row>
    <row r="3" spans="1:149" ht="20.100000000000001" customHeight="1" x14ac:dyDescent="0.25">
      <c r="A3" s="16" t="s">
        <v>302</v>
      </c>
      <c r="C3" s="39"/>
      <c r="D3" s="39"/>
      <c r="E3" s="39"/>
      <c r="F3" s="39"/>
      <c r="G3" s="39"/>
      <c r="H3" s="39"/>
      <c r="I3" s="39"/>
      <c r="J3" s="39"/>
      <c r="K3" s="39"/>
      <c r="L3" s="39"/>
      <c r="M3" s="39"/>
      <c r="N3" s="39"/>
      <c r="O3" s="39"/>
      <c r="P3" s="39"/>
      <c r="Q3" s="178"/>
      <c r="R3" s="178"/>
      <c r="S3" s="178"/>
      <c r="T3" s="178"/>
      <c r="U3" s="178"/>
      <c r="V3" s="178"/>
      <c r="W3" s="178"/>
      <c r="X3" s="178"/>
      <c r="Y3" s="178"/>
      <c r="Z3" s="178"/>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49" ht="20.100000000000001" customHeight="1" x14ac:dyDescent="0.25">
      <c r="A4" s="16" t="str">
        <f>HYPERLINK("#'Results'!A1", "Results")</f>
        <v>Results</v>
      </c>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49" ht="20.100000000000001" customHeight="1" x14ac:dyDescent="0.25">
      <c r="D5" s="9" t="s">
        <v>379</v>
      </c>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49" ht="20.100000000000001" customHeight="1" x14ac:dyDescent="0.25">
      <c r="A6" s="19" t="s">
        <v>67</v>
      </c>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49" ht="20.100000000000001" customHeight="1" x14ac:dyDescent="0.25">
      <c r="A7" s="16" t="str">
        <f>HYPERLINK("#'Input - Site'!A1", "Site")</f>
        <v>Site</v>
      </c>
      <c r="D7" s="179" t="s">
        <v>380</v>
      </c>
      <c r="E7" s="180"/>
      <c r="F7" s="70"/>
      <c r="G7" s="70"/>
      <c r="H7" s="70"/>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49" ht="20.100000000000001" customHeight="1" x14ac:dyDescent="0.25">
      <c r="A8" s="16" t="str">
        <f>HYPERLINK("#'Input - Production'!A1", "Production and outputs")</f>
        <v>Production and outputs</v>
      </c>
      <c r="D8" s="67" t="s">
        <v>222</v>
      </c>
      <c r="E8" s="67" t="s">
        <v>381</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row>
    <row r="9" spans="1:149" ht="20.100000000000001" customHeight="1" x14ac:dyDescent="0.25">
      <c r="A9" s="16" t="str">
        <f>HYPERLINK("#'Input - Herd - Dairy'!A1", "Herd - Dairy")</f>
        <v>Herd - Dairy</v>
      </c>
      <c r="D9" s="177" t="str">
        <f>'Calcs - Scope 3'!D106</f>
        <v>Mineral block</v>
      </c>
      <c r="E9" s="181">
        <v>10</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row>
    <row r="10" spans="1:149" ht="20.100000000000001" customHeight="1" x14ac:dyDescent="0.25">
      <c r="A10" s="43" t="str">
        <f>HYPERLINK("#'Input - Feed - Dairy'!A1", "Purchased feed - Livestock")</f>
        <v>Purchased feed - Livestock</v>
      </c>
      <c r="D10" s="177" t="str">
        <f>'Calcs - Scope 3'!D107</f>
        <v>Weaner block</v>
      </c>
      <c r="E10" s="181">
        <v>20</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row>
    <row r="11" spans="1:149" ht="20.100000000000001" customHeight="1" x14ac:dyDescent="0.25">
      <c r="A11" s="16" t="str">
        <f>HYPERLINK("#'Input - Herd - Feedlot'!A1", "Herd - Feedlot")</f>
        <v>Herd - Feedlot</v>
      </c>
      <c r="C11" s="182"/>
      <c r="D11" s="177" t="str">
        <f>'Calcs - Scope 3'!D108</f>
        <v>Dry season mix</v>
      </c>
      <c r="E11" s="181">
        <v>30</v>
      </c>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row>
    <row r="12" spans="1:149" ht="20.100000000000001" customHeight="1" x14ac:dyDescent="0.25">
      <c r="A12" s="16" t="str">
        <f>HYPERLINK("#'Input - Pasture'!A1", "Pasture")</f>
        <v>Pasture</v>
      </c>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49" ht="20.100000000000001" customHeight="1" x14ac:dyDescent="0.25">
      <c r="A13" s="16" t="str">
        <f>HYPERLINK("#'Input - Grains'!A1", "Crop - Grains")</f>
        <v>Crop - Grains</v>
      </c>
      <c r="D13" s="179" t="s">
        <v>382</v>
      </c>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49" ht="20.100000000000001" customHeight="1" x14ac:dyDescent="0.25">
      <c r="A14" s="16" t="str">
        <f>HYPERLINK("#'Input - Fert Lime Chem'!A1", "Fertiliser, Lime &amp; Chemicals")</f>
        <v>Fertiliser, Lime &amp; Chemicals</v>
      </c>
      <c r="D14" s="100" t="s">
        <v>360</v>
      </c>
      <c r="E14" s="116"/>
      <c r="F14" s="116"/>
      <c r="G14" s="101"/>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49" ht="20.100000000000001" customHeight="1" x14ac:dyDescent="0.25">
      <c r="A15" s="16" t="str">
        <f>HYPERLINK("#'Input - Fuel &amp; Energy'!A1", "Electricity and fuel")</f>
        <v>Electricity and fuel</v>
      </c>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49" ht="20.100000000000001" customHeight="1" x14ac:dyDescent="0.25">
      <c r="A16" s="52" t="s">
        <v>316</v>
      </c>
      <c r="D16" s="49" t="s">
        <v>383</v>
      </c>
      <c r="E16" s="49" t="s">
        <v>384</v>
      </c>
      <c r="F16" s="49" t="s">
        <v>214</v>
      </c>
      <c r="G16" s="49" t="s">
        <v>178</v>
      </c>
      <c r="H16" s="49" t="s">
        <v>385</v>
      </c>
      <c r="I16" s="49" t="s">
        <v>180</v>
      </c>
      <c r="J16" s="49" t="s">
        <v>386</v>
      </c>
      <c r="K16" s="49" t="s">
        <v>182</v>
      </c>
      <c r="L16" s="49" t="s">
        <v>387</v>
      </c>
      <c r="M16" s="49" t="s">
        <v>184</v>
      </c>
      <c r="N16" s="49" t="s">
        <v>388</v>
      </c>
      <c r="O16" s="49" t="s">
        <v>186</v>
      </c>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row>
    <row r="17" spans="1:150" ht="20.100000000000001" customHeight="1" x14ac:dyDescent="0.25">
      <c r="A17" s="52" t="s">
        <v>317</v>
      </c>
      <c r="D17" s="15"/>
      <c r="E17" s="183">
        <v>1200</v>
      </c>
      <c r="F17" s="48" t="s">
        <v>389</v>
      </c>
      <c r="G17" s="51">
        <v>0.35</v>
      </c>
      <c r="H17" s="48" t="s">
        <v>390</v>
      </c>
      <c r="I17" s="51">
        <v>0.22</v>
      </c>
      <c r="J17" s="48" t="s">
        <v>391</v>
      </c>
      <c r="K17" s="51">
        <v>0.12</v>
      </c>
      <c r="L17" s="48" t="s">
        <v>392</v>
      </c>
      <c r="M17" s="51">
        <v>0.05</v>
      </c>
      <c r="N17" s="48" t="s">
        <v>393</v>
      </c>
      <c r="O17" s="51">
        <v>0.02</v>
      </c>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row>
    <row r="18" spans="1:150" ht="20.100000000000001" customHeight="1" x14ac:dyDescent="0.25">
      <c r="A18" s="16" t="str">
        <f>HYPERLINK("#'Input - Other Farm Inputs'!A1", "Other farm inputs")</f>
        <v>Other farm inputs</v>
      </c>
      <c r="D18" s="15"/>
      <c r="E18" s="183">
        <v>3456</v>
      </c>
      <c r="F18" s="48" t="s">
        <v>397</v>
      </c>
      <c r="G18" s="51">
        <v>0.2</v>
      </c>
      <c r="H18" s="48" t="s">
        <v>394</v>
      </c>
      <c r="I18" s="51">
        <v>0.2</v>
      </c>
      <c r="J18" s="48"/>
      <c r="K18" s="51"/>
      <c r="L18" s="48"/>
      <c r="M18" s="51"/>
      <c r="N18" s="48"/>
      <c r="O18" s="51"/>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row>
    <row r="19" spans="1:150" ht="20.100000000000001" customHeight="1" x14ac:dyDescent="0.25">
      <c r="A19" s="16" t="str">
        <f>HYPERLINK("#'Input - Data quality'!A1", "Data quality")</f>
        <v>Data quality</v>
      </c>
      <c r="D19" s="15" t="s">
        <v>395</v>
      </c>
      <c r="E19" s="183">
        <v>300</v>
      </c>
      <c r="F19" s="48" t="s">
        <v>396</v>
      </c>
      <c r="G19" s="51">
        <v>1</v>
      </c>
      <c r="H19" s="48" t="s">
        <v>396</v>
      </c>
      <c r="I19" s="51">
        <v>0.2</v>
      </c>
      <c r="J19" s="48"/>
      <c r="K19" s="51"/>
      <c r="L19" s="48"/>
      <c r="M19" s="51"/>
      <c r="N19" s="48"/>
      <c r="O19" s="51"/>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row>
    <row r="20" spans="1:150" ht="20.100000000000001" customHeight="1" x14ac:dyDescent="0.25">
      <c r="A20" s="3"/>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0" ht="20.100000000000001" customHeight="1" x14ac:dyDescent="0.25">
      <c r="A21" s="21" t="s">
        <v>77</v>
      </c>
      <c r="P21" s="182"/>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0" ht="20.100000000000001" customHeight="1" x14ac:dyDescent="0.25">
      <c r="A22" s="52" t="s">
        <v>318</v>
      </c>
      <c r="J22" s="9"/>
      <c r="K22" s="9"/>
      <c r="L22" s="9"/>
      <c r="M22" s="9"/>
      <c r="N22" s="9"/>
      <c r="O22" s="9"/>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0" ht="20.100000000000001" customHeight="1" x14ac:dyDescent="0.25">
      <c r="A23" s="52" t="s">
        <v>319</v>
      </c>
      <c r="D23" s="9" t="s">
        <v>403</v>
      </c>
      <c r="P23" s="185"/>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0" ht="20.100000000000001" customHeight="1" x14ac:dyDescent="0.25">
      <c r="A24" s="16" t="str">
        <f>HYPERLINK("#'Calcs - Fert Lime'!A1", "Fertiliser &amp; soil amendments")</f>
        <v>Fertiliser &amp; soil amendments</v>
      </c>
      <c r="D24" s="143" t="s">
        <v>398</v>
      </c>
      <c r="P24" s="185"/>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0" ht="20.100000000000001" customHeight="1" x14ac:dyDescent="0.25">
      <c r="A25" s="16" t="str">
        <f>HYPERLINK("#'Calcs - Residue mgmt - Crop'!A1", "Residue management - Crop")</f>
        <v>Residue management - Crop</v>
      </c>
      <c r="D25" s="186" t="s">
        <v>383</v>
      </c>
      <c r="E25" s="186" t="s">
        <v>384</v>
      </c>
      <c r="F25" s="186" t="s">
        <v>214</v>
      </c>
      <c r="G25" s="186" t="s">
        <v>178</v>
      </c>
      <c r="H25" s="186" t="s">
        <v>385</v>
      </c>
      <c r="I25" s="186" t="s">
        <v>180</v>
      </c>
      <c r="J25" s="186" t="s">
        <v>386</v>
      </c>
      <c r="K25" s="186" t="s">
        <v>182</v>
      </c>
      <c r="L25" s="186" t="s">
        <v>387</v>
      </c>
      <c r="M25" s="186" t="s">
        <v>184</v>
      </c>
      <c r="N25" s="186" t="s">
        <v>388</v>
      </c>
      <c r="O25" s="186" t="s">
        <v>186</v>
      </c>
      <c r="P25" s="185"/>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0" ht="20.100000000000001" customHeight="1" x14ac:dyDescent="0.25">
      <c r="A26" s="16" t="str">
        <f>HYPERLINK("#'Calcs - Residue mgmt - Pasture'!A1", "Residue management - Pasture")</f>
        <v>Residue management - Pasture</v>
      </c>
      <c r="D26" s="187"/>
      <c r="E26" s="188">
        <v>1200</v>
      </c>
      <c r="F26" s="48" t="s">
        <v>404</v>
      </c>
      <c r="G26" s="90">
        <v>0.35</v>
      </c>
      <c r="H26" s="48" t="s">
        <v>399</v>
      </c>
      <c r="I26" s="90">
        <v>0.22</v>
      </c>
      <c r="J26" s="48" t="s">
        <v>400</v>
      </c>
      <c r="K26" s="90">
        <v>0.12</v>
      </c>
      <c r="L26" s="48" t="s">
        <v>401</v>
      </c>
      <c r="M26" s="90">
        <v>0.05</v>
      </c>
      <c r="N26" s="48" t="s">
        <v>402</v>
      </c>
      <c r="O26" s="90">
        <v>0.02</v>
      </c>
      <c r="P26" s="185"/>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0" ht="20.100000000000001" customHeight="1" x14ac:dyDescent="0.25">
      <c r="A27" s="16" t="str">
        <f>HYPERLINK("#'Calcs - Field burning'!A1", "Field burning - Crop")</f>
        <v>Field burning - Crop</v>
      </c>
      <c r="D27" s="189"/>
      <c r="E27" s="188">
        <v>1200</v>
      </c>
      <c r="F27" s="48" t="s">
        <v>401</v>
      </c>
      <c r="G27" s="90">
        <v>1</v>
      </c>
      <c r="H27" s="48"/>
      <c r="I27" s="90"/>
      <c r="J27" s="48"/>
      <c r="K27" s="90"/>
      <c r="L27" s="48"/>
      <c r="M27" s="90"/>
      <c r="N27" s="48"/>
      <c r="O27" s="90"/>
      <c r="P27" s="185"/>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0" ht="20.100000000000001" customHeight="1" x14ac:dyDescent="0.25">
      <c r="A28" s="16" t="str">
        <f>HYPERLINK("#'Calcs - Fuel'!A1", "Fuel")</f>
        <v>Fuel</v>
      </c>
      <c r="P28" s="185"/>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0" ht="20.100000000000001" customHeight="1" x14ac:dyDescent="0.25">
      <c r="A29" s="16" t="str">
        <f>HYPERLINK("#'Calcs - Electricity'!A1", "Electricity")</f>
        <v>Electricity</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0" ht="20.100000000000001" customHeight="1" x14ac:dyDescent="0.25">
      <c r="A30" s="16" t="str">
        <f>HYPERLINK("#'Calcs - Refrigerants'!A1", "Refrigerants")</f>
        <v>Refrigerants</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0" ht="20.100000000000001" customHeight="1" x14ac:dyDescent="0.25">
      <c r="A31" s="52" t="s">
        <v>316</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0" ht="20.100000000000001" customHeight="1" x14ac:dyDescent="0.25">
      <c r="A32" s="52" t="s">
        <v>317</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82"/>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Q38" s="178"/>
      <c r="R38" s="178"/>
      <c r="S38" s="178"/>
      <c r="T38" s="178"/>
      <c r="U38" s="178"/>
      <c r="V38" s="178"/>
      <c r="W38" s="178"/>
      <c r="X38" s="178"/>
      <c r="Y38" s="178"/>
      <c r="Z38" s="178"/>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323</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68"/>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M57" s="18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78"/>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78"/>
      <c r="S75" s="178"/>
      <c r="T75" s="178"/>
      <c r="U75" s="178"/>
      <c r="V75" s="178"/>
      <c r="W75" s="178"/>
      <c r="X75" s="178"/>
      <c r="Y75" s="178"/>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2">
    <dataValidation type="list" allowBlank="1" showInputMessage="1" showErrorMessage="1" sqref="F17:F19 H17:H19 J17:J19 L17:L19 N17:N19" xr:uid="{AD4035C5-A084-45C8-A8A0-BC37F25E0AE4}">
      <formula1>INDIRECT("Table_Scope3_AnimalFeed[Feed ingredient]")</formula1>
    </dataValidation>
    <dataValidation type="list" allowBlank="1" showInputMessage="1" showErrorMessage="1" sqref="F26:F27 H26:H27 J26:J27 L26:L27 N26:N27" xr:uid="{0AD8851A-09E8-483B-9827-926349C05F01}">
      <formula1>INDIRECT("Table_Scope3_AquacultureFeedBait[Feed / Bait ingredient]")</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Q73"/>
  <sheetViews>
    <sheetView showGridLines="0" topLeftCell="D12" workbookViewId="0">
      <selection activeCell="L24" sqref="L24"/>
    </sheetView>
  </sheetViews>
  <sheetFormatPr defaultRowHeight="15" x14ac:dyDescent="0.25"/>
  <cols>
    <col min="1" max="1" width="26.875" style="3" customWidth="1"/>
    <col min="2" max="2" width="4.125" style="3" customWidth="1"/>
    <col min="3" max="3" width="4.125" style="14" customWidth="1"/>
    <col min="4" max="10" width="26.875" style="14" customWidth="1"/>
    <col min="11" max="14" width="26.875" style="3" customWidth="1"/>
    <col min="15" max="16384" width="9" style="3"/>
  </cols>
  <sheetData>
    <row r="1" spans="1:10" ht="30" customHeight="1" x14ac:dyDescent="0.35">
      <c r="A1" s="150" t="e" vm="1">
        <v>#VALUE!</v>
      </c>
      <c r="C1" s="108" t="s">
        <v>359</v>
      </c>
      <c r="D1" s="4"/>
      <c r="E1" s="4"/>
      <c r="F1" s="4"/>
      <c r="G1" s="4"/>
      <c r="H1" s="4"/>
      <c r="I1" s="4"/>
      <c r="J1" s="4"/>
    </row>
    <row r="2" spans="1:10" ht="20.100000000000001" customHeight="1" x14ac:dyDescent="0.25">
      <c r="A2" s="4"/>
      <c r="C2" s="2"/>
      <c r="D2" s="2"/>
      <c r="E2" s="2"/>
      <c r="F2" s="2"/>
      <c r="G2" s="2"/>
      <c r="H2" s="2"/>
      <c r="I2" s="2"/>
      <c r="J2" s="2"/>
    </row>
    <row r="3" spans="1:10" ht="20.100000000000001" customHeight="1" x14ac:dyDescent="0.25">
      <c r="A3" s="16" t="s">
        <v>302</v>
      </c>
      <c r="C3" s="39"/>
      <c r="D3" s="39"/>
      <c r="E3" s="39"/>
      <c r="F3" s="39"/>
      <c r="G3" s="39"/>
      <c r="H3" s="39"/>
      <c r="I3" s="39"/>
      <c r="J3" s="39"/>
    </row>
    <row r="4" spans="1:10" ht="20.100000000000001" customHeight="1" x14ac:dyDescent="0.25">
      <c r="A4" s="16" t="str">
        <f>HYPERLINK("#'Results'!A1", "Results")</f>
        <v>Results</v>
      </c>
      <c r="C4" s="7"/>
      <c r="D4" s="7"/>
      <c r="E4" s="7"/>
      <c r="F4" s="7"/>
      <c r="G4" s="7"/>
      <c r="H4" s="7"/>
      <c r="I4" s="7"/>
      <c r="J4" s="7"/>
    </row>
    <row r="5" spans="1:10" ht="20.100000000000001" customHeight="1" x14ac:dyDescent="0.25">
      <c r="A5" s="18"/>
      <c r="C5" s="8"/>
      <c r="G5" s="8"/>
      <c r="H5" s="8"/>
      <c r="I5" s="8"/>
      <c r="J5" s="8"/>
    </row>
    <row r="6" spans="1:10" ht="20.100000000000001" customHeight="1" x14ac:dyDescent="0.25">
      <c r="A6" s="19" t="s">
        <v>67</v>
      </c>
      <c r="C6" s="8"/>
      <c r="D6" s="8" t="str">
        <f>'Calcs - Scope 3'!D198</f>
        <v>CO2 for carbonation</v>
      </c>
      <c r="E6" s="69">
        <v>100</v>
      </c>
      <c r="F6" s="68" t="str">
        <f>'Calcs - Scope 3'!F198</f>
        <v>t</v>
      </c>
      <c r="G6" s="8"/>
      <c r="H6" s="8"/>
      <c r="I6" s="8"/>
      <c r="J6" s="8"/>
    </row>
    <row r="7" spans="1:10" ht="20.100000000000001" customHeight="1" x14ac:dyDescent="0.25">
      <c r="A7" s="16" t="str">
        <f>HYPERLINK("#'Input - Site'!A1", "Site")</f>
        <v>Site</v>
      </c>
      <c r="C7" s="8"/>
      <c r="D7" s="8" t="str">
        <f>'Calcs - Scope 3'!D199</f>
        <v>Livestock antibiotics</v>
      </c>
      <c r="E7" s="69">
        <v>200</v>
      </c>
      <c r="F7" s="68" t="str">
        <f>'Calcs - Scope 3'!F199</f>
        <v>t</v>
      </c>
      <c r="G7" s="8"/>
      <c r="H7" s="8"/>
      <c r="I7" s="8"/>
      <c r="J7" s="8"/>
    </row>
    <row r="8" spans="1:10" ht="20.100000000000001" customHeight="1" x14ac:dyDescent="0.25">
      <c r="A8" s="16" t="str">
        <f>HYPERLINK("#'Input - Production'!A1", "Production and outputs")</f>
        <v>Production and outputs</v>
      </c>
      <c r="C8" s="8"/>
      <c r="D8" s="8" t="str">
        <f>'Calcs - Scope 3'!D200</f>
        <v>Nylon netting for horticulture</v>
      </c>
      <c r="E8" s="69">
        <v>300</v>
      </c>
      <c r="F8" s="68" t="str">
        <f>'Calcs - Scope 3'!F200</f>
        <v>t</v>
      </c>
      <c r="G8" s="8"/>
      <c r="H8" s="8"/>
      <c r="I8" s="8"/>
      <c r="J8" s="8"/>
    </row>
    <row r="9" spans="1:10" ht="20.100000000000001" customHeight="1" x14ac:dyDescent="0.25">
      <c r="A9" s="16" t="str">
        <f>HYPERLINK("#'Input - Herd - Dairy'!A1", "Herd - Dairy")</f>
        <v>Herd - Dairy</v>
      </c>
      <c r="C9" s="8"/>
      <c r="D9" s="8" t="str">
        <f>'Calcs - Scope 3'!D201</f>
        <v>Pallets - Wood</v>
      </c>
      <c r="E9" s="69">
        <v>400</v>
      </c>
      <c r="F9" s="68" t="str">
        <f>'Calcs - Scope 3'!F201</f>
        <v>t</v>
      </c>
      <c r="G9" s="8"/>
      <c r="H9" s="8"/>
      <c r="I9" s="8"/>
      <c r="J9" s="8"/>
    </row>
    <row r="10" spans="1:10" ht="20.100000000000001" customHeight="1" x14ac:dyDescent="0.25">
      <c r="A10" s="16" t="str">
        <f>HYPERLINK("#'Input - Feed - Dairy'!A1", "Purchased feed - Livestock")</f>
        <v>Purchased feed - Livestock</v>
      </c>
      <c r="C10" s="8"/>
      <c r="D10" s="8" t="str">
        <f>'Calcs - Scope 3'!D202</f>
        <v>Pallets - Plastic</v>
      </c>
      <c r="E10" s="69">
        <v>500</v>
      </c>
      <c r="F10" s="68" t="str">
        <f>'Calcs - Scope 3'!F202</f>
        <v>t</v>
      </c>
      <c r="G10" s="8"/>
      <c r="H10" s="8"/>
      <c r="I10" s="8"/>
      <c r="J10" s="8"/>
    </row>
    <row r="11" spans="1:10" ht="20.100000000000001" customHeight="1" x14ac:dyDescent="0.25">
      <c r="A11" s="16" t="str">
        <f>HYPERLINK("#'Input - Herd - Feedlot'!A1", "Herd - Feedlot")</f>
        <v>Herd - Feedlot</v>
      </c>
      <c r="C11" s="8"/>
      <c r="D11" s="8" t="str">
        <f>'Calcs - Scope 3'!D203</f>
        <v>Livestock tags</v>
      </c>
      <c r="E11" s="69">
        <v>600</v>
      </c>
      <c r="F11" s="68" t="str">
        <f>'Calcs - Scope 3'!F203</f>
        <v>t</v>
      </c>
      <c r="G11" s="8"/>
      <c r="H11" s="8"/>
      <c r="I11" s="8"/>
      <c r="J11" s="8"/>
    </row>
    <row r="12" spans="1:10" ht="20.100000000000001" customHeight="1" x14ac:dyDescent="0.25">
      <c r="A12" s="16" t="str">
        <f>HYPERLINK("#'Input - Pasture'!A1", "Pasture")</f>
        <v>Pasture</v>
      </c>
      <c r="D12" s="14" t="s">
        <v>376</v>
      </c>
      <c r="E12" s="69">
        <v>700</v>
      </c>
      <c r="F12" s="14" t="str">
        <f>'Calcs - Scope 3'!F187</f>
        <v>t</v>
      </c>
    </row>
    <row r="13" spans="1:10" ht="20.100000000000001" customHeight="1" x14ac:dyDescent="0.25">
      <c r="A13" s="16" t="str">
        <f>HYPERLINK("#'Input - Grains'!A1", "Crop - Grains")</f>
        <v>Crop - Grains</v>
      </c>
      <c r="D13" s="8" t="s">
        <v>377</v>
      </c>
      <c r="E13" s="69">
        <v>800</v>
      </c>
      <c r="F13" s="14" t="str">
        <f>'Calcs - Scope 3'!F188</f>
        <v>Seedling</v>
      </c>
      <c r="G13" s="8"/>
      <c r="H13" s="8"/>
      <c r="I13" s="8"/>
    </row>
    <row r="14" spans="1:10" ht="20.100000000000001" customHeight="1" x14ac:dyDescent="0.25">
      <c r="A14" s="16" t="str">
        <f>HYPERLINK("#'Input - Fert Lime Chem'!A1", "Fertiliser, Lime &amp; Chemicals")</f>
        <v>Fertiliser, Lime &amp; Chemicals</v>
      </c>
      <c r="D14" s="8"/>
      <c r="E14" s="8"/>
      <c r="F14" s="8"/>
      <c r="G14" s="8"/>
      <c r="H14" s="8"/>
      <c r="I14" s="8"/>
    </row>
    <row r="15" spans="1:10" ht="20.100000000000001" customHeight="1" x14ac:dyDescent="0.25">
      <c r="A15" s="16" t="str">
        <f>HYPERLINK("#'Input - Fuel &amp; Energy'!A1", "Electricity and fuel")</f>
        <v>Electricity and fuel</v>
      </c>
      <c r="C15" s="8"/>
      <c r="D15" s="8"/>
      <c r="E15" s="8"/>
      <c r="F15" s="8"/>
      <c r="G15" s="8"/>
      <c r="H15" s="8"/>
      <c r="I15" s="8"/>
      <c r="J15" s="8"/>
    </row>
    <row r="16" spans="1:10" ht="20.100000000000001" customHeight="1" x14ac:dyDescent="0.25">
      <c r="A16" s="52" t="s">
        <v>316</v>
      </c>
      <c r="C16" s="8"/>
      <c r="D16" s="8"/>
      <c r="E16" s="8"/>
      <c r="F16" s="8"/>
      <c r="G16" s="8"/>
      <c r="H16" s="8"/>
      <c r="I16" s="8"/>
      <c r="J16" s="8"/>
    </row>
    <row r="17" spans="1:17" ht="20.100000000000001" customHeight="1" x14ac:dyDescent="0.25">
      <c r="A17" s="52" t="s">
        <v>317</v>
      </c>
      <c r="D17" s="9" t="s">
        <v>405</v>
      </c>
      <c r="E17" s="7"/>
      <c r="F17" s="7"/>
      <c r="G17" s="7"/>
      <c r="H17" s="7"/>
      <c r="I17" s="7"/>
      <c r="J17" s="7"/>
      <c r="K17" s="7"/>
      <c r="L17" s="7"/>
      <c r="M17" s="7"/>
      <c r="N17" s="113"/>
      <c r="O17" s="113"/>
      <c r="P17" s="7"/>
      <c r="Q17" s="7"/>
    </row>
    <row r="18" spans="1:17" ht="20.100000000000001" customHeight="1" x14ac:dyDescent="0.25">
      <c r="A18" s="43" t="str">
        <f>HYPERLINK("#'Input - Other Farm Inputs'!A1", "Other farm inputs")</f>
        <v>Other farm inputs</v>
      </c>
      <c r="D18" s="185"/>
      <c r="E18" s="185"/>
      <c r="F18" s="185"/>
      <c r="G18" s="185"/>
      <c r="H18" s="185"/>
      <c r="I18" s="185"/>
      <c r="J18" s="185"/>
      <c r="K18" s="185"/>
      <c r="L18" s="185"/>
      <c r="M18" s="185"/>
      <c r="N18" s="185"/>
      <c r="O18" s="185"/>
      <c r="P18" s="185"/>
      <c r="Q18" s="185"/>
    </row>
    <row r="19" spans="1:17" ht="20.100000000000001" customHeight="1" x14ac:dyDescent="0.25">
      <c r="A19" s="16" t="str">
        <f>HYPERLINK("#'Input - Data quality'!A1", "Data quality")</f>
        <v>Data quality</v>
      </c>
      <c r="D19" s="40" t="s">
        <v>406</v>
      </c>
      <c r="E19" s="41"/>
      <c r="F19" s="42"/>
      <c r="G19" s="190"/>
      <c r="H19" s="190"/>
      <c r="I19" s="190"/>
      <c r="J19" s="191"/>
      <c r="K19" s="192"/>
      <c r="L19" s="192"/>
      <c r="M19" s="192"/>
      <c r="N19" s="192"/>
      <c r="O19" s="192"/>
      <c r="P19" s="192"/>
      <c r="Q19" s="192"/>
    </row>
    <row r="20" spans="1:17" ht="20.100000000000001" customHeight="1" x14ac:dyDescent="0.25">
      <c r="D20" s="92" t="s">
        <v>407</v>
      </c>
      <c r="E20" s="93"/>
      <c r="F20" s="94"/>
      <c r="G20" s="7"/>
      <c r="H20" s="7" t="s">
        <v>427</v>
      </c>
      <c r="I20" s="7">
        <v>100</v>
      </c>
      <c r="J20" s="7"/>
      <c r="K20" s="7"/>
      <c r="L20" s="7"/>
      <c r="M20" s="7"/>
      <c r="N20" s="7"/>
      <c r="O20" s="7"/>
      <c r="P20" s="7"/>
      <c r="Q20" s="7"/>
    </row>
    <row r="21" spans="1:17" ht="20.100000000000001" customHeight="1" x14ac:dyDescent="0.25">
      <c r="A21" s="21" t="s">
        <v>77</v>
      </c>
      <c r="D21" s="44" t="s">
        <v>408</v>
      </c>
      <c r="E21" s="45"/>
      <c r="F21" s="46"/>
      <c r="G21" s="7"/>
      <c r="H21" s="7"/>
      <c r="I21" s="7"/>
      <c r="J21" s="7"/>
      <c r="K21" s="7"/>
      <c r="L21" s="7"/>
      <c r="M21" s="7"/>
      <c r="N21" s="7"/>
      <c r="O21" s="7"/>
      <c r="P21" s="7"/>
      <c r="Q21" s="7"/>
    </row>
    <row r="22" spans="1:17" ht="20.100000000000001" customHeight="1" x14ac:dyDescent="0.25">
      <c r="A22" s="52" t="s">
        <v>318</v>
      </c>
      <c r="D22" s="185"/>
      <c r="E22" s="185"/>
      <c r="F22" s="185"/>
      <c r="G22" s="185"/>
      <c r="H22" s="185"/>
      <c r="I22" s="185"/>
      <c r="J22" s="185"/>
      <c r="K22" s="185"/>
      <c r="L22" s="185"/>
      <c r="M22" s="185"/>
      <c r="N22" s="185"/>
      <c r="O22" s="185"/>
      <c r="P22" s="185"/>
      <c r="Q22" s="185"/>
    </row>
    <row r="23" spans="1:17" ht="20.100000000000001" customHeight="1" x14ac:dyDescent="0.25">
      <c r="A23" s="52" t="s">
        <v>319</v>
      </c>
      <c r="C23" s="8"/>
      <c r="D23" s="193" t="s">
        <v>222</v>
      </c>
      <c r="E23" s="193" t="s">
        <v>409</v>
      </c>
      <c r="F23" s="193" t="s">
        <v>410</v>
      </c>
      <c r="G23" s="193" t="s">
        <v>208</v>
      </c>
      <c r="H23" s="193" t="s">
        <v>411</v>
      </c>
      <c r="I23" s="193" t="s">
        <v>412</v>
      </c>
      <c r="J23" s="193" t="s">
        <v>413</v>
      </c>
      <c r="K23" s="193" t="s">
        <v>414</v>
      </c>
      <c r="L23" s="193" t="s">
        <v>415</v>
      </c>
      <c r="M23" s="193" t="s">
        <v>416</v>
      </c>
      <c r="N23" s="193" t="s">
        <v>417</v>
      </c>
      <c r="O23" s="193" t="s">
        <v>418</v>
      </c>
      <c r="P23" s="193" t="s">
        <v>419</v>
      </c>
      <c r="Q23" s="193" t="s">
        <v>420</v>
      </c>
    </row>
    <row r="24" spans="1:17" ht="20.100000000000001" customHeight="1" x14ac:dyDescent="0.25">
      <c r="A24" s="16" t="str">
        <f>HYPERLINK("#'Calcs - Fert Lime'!A1", "Fertiliser &amp; soil amendments")</f>
        <v>Fertiliser &amp; soil amendments</v>
      </c>
      <c r="C24" s="8"/>
      <c r="D24" s="176" t="s">
        <v>421</v>
      </c>
      <c r="E24" s="181">
        <v>10</v>
      </c>
      <c r="F24" s="48" t="s">
        <v>422</v>
      </c>
      <c r="G24" s="181">
        <f>I20</f>
        <v>100</v>
      </c>
      <c r="H24" s="50">
        <f>Table_Input_Agrochemicals[[#This Row],[Amount applied per ha]]*Table_Input_Agrochemicals[[#This Row],[Application area (ha)]]</f>
        <v>1000</v>
      </c>
      <c r="I24" s="48" t="s">
        <v>425</v>
      </c>
      <c r="J24" s="48" t="s">
        <v>426</v>
      </c>
      <c r="K24" s="181">
        <v>115</v>
      </c>
      <c r="L24" s="48" t="s">
        <v>425</v>
      </c>
      <c r="M24" s="48" t="s">
        <v>424</v>
      </c>
      <c r="N24" s="181">
        <v>135</v>
      </c>
      <c r="O24" s="48" t="s">
        <v>423</v>
      </c>
      <c r="P24" s="48" t="s">
        <v>424</v>
      </c>
      <c r="Q24" s="181">
        <v>200</v>
      </c>
    </row>
    <row r="25" spans="1:17" ht="20.100000000000001" customHeight="1" x14ac:dyDescent="0.25">
      <c r="A25" s="16" t="str">
        <f>HYPERLINK("#'Calcs - Residue mgmt - Crop'!A1", "Residue management - Crop")</f>
        <v>Residue management - Crop</v>
      </c>
      <c r="C25" s="8"/>
      <c r="D25" s="7"/>
      <c r="E25" s="7"/>
      <c r="F25" s="7"/>
      <c r="G25" s="7"/>
      <c r="H25" s="7"/>
      <c r="I25" s="7"/>
      <c r="J25" s="7"/>
      <c r="K25" s="7"/>
      <c r="L25" s="7"/>
      <c r="M25" s="7"/>
      <c r="N25" s="7"/>
      <c r="O25" s="7"/>
      <c r="P25" s="7"/>
      <c r="Q25" s="7"/>
    </row>
    <row r="26" spans="1:17" ht="20.100000000000001" customHeight="1" x14ac:dyDescent="0.25">
      <c r="A26" s="16" t="str">
        <f>HYPERLINK("#'Calcs - Residue mgmt - Pasture'!A1", "Residue management - Pasture")</f>
        <v>Residue management - Pasture</v>
      </c>
      <c r="C26" s="8"/>
      <c r="D26" s="100" t="s">
        <v>360</v>
      </c>
      <c r="E26" s="116"/>
      <c r="F26" s="116"/>
      <c r="G26" s="101"/>
      <c r="H26" s="8"/>
      <c r="I26" s="8"/>
      <c r="J26" s="8"/>
    </row>
    <row r="27" spans="1:17" ht="20.100000000000001" customHeight="1" x14ac:dyDescent="0.25">
      <c r="A27" s="16" t="str">
        <f>HYPERLINK("#'Calcs - Field burning'!A1", "Field burning - Crop")</f>
        <v>Field burning - Crop</v>
      </c>
      <c r="C27" s="8"/>
      <c r="H27" s="8"/>
      <c r="I27" s="8"/>
      <c r="J27" s="8"/>
    </row>
    <row r="28" spans="1:17" ht="20.100000000000001" customHeight="1" x14ac:dyDescent="0.25">
      <c r="A28" s="16" t="str">
        <f>HYPERLINK("#'Calcs - Fuel'!A1", "Fuel")</f>
        <v>Fuel</v>
      </c>
      <c r="C28" s="8"/>
      <c r="D28" s="47" t="s">
        <v>361</v>
      </c>
      <c r="E28" s="47" t="s">
        <v>362</v>
      </c>
      <c r="F28" s="47" t="s">
        <v>363</v>
      </c>
      <c r="G28" s="47" t="s">
        <v>364</v>
      </c>
      <c r="H28" s="8"/>
      <c r="I28" s="8"/>
      <c r="J28" s="8"/>
    </row>
    <row r="29" spans="1:17" ht="20.100000000000001" customHeight="1" x14ac:dyDescent="0.25">
      <c r="A29" s="16" t="str">
        <f>HYPERLINK("#'Calcs - Electricity'!A1", "Electricity")</f>
        <v>Electricity</v>
      </c>
      <c r="C29" s="8"/>
      <c r="D29" s="176" t="s">
        <v>365</v>
      </c>
      <c r="E29" s="48" t="s">
        <v>375</v>
      </c>
      <c r="F29" s="69">
        <v>100</v>
      </c>
      <c r="G29" s="50" t="str" cm="1">
        <f t="array" ref="G29">Common_InputFunctions.Utility_LookupValueInTable(Table_Input_Packaging[[#This Row],[Packaging component (select)]], Table_Scope3_Packaging[Packaging component],Table_Scope3_Packaging[Quantity Unit])</f>
        <v>kg</v>
      </c>
      <c r="H29" s="8"/>
      <c r="I29" s="8"/>
      <c r="J29" s="8"/>
    </row>
    <row r="30" spans="1:17" ht="20.100000000000001" customHeight="1" x14ac:dyDescent="0.25">
      <c r="A30" s="16" t="str">
        <f>HYPERLINK("#'Calcs - Refrigerants'!A1", "Refrigerants")</f>
        <v>Refrigerants</v>
      </c>
      <c r="C30" s="8"/>
      <c r="D30" s="176"/>
      <c r="E30" s="48" t="s">
        <v>375</v>
      </c>
      <c r="F30" s="69">
        <v>1000</v>
      </c>
      <c r="G30" s="50" t="str" cm="1">
        <f t="array" ref="G30">Common_InputFunctions.Utility_LookupValueInTable(Table_Input_Packaging[[#This Row],[Packaging component (select)]], Table_Scope3_Packaging[Packaging component],Table_Scope3_Packaging[Quantity Unit])</f>
        <v>kg</v>
      </c>
      <c r="H30" s="8"/>
      <c r="I30" s="8"/>
      <c r="J30" s="8"/>
    </row>
    <row r="31" spans="1:17" ht="20.100000000000001" customHeight="1" x14ac:dyDescent="0.25">
      <c r="A31" s="52" t="s">
        <v>316</v>
      </c>
      <c r="C31" s="8"/>
      <c r="D31" s="176"/>
      <c r="E31" s="48" t="s">
        <v>366</v>
      </c>
      <c r="F31" s="69">
        <v>456</v>
      </c>
      <c r="G31" s="50" t="str" cm="1">
        <f t="array" ref="G31">Common_InputFunctions.Utility_LookupValueInTable(Table_Input_Packaging[[#This Row],[Packaging component (select)]], Table_Scope3_Packaging[Packaging component],Table_Scope3_Packaging[Quantity Unit])</f>
        <v>kg</v>
      </c>
      <c r="H31" s="8"/>
      <c r="I31" s="8"/>
      <c r="J31" s="8"/>
    </row>
    <row r="32" spans="1:17" ht="20.100000000000001" customHeight="1" x14ac:dyDescent="0.25">
      <c r="A32" s="52" t="s">
        <v>317</v>
      </c>
      <c r="D32" s="176"/>
      <c r="E32" s="48" t="s">
        <v>367</v>
      </c>
      <c r="F32" s="69">
        <v>1234</v>
      </c>
      <c r="G32" s="50" t="str" cm="1">
        <f t="array" ref="G32">Common_InputFunctions.Utility_LookupValueInTable(Table_Input_Packaging[[#This Row],[Packaging component (select)]], Table_Scope3_Packaging[Packaging component],Table_Scope3_Packaging[Quantity Unit])</f>
        <v>kg</v>
      </c>
      <c r="H32" s="8"/>
    </row>
    <row r="33" spans="1:8" ht="20.100000000000001" customHeight="1" x14ac:dyDescent="0.25">
      <c r="A33" s="16" t="str">
        <f>HYPERLINK("#'Calcs - Scope 3'!A1", "Purchased goods scope 3")</f>
        <v>Purchased goods scope 3</v>
      </c>
      <c r="D33" s="8"/>
      <c r="E33" s="8"/>
      <c r="F33" s="8"/>
      <c r="G33" s="8"/>
    </row>
    <row r="34" spans="1:8" ht="20.100000000000001" customHeight="1" x14ac:dyDescent="0.25">
      <c r="D34" s="8"/>
      <c r="E34" s="8"/>
      <c r="F34" s="8"/>
      <c r="G34" s="8"/>
    </row>
    <row r="35" spans="1:8" ht="20.100000000000001" customHeight="1" x14ac:dyDescent="0.25">
      <c r="A35" s="23" t="s">
        <v>78</v>
      </c>
      <c r="D35" s="9" t="s">
        <v>368</v>
      </c>
      <c r="E35" s="8"/>
      <c r="F35" s="8"/>
      <c r="G35" s="8"/>
      <c r="H35" s="8"/>
    </row>
    <row r="36" spans="1:8" ht="20.100000000000001" customHeight="1" x14ac:dyDescent="0.25">
      <c r="A36" s="16" t="str">
        <f>HYPERLINK("#'Constants - Common'!A1", "Constants - Common")</f>
        <v>Constants - Common</v>
      </c>
      <c r="H36" s="8"/>
    </row>
    <row r="37" spans="1:8" ht="20.100000000000001" customHeight="1" x14ac:dyDescent="0.25">
      <c r="A37" s="16" t="str">
        <f>HYPERLINK("#'Constants - Cropping'!A1", "Constants - Cropping")</f>
        <v>Constants - Cropping</v>
      </c>
      <c r="D37" s="100" t="s">
        <v>360</v>
      </c>
      <c r="E37" s="116"/>
      <c r="F37" s="116"/>
      <c r="G37" s="101"/>
    </row>
    <row r="38" spans="1:8" ht="20.100000000000001" customHeight="1" x14ac:dyDescent="0.25">
      <c r="A38" s="16" t="str">
        <f>HYPERLINK("#'Constants - Livestock'!A1", "Constants - Livestock")</f>
        <v>Constants - Livestock</v>
      </c>
      <c r="G38" s="8"/>
    </row>
    <row r="39" spans="1:8" ht="20.100000000000001" customHeight="1" x14ac:dyDescent="0.25">
      <c r="A39" s="16" t="str">
        <f>HYPERLINK("#'Constants - Dairy'!A1", "Constants - Dairy")</f>
        <v>Constants - Dairy</v>
      </c>
      <c r="D39" s="47" t="s">
        <v>369</v>
      </c>
      <c r="E39" s="47" t="s">
        <v>354</v>
      </c>
      <c r="F39" s="47" t="s">
        <v>370</v>
      </c>
      <c r="G39" s="8"/>
    </row>
    <row r="40" spans="1:8" ht="20.100000000000001" customHeight="1" x14ac:dyDescent="0.25">
      <c r="A40" s="52" t="s">
        <v>323</v>
      </c>
      <c r="D40" s="177"/>
      <c r="E40" s="177" t="s">
        <v>371</v>
      </c>
      <c r="F40" s="69">
        <v>145</v>
      </c>
    </row>
    <row r="41" spans="1:8" ht="20.100000000000001" customHeight="1" x14ac:dyDescent="0.25">
      <c r="A41" s="168"/>
      <c r="D41" s="177"/>
      <c r="E41" s="177" t="s">
        <v>371</v>
      </c>
      <c r="F41" s="69">
        <v>3456</v>
      </c>
    </row>
    <row r="42" spans="1:8" ht="20.100000000000001" customHeight="1" x14ac:dyDescent="0.25">
      <c r="D42" s="177"/>
      <c r="E42" s="177" t="s">
        <v>372</v>
      </c>
      <c r="F42" s="69">
        <v>333</v>
      </c>
    </row>
    <row r="43" spans="1:8" ht="20.100000000000001" customHeight="1" x14ac:dyDescent="0.25">
      <c r="D43" s="177" t="s">
        <v>373</v>
      </c>
      <c r="E43" s="177" t="s">
        <v>374</v>
      </c>
      <c r="F43" s="69">
        <v>12</v>
      </c>
    </row>
    <row r="44" spans="1:8" ht="20.100000000000001" customHeight="1" x14ac:dyDescent="0.25">
      <c r="D44" s="177"/>
      <c r="E44" s="177" t="s">
        <v>372</v>
      </c>
      <c r="F44" s="69">
        <v>45</v>
      </c>
    </row>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sheetData>
  <dataValidations count="5">
    <dataValidation type="list" allowBlank="1" showInputMessage="1" showErrorMessage="1" sqref="E40:E44" xr:uid="{C432D3D7-90B5-49EB-9686-44E33AA46DF7}">
      <formula1>INDIRECT("Table_Scope3_CleaningChemicals[Chemical type]")</formula1>
    </dataValidation>
    <dataValidation type="list" allowBlank="1" showInputMessage="1" showErrorMessage="1" sqref="E29:E32" xr:uid="{C1194F4C-B4BA-4C6C-9335-96226E3C874D}">
      <formula1>INDIRECT("Table_Scope3_Packaging[Packaging component]")</formula1>
    </dataValidation>
    <dataValidation type="list" allowBlank="1" showInputMessage="1" showErrorMessage="1" sqref="I24 L24 O24" xr:uid="{4EB7609B-9081-416E-B296-83CB5579804F}">
      <formula1>INDIRECT("Table_Scope3_Agrochemicals[Agrochemical type]")</formula1>
    </dataValidation>
    <dataValidation type="list" allowBlank="1" showInputMessage="1" showErrorMessage="1" sqref="J24 M24 P24" xr:uid="{8108ECDB-1F4C-43F2-85A5-19117852A987}">
      <formula1>"Grams / litre, Grams / kg, Percent of product"</formula1>
    </dataValidation>
    <dataValidation type="list" allowBlank="1" showInputMessage="1" showErrorMessage="1" sqref="F24" xr:uid="{3E384BB8-0CCC-45EA-83A2-5F436B025D10}">
      <formula1>"kg / hectare, litre / hectare"</formula1>
    </dataValidation>
  </dataValidation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248</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249</v>
      </c>
    </row>
    <row r="6" spans="1:10" ht="20.100000000000001" customHeight="1" x14ac:dyDescent="0.25">
      <c r="A6" s="18"/>
    </row>
    <row r="7" spans="1:10" ht="20.100000000000001" customHeight="1" x14ac:dyDescent="0.25">
      <c r="A7" s="19" t="s">
        <v>67</v>
      </c>
      <c r="D7" s="74" t="s">
        <v>250</v>
      </c>
    </row>
    <row r="8" spans="1:10" ht="20.100000000000001" customHeight="1" x14ac:dyDescent="0.25">
      <c r="A8" s="43" t="str">
        <f>HYPERLINK("#'Input - Electricity'!A1", "Electricity")</f>
        <v>Electricity</v>
      </c>
    </row>
    <row r="9" spans="1:10" ht="20.100000000000001" customHeight="1" x14ac:dyDescent="0.25">
      <c r="A9" s="16"/>
      <c r="D9" s="100" t="s">
        <v>251</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252</v>
      </c>
      <c r="E11" s="102">
        <v>500</v>
      </c>
      <c r="F11" s="68" t="s">
        <v>253</v>
      </c>
    </row>
    <row r="12" spans="1:10" ht="20.100000000000001" customHeight="1" x14ac:dyDescent="0.25">
      <c r="A12" s="16"/>
      <c r="D12" s="8" t="s">
        <v>254</v>
      </c>
      <c r="E12" s="50" t="str">
        <f>IF('Input - Site'!E21="Western Australia", 'Input - Site'!E22, 'Input - Site'!E21)</f>
        <v>ACT</v>
      </c>
      <c r="F12" s="14"/>
    </row>
    <row r="13" spans="1:10" ht="20.100000000000001" customHeight="1" x14ac:dyDescent="0.25">
      <c r="A13" s="23" t="s">
        <v>78</v>
      </c>
      <c r="D13" s="8" t="s">
        <v>255</v>
      </c>
      <c r="E13" s="48" t="s">
        <v>429</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256</v>
      </c>
    </row>
    <row r="18" spans="1:11" ht="20.100000000000001" customHeight="1" x14ac:dyDescent="0.25">
      <c r="E18" s="57" t="str">
        <f>IF(E12="ACT", "", "ALERT: Your farm is not in the ACT, so the JRPP is not applicable")</f>
        <v/>
      </c>
    </row>
    <row r="19" spans="1:11" ht="20.100000000000001" customHeight="1" x14ac:dyDescent="0.25">
      <c r="D19" s="8" t="s">
        <v>257</v>
      </c>
      <c r="E19" s="102">
        <v>30000</v>
      </c>
      <c r="F19" s="68" t="s">
        <v>253</v>
      </c>
    </row>
    <row r="20" spans="1:11" ht="20.100000000000001" customHeight="1" x14ac:dyDescent="0.25">
      <c r="A20" s="16"/>
      <c r="D20" s="8" t="s">
        <v>258</v>
      </c>
      <c r="E20" s="90">
        <v>0.1</v>
      </c>
      <c r="F20" s="68" t="s">
        <v>259</v>
      </c>
    </row>
    <row r="21" spans="1:11" ht="20.100000000000001" customHeight="1" x14ac:dyDescent="0.25">
      <c r="A21" s="16"/>
      <c r="D21" s="8" t="s">
        <v>260</v>
      </c>
      <c r="E21" s="90">
        <v>0.1</v>
      </c>
      <c r="F21" s="68" t="s">
        <v>259</v>
      </c>
    </row>
    <row r="22" spans="1:11" ht="20.100000000000001" customHeight="1" x14ac:dyDescent="0.25"/>
    <row r="23" spans="1:11" ht="20.100000000000001" customHeight="1" x14ac:dyDescent="0.25">
      <c r="A23" s="16"/>
      <c r="D23" s="8" t="s">
        <v>261</v>
      </c>
      <c r="E23" s="102">
        <v>10000</v>
      </c>
      <c r="F23" s="68" t="s">
        <v>253</v>
      </c>
    </row>
    <row r="24" spans="1:11" ht="20.100000000000001" customHeight="1" x14ac:dyDescent="0.25"/>
    <row r="25" spans="1:11" ht="20.100000000000001" customHeight="1" x14ac:dyDescent="0.25">
      <c r="D25" s="8" t="s">
        <v>262</v>
      </c>
      <c r="E25" s="104" t="str">
        <f>TEXT('Input - Site'!$E$12, "dd mmm yyyy")</f>
        <v>01 Jan 2024</v>
      </c>
    </row>
    <row r="26" spans="1:11" ht="20.100000000000001" customHeight="1" x14ac:dyDescent="0.25">
      <c r="D26" s="8" t="s">
        <v>263</v>
      </c>
      <c r="E26" s="104" t="str">
        <f>TEXT('Input - Site'!$E$13, "dd mmm yyyy")</f>
        <v>31 Dec 2024</v>
      </c>
    </row>
    <row r="27" spans="1:11" ht="20.100000000000001" customHeight="1" x14ac:dyDescent="0.25"/>
    <row r="28" spans="1:11" ht="20.100000000000001" customHeight="1" x14ac:dyDescent="0.25">
      <c r="D28" s="74" t="s">
        <v>264</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265</v>
      </c>
      <c r="E32" s="47" t="s">
        <v>266</v>
      </c>
      <c r="F32" s="47" t="s">
        <v>267</v>
      </c>
      <c r="G32" s="47" t="s">
        <v>268</v>
      </c>
      <c r="H32" s="47" t="s">
        <v>269</v>
      </c>
      <c r="I32" s="47" t="s">
        <v>270</v>
      </c>
      <c r="K32" s="54"/>
    </row>
    <row r="33" spans="1:12" ht="20.100000000000001" customHeight="1" x14ac:dyDescent="0.25">
      <c r="A33" s="16"/>
      <c r="D33" s="10" t="s">
        <v>271</v>
      </c>
      <c r="E33" s="48" t="s">
        <v>272</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273</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272</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274</v>
      </c>
      <c r="E37" s="50">
        <f>SUMIF(Table_Input_RECSurrendered[Elegibility], "Elegible", Table_Input_RECSurrendered[MWh])</f>
        <v>10</v>
      </c>
      <c r="F37" s="68" t="s">
        <v>269</v>
      </c>
      <c r="L37" s="54"/>
    </row>
    <row r="38" spans="1:12" ht="20.100000000000001" customHeight="1" x14ac:dyDescent="0.25">
      <c r="C38" s="53"/>
    </row>
    <row r="39" spans="1:12" ht="20.100000000000001" customHeight="1" x14ac:dyDescent="0.25">
      <c r="A39" s="16"/>
      <c r="C39" s="53"/>
      <c r="D39" s="74" t="s">
        <v>275</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265</v>
      </c>
      <c r="E41" s="47" t="s">
        <v>143</v>
      </c>
      <c r="F41" s="47" t="s">
        <v>267</v>
      </c>
      <c r="G41" s="47" t="s">
        <v>268</v>
      </c>
      <c r="H41" s="47" t="s">
        <v>269</v>
      </c>
      <c r="I41" s="47" t="s">
        <v>270</v>
      </c>
      <c r="J41" s="8"/>
      <c r="L41" s="54" t="s">
        <v>276</v>
      </c>
    </row>
    <row r="42" spans="1:12" ht="20.100000000000001" customHeight="1" x14ac:dyDescent="0.25">
      <c r="D42" s="10" t="s">
        <v>277</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278</v>
      </c>
      <c r="E46" s="50">
        <f>SUMIF(Table_Input_RECConsumedByEntity[Elegibility], "Elegible", Table_Input_RECConsumedByEntity[Number of certificates])</f>
        <v>11</v>
      </c>
      <c r="F46" s="68" t="s">
        <v>269</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BD5-A401-4793-9FB4-FD8FB3165AFB}">
  <dimension ref="A1:U249"/>
  <sheetViews>
    <sheetView showGridLines="0" tabSelected="1" topLeftCell="D2" zoomScaleNormal="100" workbookViewId="0">
      <selection activeCell="J29" sqref="J29"/>
    </sheetView>
  </sheetViews>
  <sheetFormatPr defaultRowHeight="15" x14ac:dyDescent="0.25"/>
  <cols>
    <col min="1" max="1" width="26.875" style="3" customWidth="1"/>
    <col min="2" max="3" width="4.125" style="3" customWidth="1"/>
    <col min="4" max="4" width="37.75" style="3" customWidth="1"/>
    <col min="5" max="5" width="33" style="3" customWidth="1"/>
    <col min="6" max="6" width="26.875" style="3" customWidth="1"/>
    <col min="7" max="8" width="27.25" style="3" customWidth="1"/>
    <col min="9" max="9" width="26.875" style="3" customWidth="1"/>
    <col min="10" max="10" width="37.875" style="3" customWidth="1"/>
    <col min="11" max="11" width="38.375" style="3" customWidth="1"/>
    <col min="12" max="12" width="50.125" style="3" customWidth="1"/>
    <col min="13" max="13" width="52.5" style="3" customWidth="1"/>
    <col min="14" max="14" width="53" style="3" customWidth="1"/>
    <col min="15" max="15" width="50.125" style="3" customWidth="1"/>
    <col min="16" max="16" width="26.875" style="3" customWidth="1"/>
    <col min="17" max="17" width="4.125" style="3" customWidth="1"/>
    <col min="18" max="18" width="26.875" style="3" customWidth="1"/>
    <col min="19" max="16384" width="9" style="3"/>
  </cols>
  <sheetData>
    <row r="1" spans="1:21" ht="30" customHeight="1" x14ac:dyDescent="0.35">
      <c r="A1" s="150" t="e" vm="1">
        <v>#VALUE!</v>
      </c>
      <c r="C1" s="1" t="s">
        <v>301</v>
      </c>
    </row>
    <row r="2" spans="1:21" ht="20.100000000000001" customHeight="1" x14ac:dyDescent="0.25">
      <c r="A2" s="4"/>
    </row>
    <row r="3" spans="1:21" ht="20.100000000000001" customHeight="1" x14ac:dyDescent="0.25">
      <c r="A3" s="16" t="s">
        <v>302</v>
      </c>
      <c r="C3" s="5"/>
      <c r="D3" s="5"/>
      <c r="E3" s="5"/>
      <c r="F3" s="5"/>
      <c r="G3" s="5"/>
      <c r="H3" s="5"/>
      <c r="I3" s="5"/>
      <c r="J3" s="5"/>
      <c r="K3" s="5"/>
      <c r="L3" s="5"/>
      <c r="M3" s="5"/>
      <c r="N3" s="5"/>
      <c r="O3" s="5"/>
      <c r="P3" s="5"/>
      <c r="Q3" s="5"/>
    </row>
    <row r="4" spans="1:21" ht="20.100000000000001" customHeight="1" x14ac:dyDescent="0.25">
      <c r="A4" s="16" t="str">
        <f>HYPERLINK("#'Results'!A1", "Results")</f>
        <v>Results</v>
      </c>
      <c r="C4" s="14"/>
      <c r="D4" s="14"/>
      <c r="E4" s="14"/>
      <c r="F4" s="14"/>
      <c r="G4" s="14"/>
      <c r="H4" s="14"/>
      <c r="I4" s="14"/>
      <c r="J4" s="14"/>
      <c r="K4" s="14"/>
      <c r="L4" s="14"/>
      <c r="M4" s="14"/>
      <c r="N4" s="14"/>
      <c r="O4" s="14"/>
      <c r="P4" s="14"/>
      <c r="Q4" s="14"/>
    </row>
    <row r="5" spans="1:21" ht="20.100000000000001" customHeight="1" x14ac:dyDescent="0.25">
      <c r="A5" s="18"/>
      <c r="C5" s="14"/>
      <c r="D5" s="9" t="str" cm="1">
        <f t="array" ref="D5">Scope3_SourceData.Scope3_InorganicFertilisers_Title()</f>
        <v>Inorganic fertiliser chemical compound scope 3</v>
      </c>
      <c r="E5" s="14"/>
      <c r="F5" s="14"/>
      <c r="G5" s="14"/>
      <c r="H5" s="14"/>
      <c r="I5" s="14"/>
      <c r="J5" s="14"/>
      <c r="K5" s="14"/>
      <c r="L5" s="14"/>
      <c r="M5" s="14"/>
      <c r="N5" s="14"/>
      <c r="O5" s="14"/>
      <c r="P5" s="14"/>
      <c r="Q5" s="14"/>
    </row>
    <row r="6" spans="1:21" ht="20.100000000000001" customHeight="1" x14ac:dyDescent="0.25">
      <c r="A6" s="19" t="s">
        <v>67</v>
      </c>
      <c r="C6" s="14"/>
      <c r="D6" s="11" t="str" cm="1">
        <f t="array" ref="D6">Scope3_SourceData.Scope3_InorganicFertilisers_Source()</f>
        <v>Scope 3 GHG Emission Factors for Australian Agriculture, Fisheries and Forestry 2026</v>
      </c>
      <c r="E6" s="14"/>
      <c r="F6" s="14"/>
      <c r="G6" s="14"/>
      <c r="H6" s="14"/>
      <c r="I6" s="14"/>
      <c r="J6" s="14"/>
      <c r="K6" s="14"/>
      <c r="L6" s="14"/>
      <c r="M6" s="14"/>
      <c r="N6" s="14"/>
      <c r="O6" s="14"/>
      <c r="P6" s="14"/>
      <c r="Q6" s="14"/>
    </row>
    <row r="7" spans="1:21" ht="20.100000000000001" customHeight="1" x14ac:dyDescent="0.25">
      <c r="A7" s="16" t="str">
        <f>HYPERLINK("#'Input - Site'!A1", "Site")</f>
        <v>Site</v>
      </c>
      <c r="C7" s="14"/>
      <c r="D7" s="14"/>
      <c r="E7" s="14"/>
      <c r="F7" s="14"/>
      <c r="G7" s="14"/>
      <c r="H7" s="14"/>
      <c r="I7" s="14"/>
      <c r="J7" s="14"/>
      <c r="K7" s="14"/>
      <c r="L7" s="14"/>
      <c r="M7" s="14"/>
      <c r="N7" s="14"/>
      <c r="O7" s="14"/>
      <c r="P7" s="14"/>
      <c r="Q7" s="14"/>
    </row>
    <row r="8" spans="1:21" ht="20.100000000000001" customHeight="1" x14ac:dyDescent="0.25">
      <c r="A8" s="16" t="str">
        <f>HYPERLINK("#'Input - Production'!A1", "Production and outputs")</f>
        <v>Production and outputs</v>
      </c>
      <c r="C8" s="14"/>
      <c r="D8" s="151" t="s">
        <v>433</v>
      </c>
      <c r="E8" s="151" t="s">
        <v>222</v>
      </c>
      <c r="F8" s="151" t="s">
        <v>434</v>
      </c>
      <c r="G8" s="151" t="s">
        <v>303</v>
      </c>
      <c r="H8" s="151" t="s">
        <v>175</v>
      </c>
      <c r="I8" s="151" t="s">
        <v>176</v>
      </c>
      <c r="J8" s="151" t="s">
        <v>304</v>
      </c>
      <c r="K8" s="151" t="s">
        <v>305</v>
      </c>
      <c r="L8" s="151" t="s">
        <v>306</v>
      </c>
      <c r="M8" s="152" t="s">
        <v>307</v>
      </c>
      <c r="N8" s="151" t="s">
        <v>308</v>
      </c>
      <c r="O8" s="151" t="s">
        <v>309</v>
      </c>
      <c r="P8" s="151" t="s">
        <v>310</v>
      </c>
      <c r="Q8" s="152" t="s">
        <v>311</v>
      </c>
      <c r="R8" s="152" t="s">
        <v>312</v>
      </c>
      <c r="S8" s="152" t="s">
        <v>313</v>
      </c>
      <c r="T8" s="151" t="s">
        <v>314</v>
      </c>
      <c r="U8" s="14"/>
    </row>
    <row r="9" spans="1:21" ht="20.100000000000001" customHeight="1" x14ac:dyDescent="0.25">
      <c r="A9" s="16" t="str">
        <f>HYPERLINK("#'Input - Herd - Dairy'!A1", "Herd - Dairy")</f>
        <v>Herd - Dairy</v>
      </c>
      <c r="C9" s="14"/>
      <c r="D9" s="3" t="str" cm="1">
        <f t="array" ref="D9">Common_InputFunctions.Utility_DisplayArrayInTable(Scope3_SourceData.Scope3_InorganicFertilisers_Data(), Table_Scope3_InorganicFertiliser[[#Headers],[Category]], 0, 2)</f>
        <v>Inorganic fertilisers</v>
      </c>
      <c r="E9" s="3" t="str" cm="1">
        <f t="array" ref="E9">Common_InputFunctions.Utility_DisplayArrayInTable(Scope3_SourceData.Scope3_InorganicFertilisers_Data(), Table_Scope3_InorganicFertiliser[[#Headers],[Category]], 0, 2)</f>
        <v>Ammonia, AU market mix</v>
      </c>
      <c r="F9" s="3" t="str" cm="1">
        <f t="array" ref="F9">Common_InputFunctions.Utility_DisplayArrayInTable(Scope3_SourceData.Scope3_InorganicFertilisers_Data(), Table_Scope3_InorganicFertiliser[[#Headers],[Category]], 0, 2)</f>
        <v>Global</v>
      </c>
      <c r="G9" s="3" t="str">
        <f>'Constants - Fertiliser'!$D$37</f>
        <v>Ammonia</v>
      </c>
      <c r="I9" s="3" t="str">
        <f>'Constants - Fertiliser'!$V$20</f>
        <v>Global</v>
      </c>
      <c r="J9" s="3" cm="1">
        <f t="array" ref="J9">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9" s="3" t="str" cm="1">
        <f t="array" ref="K9">Common_InputFunctions.Utility_DisplayArrayInTable(Scope3_SourceData.Scope3_InorganicFertilisers_Data(), Table_Scope3_InorganicFertiliser[[#Headers],[Category]], 0, -2)</f>
        <v>kg</v>
      </c>
      <c r="L9" s="3" cm="1">
        <f t="array" ref="L9">Common_InputFunctions.Utility_DisplayArrayInTable(Scope3_SourceData.Scope3_InorganicFertilisers_Data(), Table_Scope3_InorganicFertiliser[[#Headers],[Category]], 0, -2)</f>
        <v>2.3199999999999998</v>
      </c>
      <c r="M9" s="153">
        <v>3</v>
      </c>
      <c r="N9" s="3" t="str" cm="1">
        <f t="array" ref="N9">Common_InputFunctions.Utility_DisplayArrayInTable(Scope3_SourceData.Scope3_InorganicFertilisers_Data(), Table_Scope3_InorganicFertiliser[[#Headers],[Category]], 0, 1)</f>
        <v/>
      </c>
      <c r="O9" s="3">
        <f>Table_Scope3_InorganicFertiliser[[#This Row],[Quantity]]*Table_Scope3_InorganicFertiliser[[#This Row],[AusLCI Emissions intensity]]</f>
        <v>0</v>
      </c>
      <c r="P9" s="3">
        <f>Table_Scope3_InorganicFertiliser[[#This Row],[Quantity]]*IF(Table_Scope3_InorganicFertiliser[[#This Row],[Custom emissions intensity]], Table_Scope3_InorganicFertiliser[[#This Row],[Custom emissions intensity]], Table_Scope3_InorganicFertiliser[[#This Row],[AusLCI Emissions intensity]])</f>
        <v>0</v>
      </c>
      <c r="Q9" s="154"/>
      <c r="R9" s="48" t="s">
        <v>315</v>
      </c>
      <c r="S9" s="154"/>
      <c r="T9" s="155" cm="1">
        <f t="array" ref="T9">Common_InputFunctions.Utility_LookupValueInTableNumber(Table_Scope3_InorganicFertiliser[[#This Row],[Custom emissions intensity source type (Select)]],#REF!,#REF!)</f>
        <v>0</v>
      </c>
      <c r="U9" s="14"/>
    </row>
    <row r="10" spans="1:21" ht="20.100000000000001" customHeight="1" x14ac:dyDescent="0.25">
      <c r="A10" s="16" t="str">
        <f>HYPERLINK("#'Input - Feed - Dairy'!A1", "Purchased feed - Livestock")</f>
        <v>Purchased feed - Livestock</v>
      </c>
      <c r="C10" s="14"/>
      <c r="D10" s="3" t="str" cm="1">
        <f t="array" ref="D10">Common_InputFunctions.Utility_DisplayArrayInTable(Scope3_SourceData.Scope3_InorganicFertilisers_Data(), Table_Scope3_InorganicFertiliser[[#Headers],[Category]], 0, 2)</f>
        <v>Inorganic fertilisers</v>
      </c>
      <c r="E10" s="3" t="str" cm="1">
        <f t="array" ref="E10">Common_InputFunctions.Utility_DisplayArrayInTable(Scope3_SourceData.Scope3_InorganicFertilisers_Data(), Table_Scope3_InorganicFertiliser[[#Headers],[Category]], 0, 2)</f>
        <v>Ammonia, Canada</v>
      </c>
      <c r="F10" s="3" t="str" cm="1">
        <f t="array" ref="F10">Common_InputFunctions.Utility_DisplayArrayInTable(Scope3_SourceData.Scope3_InorganicFertilisers_Data(), Table_Scope3_InorganicFertiliser[[#Headers],[Category]], 0, 2)</f>
        <v>Canada</v>
      </c>
      <c r="G10" s="3" t="str">
        <f>'Constants - Fertiliser'!$D$37</f>
        <v>Ammonia</v>
      </c>
      <c r="I10" s="3" t="str">
        <f>'Constants - Fertiliser'!$V$21</f>
        <v>Canada</v>
      </c>
      <c r="J10" s="3" cm="1">
        <f t="array" ref="J10">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0" s="3" t="str" cm="1">
        <f t="array" ref="K10">Common_InputFunctions.Utility_DisplayArrayInTable(Scope3_SourceData.Scope3_InorganicFertilisers_Data(), Table_Scope3_InorganicFertiliser[[#Headers],[Category]], 0, -2)</f>
        <v>kg</v>
      </c>
      <c r="L10" s="3" cm="1">
        <f t="array" ref="L10">Common_InputFunctions.Utility_DisplayArrayInTable(Scope3_SourceData.Scope3_InorganicFertilisers_Data(), Table_Scope3_InorganicFertiliser[[#Headers],[Category]], 0, -2)</f>
        <v>2.12</v>
      </c>
      <c r="M10" s="153"/>
      <c r="N10" s="156" t="str" cm="1">
        <f t="array" ref="N10">Common_InputFunctions.Utility_DisplayArrayInTable(Scope3_SourceData.Scope3_InorganicFertilisers_Data(), Table_Scope3_InorganicFertiliser[[#Headers],[Category]], 0, 1)</f>
        <v/>
      </c>
      <c r="O10" s="3">
        <f>Table_Scope3_InorganicFertiliser[[#This Row],[Quantity]]*Table_Scope3_InorganicFertiliser[[#This Row],[AusLCI Emissions intensity]]</f>
        <v>0</v>
      </c>
      <c r="P10" s="3">
        <f>Table_Scope3_InorganicFertiliser[[#This Row],[Quantity]]*IF(Table_Scope3_InorganicFertiliser[[#This Row],[Custom emissions intensity]], Table_Scope3_InorganicFertiliser[[#This Row],[Custom emissions intensity]], Table_Scope3_InorganicFertiliser[[#This Row],[AusLCI Emissions intensity]])</f>
        <v>0</v>
      </c>
      <c r="Q10" s="154"/>
      <c r="R10" s="157"/>
      <c r="S10" s="154"/>
      <c r="T10" s="158" cm="1">
        <f t="array" ref="T10">Common_InputFunctions.Utility_LookupValueInTableNumber(Table_Scope3_InorganicFertiliser[[#This Row],[Custom emissions intensity source type (Select)]],#REF!,#REF!)</f>
        <v>0</v>
      </c>
      <c r="U10" s="14"/>
    </row>
    <row r="11" spans="1:21" ht="20.100000000000001" customHeight="1" x14ac:dyDescent="0.25">
      <c r="A11" s="16" t="str">
        <f>HYPERLINK("#'Input - Herd - Feedlot'!A1", "Herd - Feedlot")</f>
        <v>Herd - Feedlot</v>
      </c>
      <c r="C11" s="14"/>
      <c r="D11" s="3" t="str" cm="1">
        <f t="array" ref="D11">Common_InputFunctions.Utility_DisplayArrayInTable(Scope3_SourceData.Scope3_InorganicFertilisers_Data(), Table_Scope3_InorganicFertiliser[[#Headers],[Category]], 0, 2)</f>
        <v>Inorganic fertilisers</v>
      </c>
      <c r="E11" s="3" t="str" cm="1">
        <f t="array" ref="E11">Common_InputFunctions.Utility_DisplayArrayInTable(Scope3_SourceData.Scope3_InorganicFertilisers_Data(), Table_Scope3_InorganicFertiliser[[#Headers],[Category]], 0, 2)</f>
        <v>Ammonia, China</v>
      </c>
      <c r="F11" s="3" t="str" cm="1">
        <f t="array" ref="F11">Common_InputFunctions.Utility_DisplayArrayInTable(Scope3_SourceData.Scope3_InorganicFertilisers_Data(), Table_Scope3_InorganicFertiliser[[#Headers],[Category]], 0, 2)</f>
        <v>China</v>
      </c>
      <c r="G11" s="3" t="str">
        <f>'Constants - Fertiliser'!$D$37</f>
        <v>Ammonia</v>
      </c>
      <c r="I11" s="3" t="str">
        <f>'Constants - Fertiliser'!$V$22</f>
        <v>China</v>
      </c>
      <c r="J11" s="3" cm="1">
        <f t="array" ref="J11">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1" s="3" t="str" cm="1">
        <f t="array" ref="K11">Common_InputFunctions.Utility_DisplayArrayInTable(Scope3_SourceData.Scope3_InorganicFertilisers_Data(), Table_Scope3_InorganicFertiliser[[#Headers],[Category]], 0, -2)</f>
        <v>kg</v>
      </c>
      <c r="L11" s="3" cm="1">
        <f t="array" ref="L11">Common_InputFunctions.Utility_DisplayArrayInTable(Scope3_SourceData.Scope3_InorganicFertilisers_Data(), Table_Scope3_InorganicFertiliser[[#Headers],[Category]], 0, -2)</f>
        <v>4.17</v>
      </c>
      <c r="M11" s="153"/>
      <c r="N11" s="156" t="str" cm="1">
        <f t="array" ref="N11">Common_InputFunctions.Utility_DisplayArrayInTable(Scope3_SourceData.Scope3_InorganicFertilisers_Data(), Table_Scope3_InorganicFertiliser[[#Headers],[Category]], 0, 1)</f>
        <v/>
      </c>
      <c r="O11" s="3">
        <f>Table_Scope3_InorganicFertiliser[[#This Row],[Quantity]]*Table_Scope3_InorganicFertiliser[[#This Row],[AusLCI Emissions intensity]]</f>
        <v>0</v>
      </c>
      <c r="P11" s="3">
        <f>Table_Scope3_InorganicFertiliser[[#This Row],[Quantity]]*IF(Table_Scope3_InorganicFertiliser[[#This Row],[Custom emissions intensity]], Table_Scope3_InorganicFertiliser[[#This Row],[Custom emissions intensity]], Table_Scope3_InorganicFertiliser[[#This Row],[AusLCI Emissions intensity]])</f>
        <v>0</v>
      </c>
      <c r="Q11" s="154"/>
      <c r="R11" s="157"/>
      <c r="S11" s="154"/>
      <c r="T11" s="158" cm="1">
        <f t="array" ref="T11">Common_InputFunctions.Utility_LookupValueInTableNumber(Table_Scope3_InorganicFertiliser[[#This Row],[Custom emissions intensity source type (Select)]],#REF!,#REF!)</f>
        <v>0</v>
      </c>
      <c r="U11" s="14"/>
    </row>
    <row r="12" spans="1:21" ht="20.100000000000001" customHeight="1" x14ac:dyDescent="0.25">
      <c r="A12" s="16" t="str">
        <f>HYPERLINK("#'Input - Pasture'!A1", "Pasture")</f>
        <v>Pasture</v>
      </c>
      <c r="C12" s="14"/>
      <c r="D12" s="3" t="str" cm="1">
        <f t="array" ref="D12">Common_InputFunctions.Utility_DisplayArrayInTable(Scope3_SourceData.Scope3_InorganicFertilisers_Data(), Table_Scope3_InorganicFertiliser[[#Headers],[Category]], 0, 2)</f>
        <v>Inorganic fertilisers</v>
      </c>
      <c r="E12" s="3" t="str" cm="1">
        <f t="array" ref="E12">Common_InputFunctions.Utility_DisplayArrayInTable(Scope3_SourceData.Scope3_InorganicFertilisers_Data(), Table_Scope3_InorganicFertiliser[[#Headers],[Category]], 0, 2)</f>
        <v>Ammonia, Yemen</v>
      </c>
      <c r="F12" s="3" t="str" cm="1">
        <f t="array" ref="F12">Common_InputFunctions.Utility_DisplayArrayInTable(Scope3_SourceData.Scope3_InorganicFertilisers_Data(), Table_Scope3_InorganicFertiliser[[#Headers],[Category]], 0, 2)</f>
        <v>Yemen</v>
      </c>
      <c r="G12" s="3" t="str">
        <f>'Constants - Fertiliser'!$D$37</f>
        <v>Ammonia</v>
      </c>
      <c r="I12" s="3" t="str">
        <f>'Constants - Fertiliser'!$V$23</f>
        <v>Yemen</v>
      </c>
      <c r="J12" s="3" cm="1">
        <f t="array" ref="J12">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2" s="3" t="str" cm="1">
        <f t="array" ref="K12">Common_InputFunctions.Utility_DisplayArrayInTable(Scope3_SourceData.Scope3_InorganicFertilisers_Data(), Table_Scope3_InorganicFertiliser[[#Headers],[Category]], 0, -2)</f>
        <v>kg</v>
      </c>
      <c r="L12" s="3" cm="1">
        <f t="array" ref="L12">Common_InputFunctions.Utility_DisplayArrayInTable(Scope3_SourceData.Scope3_InorganicFertilisers_Data(), Table_Scope3_InorganicFertiliser[[#Headers],[Category]], 0, -2)</f>
        <v>2.2599999999999998</v>
      </c>
      <c r="M12" s="153"/>
      <c r="N12" s="156" t="str" cm="1">
        <f t="array" ref="N12">Common_InputFunctions.Utility_DisplayArrayInTable(Scope3_SourceData.Scope3_InorganicFertilisers_Data(), Table_Scope3_InorganicFertiliser[[#Headers],[Category]], 0, 1)</f>
        <v/>
      </c>
      <c r="O12" s="3">
        <f>Table_Scope3_InorganicFertiliser[[#This Row],[Quantity]]*Table_Scope3_InorganicFertiliser[[#This Row],[AusLCI Emissions intensity]]</f>
        <v>0</v>
      </c>
      <c r="P12" s="3">
        <f>Table_Scope3_InorganicFertiliser[[#This Row],[Quantity]]*IF(Table_Scope3_InorganicFertiliser[[#This Row],[Custom emissions intensity]], Table_Scope3_InorganicFertiliser[[#This Row],[Custom emissions intensity]], Table_Scope3_InorganicFertiliser[[#This Row],[AusLCI Emissions intensity]])</f>
        <v>0</v>
      </c>
      <c r="Q12" s="154"/>
      <c r="R12" s="157"/>
      <c r="S12" s="154"/>
      <c r="T12" s="158" cm="1">
        <f t="array" ref="T12">Common_InputFunctions.Utility_LookupValueInTableNumber(Table_Scope3_InorganicFertiliser[[#This Row],[Custom emissions intensity source type (Select)]],#REF!,#REF!)</f>
        <v>0</v>
      </c>
      <c r="U12" s="14"/>
    </row>
    <row r="13" spans="1:21" ht="20.100000000000001" customHeight="1" x14ac:dyDescent="0.25">
      <c r="A13" s="16" t="str">
        <f>HYPERLINK("#'Input - Grains'!A1", "Crop - Grains")</f>
        <v>Crop - Grains</v>
      </c>
      <c r="C13" s="14"/>
      <c r="D13" s="3" t="str" cm="1">
        <f t="array" ref="D13">Common_InputFunctions.Utility_DisplayArrayInTable(Scope3_SourceData.Scope3_InorganicFertilisers_Data(), Table_Scope3_InorganicFertiliser[[#Headers],[Category]], 0, 2)</f>
        <v>Inorganic fertilisers</v>
      </c>
      <c r="E13" s="3" t="str" cm="1">
        <f t="array" ref="E13">Common_InputFunctions.Utility_DisplayArrayInTable(Scope3_SourceData.Scope3_InorganicFertilisers_Data(), Table_Scope3_InorganicFertiliser[[#Headers],[Category]], 0, 2)</f>
        <v>Ammonium nitrate, AU market mix</v>
      </c>
      <c r="F13" s="3" t="str" cm="1">
        <f t="array" ref="F13">Common_InputFunctions.Utility_DisplayArrayInTable(Scope3_SourceData.Scope3_InorganicFertilisers_Data(), Table_Scope3_InorganicFertiliser[[#Headers],[Category]], 0, 2)</f>
        <v>Global</v>
      </c>
      <c r="G13" s="3" t="str">
        <f>'Constants - Fertiliser'!D25</f>
        <v>Ammonium nitrate (AN)</v>
      </c>
      <c r="J13" s="3" cm="1">
        <f t="array" ref="J13">Fertiliser_InputFunctions.Fertiliser_TotalChemicalCompoundAppliedAllIngredients($G13,Table_Input_InorganicFertiliser_Brands[Total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3" s="3" t="str" cm="1">
        <f t="array" ref="K13">Common_InputFunctions.Utility_DisplayArrayInTable(Scope3_SourceData.Scope3_InorganicFertilisers_Data(), Table_Scope3_InorganicFertiliser[[#Headers],[Category]], 0, -2)</f>
        <v>kg</v>
      </c>
      <c r="L13" s="3" cm="1">
        <f t="array" ref="L13">Common_InputFunctions.Utility_DisplayArrayInTable(Scope3_SourceData.Scope3_InorganicFertilisers_Data(), Table_Scope3_InorganicFertiliser[[#Headers],[Category]], 0, -2)</f>
        <v>2.21</v>
      </c>
      <c r="M13" s="153"/>
      <c r="N13" s="156" t="str" cm="1">
        <f t="array" ref="N13">Common_InputFunctions.Utility_DisplayArrayInTable(Scope3_SourceData.Scope3_InorganicFertilisers_Data(), Table_Scope3_InorganicFertiliser[[#Headers],[Category]], 0, 1)</f>
        <v/>
      </c>
      <c r="O13" s="3">
        <f>Table_Scope3_InorganicFertiliser[[#This Row],[Quantity]]*Table_Scope3_InorganicFertiliser[[#This Row],[AusLCI Emissions intensity]]</f>
        <v>0</v>
      </c>
      <c r="P13" s="3">
        <f>Table_Scope3_InorganicFertiliser[[#This Row],[Quantity]]*IF(Table_Scope3_InorganicFertiliser[[#This Row],[Custom emissions intensity]], Table_Scope3_InorganicFertiliser[[#This Row],[Custom emissions intensity]], Table_Scope3_InorganicFertiliser[[#This Row],[AusLCI Emissions intensity]])</f>
        <v>0</v>
      </c>
      <c r="Q13" s="154"/>
      <c r="R13" s="157"/>
      <c r="S13" s="154"/>
      <c r="T13" s="158" cm="1">
        <f t="array" ref="T13">Common_InputFunctions.Utility_LookupValueInTableNumber(Table_Scope3_InorganicFertiliser[[#This Row],[Custom emissions intensity source type (Select)]],#REF!,#REF!)</f>
        <v>0</v>
      </c>
      <c r="U13" s="14"/>
    </row>
    <row r="14" spans="1:21" ht="20.100000000000001" customHeight="1" x14ac:dyDescent="0.25">
      <c r="A14" s="16" t="str">
        <f>HYPERLINK("#'Input - Fert Lime Chem'!A1", "Fertiliser, Lime &amp; Chemicals")</f>
        <v>Fertiliser, Lime &amp; Chemicals</v>
      </c>
      <c r="C14" s="14"/>
      <c r="D14" s="3" t="str" cm="1">
        <f t="array" ref="D14">Common_InputFunctions.Utility_DisplayArrayInTable(Scope3_SourceData.Scope3_InorganicFertilisers_Data(), Table_Scope3_InorganicFertiliser[[#Headers],[Category]], 0, 2)</f>
        <v>Inorganic fertilisers</v>
      </c>
      <c r="E14" s="3" t="str" cm="1">
        <f t="array" ref="E14">Common_InputFunctions.Utility_DisplayArrayInTable(Scope3_SourceData.Scope3_InorganicFertilisers_Data(), Table_Scope3_InorganicFertiliser[[#Headers],[Category]], 0, 2)</f>
        <v>Calcium ammonium nitrate, AU market mix</v>
      </c>
      <c r="F14" s="3" t="str" cm="1">
        <f t="array" ref="F14">Common_InputFunctions.Utility_DisplayArrayInTable(Scope3_SourceData.Scope3_InorganicFertilisers_Data(), Table_Scope3_InorganicFertiliser[[#Headers],[Category]], 0, 2)</f>
        <v>Global</v>
      </c>
      <c r="G14" s="3" t="str">
        <f>'Constants - Fertiliser'!$D$26</f>
        <v>Calcium ammonium nitrate (CAN)</v>
      </c>
      <c r="J14" s="3" cm="1">
        <f t="array" ref="J14">Fertiliser_InputFunctions.Fertiliser_TotalChemicalCompoundAppliedAllIngredients($G14,Table_Input_InorganicFertiliser_Brands[Total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4" s="3" t="str" cm="1">
        <f t="array" ref="K14">Common_InputFunctions.Utility_DisplayArrayInTable(Scope3_SourceData.Scope3_InorganicFertilisers_Data(), Table_Scope3_InorganicFertiliser[[#Headers],[Category]], 0, -2)</f>
        <v>kg</v>
      </c>
      <c r="L14" s="3" cm="1">
        <f t="array" ref="L14">Common_InputFunctions.Utility_DisplayArrayInTable(Scope3_SourceData.Scope3_InorganicFertilisers_Data(), Table_Scope3_InorganicFertiliser[[#Headers],[Category]], 0, -2)</f>
        <v>1.1499999999999999</v>
      </c>
      <c r="M14" s="153"/>
      <c r="N14" s="156" t="str" cm="1">
        <f t="array" ref="N14">Common_InputFunctions.Utility_DisplayArrayInTable(Scope3_SourceData.Scope3_InorganicFertilisers_Data(), Table_Scope3_InorganicFertiliser[[#Headers],[Category]], 0, 1)</f>
        <v/>
      </c>
      <c r="O14" s="3">
        <f>Table_Scope3_InorganicFertiliser[[#This Row],[Quantity]]*Table_Scope3_InorganicFertiliser[[#This Row],[AusLCI Emissions intensity]]</f>
        <v>0</v>
      </c>
      <c r="P14" s="3">
        <f>Table_Scope3_InorganicFertiliser[[#This Row],[Quantity]]*IF(Table_Scope3_InorganicFertiliser[[#This Row],[Custom emissions intensity]], Table_Scope3_InorganicFertiliser[[#This Row],[Custom emissions intensity]], Table_Scope3_InorganicFertiliser[[#This Row],[AusLCI Emissions intensity]])</f>
        <v>0</v>
      </c>
      <c r="Q14" s="154"/>
      <c r="R14" s="157"/>
      <c r="S14" s="154"/>
      <c r="T14" s="158" cm="1">
        <f t="array" ref="T14">Common_InputFunctions.Utility_LookupValueInTableNumber(Table_Scope3_InorganicFertiliser[[#This Row],[Custom emissions intensity source type (Select)]],#REF!,#REF!)</f>
        <v>0</v>
      </c>
      <c r="U14" s="14"/>
    </row>
    <row r="15" spans="1:21" ht="20.100000000000001" customHeight="1" x14ac:dyDescent="0.25">
      <c r="A15" s="16" t="str">
        <f>HYPERLINK("#'Input - Fuel &amp; Energy'!A1", "Electricity and fuel")</f>
        <v>Electricity and fuel</v>
      </c>
      <c r="C15" s="14"/>
      <c r="D15" s="3" t="str" cm="1">
        <f t="array" ref="D15">Common_InputFunctions.Utility_DisplayArrayInTable(Scope3_SourceData.Scope3_InorganicFertilisers_Data(), Table_Scope3_InorganicFertiliser[[#Headers],[Category]], 0, 2)</f>
        <v>Inorganic fertilisers</v>
      </c>
      <c r="E15" s="3" t="str" cm="1">
        <f t="array" ref="E15">Common_InputFunctions.Utility_DisplayArrayInTable(Scope3_SourceData.Scope3_InorganicFertilisers_Data(), Table_Scope3_InorganicFertiliser[[#Headers],[Category]], 0, 2)</f>
        <v>Calcium nitrate</v>
      </c>
      <c r="F15" s="3" t="str" cm="1">
        <f t="array" ref="F15">Common_InputFunctions.Utility_DisplayArrayInTable(Scope3_SourceData.Scope3_InorganicFertilisers_Data(), Table_Scope3_InorganicFertiliser[[#Headers],[Category]], 0, 2)</f>
        <v>Global</v>
      </c>
      <c r="G15" s="3" t="str">
        <f>'Constants - Fertiliser'!$D$38</f>
        <v>Calcium nitrate</v>
      </c>
      <c r="J15" s="3" cm="1">
        <f t="array" ref="J15">Fertiliser_InputFunctions.Fertiliser_TotalChemicalCompoundAppliedAllIngredients($G15,Table_Input_InorganicFertiliser_Brands[Total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5" s="3" t="str" cm="1">
        <f t="array" ref="K15">Common_InputFunctions.Utility_DisplayArrayInTable(Scope3_SourceData.Scope3_InorganicFertilisers_Data(), Table_Scope3_InorganicFertiliser[[#Headers],[Category]], 0, -2)</f>
        <v>kg</v>
      </c>
      <c r="L15" s="3" cm="1">
        <f t="array" ref="L15">Common_InputFunctions.Utility_DisplayArrayInTable(Scope3_SourceData.Scope3_InorganicFertilisers_Data(), Table_Scope3_InorganicFertiliser[[#Headers],[Category]], 0, -2)</f>
        <v>0.75</v>
      </c>
      <c r="M15" s="153"/>
      <c r="N15" s="156" t="str" cm="1">
        <f t="array" ref="N15">Common_InputFunctions.Utility_DisplayArrayInTable(Scope3_SourceData.Scope3_InorganicFertilisers_Data(), Table_Scope3_InorganicFertiliser[[#Headers],[Category]], 0, 1)</f>
        <v/>
      </c>
      <c r="O15" s="3">
        <f>Table_Scope3_InorganicFertiliser[[#This Row],[Quantity]]*Table_Scope3_InorganicFertiliser[[#This Row],[AusLCI Emissions intensity]]</f>
        <v>0</v>
      </c>
      <c r="P15" s="3">
        <f>Table_Scope3_InorganicFertiliser[[#This Row],[Quantity]]*IF(Table_Scope3_InorganicFertiliser[[#This Row],[Custom emissions intensity]], Table_Scope3_InorganicFertiliser[[#This Row],[Custom emissions intensity]], Table_Scope3_InorganicFertiliser[[#This Row],[AusLCI Emissions intensity]])</f>
        <v>0</v>
      </c>
      <c r="Q15" s="154"/>
      <c r="R15" s="157"/>
      <c r="S15" s="154"/>
      <c r="T15" s="158" cm="1">
        <f t="array" ref="T15">Common_InputFunctions.Utility_LookupValueInTableNumber(Table_Scope3_InorganicFertiliser[[#This Row],[Custom emissions intensity source type (Select)]],#REF!,#REF!)</f>
        <v>0</v>
      </c>
      <c r="U15" s="14"/>
    </row>
    <row r="16" spans="1:21" ht="20.100000000000001" customHeight="1" x14ac:dyDescent="0.25">
      <c r="A16" s="52" t="s">
        <v>316</v>
      </c>
      <c r="C16" s="14"/>
      <c r="D16" s="3" t="str" cm="1">
        <f t="array" ref="D16">Common_InputFunctions.Utility_DisplayArrayInTable(Scope3_SourceData.Scope3_InorganicFertilisers_Data(), Table_Scope3_InorganicFertiliser[[#Headers],[Category]], 0, 2)</f>
        <v>Inorganic fertilisers</v>
      </c>
      <c r="E16" s="3" t="str" cm="1">
        <f t="array" ref="E16">Common_InputFunctions.Utility_DisplayArrayInTable(Scope3_SourceData.Scope3_InorganicFertilisers_Data(), Table_Scope3_InorganicFertiliser[[#Headers],[Category]], 0, 2)</f>
        <v>Diammonium phosphate, AU market mix</v>
      </c>
      <c r="F16" s="3" t="str" cm="1">
        <f t="array" ref="F16">Common_InputFunctions.Utility_DisplayArrayInTable(Scope3_SourceData.Scope3_InorganicFertilisers_Data(), Table_Scope3_InorganicFertiliser[[#Headers],[Category]], 0, 2)</f>
        <v>Global</v>
      </c>
      <c r="G16" s="3" t="str">
        <f>'Constants - Fertiliser'!$D$21</f>
        <v>Diammonium phosphate (DAP)</v>
      </c>
      <c r="J16" s="3" cm="1">
        <f t="array" ref="J16">Fertiliser_InputFunctions.Fertiliser_TotalChemicalCompoundAppliedAllIngredients($G16,Table_Input_InorganicFertiliser_Brands[Total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6" s="3" t="str" cm="1">
        <f t="array" ref="K16">Common_InputFunctions.Utility_DisplayArrayInTable(Scope3_SourceData.Scope3_InorganicFertilisers_Data(), Table_Scope3_InorganicFertiliser[[#Headers],[Category]], 0, -2)</f>
        <v>kg</v>
      </c>
      <c r="L16" s="3" cm="1">
        <f t="array" ref="L16">Common_InputFunctions.Utility_DisplayArrayInTable(Scope3_SourceData.Scope3_InorganicFertilisers_Data(), Table_Scope3_InorganicFertiliser[[#Headers],[Category]], 0, -2)</f>
        <v>1.34</v>
      </c>
      <c r="M16" s="153"/>
      <c r="N16" s="156" t="str" cm="1">
        <f t="array" ref="N16">Common_InputFunctions.Utility_DisplayArrayInTable(Scope3_SourceData.Scope3_InorganicFertilisers_Data(), Table_Scope3_InorganicFertiliser[[#Headers],[Category]], 0, 1)</f>
        <v/>
      </c>
      <c r="O16" s="3">
        <f>Table_Scope3_InorganicFertiliser[[#This Row],[Quantity]]*Table_Scope3_InorganicFertiliser[[#This Row],[AusLCI Emissions intensity]]</f>
        <v>0</v>
      </c>
      <c r="P16" s="3">
        <f>Table_Scope3_InorganicFertiliser[[#This Row],[Quantity]]*IF(Table_Scope3_InorganicFertiliser[[#This Row],[Custom emissions intensity]], Table_Scope3_InorganicFertiliser[[#This Row],[Custom emissions intensity]], Table_Scope3_InorganicFertiliser[[#This Row],[AusLCI Emissions intensity]])</f>
        <v>0</v>
      </c>
      <c r="Q16" s="154"/>
      <c r="R16" s="157"/>
      <c r="S16" s="154"/>
      <c r="T16" s="158" cm="1">
        <f t="array" ref="T16">Common_InputFunctions.Utility_LookupValueInTableNumber(Table_Scope3_InorganicFertiliser[[#This Row],[Custom emissions intensity source type (Select)]],#REF!,#REF!)</f>
        <v>0</v>
      </c>
      <c r="U16" s="14"/>
    </row>
    <row r="17" spans="1:21" ht="20.100000000000001" customHeight="1" x14ac:dyDescent="0.25">
      <c r="A17" s="52" t="s">
        <v>317</v>
      </c>
      <c r="C17" s="14"/>
      <c r="D17" s="3" t="str" cm="1">
        <f t="array" ref="D17">Common_InputFunctions.Utility_DisplayArrayInTable(Scope3_SourceData.Scope3_InorganicFertilisers_Data(), Table_Scope3_InorganicFertiliser[[#Headers],[Category]], 0, 2)</f>
        <v>Inorganic fertilisers</v>
      </c>
      <c r="E17" s="3" t="str" cm="1">
        <f t="array" ref="E17">Common_InputFunctions.Utility_DisplayArrayInTable(Scope3_SourceData.Scope3_InorganicFertilisers_Data(), Table_Scope3_InorganicFertiliser[[#Headers],[Category]], 0, 2)</f>
        <v>Double superphosphate, AU market mix</v>
      </c>
      <c r="F17" s="3" t="str" cm="1">
        <f t="array" ref="F17">Common_InputFunctions.Utility_DisplayArrayInTable(Scope3_SourceData.Scope3_InorganicFertilisers_Data(), Table_Scope3_InorganicFertiliser[[#Headers],[Category]], 0, 2)</f>
        <v>Global</v>
      </c>
      <c r="G17" s="3" t="str">
        <f>'Constants - Fertiliser'!$D$35</f>
        <v>Double superphosphate</v>
      </c>
      <c r="J17" s="3" cm="1">
        <f t="array" ref="J17">Fertiliser_InputFunctions.Fertiliser_TotalChemicalCompoundAppliedAllIngredients($G17,Table_Input_InorganicFertiliser_Brands[Total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7" s="3" t="str" cm="1">
        <f t="array" ref="K17">Common_InputFunctions.Utility_DisplayArrayInTable(Scope3_SourceData.Scope3_InorganicFertilisers_Data(), Table_Scope3_InorganicFertiliser[[#Headers],[Category]], 0, -2)</f>
        <v>kg</v>
      </c>
      <c r="L17" s="3" cm="1">
        <f t="array" ref="L17">Common_InputFunctions.Utility_DisplayArrayInTable(Scope3_SourceData.Scope3_InorganicFertilisers_Data(), Table_Scope3_InorganicFertiliser[[#Headers],[Category]], 0, -2)</f>
        <v>0.39200000000000002</v>
      </c>
      <c r="M17" s="153"/>
      <c r="N17" s="156" t="str" cm="1">
        <f t="array" ref="N17">Common_InputFunctions.Utility_DisplayArrayInTable(Scope3_SourceData.Scope3_InorganicFertilisers_Data(), Table_Scope3_InorganicFertiliser[[#Headers],[Category]], 0, 1)</f>
        <v/>
      </c>
      <c r="O17" s="3">
        <f>Table_Scope3_InorganicFertiliser[[#This Row],[Quantity]]*Table_Scope3_InorganicFertiliser[[#This Row],[AusLCI Emissions intensity]]</f>
        <v>0</v>
      </c>
      <c r="P17" s="3">
        <f>Table_Scope3_InorganicFertiliser[[#This Row],[Quantity]]*IF(Table_Scope3_InorganicFertiliser[[#This Row],[Custom emissions intensity]], Table_Scope3_InorganicFertiliser[[#This Row],[Custom emissions intensity]], Table_Scope3_InorganicFertiliser[[#This Row],[AusLCI Emissions intensity]])</f>
        <v>0</v>
      </c>
      <c r="Q17" s="154"/>
      <c r="R17" s="157"/>
      <c r="S17" s="154"/>
      <c r="T17" s="158" cm="1">
        <f t="array" ref="T17">Common_InputFunctions.Utility_LookupValueInTableNumber(Table_Scope3_InorganicFertiliser[[#This Row],[Custom emissions intensity source type (Select)]],#REF!,#REF!)</f>
        <v>0</v>
      </c>
      <c r="U17" s="14"/>
    </row>
    <row r="18" spans="1:21" ht="20.100000000000001" customHeight="1" x14ac:dyDescent="0.25">
      <c r="A18" s="16" t="str">
        <f>HYPERLINK("#'Input - Other Farm Inputs'!A1", "Other farm inputs")</f>
        <v>Other farm inputs</v>
      </c>
      <c r="C18" s="14"/>
      <c r="D18" s="3" t="str" cm="1">
        <f t="array" ref="D18">Common_InputFunctions.Utility_DisplayArrayInTable(Scope3_SourceData.Scope3_InorganicFertilisers_Data(), Table_Scope3_InorganicFertiliser[[#Headers],[Category]], 0, 2)</f>
        <v>Inorganic fertilisers</v>
      </c>
      <c r="E18" s="3" t="str" cm="1">
        <f t="array" ref="E18">Common_InputFunctions.Utility_DisplayArrayInTable(Scope3_SourceData.Scope3_InorganicFertilisers_Data(), Table_Scope3_InorganicFertiliser[[#Headers],[Category]], 0, 2)</f>
        <v>Monoammonium phosphate, AU market mix</v>
      </c>
      <c r="F18" s="3" t="str" cm="1">
        <f t="array" ref="F18">Common_InputFunctions.Utility_DisplayArrayInTable(Scope3_SourceData.Scope3_InorganicFertilisers_Data(), Table_Scope3_InorganicFertiliser[[#Headers],[Category]], 0, 2)</f>
        <v>Global</v>
      </c>
      <c r="G18" s="3" t="str">
        <f>'Constants - Fertiliser'!$D$20</f>
        <v>Monoammonium phosphate (MAP)</v>
      </c>
      <c r="J18" s="3" cm="1">
        <f t="array" ref="J18">Fertiliser_InputFunctions.Fertiliser_TotalChemicalCompoundAppliedAllIngredients($G18,Table_Input_InorganicFertiliser_Brands[Total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8" s="3" t="str" cm="1">
        <f t="array" ref="K18">Common_InputFunctions.Utility_DisplayArrayInTable(Scope3_SourceData.Scope3_InorganicFertilisers_Data(), Table_Scope3_InorganicFertiliser[[#Headers],[Category]], 0, -2)</f>
        <v>kg</v>
      </c>
      <c r="L18" s="3" cm="1">
        <f t="array" ref="L18">Common_InputFunctions.Utility_DisplayArrayInTable(Scope3_SourceData.Scope3_InorganicFertilisers_Data(), Table_Scope3_InorganicFertiliser[[#Headers],[Category]], 0, -2)</f>
        <v>0.82699999999999996</v>
      </c>
      <c r="M18" s="153"/>
      <c r="N18" s="156" t="str" cm="1">
        <f t="array" ref="N18">Common_InputFunctions.Utility_DisplayArrayInTable(Scope3_SourceData.Scope3_InorganicFertilisers_Data(), Table_Scope3_InorganicFertiliser[[#Headers],[Category]], 0, 1)</f>
        <v/>
      </c>
      <c r="O18" s="3">
        <f>Table_Scope3_InorganicFertiliser[[#This Row],[Quantity]]*Table_Scope3_InorganicFertiliser[[#This Row],[AusLCI Emissions intensity]]</f>
        <v>0</v>
      </c>
      <c r="P18" s="3">
        <f>Table_Scope3_InorganicFertiliser[[#This Row],[Quantity]]*IF(Table_Scope3_InorganicFertiliser[[#This Row],[Custom emissions intensity]], Table_Scope3_InorganicFertiliser[[#This Row],[Custom emissions intensity]], Table_Scope3_InorganicFertiliser[[#This Row],[AusLCI Emissions intensity]])</f>
        <v>0</v>
      </c>
      <c r="Q18" s="154"/>
      <c r="R18" s="157"/>
      <c r="S18" s="154"/>
      <c r="T18" s="158" cm="1">
        <f t="array" ref="T18">Common_InputFunctions.Utility_LookupValueInTableNumber(Table_Scope3_InorganicFertiliser[[#This Row],[Custom emissions intensity source type (Select)]],#REF!,#REF!)</f>
        <v>0</v>
      </c>
      <c r="U18" s="14"/>
    </row>
    <row r="19" spans="1:21" ht="20.100000000000001" customHeight="1" x14ac:dyDescent="0.25">
      <c r="A19" s="16" t="str">
        <f>HYPERLINK("#'Input - Data quality'!A1", "Data quality")</f>
        <v>Data quality</v>
      </c>
      <c r="C19" s="14"/>
      <c r="D19" s="3" t="str" cm="1">
        <f t="array" ref="D19">Common_InputFunctions.Utility_DisplayArrayInTable(Scope3_SourceData.Scope3_InorganicFertilisers_Data(), Table_Scope3_InorganicFertiliser[[#Headers],[Category]], 0, 2)</f>
        <v>Inorganic fertilisers</v>
      </c>
      <c r="E19" s="3" t="str" cm="1">
        <f t="array" ref="E19">Common_InputFunctions.Utility_DisplayArrayInTable(Scope3_SourceData.Scope3_InorganicFertilisers_Data(), Table_Scope3_InorganicFertiliser[[#Headers],[Category]], 0, 2)</f>
        <v>Muriate of potash, AU market mix</v>
      </c>
      <c r="F19" s="3" t="str" cm="1">
        <f t="array" ref="F19">Common_InputFunctions.Utility_DisplayArrayInTable(Scope3_SourceData.Scope3_InorganicFertilisers_Data(), Table_Scope3_InorganicFertiliser[[#Headers],[Category]], 0, 2)</f>
        <v>Global</v>
      </c>
      <c r="G19" s="3" t="str">
        <f>'Constants - Fertiliser'!$D$34</f>
        <v>Muriate of potash (MOP)</v>
      </c>
      <c r="J19" s="3" cm="1">
        <f t="array" ref="J19">Fertiliser_InputFunctions.Fertiliser_TotalChemicalCompoundAppliedAllIngredients($G19,Table_Input_InorganicFertiliser_Brands[Total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9" s="3" t="str" cm="1">
        <f t="array" ref="K19">Common_InputFunctions.Utility_DisplayArrayInTable(Scope3_SourceData.Scope3_InorganicFertilisers_Data(), Table_Scope3_InorganicFertiliser[[#Headers],[Category]], 0, -2)</f>
        <v>kg</v>
      </c>
      <c r="L19" s="3" cm="1">
        <f t="array" ref="L19">Common_InputFunctions.Utility_DisplayArrayInTable(Scope3_SourceData.Scope3_InorganicFertilisers_Data(), Table_Scope3_InorganicFertiliser[[#Headers],[Category]], 0, -2)</f>
        <v>0.54900000000000004</v>
      </c>
      <c r="M19" s="153"/>
      <c r="N19" s="156" t="str" cm="1">
        <f t="array" ref="N19">Common_InputFunctions.Utility_DisplayArrayInTable(Scope3_SourceData.Scope3_InorganicFertilisers_Data(), Table_Scope3_InorganicFertiliser[[#Headers],[Category]], 0, 1)</f>
        <v/>
      </c>
      <c r="O19" s="3">
        <f>Table_Scope3_InorganicFertiliser[[#This Row],[Quantity]]*Table_Scope3_InorganicFertiliser[[#This Row],[AusLCI Emissions intensity]]</f>
        <v>0</v>
      </c>
      <c r="P19" s="3">
        <f>Table_Scope3_InorganicFertiliser[[#This Row],[Quantity]]*IF(Table_Scope3_InorganicFertiliser[[#This Row],[Custom emissions intensity]], Table_Scope3_InorganicFertiliser[[#This Row],[Custom emissions intensity]], Table_Scope3_InorganicFertiliser[[#This Row],[AusLCI Emissions intensity]])</f>
        <v>0</v>
      </c>
      <c r="Q19" s="154"/>
      <c r="R19" s="157"/>
      <c r="S19" s="154"/>
      <c r="T19" s="158" cm="1">
        <f t="array" ref="T19">Common_InputFunctions.Utility_LookupValueInTableNumber(Table_Scope3_InorganicFertiliser[[#This Row],[Custom emissions intensity source type (Select)]],#REF!,#REF!)</f>
        <v>0</v>
      </c>
      <c r="U19" s="14"/>
    </row>
    <row r="20" spans="1:21" ht="20.100000000000001" customHeight="1" x14ac:dyDescent="0.25">
      <c r="C20" s="14"/>
      <c r="D20" s="3" t="str" cm="1">
        <f t="array" ref="D20">Common_InputFunctions.Utility_DisplayArrayInTable(Scope3_SourceData.Scope3_InorganicFertilisers_Data(), Table_Scope3_InorganicFertiliser[[#Headers],[Category]], 0, 2)</f>
        <v>Inorganic fertilisers</v>
      </c>
      <c r="E20" s="3" t="str" cm="1">
        <f t="array" ref="E20">Common_InputFunctions.Utility_DisplayArrayInTable(Scope3_SourceData.Scope3_InorganicFertilisers_Data(), Table_Scope3_InorganicFertiliser[[#Headers],[Category]], 0, 2)</f>
        <v>Nitrogen from ammonia, AU market mix</v>
      </c>
      <c r="F20" s="3" t="str" cm="1">
        <f t="array" ref="F20">Common_InputFunctions.Utility_DisplayArrayInTable(Scope3_SourceData.Scope3_InorganicFertilisers_Data(), Table_Scope3_InorganicFertiliser[[#Headers],[Category]], 0, 2)</f>
        <v>Global</v>
      </c>
      <c r="G20" s="3" t="str">
        <f>'Constants - Fertiliser'!$D$27</f>
        <v>Nitrogen - Ammoniacal</v>
      </c>
      <c r="J20" s="3" cm="1">
        <f t="array" ref="J20">Fertiliser_InputFunctions.Fertiliser_TotalChemicalCompoundAppliedAllIngredients($G20,Table_Input_InorganicFertiliser_Brands[Total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0" s="3" t="str" cm="1">
        <f t="array" ref="K20">Common_InputFunctions.Utility_DisplayArrayInTable(Scope3_SourceData.Scope3_InorganicFertilisers_Data(), Table_Scope3_InorganicFertiliser[[#Headers],[Category]], 0, -2)</f>
        <v>kg N</v>
      </c>
      <c r="L20" s="3" cm="1">
        <f t="array" ref="L20">Common_InputFunctions.Utility_DisplayArrayInTable(Scope3_SourceData.Scope3_InorganicFertilisers_Data(), Table_Scope3_InorganicFertiliser[[#Headers],[Category]], 0, -2)</f>
        <v>2.83</v>
      </c>
      <c r="M20" s="153"/>
      <c r="N20" s="156" t="str" cm="1">
        <f t="array" ref="N20">Common_InputFunctions.Utility_DisplayArrayInTable(Scope3_SourceData.Scope3_InorganicFertilisers_Data(), Table_Scope3_InorganicFertiliser[[#Headers],[Category]], 0, 1)</f>
        <v/>
      </c>
      <c r="O20" s="3">
        <f>Table_Scope3_InorganicFertiliser[[#This Row],[Quantity]]*Table_Scope3_InorganicFertiliser[[#This Row],[AusLCI Emissions intensity]]</f>
        <v>0</v>
      </c>
      <c r="P20" s="3">
        <f>Table_Scope3_InorganicFertiliser[[#This Row],[Quantity]]*IF(Table_Scope3_InorganicFertiliser[[#This Row],[Custom emissions intensity]], Table_Scope3_InorganicFertiliser[[#This Row],[Custom emissions intensity]], Table_Scope3_InorganicFertiliser[[#This Row],[AusLCI Emissions intensity]])</f>
        <v>0</v>
      </c>
      <c r="Q20" s="154"/>
      <c r="R20" s="157"/>
      <c r="S20" s="154"/>
      <c r="T20" s="158" cm="1">
        <f t="array" ref="T20">Common_InputFunctions.Utility_LookupValueInTableNumber(Table_Scope3_InorganicFertiliser[[#This Row],[Custom emissions intensity source type (Select)]],#REF!,#REF!)</f>
        <v>0</v>
      </c>
      <c r="U20" s="14"/>
    </row>
    <row r="21" spans="1:21" ht="20.100000000000001" customHeight="1" x14ac:dyDescent="0.25">
      <c r="A21" s="21" t="s">
        <v>77</v>
      </c>
      <c r="C21" s="14"/>
      <c r="D21" s="3" t="str" cm="1">
        <f t="array" ref="D21">Common_InputFunctions.Utility_DisplayArrayInTable(Scope3_SourceData.Scope3_InorganicFertilisers_Data(), Table_Scope3_InorganicFertiliser[[#Headers],[Category]], 0, 2)</f>
        <v>Inorganic fertilisers</v>
      </c>
      <c r="E21" s="3" t="str" cm="1">
        <f t="array" ref="E21">Common_InputFunctions.Utility_DisplayArrayInTable(Scope3_SourceData.Scope3_InorganicFertilisers_Data(), Table_Scope3_InorganicFertiliser[[#Headers],[Category]], 0, 2)</f>
        <v>Nitrogen from fertilizer, AU market mix</v>
      </c>
      <c r="F21" s="3" t="str" cm="1">
        <f t="array" ref="F21">Common_InputFunctions.Utility_DisplayArrayInTable(Scope3_SourceData.Scope3_InorganicFertilisers_Data(), Table_Scope3_InorganicFertiliser[[#Headers],[Category]], 0, 2)</f>
        <v>Global</v>
      </c>
      <c r="G21" s="3" t="str">
        <f>'Constants - Fertiliser'!$D$29</f>
        <v>Nitrogen - Generic</v>
      </c>
      <c r="J21" s="3" cm="1">
        <f t="array" ref="J21">Fertiliser_InputFunctions.Fertiliser_TotalChemicalCompoundAppliedAllIngredients($G21,Table_Input_InorganicFertiliser_Brands[Total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364.50000000000006</v>
      </c>
      <c r="K21" s="3" t="str" cm="1">
        <f t="array" ref="K21">Common_InputFunctions.Utility_DisplayArrayInTable(Scope3_SourceData.Scope3_InorganicFertilisers_Data(), Table_Scope3_InorganicFertiliser[[#Headers],[Category]], 0, -2)</f>
        <v>kg N</v>
      </c>
      <c r="L21" s="3" cm="1">
        <f t="array" ref="L21">Common_InputFunctions.Utility_DisplayArrayInTable(Scope3_SourceData.Scope3_InorganicFertilisers_Data(), Table_Scope3_InorganicFertiliser[[#Headers],[Category]], 0, -2)</f>
        <v>4.2</v>
      </c>
      <c r="M21" s="153"/>
      <c r="N21" s="156" t="str" cm="1">
        <f t="array" ref="N21">Common_InputFunctions.Utility_DisplayArrayInTable(Scope3_SourceData.Scope3_InorganicFertilisers_Data(), Table_Scope3_InorganicFertiliser[[#Headers],[Category]], 0, 1)</f>
        <v/>
      </c>
      <c r="O21" s="3">
        <f>Table_Scope3_InorganicFertiliser[[#This Row],[Quantity]]*Table_Scope3_InorganicFertiliser[[#This Row],[AusLCI Emissions intensity]]</f>
        <v>1530.9000000000003</v>
      </c>
      <c r="P21" s="3">
        <f>Table_Scope3_InorganicFertiliser[[#This Row],[Quantity]]*IF(Table_Scope3_InorganicFertiliser[[#This Row],[Custom emissions intensity]], Table_Scope3_InorganicFertiliser[[#This Row],[Custom emissions intensity]], Table_Scope3_InorganicFertiliser[[#This Row],[AusLCI Emissions intensity]])</f>
        <v>1530.9000000000003</v>
      </c>
      <c r="Q21" s="154"/>
      <c r="R21" s="157"/>
      <c r="S21" s="154"/>
      <c r="T21" s="158" cm="1">
        <f t="array" ref="T21">Common_InputFunctions.Utility_LookupValueInTableNumber(Table_Scope3_InorganicFertiliser[[#This Row],[Custom emissions intensity source type (Select)]],#REF!,#REF!)</f>
        <v>0</v>
      </c>
      <c r="U21" s="14"/>
    </row>
    <row r="22" spans="1:21" ht="20.100000000000001" customHeight="1" x14ac:dyDescent="0.25">
      <c r="A22" s="52" t="s">
        <v>318</v>
      </c>
      <c r="C22" s="14"/>
      <c r="D22" s="3" t="str" cm="1">
        <f t="array" ref="D22">Common_InputFunctions.Utility_DisplayArrayInTable(Scope3_SourceData.Scope3_InorganicFertilisers_Data(), Table_Scope3_InorganicFertiliser[[#Headers],[Category]], 0, 2)</f>
        <v>Inorganic fertilisers</v>
      </c>
      <c r="E22" s="3" t="str" cm="1">
        <f t="array" ref="E22">Common_InputFunctions.Utility_DisplayArrayInTable(Scope3_SourceData.Scope3_InorganicFertilisers_Data(), Table_Scope3_InorganicFertiliser[[#Headers],[Category]], 0, 2)</f>
        <v>Nitrogen from nitrate fertilizer, AU market mix</v>
      </c>
      <c r="F22" s="3" t="str" cm="1">
        <f t="array" ref="F22">Common_InputFunctions.Utility_DisplayArrayInTable(Scope3_SourceData.Scope3_InorganicFertilisers_Data(), Table_Scope3_InorganicFertiliser[[#Headers],[Category]], 0, 2)</f>
        <v>Global</v>
      </c>
      <c r="G22" s="3" t="str">
        <f>'Constants - Fertiliser'!$D$28</f>
        <v>Nitrogen - Nitrate</v>
      </c>
      <c r="J22" s="3" cm="1">
        <f t="array" ref="J22">Fertiliser_InputFunctions.Fertiliser_TotalChemicalCompoundAppliedAllIngredients($G22,Table_Input_InorganicFertiliser_Brands[Total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2" s="3" t="str" cm="1">
        <f t="array" ref="K22">Common_InputFunctions.Utility_DisplayArrayInTable(Scope3_SourceData.Scope3_InorganicFertilisers_Data(), Table_Scope3_InorganicFertiliser[[#Headers],[Category]], 0, -2)</f>
        <v>kg N</v>
      </c>
      <c r="L22" s="3" cm="1">
        <f t="array" ref="L22">Common_InputFunctions.Utility_DisplayArrayInTable(Scope3_SourceData.Scope3_InorganicFertilisers_Data(), Table_Scope3_InorganicFertiliser[[#Headers],[Category]], 0, -2)</f>
        <v>5.47</v>
      </c>
      <c r="M22" s="153"/>
      <c r="N22" s="156" t="str" cm="1">
        <f t="array" ref="N22">Common_InputFunctions.Utility_DisplayArrayInTable(Scope3_SourceData.Scope3_InorganicFertilisers_Data(), Table_Scope3_InorganicFertiliser[[#Headers],[Category]], 0, 1)</f>
        <v/>
      </c>
      <c r="O22" s="3">
        <f>Table_Scope3_InorganicFertiliser[[#This Row],[Quantity]]*Table_Scope3_InorganicFertiliser[[#This Row],[AusLCI Emissions intensity]]</f>
        <v>0</v>
      </c>
      <c r="P22" s="3">
        <f>Table_Scope3_InorganicFertiliser[[#This Row],[Quantity]]*IF(Table_Scope3_InorganicFertiliser[[#This Row],[Custom emissions intensity]], Table_Scope3_InorganicFertiliser[[#This Row],[Custom emissions intensity]], Table_Scope3_InorganicFertiliser[[#This Row],[AusLCI Emissions intensity]])</f>
        <v>0</v>
      </c>
      <c r="Q22" s="154"/>
      <c r="R22" s="157"/>
      <c r="S22" s="154"/>
      <c r="T22" s="158" cm="1">
        <f t="array" ref="T22">Common_InputFunctions.Utility_LookupValueInTableNumber(Table_Scope3_InorganicFertiliser[[#This Row],[Custom emissions intensity source type (Select)]],#REF!,#REF!)</f>
        <v>0</v>
      </c>
      <c r="U22" s="14"/>
    </row>
    <row r="23" spans="1:21" ht="20.100000000000001" customHeight="1" x14ac:dyDescent="0.25">
      <c r="A23" s="52" t="s">
        <v>319</v>
      </c>
      <c r="C23" s="14"/>
      <c r="D23" s="3" t="str" cm="1">
        <f t="array" ref="D23">Common_InputFunctions.Utility_DisplayArrayInTable(Scope3_SourceData.Scope3_InorganicFertilisers_Data(), Table_Scope3_InorganicFertiliser[[#Headers],[Category]], 0, 2)</f>
        <v>Inorganic fertilisers</v>
      </c>
      <c r="E23" s="3" t="str" cm="1">
        <f t="array" ref="E23">Common_InputFunctions.Utility_DisplayArrayInTable(Scope3_SourceData.Scope3_InorganicFertilisers_Data(), Table_Scope3_InorganicFertiliser[[#Headers],[Category]], 0, 2)</f>
        <v>Phosphorus from fertilizer, AU market mix</v>
      </c>
      <c r="F23" s="3" t="str" cm="1">
        <f t="array" ref="F23">Common_InputFunctions.Utility_DisplayArrayInTable(Scope3_SourceData.Scope3_InorganicFertilisers_Data(), Table_Scope3_InorganicFertiliser[[#Headers],[Category]], 0, 2)</f>
        <v>Global</v>
      </c>
      <c r="G23" s="3" t="str">
        <f>'Constants - Fertiliser'!$D$30</f>
        <v>Phosphorus - Generic</v>
      </c>
      <c r="J23" s="3" cm="1">
        <f t="array" ref="J23">Fertiliser_InputFunctions.Fertiliser_TotalChemicalCompoundAppliedAllIngredients($G23,Table_Input_InorganicFertiliser_Brands[Total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3" s="3" t="str" cm="1">
        <f t="array" ref="K23">Common_InputFunctions.Utility_DisplayArrayInTable(Scope3_SourceData.Scope3_InorganicFertilisers_Data(), Table_Scope3_InorganicFertiliser[[#Headers],[Category]], 0, -2)</f>
        <v>kg P</v>
      </c>
      <c r="L23" s="3" cm="1">
        <f t="array" ref="L23">Common_InputFunctions.Utility_DisplayArrayInTable(Scope3_SourceData.Scope3_InorganicFertilisers_Data(), Table_Scope3_InorganicFertiliser[[#Headers],[Category]], 0, -2)</f>
        <v>3.96</v>
      </c>
      <c r="M23" s="153"/>
      <c r="N23" s="156" t="str" cm="1">
        <f t="array" ref="N23">Common_InputFunctions.Utility_DisplayArrayInTable(Scope3_SourceData.Scope3_InorganicFertilisers_Data(), Table_Scope3_InorganicFertiliser[[#Headers],[Category]], 0, 1)</f>
        <v/>
      </c>
      <c r="O23" s="3">
        <f>Table_Scope3_InorganicFertiliser[[#This Row],[Quantity]]*Table_Scope3_InorganicFertiliser[[#This Row],[AusLCI Emissions intensity]]</f>
        <v>0</v>
      </c>
      <c r="P23" s="3">
        <f>Table_Scope3_InorganicFertiliser[[#This Row],[Quantity]]*IF(Table_Scope3_InorganicFertiliser[[#This Row],[Custom emissions intensity]], Table_Scope3_InorganicFertiliser[[#This Row],[Custom emissions intensity]], Table_Scope3_InorganicFertiliser[[#This Row],[AusLCI Emissions intensity]])</f>
        <v>0</v>
      </c>
      <c r="Q23" s="154"/>
      <c r="R23" s="157"/>
      <c r="S23" s="154"/>
      <c r="T23" s="158" cm="1">
        <f t="array" ref="T23">Common_InputFunctions.Utility_LookupValueInTableNumber(Table_Scope3_InorganicFertiliser[[#This Row],[Custom emissions intensity source type (Select)]],#REF!,#REF!)</f>
        <v>0</v>
      </c>
      <c r="U23" s="14"/>
    </row>
    <row r="24" spans="1:21" ht="20.100000000000001" customHeight="1" x14ac:dyDescent="0.25">
      <c r="A24" s="16" t="str">
        <f>HYPERLINK("#'Calcs - Fert Lime'!A1", "Fertiliser &amp; soil amendments")</f>
        <v>Fertiliser &amp; soil amendments</v>
      </c>
      <c r="C24" s="14"/>
      <c r="D24" s="3" t="str" cm="1">
        <f t="array" ref="D24">Common_InputFunctions.Utility_DisplayArrayInTable(Scope3_SourceData.Scope3_InorganicFertilisers_Data(), Table_Scope3_InorganicFertiliser[[#Headers],[Category]], 0, 2)</f>
        <v>Inorganic fertilisers</v>
      </c>
      <c r="E24" s="3" t="str" cm="1">
        <f t="array" ref="E24">Common_InputFunctions.Utility_DisplayArrayInTable(Scope3_SourceData.Scope3_InorganicFertilisers_Data(), Table_Scope3_InorganicFertiliser[[#Headers],[Category]], 0, 2)</f>
        <v>Potassium from fertilizer, AU market mix</v>
      </c>
      <c r="F24" s="3" t="str" cm="1">
        <f t="array" ref="F24">Common_InputFunctions.Utility_DisplayArrayInTable(Scope3_SourceData.Scope3_InorganicFertilisers_Data(), Table_Scope3_InorganicFertiliser[[#Headers],[Category]], 0, 2)</f>
        <v>Global</v>
      </c>
      <c r="G24" s="3" t="str">
        <f>'Constants - Fertiliser'!$D$31</f>
        <v>Potassium - Generic</v>
      </c>
      <c r="J24" s="3" cm="1">
        <f t="array" ref="J24">Fertiliser_InputFunctions.Fertiliser_TotalChemicalCompoundAppliedAllIngredients($G24,Table_Input_InorganicFertiliser_Brands[Total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1215.0000000000002</v>
      </c>
      <c r="K24" s="3" t="str" cm="1">
        <f t="array" ref="K24">Common_InputFunctions.Utility_DisplayArrayInTable(Scope3_SourceData.Scope3_InorganicFertilisers_Data(), Table_Scope3_InorganicFertiliser[[#Headers],[Category]], 0, -2)</f>
        <v>kg K</v>
      </c>
      <c r="L24" s="3" cm="1">
        <f t="array" ref="L24">Common_InputFunctions.Utility_DisplayArrayInTable(Scope3_SourceData.Scope3_InorganicFertilisers_Data(), Table_Scope3_InorganicFertiliser[[#Headers],[Category]], 0, -2)</f>
        <v>0.90900000000000003</v>
      </c>
      <c r="M24" s="153"/>
      <c r="N24" s="156" t="str" cm="1">
        <f t="array" ref="N24">Common_InputFunctions.Utility_DisplayArrayInTable(Scope3_SourceData.Scope3_InorganicFertilisers_Data(), Table_Scope3_InorganicFertiliser[[#Headers],[Category]], 0, 1)</f>
        <v/>
      </c>
      <c r="O24" s="3">
        <f>Table_Scope3_InorganicFertiliser[[#This Row],[Quantity]]*Table_Scope3_InorganicFertiliser[[#This Row],[AusLCI Emissions intensity]]</f>
        <v>1104.4350000000002</v>
      </c>
      <c r="P24" s="3">
        <f>Table_Scope3_InorganicFertiliser[[#This Row],[Quantity]]*IF(Table_Scope3_InorganicFertiliser[[#This Row],[Custom emissions intensity]], Table_Scope3_InorganicFertiliser[[#This Row],[Custom emissions intensity]], Table_Scope3_InorganicFertiliser[[#This Row],[AusLCI Emissions intensity]])</f>
        <v>1104.4350000000002</v>
      </c>
      <c r="Q24" s="154"/>
      <c r="R24" s="157"/>
      <c r="S24" s="154"/>
      <c r="T24" s="158" cm="1">
        <f t="array" ref="T24">Common_InputFunctions.Utility_LookupValueInTableNumber(Table_Scope3_InorganicFertiliser[[#This Row],[Custom emissions intensity source type (Select)]],#REF!,#REF!)</f>
        <v>0</v>
      </c>
      <c r="U24" s="14"/>
    </row>
    <row r="25" spans="1:21" ht="20.100000000000001" customHeight="1" x14ac:dyDescent="0.25">
      <c r="A25" s="16" t="str">
        <f>HYPERLINK("#'Calcs - Residue mgmt - Crop'!A1", "Residue management - Crop")</f>
        <v>Residue management - Crop</v>
      </c>
      <c r="C25" s="14"/>
      <c r="D25" s="3" t="str" cm="1">
        <f t="array" ref="D25">Common_InputFunctions.Utility_DisplayArrayInTable(Scope3_SourceData.Scope3_InorganicFertilisers_Data(), Table_Scope3_InorganicFertiliser[[#Headers],[Category]], 0, 2)</f>
        <v>Inorganic fertilisers</v>
      </c>
      <c r="E25" s="3" t="str" cm="1">
        <f t="array" ref="E25">Common_InputFunctions.Utility_DisplayArrayInTable(Scope3_SourceData.Scope3_InorganicFertilisers_Data(), Table_Scope3_InorganicFertiliser[[#Headers],[Category]], 0, 2)</f>
        <v>Single superphosphate, AU market mix</v>
      </c>
      <c r="F25" s="3" t="str" cm="1">
        <f t="array" ref="F25">Common_InputFunctions.Utility_DisplayArrayInTable(Scope3_SourceData.Scope3_InorganicFertilisers_Data(), Table_Scope3_InorganicFertiliser[[#Headers],[Category]], 0, 2)</f>
        <v>Global</v>
      </c>
      <c r="G25" s="3" t="str">
        <f>'Constants - Fertiliser'!$D$36</f>
        <v>Single superphosphate (SSP)</v>
      </c>
      <c r="J25" s="3" cm="1">
        <f t="array" ref="J25">Fertiliser_InputFunctions.Fertiliser_TotalChemicalCompoundAppliedAllIngredients($G25,Table_Input_InorganicFertiliser_Brands[Total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5" s="3" t="str" cm="1">
        <f t="array" ref="K25">Common_InputFunctions.Utility_DisplayArrayInTable(Scope3_SourceData.Scope3_InorganicFertilisers_Data(), Table_Scope3_InorganicFertiliser[[#Headers],[Category]], 0, -2)</f>
        <v>kg</v>
      </c>
      <c r="L25" s="3" cm="1">
        <f t="array" ref="L25">Common_InputFunctions.Utility_DisplayArrayInTable(Scope3_SourceData.Scope3_InorganicFertilisers_Data(), Table_Scope3_InorganicFertiliser[[#Headers],[Category]], 0, -2)</f>
        <v>0.22700000000000001</v>
      </c>
      <c r="M25" s="153"/>
      <c r="N25" s="156" t="str" cm="1">
        <f t="array" ref="N25">Common_InputFunctions.Utility_DisplayArrayInTable(Scope3_SourceData.Scope3_InorganicFertilisers_Data(), Table_Scope3_InorganicFertiliser[[#Headers],[Category]], 0, 1)</f>
        <v/>
      </c>
      <c r="O25" s="3">
        <f>Table_Scope3_InorganicFertiliser[[#This Row],[Quantity]]*Table_Scope3_InorganicFertiliser[[#This Row],[AusLCI Emissions intensity]]</f>
        <v>0</v>
      </c>
      <c r="P25" s="3">
        <f>Table_Scope3_InorganicFertiliser[[#This Row],[Quantity]]*IF(Table_Scope3_InorganicFertiliser[[#This Row],[Custom emissions intensity]], Table_Scope3_InorganicFertiliser[[#This Row],[Custom emissions intensity]], Table_Scope3_InorganicFertiliser[[#This Row],[AusLCI Emissions intensity]])</f>
        <v>0</v>
      </c>
      <c r="Q25" s="154"/>
      <c r="R25" s="157"/>
      <c r="S25" s="154"/>
      <c r="T25" s="158" cm="1">
        <f t="array" ref="T25">Common_InputFunctions.Utility_LookupValueInTableNumber(Table_Scope3_InorganicFertiliser[[#This Row],[Custom emissions intensity source type (Select)]],#REF!,#REF!)</f>
        <v>0</v>
      </c>
      <c r="U25" s="14"/>
    </row>
    <row r="26" spans="1:21" ht="20.100000000000001" customHeight="1" x14ac:dyDescent="0.25">
      <c r="A26" s="16" t="str">
        <f>HYPERLINK("#'Calcs - Residue mgmt - Pasture'!A1", "Residue management - Pasture")</f>
        <v>Residue management - Pasture</v>
      </c>
      <c r="C26" s="14"/>
      <c r="D26" s="3" t="str" cm="1">
        <f t="array" ref="D26">Common_InputFunctions.Utility_DisplayArrayInTable(Scope3_SourceData.Scope3_InorganicFertilisers_Data(), Table_Scope3_InorganicFertiliser[[#Headers],[Category]], 0, 2)</f>
        <v>Inorganic fertilisers</v>
      </c>
      <c r="E26" s="3" t="str" cm="1">
        <f t="array" ref="E26">Common_InputFunctions.Utility_DisplayArrayInTable(Scope3_SourceData.Scope3_InorganicFertilisers_Data(), Table_Scope3_InorganicFertiliser[[#Headers],[Category]], 0, 2)</f>
        <v>Sulfur from fertilizer, AU market mix</v>
      </c>
      <c r="F26" s="3" t="str" cm="1">
        <f t="array" ref="F26">Common_InputFunctions.Utility_DisplayArrayInTable(Scope3_SourceData.Scope3_InorganicFertilisers_Data(), Table_Scope3_InorganicFertiliser[[#Headers],[Category]], 0, 2)</f>
        <v>Global</v>
      </c>
      <c r="G26" s="3" t="str">
        <f>'Constants - Fertiliser'!$D$32</f>
        <v>Sulfur - Generic</v>
      </c>
      <c r="J26" s="3" cm="1">
        <f t="array" ref="J26">Fertiliser_InputFunctions.Fertiliser_TotalChemicalCompoundAppliedAllIngredients($G26,Table_Input_InorganicFertiliser_Brands[Total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6" s="3" t="str" cm="1">
        <f t="array" ref="K26">Common_InputFunctions.Utility_DisplayArrayInTable(Scope3_SourceData.Scope3_InorganicFertilisers_Data(), Table_Scope3_InorganicFertiliser[[#Headers],[Category]], 0, -2)</f>
        <v>kg S</v>
      </c>
      <c r="L26" s="3" cm="1">
        <f t="array" ref="L26">Common_InputFunctions.Utility_DisplayArrayInTable(Scope3_SourceData.Scope3_InorganicFertilisers_Data(), Table_Scope3_InorganicFertiliser[[#Headers],[Category]], 0, -2)</f>
        <v>2.5</v>
      </c>
      <c r="M26" s="153"/>
      <c r="N26" s="156" t="str" cm="1">
        <f t="array" ref="N26">Common_InputFunctions.Utility_DisplayArrayInTable(Scope3_SourceData.Scope3_InorganicFertilisers_Data(), Table_Scope3_InorganicFertiliser[[#Headers],[Category]], 0, 1)</f>
        <v/>
      </c>
      <c r="O26" s="3">
        <f>Table_Scope3_InorganicFertiliser[[#This Row],[Quantity]]*Table_Scope3_InorganicFertiliser[[#This Row],[AusLCI Emissions intensity]]</f>
        <v>0</v>
      </c>
      <c r="P26" s="3">
        <f>Table_Scope3_InorganicFertiliser[[#This Row],[Quantity]]*IF(Table_Scope3_InorganicFertiliser[[#This Row],[Custom emissions intensity]], Table_Scope3_InorganicFertiliser[[#This Row],[Custom emissions intensity]], Table_Scope3_InorganicFertiliser[[#This Row],[AusLCI Emissions intensity]])</f>
        <v>0</v>
      </c>
      <c r="Q26" s="154"/>
      <c r="R26" s="157"/>
      <c r="S26" s="154"/>
      <c r="T26" s="158" cm="1">
        <f t="array" ref="T26">Common_InputFunctions.Utility_LookupValueInTableNumber(Table_Scope3_InorganicFertiliser[[#This Row],[Custom emissions intensity source type (Select)]],#REF!,#REF!)</f>
        <v>0</v>
      </c>
      <c r="U26" s="14"/>
    </row>
    <row r="27" spans="1:21" ht="20.100000000000001" customHeight="1" x14ac:dyDescent="0.25">
      <c r="A27" s="16" t="str">
        <f>HYPERLINK("#'Calcs - Field burning'!A1", "Field burning - Crop")</f>
        <v>Field burning - Crop</v>
      </c>
      <c r="C27" s="14"/>
      <c r="D27" s="3" t="str" cm="1">
        <f t="array" ref="D27">Common_InputFunctions.Utility_DisplayArrayInTable(Scope3_SourceData.Scope3_InorganicFertilisers_Data(), Table_Scope3_InorganicFertiliser[[#Headers],[Category]], 0, 2)</f>
        <v>Inorganic fertilisers</v>
      </c>
      <c r="E27" s="3" t="str" cm="1">
        <f t="array" ref="E27">Common_InputFunctions.Utility_DisplayArrayInTable(Scope3_SourceData.Scope3_InorganicFertilisers_Data(), Table_Scope3_InorganicFertiliser[[#Headers],[Category]], 0, 2)</f>
        <v>Ammonium sulphate, AU market mix</v>
      </c>
      <c r="F27" s="3" t="str" cm="1">
        <f t="array" ref="F27">Common_InputFunctions.Utility_DisplayArrayInTable(Scope3_SourceData.Scope3_InorganicFertilisers_Data(), Table_Scope3_InorganicFertiliser[[#Headers],[Category]], 0, 2)</f>
        <v>Global</v>
      </c>
      <c r="G27" s="3" t="str">
        <f>'Constants - Fertiliser'!$D$23</f>
        <v>Sulphate of ammonia (SOA)</v>
      </c>
      <c r="J27" s="3" cm="1">
        <f t="array" ref="J27">Fertiliser_InputFunctions.Fertiliser_TotalChemicalCompoundAppliedAllIngredients($G27,Table_Input_InorganicFertiliser_Brands[Total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7" s="3" t="str" cm="1">
        <f t="array" ref="K27">Common_InputFunctions.Utility_DisplayArrayInTable(Scope3_SourceData.Scope3_InorganicFertilisers_Data(), Table_Scope3_InorganicFertiliser[[#Headers],[Category]], 0, -2)</f>
        <v>kg</v>
      </c>
      <c r="L27" s="3" cm="1">
        <f t="array" ref="L27">Common_InputFunctions.Utility_DisplayArrayInTable(Scope3_SourceData.Scope3_InorganicFertilisers_Data(), Table_Scope3_InorganicFertiliser[[#Headers],[Category]], 0, -2)</f>
        <v>0.86499999999999999</v>
      </c>
      <c r="M27" s="153"/>
      <c r="N27" s="156" t="str" cm="1">
        <f t="array" ref="N27">Common_InputFunctions.Utility_DisplayArrayInTable(Scope3_SourceData.Scope3_InorganicFertilisers_Data(), Table_Scope3_InorganicFertiliser[[#Headers],[Category]], 0, 1)</f>
        <v/>
      </c>
      <c r="O27" s="3">
        <f>Table_Scope3_InorganicFertiliser[[#This Row],[Quantity]]*Table_Scope3_InorganicFertiliser[[#This Row],[AusLCI Emissions intensity]]</f>
        <v>0</v>
      </c>
      <c r="P27" s="3">
        <f>Table_Scope3_InorganicFertiliser[[#This Row],[Quantity]]*IF(Table_Scope3_InorganicFertiliser[[#This Row],[Custom emissions intensity]], Table_Scope3_InorganicFertiliser[[#This Row],[Custom emissions intensity]], Table_Scope3_InorganicFertiliser[[#This Row],[AusLCI Emissions intensity]])</f>
        <v>0</v>
      </c>
      <c r="Q27" s="154"/>
      <c r="R27" s="157"/>
      <c r="S27" s="154"/>
      <c r="T27" s="158" cm="1">
        <f t="array" ref="T27">Common_InputFunctions.Utility_LookupValueInTableNumber(Table_Scope3_InorganicFertiliser[[#This Row],[Custom emissions intensity source type (Select)]],#REF!,#REF!)</f>
        <v>0</v>
      </c>
      <c r="U27" s="14"/>
    </row>
    <row r="28" spans="1:21" ht="20.100000000000001" customHeight="1" x14ac:dyDescent="0.25">
      <c r="A28" s="16" t="str">
        <f>HYPERLINK("#'Calcs - Fuel'!A1", "Fuel")</f>
        <v>Fuel</v>
      </c>
      <c r="C28" s="14"/>
      <c r="D28" s="3" t="str" cm="1">
        <f t="array" ref="D28">Common_InputFunctions.Utility_DisplayArrayInTable(Scope3_SourceData.Scope3_InorganicFertilisers_Data(), Table_Scope3_InorganicFertiliser[[#Headers],[Category]], 0, 2)</f>
        <v>Inorganic fertilisers</v>
      </c>
      <c r="E28" s="3" t="str" cm="1">
        <f t="array" ref="E28">Common_InputFunctions.Utility_DisplayArrayInTable(Scope3_SourceData.Scope3_InorganicFertilisers_Data(), Table_Scope3_InorganicFertiliser[[#Headers],[Category]], 0, 2)</f>
        <v>Urea ammonium nitrate, AU market mix</v>
      </c>
      <c r="F28" s="3" t="str" cm="1">
        <f t="array" ref="F28">Common_InputFunctions.Utility_DisplayArrayInTable(Scope3_SourceData.Scope3_InorganicFertilisers_Data(), Table_Scope3_InorganicFertiliser[[#Headers],[Category]], 0, 2)</f>
        <v>Global</v>
      </c>
      <c r="G28" s="3" t="str">
        <f>'Constants - Fertiliser'!$D$24</f>
        <v>Urea-ammonium nitrate (UAN)</v>
      </c>
      <c r="J28" s="3" cm="1">
        <f t="array" ref="J28">Fertiliser_InputFunctions.Fertiliser_TotalChemicalCompoundAppliedAllIngredients($G28,Table_Input_InorganicFertiliser_Brands[Total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8" s="3" t="str" cm="1">
        <f t="array" ref="K28">Common_InputFunctions.Utility_DisplayArrayInTable(Scope3_SourceData.Scope3_InorganicFertilisers_Data(), Table_Scope3_InorganicFertiliser[[#Headers],[Category]], 0, -2)</f>
        <v>kg</v>
      </c>
      <c r="L28" s="3" cm="1">
        <f t="array" ref="L28">Common_InputFunctions.Utility_DisplayArrayInTable(Scope3_SourceData.Scope3_InorganicFertilisers_Data(), Table_Scope3_InorganicFertiliser[[#Headers],[Category]], 0, -2)</f>
        <v>1.75</v>
      </c>
      <c r="M28" s="153"/>
      <c r="N28" s="156" t="str" cm="1">
        <f t="array" ref="N28">Common_InputFunctions.Utility_DisplayArrayInTable(Scope3_SourceData.Scope3_InorganicFertilisers_Data(), Table_Scope3_InorganicFertiliser[[#Headers],[Category]], 0, 1)</f>
        <v/>
      </c>
      <c r="O28" s="3">
        <f>Table_Scope3_InorganicFertiliser[[#This Row],[Quantity]]*Table_Scope3_InorganicFertiliser[[#This Row],[AusLCI Emissions intensity]]</f>
        <v>0</v>
      </c>
      <c r="P28" s="3">
        <f>Table_Scope3_InorganicFertiliser[[#This Row],[Quantity]]*IF(Table_Scope3_InorganicFertiliser[[#This Row],[Custom emissions intensity]], Table_Scope3_InorganicFertiliser[[#This Row],[Custom emissions intensity]], Table_Scope3_InorganicFertiliser[[#This Row],[AusLCI Emissions intensity]])</f>
        <v>0</v>
      </c>
      <c r="Q28" s="154"/>
      <c r="R28" s="157"/>
      <c r="S28" s="154"/>
      <c r="T28" s="158" cm="1">
        <f t="array" ref="T28">Common_InputFunctions.Utility_LookupValueInTableNumber(Table_Scope3_InorganicFertiliser[[#This Row],[Custom emissions intensity source type (Select)]],#REF!,#REF!)</f>
        <v>0</v>
      </c>
      <c r="U28" s="14"/>
    </row>
    <row r="29" spans="1:21" ht="20.100000000000001" customHeight="1" x14ac:dyDescent="0.25">
      <c r="A29" s="16" t="str">
        <f>HYPERLINK("#'Calcs - Electricity'!A1", "Electricity")</f>
        <v>Electricity</v>
      </c>
      <c r="C29" s="14"/>
      <c r="D29" s="3" t="str" cm="1">
        <f t="array" ref="D29">Common_InputFunctions.Utility_DisplayArrayInTable(Scope3_SourceData.Scope3_InorganicFertilisers_Data(), Table_Scope3_InorganicFertiliser[[#Headers],[Category]], 0, 2)</f>
        <v>Inorganic fertilisers</v>
      </c>
      <c r="E29" s="3" t="str" cm="1">
        <f t="array" ref="E29">Common_InputFunctions.Utility_DisplayArrayInTable(Scope3_SourceData.Scope3_InorganicFertilisers_Data(), Table_Scope3_InorganicFertiliser[[#Headers],[Category]], 0, 2)</f>
        <v>Urea, AU market mix</v>
      </c>
      <c r="F29" s="3" t="str" cm="1">
        <f t="array" ref="F29">Common_InputFunctions.Utility_DisplayArrayInTable(Scope3_SourceData.Scope3_InorganicFertilisers_Data(), Table_Scope3_InorganicFertiliser[[#Headers],[Category]], 0, 2)</f>
        <v>Global</v>
      </c>
      <c r="G29" s="3" t="str">
        <f>'Constants - Fertiliser'!$D$22</f>
        <v>Urea</v>
      </c>
      <c r="H29" s="3" t="str">
        <f>'Constants - Fertiliser'!$V$20</f>
        <v>Global</v>
      </c>
      <c r="J29" s="3" cm="1">
        <f t="array" ref="J29">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71.315217423000007</v>
      </c>
      <c r="K29" s="3" t="str" cm="1">
        <f t="array" ref="K29">Common_InputFunctions.Utility_DisplayArrayInTable(Scope3_SourceData.Scope3_InorganicFertilisers_Data(), Table_Scope3_InorganicFertiliser[[#Headers],[Category]], 0, -2)</f>
        <v>kg</v>
      </c>
      <c r="L29" s="3" cm="1">
        <f t="array" ref="L29">Common_InputFunctions.Utility_DisplayArrayInTable(Scope3_SourceData.Scope3_InorganicFertilisers_Data(), Table_Scope3_InorganicFertiliser[[#Headers],[Category]], 0, -2)</f>
        <v>0.96799999999999997</v>
      </c>
      <c r="M29" s="153"/>
      <c r="N29" s="156" t="str" cm="1">
        <f t="array" ref="N29">Common_InputFunctions.Utility_DisplayArrayInTable(Scope3_SourceData.Scope3_InorganicFertilisers_Data(), Table_Scope3_InorganicFertiliser[[#Headers],[Category]], 0, 1)</f>
        <v/>
      </c>
      <c r="O29" s="3">
        <f>Table_Scope3_InorganicFertiliser[[#This Row],[Quantity]]*Table_Scope3_InorganicFertiliser[[#This Row],[AusLCI Emissions intensity]]</f>
        <v>69.033130465463998</v>
      </c>
      <c r="P29" s="3">
        <f>Table_Scope3_InorganicFertiliser[[#This Row],[Quantity]]*IF(Table_Scope3_InorganicFertiliser[[#This Row],[Custom emissions intensity]], Table_Scope3_InorganicFertiliser[[#This Row],[Custom emissions intensity]], Table_Scope3_InorganicFertiliser[[#This Row],[AusLCI Emissions intensity]])</f>
        <v>69.033130465463998</v>
      </c>
      <c r="Q29" s="154"/>
      <c r="R29" s="157"/>
      <c r="S29" s="154"/>
      <c r="T29" s="158" cm="1">
        <f t="array" ref="T29">Common_InputFunctions.Utility_LookupValueInTableNumber(Table_Scope3_InorganicFertiliser[[#This Row],[Custom emissions intensity source type (Select)]],#REF!,#REF!)</f>
        <v>0</v>
      </c>
      <c r="U29" s="14"/>
    </row>
    <row r="30" spans="1:21" ht="20.100000000000001" customHeight="1" x14ac:dyDescent="0.25">
      <c r="A30" s="16" t="str">
        <f>HYPERLINK("#'Calcs - Refrigerants'!A1", "Refrigerants")</f>
        <v>Refrigerants</v>
      </c>
      <c r="C30" s="14"/>
      <c r="D30" s="3" t="str" cm="1">
        <f t="array" ref="D30">Common_InputFunctions.Utility_DisplayArrayInTable(Scope3_SourceData.Scope3_InorganicFertilisers_Data(), Table_Scope3_InorganicFertiliser[[#Headers],[Category]], 0, 2)</f>
        <v>Inorganic fertilisers</v>
      </c>
      <c r="E30" s="3" t="str" cm="1">
        <f t="array" ref="E30">Common_InputFunctions.Utility_DisplayArrayInTable(Scope3_SourceData.Scope3_InorganicFertilisers_Data(), Table_Scope3_InorganicFertiliser[[#Headers],[Category]], 0, 2)</f>
        <v>Urea, Canada</v>
      </c>
      <c r="F30" s="3" t="str" cm="1">
        <f t="array" ref="F30">Common_InputFunctions.Utility_DisplayArrayInTable(Scope3_SourceData.Scope3_InorganicFertilisers_Data(), Table_Scope3_InorganicFertiliser[[#Headers],[Category]], 0, 2)</f>
        <v>Canada</v>
      </c>
      <c r="G30" s="3" t="str">
        <f>'Constants - Fertiliser'!$D$22</f>
        <v>Urea</v>
      </c>
      <c r="H30" s="3" t="str">
        <f>'Constants - Fertiliser'!$V$21</f>
        <v>Canada</v>
      </c>
      <c r="J30" s="3" cm="1">
        <f t="array" ref="J30">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0" s="3" t="str" cm="1">
        <f t="array" ref="K30">Common_InputFunctions.Utility_DisplayArrayInTable(Scope3_SourceData.Scope3_InorganicFertilisers_Data(), Table_Scope3_InorganicFertiliser[[#Headers],[Category]], 0, -2)</f>
        <v>kg</v>
      </c>
      <c r="L30" s="3" cm="1">
        <f t="array" ref="L30">Common_InputFunctions.Utility_DisplayArrayInTable(Scope3_SourceData.Scope3_InorganicFertilisers_Data(), Table_Scope3_InorganicFertiliser[[#Headers],[Category]], 0, -2)</f>
        <v>0.82299999999999995</v>
      </c>
      <c r="M30" s="153"/>
      <c r="N30" s="156" t="str" cm="1">
        <f t="array" ref="N30">Common_InputFunctions.Utility_DisplayArrayInTable(Scope3_SourceData.Scope3_InorganicFertilisers_Data(), Table_Scope3_InorganicFertiliser[[#Headers],[Category]], 0, 1)</f>
        <v/>
      </c>
      <c r="O30" s="3">
        <f>Table_Scope3_InorganicFertiliser[[#This Row],[Quantity]]*Table_Scope3_InorganicFertiliser[[#This Row],[AusLCI Emissions intensity]]</f>
        <v>0</v>
      </c>
      <c r="P30" s="3">
        <f>Table_Scope3_InorganicFertiliser[[#This Row],[Quantity]]*IF(Table_Scope3_InorganicFertiliser[[#This Row],[Custom emissions intensity]], Table_Scope3_InorganicFertiliser[[#This Row],[Custom emissions intensity]], Table_Scope3_InorganicFertiliser[[#This Row],[AusLCI Emissions intensity]])</f>
        <v>0</v>
      </c>
      <c r="Q30" s="154"/>
      <c r="R30" s="157"/>
      <c r="S30" s="154"/>
      <c r="T30" s="158" cm="1">
        <f t="array" ref="T30">Common_InputFunctions.Utility_LookupValueInTableNumber(Table_Scope3_InorganicFertiliser[[#This Row],[Custom emissions intensity source type (Select)]],#REF!,#REF!)</f>
        <v>0</v>
      </c>
      <c r="U30" s="14"/>
    </row>
    <row r="31" spans="1:21" ht="20.100000000000001" customHeight="1" x14ac:dyDescent="0.25">
      <c r="A31" s="52" t="s">
        <v>316</v>
      </c>
      <c r="C31" s="14"/>
      <c r="D31" s="3" t="str" cm="1">
        <f t="array" ref="D31">Common_InputFunctions.Utility_DisplayArrayInTable(Scope3_SourceData.Scope3_InorganicFertilisers_Data(), Table_Scope3_InorganicFertiliser[[#Headers],[Category]], 0, 2)</f>
        <v>Inorganic fertilisers</v>
      </c>
      <c r="E31" s="3" t="str" cm="1">
        <f t="array" ref="E31">Common_InputFunctions.Utility_DisplayArrayInTable(Scope3_SourceData.Scope3_InorganicFertilisers_Data(), Table_Scope3_InorganicFertiliser[[#Headers],[Category]], 0, 2)</f>
        <v>Urea, China</v>
      </c>
      <c r="F31" s="3" t="str" cm="1">
        <f t="array" ref="F31">Common_InputFunctions.Utility_DisplayArrayInTable(Scope3_SourceData.Scope3_InorganicFertilisers_Data(), Table_Scope3_InorganicFertiliser[[#Headers],[Category]], 0, 2)</f>
        <v>China</v>
      </c>
      <c r="G31" s="3" t="str">
        <f>'Constants - Fertiliser'!$D$22</f>
        <v>Urea</v>
      </c>
      <c r="H31" s="3" t="str">
        <f>'Constants - Fertiliser'!$V$22</f>
        <v>China</v>
      </c>
      <c r="J31" s="3" cm="1">
        <f t="array" ref="J31">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1" s="3" t="str" cm="1">
        <f t="array" ref="K31">Common_InputFunctions.Utility_DisplayArrayInTable(Scope3_SourceData.Scope3_InorganicFertilisers_Data(), Table_Scope3_InorganicFertiliser[[#Headers],[Category]], 0, -2)</f>
        <v>kg</v>
      </c>
      <c r="L31" s="3" cm="1">
        <f t="array" ref="L31">Common_InputFunctions.Utility_DisplayArrayInTable(Scope3_SourceData.Scope3_InorganicFertilisers_Data(), Table_Scope3_InorganicFertiliser[[#Headers],[Category]], 0, -2)</f>
        <v>2.09</v>
      </c>
      <c r="M31" s="153"/>
      <c r="N31" s="156" t="str" cm="1">
        <f t="array" ref="N31">Common_InputFunctions.Utility_DisplayArrayInTable(Scope3_SourceData.Scope3_InorganicFertilisers_Data(), Table_Scope3_InorganicFertiliser[[#Headers],[Category]], 0, 1)</f>
        <v/>
      </c>
      <c r="O31" s="3">
        <f>Table_Scope3_InorganicFertiliser[[#This Row],[Quantity]]*Table_Scope3_InorganicFertiliser[[#This Row],[AusLCI Emissions intensity]]</f>
        <v>0</v>
      </c>
      <c r="P31" s="3">
        <f>Table_Scope3_InorganicFertiliser[[#This Row],[Quantity]]*IF(Table_Scope3_InorganicFertiliser[[#This Row],[Custom emissions intensity]], Table_Scope3_InorganicFertiliser[[#This Row],[Custom emissions intensity]], Table_Scope3_InorganicFertiliser[[#This Row],[AusLCI Emissions intensity]])</f>
        <v>0</v>
      </c>
      <c r="Q31" s="154"/>
      <c r="R31" s="157"/>
      <c r="S31" s="154"/>
      <c r="T31" s="158" cm="1">
        <f t="array" ref="T31">Common_InputFunctions.Utility_LookupValueInTableNumber(Table_Scope3_InorganicFertiliser[[#This Row],[Custom emissions intensity source type (Select)]],#REF!,#REF!)</f>
        <v>0</v>
      </c>
      <c r="U31" s="14"/>
    </row>
    <row r="32" spans="1:21" ht="20.100000000000001" customHeight="1" x14ac:dyDescent="0.25">
      <c r="A32" s="52" t="s">
        <v>317</v>
      </c>
      <c r="C32" s="14"/>
      <c r="D32" s="3" t="str" cm="1">
        <f t="array" ref="D32">Common_InputFunctions.Utility_DisplayArrayInTable(Scope3_SourceData.Scope3_InorganicFertilisers_Data(), Table_Scope3_InorganicFertiliser[[#Headers],[Category]], 0, 2)</f>
        <v>Inorganic fertilisers</v>
      </c>
      <c r="E32" s="3" t="str" cm="1">
        <f t="array" ref="E32">Common_InputFunctions.Utility_DisplayArrayInTable(Scope3_SourceData.Scope3_InorganicFertilisers_Data(), Table_Scope3_InorganicFertiliser[[#Headers],[Category]], 0, 2)</f>
        <v>Urea, Yemen</v>
      </c>
      <c r="F32" s="3" t="str" cm="1">
        <f t="array" ref="F32">Common_InputFunctions.Utility_DisplayArrayInTable(Scope3_SourceData.Scope3_InorganicFertilisers_Data(), Table_Scope3_InorganicFertiliser[[#Headers],[Category]], 0, 2)</f>
        <v>Yemen</v>
      </c>
      <c r="G32" s="3" t="str">
        <f>'Constants - Fertiliser'!$D$22</f>
        <v>Urea</v>
      </c>
      <c r="H32" s="3" t="str">
        <f>'Constants - Fertiliser'!$V$23</f>
        <v>Yemen</v>
      </c>
      <c r="J32" s="3" cm="1">
        <f t="array" ref="J32">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2" s="3" t="str" cm="1">
        <f t="array" ref="K32">Common_InputFunctions.Utility_DisplayArrayInTable(Scope3_SourceData.Scope3_InorganicFertilisers_Data(), Table_Scope3_InorganicFertiliser[[#Headers],[Category]], 0, -2)</f>
        <v>kg</v>
      </c>
      <c r="L32" s="3" cm="1">
        <f t="array" ref="L32">Common_InputFunctions.Utility_DisplayArrayInTable(Scope3_SourceData.Scope3_InorganicFertilisers_Data(), Table_Scope3_InorganicFertiliser[[#Headers],[Category]], 0, -2)</f>
        <v>0.96299999999999997</v>
      </c>
      <c r="M32" s="153"/>
      <c r="N32" s="156" t="str" cm="1">
        <f t="array" ref="N32">Common_InputFunctions.Utility_DisplayArrayInTable(Scope3_SourceData.Scope3_InorganicFertilisers_Data(), Table_Scope3_InorganicFertiliser[[#Headers],[Category]], 0, 1)</f>
        <v/>
      </c>
      <c r="O32" s="3">
        <f>Table_Scope3_InorganicFertiliser[[#This Row],[Quantity]]*Table_Scope3_InorganicFertiliser[[#This Row],[AusLCI Emissions intensity]]</f>
        <v>0</v>
      </c>
      <c r="P32" s="3">
        <f>Table_Scope3_InorganicFertiliser[[#This Row],[Quantity]]*IF(Table_Scope3_InorganicFertiliser[[#This Row],[Custom emissions intensity]], Table_Scope3_InorganicFertiliser[[#This Row],[Custom emissions intensity]], Table_Scope3_InorganicFertiliser[[#This Row],[AusLCI Emissions intensity]])</f>
        <v>0</v>
      </c>
      <c r="Q32" s="154"/>
      <c r="R32" s="157"/>
      <c r="S32" s="154"/>
      <c r="T32" s="158" cm="1">
        <f t="array" ref="T32">Common_InputFunctions.Utility_LookupValueInTableNumber(Table_Scope3_InorganicFertiliser[[#This Row],[Custom emissions intensity source type (Select)]],#REF!,#REF!)</f>
        <v>0</v>
      </c>
      <c r="U32" s="14"/>
    </row>
    <row r="33" spans="1:21" ht="20.100000000000001" customHeight="1" x14ac:dyDescent="0.25">
      <c r="A33" s="159" t="str">
        <f>HYPERLINK("#'Calcs - Scope 3'!A1", "Purchased goods scope 3")</f>
        <v>Purchased goods scope 3</v>
      </c>
      <c r="C33" s="14"/>
      <c r="D33" s="3" t="str" cm="1">
        <f t="array" ref="D33">Common_InputFunctions.Utility_DisplayArrayInTable(Scope3_SourceData.Scope3_InorganicFertilisers_Data(), Table_Scope3_InorganicFertiliser[[#Headers],[Category]], 0, 2)</f>
        <v>Inorganic fertilisers</v>
      </c>
      <c r="E33" s="3" t="str" cm="1">
        <f t="array" ref="E33">Common_InputFunctions.Utility_DisplayArrayInTable(Scope3_SourceData.Scope3_InorganicFertilisers_Data(), Table_Scope3_InorganicFertiliser[[#Headers],[Category]], 0, 2)</f>
        <v>Zinc from fertilizer</v>
      </c>
      <c r="F33" s="3" t="str" cm="1">
        <f t="array" ref="F33">Common_InputFunctions.Utility_DisplayArrayInTable(Scope3_SourceData.Scope3_InorganicFertilisers_Data(), Table_Scope3_InorganicFertiliser[[#Headers],[Category]], 0, 2)</f>
        <v>Global</v>
      </c>
      <c r="G33" s="3" t="str">
        <f>'Constants - Fertiliser'!$D$33</f>
        <v>Zinc - Generic</v>
      </c>
      <c r="J33" s="3" cm="1">
        <f t="array" ref="J33">Fertiliser_InputFunctions.Fertiliser_TotalChemicalCompoundAppliedAllIngredients($G33,Table_Input_InorganicFertiliser_Brands[Total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3" s="3" t="str" cm="1">
        <f t="array" ref="K33">Common_InputFunctions.Utility_DisplayArrayInTable(Scope3_SourceData.Scope3_InorganicFertilisers_Data(), Table_Scope3_InorganicFertiliser[[#Headers],[Category]], 0, -2)</f>
        <v>kg Zn</v>
      </c>
      <c r="L33" s="3" cm="1">
        <f t="array" ref="L33">Common_InputFunctions.Utility_DisplayArrayInTable(Scope3_SourceData.Scope3_InorganicFertilisers_Data(), Table_Scope3_InorganicFertiliser[[#Headers],[Category]], 0, -2)</f>
        <v>4.82</v>
      </c>
      <c r="M33" s="153"/>
      <c r="N33" s="156" t="str" cm="1">
        <f t="array" ref="N33">Common_InputFunctions.Utility_DisplayArrayInTable(Scope3_SourceData.Scope3_InorganicFertilisers_Data(), Table_Scope3_InorganicFertiliser[[#Headers],[Category]], 0, 1)</f>
        <v/>
      </c>
      <c r="O33" s="3">
        <f>Table_Scope3_InorganicFertiliser[[#This Row],[Quantity]]*Table_Scope3_InorganicFertiliser[[#This Row],[AusLCI Emissions intensity]]</f>
        <v>0</v>
      </c>
      <c r="P33" s="3">
        <f>Table_Scope3_InorganicFertiliser[[#This Row],[Quantity]]*IF(Table_Scope3_InorganicFertiliser[[#This Row],[Custom emissions intensity]], Table_Scope3_InorganicFertiliser[[#This Row],[Custom emissions intensity]], Table_Scope3_InorganicFertiliser[[#This Row],[AusLCI Emissions intensity]])</f>
        <v>0</v>
      </c>
      <c r="Q33" s="154"/>
      <c r="R33" s="157"/>
      <c r="S33" s="154"/>
      <c r="T33" s="158" cm="1">
        <f t="array" ref="T33">Common_InputFunctions.Utility_LookupValueInTableNumber(Table_Scope3_InorganicFertiliser[[#This Row],[Custom emissions intensity source type (Select)]],#REF!,#REF!)</f>
        <v>0</v>
      </c>
      <c r="U33" s="14"/>
    </row>
    <row r="34" spans="1:21" ht="20.100000000000001" customHeight="1" x14ac:dyDescent="0.25">
      <c r="C34" s="14"/>
      <c r="D34" s="14"/>
      <c r="E34" s="14"/>
      <c r="F34" s="14"/>
      <c r="G34" s="14"/>
      <c r="H34" s="160"/>
      <c r="I34" s="161"/>
      <c r="J34" s="14"/>
      <c r="K34" s="14"/>
      <c r="L34" s="14"/>
      <c r="M34" s="14"/>
      <c r="N34" s="14"/>
      <c r="O34" s="14"/>
      <c r="P34" s="14"/>
      <c r="Q34" s="14"/>
    </row>
    <row r="35" spans="1:21" ht="20.100000000000001" customHeight="1" x14ac:dyDescent="0.35">
      <c r="A35" s="23" t="s">
        <v>78</v>
      </c>
      <c r="C35" s="14"/>
      <c r="D35" s="162" t="s">
        <v>320</v>
      </c>
      <c r="E35" s="163"/>
      <c r="F35" s="164"/>
      <c r="G35" s="162">
        <f>SUM(Table_Scope3_InorganicFertiliser[Scope 3 emissions exc. cusotm (t CO2-e)])</f>
        <v>2704.3681304654647</v>
      </c>
      <c r="H35" s="165" t="s">
        <v>321</v>
      </c>
      <c r="I35" s="14"/>
      <c r="J35" s="14"/>
      <c r="K35" s="14"/>
      <c r="L35" s="14"/>
      <c r="M35" s="14"/>
      <c r="N35" s="14"/>
      <c r="O35" s="14"/>
      <c r="P35" s="14"/>
      <c r="Q35" s="14"/>
    </row>
    <row r="36" spans="1:21" ht="20.100000000000001" customHeight="1" x14ac:dyDescent="0.25">
      <c r="A36" s="16" t="str">
        <f>HYPERLINK("#'Constants - Common'!A1", "Constants - Common")</f>
        <v>Constants - Common</v>
      </c>
      <c r="C36" s="14"/>
      <c r="D36" s="166" t="s">
        <v>322</v>
      </c>
      <c r="E36" s="167"/>
      <c r="F36" s="167"/>
      <c r="G36" s="166">
        <f>SUM(Table_Scope3_InorganicFertiliser[Scope 3 emissions inc. custom (t CO2-e)2])</f>
        <v>2704.3681304654647</v>
      </c>
      <c r="H36" s="165" t="s">
        <v>321</v>
      </c>
      <c r="I36" s="14"/>
      <c r="J36" s="14"/>
      <c r="K36" s="14"/>
      <c r="L36" s="14"/>
      <c r="M36" s="14"/>
      <c r="N36" s="14"/>
      <c r="O36" s="14"/>
      <c r="P36" s="14"/>
      <c r="Q36" s="14"/>
    </row>
    <row r="37" spans="1:21" ht="20.100000000000001" customHeight="1" x14ac:dyDescent="0.25">
      <c r="A37" s="16" t="str">
        <f>HYPERLINK("#'Constants - Cropping'!A1", "Constants - Cropping")</f>
        <v>Constants - Cropping</v>
      </c>
      <c r="C37" s="14"/>
      <c r="D37" s="14"/>
      <c r="E37" s="14"/>
      <c r="F37" s="14"/>
      <c r="G37" s="14"/>
      <c r="H37" s="14"/>
      <c r="I37" s="14"/>
      <c r="J37" s="14"/>
      <c r="K37" s="14"/>
      <c r="L37" s="14"/>
      <c r="M37" s="14"/>
      <c r="N37" s="14"/>
      <c r="O37" s="14"/>
      <c r="P37" s="14"/>
      <c r="Q37" s="14"/>
    </row>
    <row r="38" spans="1:21" ht="20.100000000000001" customHeight="1" x14ac:dyDescent="0.25">
      <c r="A38" s="16" t="str">
        <f>HYPERLINK("#'Constants - Livestock'!A1", "Constants - Livestock")</f>
        <v>Constants - Livestock</v>
      </c>
      <c r="C38" s="14"/>
      <c r="D38" s="14"/>
      <c r="E38" s="14"/>
      <c r="F38" s="14"/>
      <c r="G38" s="14"/>
      <c r="H38" s="14"/>
      <c r="I38" s="14"/>
      <c r="J38" s="14"/>
      <c r="K38" s="14"/>
      <c r="L38" s="14"/>
      <c r="M38" s="14"/>
      <c r="N38" s="14"/>
      <c r="O38" s="14"/>
      <c r="P38" s="14"/>
      <c r="Q38" s="14"/>
    </row>
    <row r="39" spans="1:21" ht="20.100000000000001" customHeight="1" x14ac:dyDescent="0.25">
      <c r="A39" s="16" t="str">
        <f>HYPERLINK("#'Constants - Dairy'!A1", "Constants - Dairy")</f>
        <v>Constants - Dairy</v>
      </c>
      <c r="C39" s="14"/>
      <c r="D39" s="9" t="str" cm="1">
        <f t="array" ref="D39">Scope3_SourceData.Scope3_OrganicFertilisers_Title()</f>
        <v>Organic fertiliser scope 3</v>
      </c>
      <c r="E39" s="14"/>
      <c r="F39" s="14"/>
      <c r="G39" s="14"/>
      <c r="H39" s="14"/>
      <c r="I39" s="14"/>
      <c r="J39" s="14"/>
      <c r="K39" s="14"/>
      <c r="L39" s="14"/>
      <c r="M39" s="14"/>
      <c r="N39" s="14"/>
      <c r="O39" s="14"/>
      <c r="P39" s="14"/>
      <c r="Q39" s="14"/>
    </row>
    <row r="40" spans="1:21" ht="20.100000000000001" customHeight="1" x14ac:dyDescent="0.25">
      <c r="A40" s="52" t="s">
        <v>323</v>
      </c>
      <c r="C40" s="14"/>
      <c r="D40" s="11" t="str" cm="1">
        <f t="array" ref="D40">Scope3_SourceData.Scope3_OrganicFertilisers_Source()</f>
        <v>Scope 3 GHG Emission Factors for Australian Agriculture, Fisheries and Forestry 2026</v>
      </c>
      <c r="E40" s="14"/>
      <c r="F40" s="14"/>
      <c r="G40" s="14"/>
      <c r="H40" s="14"/>
      <c r="I40" s="14"/>
      <c r="J40" s="14"/>
      <c r="K40" s="14"/>
      <c r="L40" s="14"/>
      <c r="M40" s="14"/>
      <c r="N40" s="14"/>
      <c r="O40" s="14"/>
      <c r="P40" s="14"/>
      <c r="Q40" s="14"/>
    </row>
    <row r="41" spans="1:21" ht="20.100000000000001" customHeight="1" x14ac:dyDescent="0.25">
      <c r="A41" s="168"/>
      <c r="C41" s="14"/>
      <c r="D41" s="14"/>
      <c r="E41" s="14"/>
      <c r="F41" s="14"/>
      <c r="G41" s="14"/>
      <c r="H41" s="14"/>
      <c r="I41" s="14"/>
      <c r="J41" s="14"/>
      <c r="K41" s="14"/>
      <c r="L41" s="14"/>
      <c r="M41" s="14"/>
      <c r="N41" s="14"/>
      <c r="O41" s="14"/>
      <c r="P41" s="14"/>
      <c r="Q41" s="14"/>
    </row>
    <row r="42" spans="1:21" ht="20.100000000000001" customHeight="1" x14ac:dyDescent="0.25">
      <c r="C42" s="14"/>
      <c r="D42" s="169" t="s">
        <v>149</v>
      </c>
      <c r="E42" s="169" t="s">
        <v>143</v>
      </c>
      <c r="F42" s="169" t="s">
        <v>304</v>
      </c>
      <c r="G42" s="169" t="s">
        <v>305</v>
      </c>
      <c r="H42" s="169" t="s">
        <v>306</v>
      </c>
      <c r="I42" s="170" t="s">
        <v>307</v>
      </c>
      <c r="J42" s="169" t="s">
        <v>308</v>
      </c>
      <c r="K42" s="169" t="s">
        <v>324</v>
      </c>
      <c r="L42" s="169" t="s">
        <v>310</v>
      </c>
      <c r="M42" s="170" t="s">
        <v>311</v>
      </c>
      <c r="N42" s="170" t="s">
        <v>312</v>
      </c>
      <c r="O42" s="170" t="s">
        <v>313</v>
      </c>
      <c r="P42" s="169" t="s">
        <v>314</v>
      </c>
      <c r="Q42" s="14"/>
    </row>
    <row r="43" spans="1:21" ht="20.100000000000001" customHeight="1" x14ac:dyDescent="0.25">
      <c r="C43" s="14"/>
      <c r="D43" s="14" t="str" cm="1">
        <f t="array" ref="D43">Common_InputFunctions.Utility_DisplayArrayInTable(Scope3_SourceData.Scope3_OrganicFertilisers_Data(), Table_Scope3_OrganicFertiliser[[#Headers],[Organic fertiliser type]], 0, 2)</f>
        <v>Dairy Manure</v>
      </c>
      <c r="E43" s="14" t="str" cm="1">
        <f t="array" ref="E43">Common_InputFunctions.Utility_DisplayArrayInTable(Scope3_SourceData.Scope3_OrganicFertilisers_Data(), Table_Scope3_OrganicFertiliser[[#Headers],[Organic fertiliser type]], 0, 2)</f>
        <v>Primary MMS</v>
      </c>
      <c r="F43" s="14"/>
      <c r="G43" s="14" t="str" cm="1">
        <f t="array" ref="G43">Common_InputFunctions.Utility_DisplayArrayInTable(Scope3_SourceData.Scope3_OrganicFertilisers_Data(), Table_Scope3_OrganicFertiliser[[#Headers],[Organic fertiliser type]], 0, 1)</f>
        <v>t</v>
      </c>
      <c r="H43" s="14" cm="1">
        <f t="array" ref="H43">Common_InputFunctions.Utility_DisplayArrayInTable(Scope3_SourceData.Scope3_OrganicFertilisers_Data(), Table_Scope3_OrganicFertiliser[[#Headers],[Organic fertiliser type]], 0, 1)</f>
        <v>20101</v>
      </c>
      <c r="I43" s="154">
        <v>100</v>
      </c>
      <c r="J43" s="14" t="str" cm="1">
        <f t="array" ref="J43">Common_InputFunctions.Utility_DisplayArrayInTable(Scope3_SourceData.Scope3_OrganicFertilisers_Data(), Table_Scope3_OrganicFertiliser[[#Headers],[Organic fertiliser type]], 0, 1)</f>
        <v>t CO2-e / t</v>
      </c>
      <c r="K43" s="14">
        <f>Table_Scope3_OrganicFertiliser[[#This Row],[Quantity]]*Table_Scope3_OrganicFertiliser[[#This Row],[AusLCI Emissions intensity]]</f>
        <v>0</v>
      </c>
      <c r="L43" s="14">
        <f>Table_Scope3_OrganicFertiliser[[#This Row],[Quantity]]*IF(Table_Scope3_OrganicFertiliser[[#This Row],[Custom emissions intensity]], Table_Scope3_OrganicFertiliser[[#This Row],[Custom emissions intensity]], Table_Scope3_OrganicFertiliser[[#This Row],[AusLCI Emissions intensity]])</f>
        <v>0</v>
      </c>
      <c r="M43" s="154"/>
      <c r="N43" s="48"/>
      <c r="O43" s="154"/>
      <c r="P43" s="155" cm="1">
        <f t="array" ref="P43">Common_InputFunctions.Utility_LookupValueInTableNumber(Table_Scope3_OrganicFertiliser[[#This Row],[Custom emissions intensity source type (Select)]],#REF!,#REF!)</f>
        <v>0</v>
      </c>
      <c r="Q43" s="14"/>
    </row>
    <row r="44" spans="1:21" ht="20.100000000000001" customHeight="1" x14ac:dyDescent="0.25">
      <c r="C44" s="14"/>
      <c r="D44" s="14" t="str" cm="1">
        <f t="array" ref="D44">Common_InputFunctions.Utility_DisplayArrayInTable(Scope3_SourceData.Scope3_OrganicFertilisers_Data(), Table_Scope3_OrganicFertiliser[[#Headers],[Organic fertiliser type]], 0, 2)</f>
        <v>Dairy Manure</v>
      </c>
      <c r="E44" s="14" t="str" cm="1">
        <f t="array" ref="E44">Common_InputFunctions.Utility_DisplayArrayInTable(Scope3_SourceData.Scope3_OrganicFertilisers_Data(), Table_Scope3_OrganicFertiliser[[#Headers],[Organic fertiliser type]], 0, 2)</f>
        <v>Secondary MMS</v>
      </c>
      <c r="F44" s="14"/>
      <c r="G44" s="14" t="str" cm="1">
        <f t="array" ref="G44">Common_InputFunctions.Utility_DisplayArrayInTable(Scope3_SourceData.Scope3_OrganicFertilisers_Data(), Table_Scope3_OrganicFertiliser[[#Headers],[Organic fertiliser type]], 0, 1)</f>
        <v>t</v>
      </c>
      <c r="H44" s="14" cm="1">
        <f t="array" ref="H44">Common_InputFunctions.Utility_DisplayArrayInTable(Scope3_SourceData.Scope3_OrganicFertilisers_Data(), Table_Scope3_OrganicFertiliser[[#Headers],[Organic fertiliser type]], 0, 1)</f>
        <v>20102</v>
      </c>
      <c r="I44" s="154"/>
      <c r="J44" s="14" t="str" cm="1">
        <f t="array" ref="J44">Common_InputFunctions.Utility_DisplayArrayInTable(Scope3_SourceData.Scope3_OrganicFertilisers_Data(), Table_Scope3_OrganicFertiliser[[#Headers],[Organic fertiliser type]], 0, 1)</f>
        <v>t CO2-e / t</v>
      </c>
      <c r="K44" s="14">
        <f>Table_Scope3_OrganicFertiliser[[#This Row],[Quantity]]*Table_Scope3_OrganicFertiliser[[#This Row],[AusLCI Emissions intensity]]</f>
        <v>0</v>
      </c>
      <c r="L44" s="14">
        <f>Table_Scope3_OrganicFertiliser[[#This Row],[Quantity]]*IF(Table_Scope3_OrganicFertiliser[[#This Row],[Custom emissions intensity]], Table_Scope3_OrganicFertiliser[[#This Row],[Custom emissions intensity]], Table_Scope3_OrganicFertiliser[[#This Row],[AusLCI Emissions intensity]])</f>
        <v>0</v>
      </c>
      <c r="M44" s="154"/>
      <c r="N44" s="48"/>
      <c r="O44" s="154"/>
      <c r="P44" s="158" cm="1">
        <f t="array" ref="P44">Common_InputFunctions.Utility_LookupValueInTableNumber(Table_Scope3_OrganicFertiliser[[#This Row],[Custom emissions intensity source type (Select)]],#REF!,#REF!)</f>
        <v>0</v>
      </c>
      <c r="Q44" s="14"/>
    </row>
    <row r="45" spans="1:21" ht="20.100000000000001" customHeight="1" x14ac:dyDescent="0.25">
      <c r="C45" s="14"/>
      <c r="D45" s="14" t="str" cm="1">
        <f t="array" ref="D45">Common_InputFunctions.Utility_DisplayArrayInTable(Scope3_SourceData.Scope3_OrganicFertilisers_Data(), Table_Scope3_OrganicFertiliser[[#Headers],[Organic fertiliser type]], 0, 2)</f>
        <v>Pork Manure</v>
      </c>
      <c r="E45" s="14" t="str" cm="1">
        <f t="array" ref="E45">Common_InputFunctions.Utility_DisplayArrayInTable(Scope3_SourceData.Scope3_OrganicFertilisers_Data(), Table_Scope3_OrganicFertiliser[[#Headers],[Organic fertiliser type]], 0, 2)</f>
        <v>Primary MMS</v>
      </c>
      <c r="F45" s="14"/>
      <c r="G45" s="14" t="str" cm="1">
        <f t="array" ref="G45">Common_InputFunctions.Utility_DisplayArrayInTable(Scope3_SourceData.Scope3_OrganicFertilisers_Data(), Table_Scope3_OrganicFertiliser[[#Headers],[Organic fertiliser type]], 0, 1)</f>
        <v>t</v>
      </c>
      <c r="H45" s="14" cm="1">
        <f t="array" ref="H45">Common_InputFunctions.Utility_DisplayArrayInTable(Scope3_SourceData.Scope3_OrganicFertilisers_Data(), Table_Scope3_OrganicFertiliser[[#Headers],[Organic fertiliser type]], 0, 1)</f>
        <v>20201</v>
      </c>
      <c r="I45" s="154"/>
      <c r="J45" s="14" t="str" cm="1">
        <f t="array" ref="J45">Common_InputFunctions.Utility_DisplayArrayInTable(Scope3_SourceData.Scope3_OrganicFertilisers_Data(), Table_Scope3_OrganicFertiliser[[#Headers],[Organic fertiliser type]], 0, 1)</f>
        <v>t CO2-e / t</v>
      </c>
      <c r="K45" s="14">
        <f>Table_Scope3_OrganicFertiliser[[#This Row],[Quantity]]*Table_Scope3_OrganicFertiliser[[#This Row],[AusLCI Emissions intensity]]</f>
        <v>0</v>
      </c>
      <c r="L45" s="14">
        <f>Table_Scope3_OrganicFertiliser[[#This Row],[Quantity]]*IF(Table_Scope3_OrganicFertiliser[[#This Row],[Custom emissions intensity]], Table_Scope3_OrganicFertiliser[[#This Row],[Custom emissions intensity]], Table_Scope3_OrganicFertiliser[[#This Row],[AusLCI Emissions intensity]])</f>
        <v>0</v>
      </c>
      <c r="M45" s="154"/>
      <c r="N45" s="48"/>
      <c r="O45" s="154"/>
      <c r="P45" s="158" cm="1">
        <f t="array" ref="P45">Common_InputFunctions.Utility_LookupValueInTableNumber(Table_Scope3_OrganicFertiliser[[#This Row],[Custom emissions intensity source type (Select)]],#REF!,#REF!)</f>
        <v>0</v>
      </c>
      <c r="Q45" s="14"/>
    </row>
    <row r="46" spans="1:21" ht="20.100000000000001" customHeight="1" x14ac:dyDescent="0.25">
      <c r="C46" s="14"/>
      <c r="D46" s="14" t="str" cm="1">
        <f t="array" ref="D46">Common_InputFunctions.Utility_DisplayArrayInTable(Scope3_SourceData.Scope3_OrganicFertilisers_Data(), Table_Scope3_OrganicFertiliser[[#Headers],[Organic fertiliser type]], 0, 2)</f>
        <v>Pork Manure</v>
      </c>
      <c r="E46" s="14" t="str" cm="1">
        <f t="array" ref="E46">Common_InputFunctions.Utility_DisplayArrayInTable(Scope3_SourceData.Scope3_OrganicFertilisers_Data(), Table_Scope3_OrganicFertiliser[[#Headers],[Organic fertiliser type]], 0, 2)</f>
        <v>Secondary MMS</v>
      </c>
      <c r="F46" s="14"/>
      <c r="G46" s="14" t="str" cm="1">
        <f t="array" ref="G46">Common_InputFunctions.Utility_DisplayArrayInTable(Scope3_SourceData.Scope3_OrganicFertilisers_Data(), Table_Scope3_OrganicFertiliser[[#Headers],[Organic fertiliser type]], 0, 1)</f>
        <v>t</v>
      </c>
      <c r="H46" s="14" cm="1">
        <f t="array" ref="H46">Common_InputFunctions.Utility_DisplayArrayInTable(Scope3_SourceData.Scope3_OrganicFertilisers_Data(), Table_Scope3_OrganicFertiliser[[#Headers],[Organic fertiliser type]], 0, 1)</f>
        <v>20202</v>
      </c>
      <c r="I46" s="154"/>
      <c r="J46" s="14" t="str" cm="1">
        <f t="array" ref="J46">Common_InputFunctions.Utility_DisplayArrayInTable(Scope3_SourceData.Scope3_OrganicFertilisers_Data(), Table_Scope3_OrganicFertiliser[[#Headers],[Organic fertiliser type]], 0, 1)</f>
        <v>t CO2-e / t</v>
      </c>
      <c r="K46" s="14">
        <f>Table_Scope3_OrganicFertiliser[[#This Row],[Quantity]]*Table_Scope3_OrganicFertiliser[[#This Row],[AusLCI Emissions intensity]]</f>
        <v>0</v>
      </c>
      <c r="L46" s="14">
        <f>Table_Scope3_OrganicFertiliser[[#This Row],[Quantity]]*IF(Table_Scope3_OrganicFertiliser[[#This Row],[Custom emissions intensity]], Table_Scope3_OrganicFertiliser[[#This Row],[Custom emissions intensity]], Table_Scope3_OrganicFertiliser[[#This Row],[AusLCI Emissions intensity]])</f>
        <v>0</v>
      </c>
      <c r="M46" s="154"/>
      <c r="N46" s="48"/>
      <c r="O46" s="154"/>
      <c r="P46" s="158" cm="1">
        <f t="array" ref="P46">Common_InputFunctions.Utility_LookupValueInTableNumber(Table_Scope3_OrganicFertiliser[[#This Row],[Custom emissions intensity source type (Select)]],#REF!,#REF!)</f>
        <v>0</v>
      </c>
      <c r="Q46" s="14"/>
    </row>
    <row r="47" spans="1:21" ht="20.100000000000001" customHeight="1" x14ac:dyDescent="0.25">
      <c r="C47" s="14"/>
      <c r="D47" s="14" t="str" cm="1">
        <f t="array" ref="D47">Common_InputFunctions.Utility_DisplayArrayInTable(Scope3_SourceData.Scope3_OrganicFertilisers_Data(), Table_Scope3_OrganicFertiliser[[#Headers],[Organic fertiliser type]], 0, 2)</f>
        <v>Feedlot Manure</v>
      </c>
      <c r="E47" s="14" t="str" cm="1">
        <f t="array" ref="E47">Common_InputFunctions.Utility_DisplayArrayInTable(Scope3_SourceData.Scope3_OrganicFertilisers_Data(), Table_Scope3_OrganicFertiliser[[#Headers],[Organic fertiliser type]], 0, 2)</f>
        <v>Primary MMS</v>
      </c>
      <c r="F47" s="14"/>
      <c r="G47" s="14" t="str" cm="1">
        <f t="array" ref="G47">Common_InputFunctions.Utility_DisplayArrayInTable(Scope3_SourceData.Scope3_OrganicFertilisers_Data(), Table_Scope3_OrganicFertiliser[[#Headers],[Organic fertiliser type]], 0, 1)</f>
        <v>t</v>
      </c>
      <c r="H47" s="14" cm="1">
        <f t="array" ref="H47">Common_InputFunctions.Utility_DisplayArrayInTable(Scope3_SourceData.Scope3_OrganicFertilisers_Data(), Table_Scope3_OrganicFertiliser[[#Headers],[Organic fertiliser type]], 0, 1)</f>
        <v>20301</v>
      </c>
      <c r="I47" s="154"/>
      <c r="J47" s="14" t="str" cm="1">
        <f t="array" ref="J47">Common_InputFunctions.Utility_DisplayArrayInTable(Scope3_SourceData.Scope3_OrganicFertilisers_Data(), Table_Scope3_OrganicFertiliser[[#Headers],[Organic fertiliser type]], 0, 1)</f>
        <v>t CO2-e / t</v>
      </c>
      <c r="K47" s="14">
        <f>Table_Scope3_OrganicFertiliser[[#This Row],[Quantity]]*Table_Scope3_OrganicFertiliser[[#This Row],[AusLCI Emissions intensity]]</f>
        <v>0</v>
      </c>
      <c r="L47" s="14">
        <f>Table_Scope3_OrganicFertiliser[[#This Row],[Quantity]]*IF(Table_Scope3_OrganicFertiliser[[#This Row],[Custom emissions intensity]], Table_Scope3_OrganicFertiliser[[#This Row],[Custom emissions intensity]], Table_Scope3_OrganicFertiliser[[#This Row],[AusLCI Emissions intensity]])</f>
        <v>0</v>
      </c>
      <c r="M47" s="154"/>
      <c r="N47" s="48"/>
      <c r="O47" s="154"/>
      <c r="P47" s="158" cm="1">
        <f t="array" ref="P47">Common_InputFunctions.Utility_LookupValueInTableNumber(Table_Scope3_OrganicFertiliser[[#This Row],[Custom emissions intensity source type (Select)]],#REF!,#REF!)</f>
        <v>0</v>
      </c>
      <c r="Q47" s="14"/>
    </row>
    <row r="48" spans="1:21" ht="20.100000000000001" customHeight="1" x14ac:dyDescent="0.25">
      <c r="C48" s="14"/>
      <c r="D48" s="14" t="str" cm="1">
        <f t="array" ref="D48">Common_InputFunctions.Utility_DisplayArrayInTable(Scope3_SourceData.Scope3_OrganicFertilisers_Data(), Table_Scope3_OrganicFertiliser[[#Headers],[Organic fertiliser type]], 0, 2)</f>
        <v>Feedlot Manure</v>
      </c>
      <c r="E48" s="14" t="str" cm="1">
        <f t="array" ref="E48">Common_InputFunctions.Utility_DisplayArrayInTable(Scope3_SourceData.Scope3_OrganicFertilisers_Data(), Table_Scope3_OrganicFertiliser[[#Headers],[Organic fertiliser type]], 0, 2)</f>
        <v>Secondary MMS</v>
      </c>
      <c r="F48" s="14"/>
      <c r="G48" s="14" t="str" cm="1">
        <f t="array" ref="G48">Common_InputFunctions.Utility_DisplayArrayInTable(Scope3_SourceData.Scope3_OrganicFertilisers_Data(), Table_Scope3_OrganicFertiliser[[#Headers],[Organic fertiliser type]], 0, 1)</f>
        <v>t</v>
      </c>
      <c r="H48" s="14" cm="1">
        <f t="array" ref="H48">Common_InputFunctions.Utility_DisplayArrayInTable(Scope3_SourceData.Scope3_OrganicFertilisers_Data(), Table_Scope3_OrganicFertiliser[[#Headers],[Organic fertiliser type]], 0, 1)</f>
        <v>20302</v>
      </c>
      <c r="I48" s="154"/>
      <c r="J48" s="14" t="str" cm="1">
        <f t="array" ref="J48">Common_InputFunctions.Utility_DisplayArrayInTable(Scope3_SourceData.Scope3_OrganicFertilisers_Data(), Table_Scope3_OrganicFertiliser[[#Headers],[Organic fertiliser type]], 0, 1)</f>
        <v>t CO2-e / t</v>
      </c>
      <c r="K48" s="14">
        <f>Table_Scope3_OrganicFertiliser[[#This Row],[Quantity]]*Table_Scope3_OrganicFertiliser[[#This Row],[AusLCI Emissions intensity]]</f>
        <v>0</v>
      </c>
      <c r="L48" s="14">
        <f>Table_Scope3_OrganicFertiliser[[#This Row],[Quantity]]*IF(Table_Scope3_OrganicFertiliser[[#This Row],[Custom emissions intensity]], Table_Scope3_OrganicFertiliser[[#This Row],[Custom emissions intensity]], Table_Scope3_OrganicFertiliser[[#This Row],[AusLCI Emissions intensity]])</f>
        <v>0</v>
      </c>
      <c r="M48" s="154"/>
      <c r="N48" s="48"/>
      <c r="O48" s="154"/>
      <c r="P48" s="158" cm="1">
        <f t="array" ref="P48">Common_InputFunctions.Utility_LookupValueInTableNumber(Table_Scope3_OrganicFertiliser[[#This Row],[Custom emissions intensity source type (Select)]],#REF!,#REF!)</f>
        <v>0</v>
      </c>
      <c r="Q48" s="14"/>
    </row>
    <row r="49" spans="3:17" ht="20.100000000000001" customHeight="1" x14ac:dyDescent="0.25">
      <c r="C49" s="14"/>
      <c r="D49" s="14" t="str" cm="1">
        <f t="array" ref="D49">Common_InputFunctions.Utility_DisplayArrayInTable(Scope3_SourceData.Scope3_OrganicFertilisers_Data(), Table_Scope3_OrganicFertiliser[[#Headers],[Organic fertiliser type]], 0, 2)</f>
        <v>Feedlot Manure</v>
      </c>
      <c r="E49" s="14" t="str" cm="1">
        <f t="array" ref="E49">Common_InputFunctions.Utility_DisplayArrayInTable(Scope3_SourceData.Scope3_OrganicFertilisers_Data(), Table_Scope3_OrganicFertiliser[[#Headers],[Organic fertiliser type]], 0, 2)</f>
        <v>Tertiary MMS</v>
      </c>
      <c r="F49" s="14"/>
      <c r="G49" s="14" t="str" cm="1">
        <f t="array" ref="G49">Common_InputFunctions.Utility_DisplayArrayInTable(Scope3_SourceData.Scope3_OrganicFertilisers_Data(), Table_Scope3_OrganicFertiliser[[#Headers],[Organic fertiliser type]], 0, 1)</f>
        <v>t</v>
      </c>
      <c r="H49" s="14" cm="1">
        <f t="array" ref="H49">Common_InputFunctions.Utility_DisplayArrayInTable(Scope3_SourceData.Scope3_OrganicFertilisers_Data(), Table_Scope3_OrganicFertiliser[[#Headers],[Organic fertiliser type]], 0, 1)</f>
        <v>20303</v>
      </c>
      <c r="I49" s="154"/>
      <c r="J49" s="14" t="str" cm="1">
        <f t="array" ref="J49">Common_InputFunctions.Utility_DisplayArrayInTable(Scope3_SourceData.Scope3_OrganicFertilisers_Data(), Table_Scope3_OrganicFertiliser[[#Headers],[Organic fertiliser type]], 0, 1)</f>
        <v>t CO2-e / t</v>
      </c>
      <c r="K49" s="14">
        <f>Table_Scope3_OrganicFertiliser[[#This Row],[Quantity]]*Table_Scope3_OrganicFertiliser[[#This Row],[AusLCI Emissions intensity]]</f>
        <v>0</v>
      </c>
      <c r="L49" s="14">
        <f>Table_Scope3_OrganicFertiliser[[#This Row],[Quantity]]*IF(Table_Scope3_OrganicFertiliser[[#This Row],[Custom emissions intensity]], Table_Scope3_OrganicFertiliser[[#This Row],[Custom emissions intensity]], Table_Scope3_OrganicFertiliser[[#This Row],[AusLCI Emissions intensity]])</f>
        <v>0</v>
      </c>
      <c r="M49" s="154"/>
      <c r="N49" s="48"/>
      <c r="O49" s="154"/>
      <c r="P49" s="158" cm="1">
        <f t="array" ref="P49">Common_InputFunctions.Utility_LookupValueInTableNumber(Table_Scope3_OrganicFertiliser[[#This Row],[Custom emissions intensity source type (Select)]],#REF!,#REF!)</f>
        <v>0</v>
      </c>
      <c r="Q49" s="14"/>
    </row>
    <row r="50" spans="3:17" ht="20.100000000000001" customHeight="1" x14ac:dyDescent="0.25">
      <c r="C50" s="14"/>
      <c r="D50" s="14" t="str" cm="1">
        <f t="array" ref="D50">Common_InputFunctions.Utility_DisplayArrayInTable(Scope3_SourceData.Scope3_OrganicFertilisers_Data(), Table_Scope3_OrganicFertiliser[[#Headers],[Organic fertiliser type]], 0, 2)</f>
        <v>Poultry Manure</v>
      </c>
      <c r="E50" s="14" t="str" cm="1">
        <f t="array" ref="E50">Common_InputFunctions.Utility_DisplayArrayInTable(Scope3_SourceData.Scope3_OrganicFertilisers_Data(), Table_Scope3_OrganicFertiliser[[#Headers],[Organic fertiliser type]], 0, 2)</f>
        <v>Primary MMS</v>
      </c>
      <c r="F50" s="14"/>
      <c r="G50" s="14" t="str" cm="1">
        <f t="array" ref="G50">Common_InputFunctions.Utility_DisplayArrayInTable(Scope3_SourceData.Scope3_OrganicFertilisers_Data(), Table_Scope3_OrganicFertiliser[[#Headers],[Organic fertiliser type]], 0, 1)</f>
        <v>t</v>
      </c>
      <c r="H50" s="14" cm="1">
        <f t="array" ref="H50">Common_InputFunctions.Utility_DisplayArrayInTable(Scope3_SourceData.Scope3_OrganicFertilisers_Data(), Table_Scope3_OrganicFertiliser[[#Headers],[Organic fertiliser type]], 0, 1)</f>
        <v>20401</v>
      </c>
      <c r="I50" s="154"/>
      <c r="J50" s="14" t="str" cm="1">
        <f t="array" ref="J50">Common_InputFunctions.Utility_DisplayArrayInTable(Scope3_SourceData.Scope3_OrganicFertilisers_Data(), Table_Scope3_OrganicFertiliser[[#Headers],[Organic fertiliser type]], 0, 1)</f>
        <v>t CO2-e / t</v>
      </c>
      <c r="K50" s="14">
        <f>Table_Scope3_OrganicFertiliser[[#This Row],[Quantity]]*Table_Scope3_OrganicFertiliser[[#This Row],[AusLCI Emissions intensity]]</f>
        <v>0</v>
      </c>
      <c r="L50" s="14">
        <f>Table_Scope3_OrganicFertiliser[[#This Row],[Quantity]]*IF(Table_Scope3_OrganicFertiliser[[#This Row],[Custom emissions intensity]], Table_Scope3_OrganicFertiliser[[#This Row],[Custom emissions intensity]], Table_Scope3_OrganicFertiliser[[#This Row],[AusLCI Emissions intensity]])</f>
        <v>0</v>
      </c>
      <c r="M50" s="154"/>
      <c r="N50" s="48"/>
      <c r="O50" s="154"/>
      <c r="P50" s="158" cm="1">
        <f t="array" ref="P50">Common_InputFunctions.Utility_LookupValueInTableNumber(Table_Scope3_OrganicFertiliser[[#This Row],[Custom emissions intensity source type (Select)]],#REF!,#REF!)</f>
        <v>0</v>
      </c>
      <c r="Q50" s="14"/>
    </row>
    <row r="51" spans="3:17" ht="20.100000000000001" customHeight="1" x14ac:dyDescent="0.25">
      <c r="C51" s="14"/>
      <c r="D51" s="14" t="str" cm="1">
        <f t="array" ref="D51">Common_InputFunctions.Utility_DisplayArrayInTable(Scope3_SourceData.Scope3_OrganicFertilisers_Data(), Table_Scope3_OrganicFertiliser[[#Headers],[Organic fertiliser type]], 0, 2)</f>
        <v>Poultry Manure</v>
      </c>
      <c r="E51" s="14" t="str" cm="1">
        <f t="array" ref="E51">Common_InputFunctions.Utility_DisplayArrayInTable(Scope3_SourceData.Scope3_OrganicFertilisers_Data(), Table_Scope3_OrganicFertiliser[[#Headers],[Organic fertiliser type]], 0, 2)</f>
        <v>Secondary MMS</v>
      </c>
      <c r="F51" s="14"/>
      <c r="G51" s="14" t="str" cm="1">
        <f t="array" ref="G51">Common_InputFunctions.Utility_DisplayArrayInTable(Scope3_SourceData.Scope3_OrganicFertilisers_Data(), Table_Scope3_OrganicFertiliser[[#Headers],[Organic fertiliser type]], 0, 1)</f>
        <v>t</v>
      </c>
      <c r="H51" s="14" cm="1">
        <f t="array" ref="H51">Common_InputFunctions.Utility_DisplayArrayInTable(Scope3_SourceData.Scope3_OrganicFertilisers_Data(), Table_Scope3_OrganicFertiliser[[#Headers],[Organic fertiliser type]], 0, 1)</f>
        <v>20402</v>
      </c>
      <c r="I51" s="154"/>
      <c r="J51" s="14" t="str" cm="1">
        <f t="array" ref="J51">Common_InputFunctions.Utility_DisplayArrayInTable(Scope3_SourceData.Scope3_OrganicFertilisers_Data(), Table_Scope3_OrganicFertiliser[[#Headers],[Organic fertiliser type]], 0, 1)</f>
        <v>t CO2-e / t</v>
      </c>
      <c r="K51" s="14">
        <f>Table_Scope3_OrganicFertiliser[[#This Row],[Quantity]]*Table_Scope3_OrganicFertiliser[[#This Row],[AusLCI Emissions intensity]]</f>
        <v>0</v>
      </c>
      <c r="L51" s="14">
        <f>Table_Scope3_OrganicFertiliser[[#This Row],[Quantity]]*IF(Table_Scope3_OrganicFertiliser[[#This Row],[Custom emissions intensity]], Table_Scope3_OrganicFertiliser[[#This Row],[Custom emissions intensity]], Table_Scope3_OrganicFertiliser[[#This Row],[AusLCI Emissions intensity]])</f>
        <v>0</v>
      </c>
      <c r="M51" s="154"/>
      <c r="N51" s="48"/>
      <c r="O51" s="154"/>
      <c r="P51" s="158" cm="1">
        <f t="array" ref="P51">Common_InputFunctions.Utility_LookupValueInTableNumber(Table_Scope3_OrganicFertiliser[[#This Row],[Custom emissions intensity source type (Select)]],#REF!,#REF!)</f>
        <v>0</v>
      </c>
      <c r="Q51" s="14"/>
    </row>
    <row r="52" spans="3:17" ht="20.100000000000001" customHeight="1" x14ac:dyDescent="0.25">
      <c r="C52" s="14"/>
      <c r="D52" s="14" t="str" cm="1">
        <f t="array" ref="D52">Common_InputFunctions.Utility_DisplayArrayInTable(Scope3_SourceData.Scope3_OrganicFertilisers_Data(), Table_Scope3_OrganicFertiliser[[#Headers],[Organic fertiliser type]], 0, 2)</f>
        <v>Other</v>
      </c>
      <c r="E52" s="14" t="str" cm="1">
        <f t="array" ref="E52">Common_InputFunctions.Utility_DisplayArrayInTable(Scope3_SourceData.Scope3_OrganicFertilisers_Data(), Table_Scope3_OrganicFertiliser[[#Headers],[Organic fertiliser type]], 0, 2)</f>
        <v>Location not specified</v>
      </c>
      <c r="F52" s="14"/>
      <c r="G52" s="14" t="str" cm="1">
        <f t="array" ref="G52">Common_InputFunctions.Utility_DisplayArrayInTable(Scope3_SourceData.Scope3_OrganicFertilisers_Data(), Table_Scope3_OrganicFertiliser[[#Headers],[Organic fertiliser type]], 0, 1)</f>
        <v>t</v>
      </c>
      <c r="H52" s="14" cm="1">
        <f t="array" ref="H52">Common_InputFunctions.Utility_DisplayArrayInTable(Scope3_SourceData.Scope3_OrganicFertilisers_Data(), Table_Scope3_OrganicFertiliser[[#Headers],[Organic fertiliser type]], 0, 1)</f>
        <v>20501</v>
      </c>
      <c r="I52" s="154"/>
      <c r="J52" s="14" t="str" cm="1">
        <f t="array" ref="J52">Common_InputFunctions.Utility_DisplayArrayInTable(Scope3_SourceData.Scope3_OrganicFertilisers_Data(), Table_Scope3_OrganicFertiliser[[#Headers],[Organic fertiliser type]], 0, 1)</f>
        <v>t CO2-e / t</v>
      </c>
      <c r="K52" s="14">
        <f>Table_Scope3_OrganicFertiliser[[#This Row],[Quantity]]*Table_Scope3_OrganicFertiliser[[#This Row],[AusLCI Emissions intensity]]</f>
        <v>0</v>
      </c>
      <c r="L52" s="14">
        <f>Table_Scope3_OrganicFertiliser[[#This Row],[Quantity]]*IF(Table_Scope3_OrganicFertiliser[[#This Row],[Custom emissions intensity]], Table_Scope3_OrganicFertiliser[[#This Row],[Custom emissions intensity]], Table_Scope3_OrganicFertiliser[[#This Row],[AusLCI Emissions intensity]])</f>
        <v>0</v>
      </c>
      <c r="M52" s="154"/>
      <c r="N52" s="48"/>
      <c r="O52" s="154"/>
      <c r="P52" s="158" cm="1">
        <f t="array" ref="P52">Common_InputFunctions.Utility_LookupValueInTableNumber(Table_Scope3_OrganicFertiliser[[#This Row],[Custom emissions intensity source type (Select)]],#REF!,#REF!)</f>
        <v>0</v>
      </c>
      <c r="Q52" s="14"/>
    </row>
    <row r="53" spans="3:17" ht="20.100000000000001" customHeight="1" x14ac:dyDescent="0.25">
      <c r="C53" s="14"/>
      <c r="D53" s="14"/>
      <c r="E53" s="14"/>
      <c r="F53" s="14"/>
      <c r="G53" s="14"/>
      <c r="H53" s="14"/>
      <c r="I53" s="14"/>
      <c r="J53" s="14"/>
      <c r="K53" s="14"/>
      <c r="L53" s="14"/>
      <c r="M53" s="14"/>
      <c r="N53" s="14"/>
      <c r="O53" s="14"/>
      <c r="P53" s="14"/>
      <c r="Q53" s="14"/>
    </row>
    <row r="54" spans="3:17" ht="20.100000000000001" customHeight="1" x14ac:dyDescent="0.35">
      <c r="C54" s="14"/>
      <c r="D54" s="162" t="s">
        <v>325</v>
      </c>
      <c r="E54" s="163"/>
      <c r="F54" s="164"/>
      <c r="G54" s="162">
        <f>SUM(Table_Scope3_OrganicFertiliser[Scope 3 emissions exc. custom (t CO2-e)])</f>
        <v>0</v>
      </c>
      <c r="H54" s="165" t="s">
        <v>321</v>
      </c>
      <c r="I54" s="14"/>
      <c r="J54" s="14"/>
      <c r="K54" s="14"/>
      <c r="L54" s="14"/>
      <c r="M54" s="14"/>
      <c r="N54" s="14"/>
      <c r="O54" s="14"/>
      <c r="P54" s="14"/>
      <c r="Q54" s="14"/>
    </row>
    <row r="55" spans="3:17" ht="20.100000000000001" customHeight="1" x14ac:dyDescent="0.25">
      <c r="C55" s="14"/>
      <c r="D55" s="166" t="s">
        <v>326</v>
      </c>
      <c r="E55" s="167"/>
      <c r="F55" s="167"/>
      <c r="G55" s="166">
        <f>SUM(Table_Scope3_OrganicFertiliser[Scope 3 emissions inc. custom (t CO2-e)2])</f>
        <v>0</v>
      </c>
      <c r="H55" s="165" t="s">
        <v>321</v>
      </c>
      <c r="I55" s="14"/>
      <c r="J55" s="14"/>
      <c r="K55" s="14"/>
      <c r="L55" s="14"/>
      <c r="M55" s="14"/>
      <c r="N55" s="14"/>
      <c r="O55" s="14"/>
      <c r="P55" s="14"/>
      <c r="Q55" s="14"/>
    </row>
    <row r="56" spans="3:17" ht="20.100000000000001" customHeight="1" x14ac:dyDescent="0.25">
      <c r="C56" s="14"/>
      <c r="D56" s="171"/>
      <c r="E56" s="172"/>
      <c r="F56" s="172"/>
      <c r="G56" s="171"/>
      <c r="H56" s="13"/>
      <c r="I56" s="14"/>
      <c r="J56" s="14"/>
      <c r="K56" s="14"/>
      <c r="L56" s="14"/>
      <c r="M56" s="14"/>
      <c r="N56" s="14"/>
      <c r="O56" s="14"/>
      <c r="P56" s="14"/>
      <c r="Q56" s="14"/>
    </row>
    <row r="57" spans="3:17" ht="20.100000000000001" customHeight="1" x14ac:dyDescent="0.25">
      <c r="C57" s="14"/>
      <c r="D57" s="14"/>
      <c r="E57" s="14"/>
      <c r="F57" s="14"/>
      <c r="G57" s="14"/>
      <c r="H57" s="14"/>
      <c r="I57" s="14"/>
      <c r="J57" s="14"/>
      <c r="K57" s="14"/>
      <c r="L57" s="14"/>
      <c r="M57" s="14"/>
      <c r="N57" s="14"/>
      <c r="O57" s="14"/>
      <c r="P57" s="14"/>
      <c r="Q57" s="14"/>
    </row>
    <row r="58" spans="3:17" ht="20.100000000000001" customHeight="1" x14ac:dyDescent="0.25">
      <c r="C58" s="14"/>
      <c r="D58" s="9" t="str" cm="1">
        <f t="array" ref="D58">Scope3_SourceData.Scope3_Livestock_Title()</f>
        <v>Livestock scope 3</v>
      </c>
      <c r="E58" s="14"/>
      <c r="F58" s="14"/>
      <c r="G58" s="14"/>
      <c r="H58" s="14"/>
      <c r="I58" s="14"/>
      <c r="J58" s="14"/>
      <c r="K58" s="14"/>
      <c r="L58" s="14"/>
      <c r="M58" s="14"/>
      <c r="N58" s="14"/>
      <c r="O58" s="14"/>
      <c r="P58" s="14"/>
      <c r="Q58" s="14"/>
    </row>
    <row r="59" spans="3:17" ht="20.100000000000001" customHeight="1" x14ac:dyDescent="0.25">
      <c r="C59" s="14"/>
      <c r="D59" s="11" t="str" cm="1">
        <f t="array" ref="D59">Scope3_SourceData.Scope3_Livestock_Source()</f>
        <v>Scope 3 GHG Emission Factors for Australian Agriculture, Fisheries and Forestry 2026</v>
      </c>
      <c r="E59" s="14"/>
      <c r="F59" s="14"/>
      <c r="G59" s="14"/>
      <c r="H59" s="14"/>
      <c r="I59" s="14"/>
      <c r="J59" s="14"/>
      <c r="K59" s="14"/>
      <c r="L59" s="14"/>
      <c r="M59" s="14"/>
      <c r="N59" s="14"/>
      <c r="O59" s="14"/>
      <c r="P59" s="14"/>
      <c r="Q59" s="14"/>
    </row>
    <row r="60" spans="3:17" ht="20.100000000000001" customHeight="1" x14ac:dyDescent="0.25">
      <c r="C60" s="14"/>
      <c r="D60" s="14"/>
      <c r="E60" s="14"/>
      <c r="F60" s="14"/>
      <c r="G60" s="14"/>
      <c r="H60" s="14"/>
      <c r="I60" s="14"/>
      <c r="J60" s="14"/>
      <c r="K60" s="14"/>
      <c r="L60" s="14"/>
      <c r="M60" s="14"/>
      <c r="N60" s="14"/>
      <c r="O60" s="14"/>
      <c r="P60" s="14"/>
      <c r="Q60" s="14"/>
    </row>
    <row r="61" spans="3:17" ht="20.100000000000001" customHeight="1" x14ac:dyDescent="0.25">
      <c r="C61" s="14"/>
      <c r="D61" s="169" t="s">
        <v>327</v>
      </c>
      <c r="E61" s="169" t="s">
        <v>143</v>
      </c>
      <c r="F61" s="169" t="s">
        <v>328</v>
      </c>
      <c r="G61" s="169" t="s">
        <v>329</v>
      </c>
      <c r="H61" s="169" t="s">
        <v>306</v>
      </c>
      <c r="I61" s="170" t="s">
        <v>307</v>
      </c>
      <c r="J61" s="169" t="s">
        <v>308</v>
      </c>
      <c r="K61" s="169" t="s">
        <v>324</v>
      </c>
      <c r="L61" s="169" t="s">
        <v>310</v>
      </c>
      <c r="M61" s="170" t="s">
        <v>311</v>
      </c>
      <c r="N61" s="170" t="s">
        <v>312</v>
      </c>
      <c r="O61" s="170" t="s">
        <v>313</v>
      </c>
      <c r="P61" s="169" t="s">
        <v>314</v>
      </c>
      <c r="Q61" s="14"/>
    </row>
    <row r="62" spans="3:17" ht="20.100000000000001" customHeight="1" x14ac:dyDescent="0.25">
      <c r="C62" s="14"/>
      <c r="D62" s="14" t="str" cm="1">
        <f t="array" ref="D62">Common_InputFunctions.Utility_DisplayArrayInTable(Scope3_SourceData.Scope3_Livestock_Data(), Table_Scope3_Livestock[[#Headers],[Livestock class]], 0, 2)</f>
        <v>Beef cattle</v>
      </c>
      <c r="E62" s="14" t="str" cm="1">
        <f t="array" ref="E62">Common_InputFunctions.Utility_DisplayArrayInTable(Scope3_SourceData.Scope3_Livestock_Data(), Table_Scope3_Livestock[[#Headers],[Livestock class]], 0, 2)</f>
        <v>Northern Australia</v>
      </c>
      <c r="F62" s="173"/>
      <c r="G62" s="14" t="str" cm="1">
        <f t="array" ref="G62">Common_InputFunctions.Utility_DisplayArrayInTable(Scope3_SourceData.Scope3_Livestock_Data(), Table_Scope3_Livestock[[#Headers],[Livestock class]], 0, 1)</f>
        <v>t LW</v>
      </c>
      <c r="H62" s="14" cm="1">
        <f t="array" ref="H62">Common_InputFunctions.Utility_DisplayArrayInTable(Scope3_SourceData.Scope3_Livestock_Data(), Table_Scope3_Livestock[[#Headers],[Livestock class]], 0, 1)</f>
        <v>80101</v>
      </c>
      <c r="I62" s="174">
        <v>100</v>
      </c>
      <c r="J62" s="14" t="str" cm="1">
        <f t="array" ref="J62">Common_InputFunctions.Utility_DisplayArrayInTable(Scope3_SourceData.Scope3_Livestock_Data(), Table_Scope3_Livestock[[#Headers],[Livestock class]], 0, 1)</f>
        <v>t CO2-e / t LW</v>
      </c>
      <c r="K62" s="14">
        <f>Table_Scope3_Livestock[[#This Row],[Liveweight]]*Table_Scope3_Livestock[[#This Row],[AusLCI Emissions intensity]]</f>
        <v>0</v>
      </c>
      <c r="L62" s="155">
        <f>Table_Scope3_Livestock[[#This Row],[Liveweight]]*IF(Table_Scope3_Livestock[[#This Row],[Custom emissions intensity]], Table_Scope3_Livestock[[#This Row],[Custom emissions intensity]], Table_Scope3_Livestock[[#This Row],[AusLCI Emissions intensity]])</f>
        <v>0</v>
      </c>
      <c r="M62" s="174"/>
      <c r="N62" s="48"/>
      <c r="O62" s="174"/>
      <c r="P62" s="155" cm="1">
        <f t="array" ref="P62">Common_InputFunctions.Utility_LookupValueInTableNumber(Table_Scope3_Livestock[[#This Row],[Custom emissions intensity source type (Select)]],#REF!,#REF!)</f>
        <v>0</v>
      </c>
      <c r="Q62" s="14"/>
    </row>
    <row r="63" spans="3:17" ht="20.100000000000001" customHeight="1" x14ac:dyDescent="0.25">
      <c r="C63" s="14"/>
      <c r="D63" s="14" t="str" cm="1">
        <f t="array" ref="D63">Common_InputFunctions.Utility_DisplayArrayInTable(Scope3_SourceData.Scope3_Livestock_Data(), Table_Scope3_Livestock[[#Headers],[Livestock class]], 0, 2)</f>
        <v>Beef cattle</v>
      </c>
      <c r="E63" s="14" t="str" cm="1">
        <f t="array" ref="E63">Common_InputFunctions.Utility_DisplayArrayInTable(Scope3_SourceData.Scope3_Livestock_Data(), Table_Scope3_Livestock[[#Headers],[Livestock class]], 0, 2)</f>
        <v>Southern Australia</v>
      </c>
      <c r="F63" s="173"/>
      <c r="G63" s="14" t="str" cm="1">
        <f t="array" ref="G63">Common_InputFunctions.Utility_DisplayArrayInTable(Scope3_SourceData.Scope3_Livestock_Data(), Table_Scope3_Livestock[[#Headers],[Livestock class]], 0, 1)</f>
        <v>t LW</v>
      </c>
      <c r="H63" s="14" cm="1">
        <f t="array" ref="H63">Common_InputFunctions.Utility_DisplayArrayInTable(Scope3_SourceData.Scope3_Livestock_Data(), Table_Scope3_Livestock[[#Headers],[Livestock class]], 0, 1)</f>
        <v>80102</v>
      </c>
      <c r="I63" s="174"/>
      <c r="J63" s="14" t="str" cm="1">
        <f t="array" ref="J63">Common_InputFunctions.Utility_DisplayArrayInTable(Scope3_SourceData.Scope3_Livestock_Data(), Table_Scope3_Livestock[[#Headers],[Livestock class]], 0, 1)</f>
        <v>t CO2-e / t LW</v>
      </c>
      <c r="K63" s="155">
        <f>Table_Scope3_Livestock[[#This Row],[Liveweight]]*Table_Scope3_Livestock[[#This Row],[AusLCI Emissions intensity]]</f>
        <v>0</v>
      </c>
      <c r="L63" s="155">
        <f>Table_Scope3_Livestock[[#This Row],[Liveweight]]*IF(Table_Scope3_Livestock[[#This Row],[Custom emissions intensity]], Table_Scope3_Livestock[[#This Row],[Custom emissions intensity]], Table_Scope3_Livestock[[#This Row],[AusLCI Emissions intensity]])</f>
        <v>0</v>
      </c>
      <c r="M63" s="174"/>
      <c r="N63" s="175"/>
      <c r="O63" s="174"/>
      <c r="P63" s="155" cm="1">
        <f t="array" ref="P63">Common_InputFunctions.Utility_LookupValueInTableNumber(Table_Scope3_Livestock[[#This Row],[Custom emissions intensity source type (Select)]],#REF!,#REF!)</f>
        <v>0</v>
      </c>
      <c r="Q63" s="14"/>
    </row>
    <row r="64" spans="3:17" ht="20.100000000000001" customHeight="1" x14ac:dyDescent="0.25">
      <c r="C64" s="14"/>
      <c r="D64" s="14" t="str" cm="1">
        <f t="array" ref="D64">Common_InputFunctions.Utility_DisplayArrayInTable(Scope3_SourceData.Scope3_Livestock_Data(), Table_Scope3_Livestock[[#Headers],[Livestock class]], 0, 2)</f>
        <v>Beef cattle</v>
      </c>
      <c r="E64" s="14" t="str" cm="1">
        <f t="array" ref="E64">Common_InputFunctions.Utility_DisplayArrayInTable(Scope3_SourceData.Scope3_Livestock_Data(), Table_Scope3_Livestock[[#Headers],[Livestock class]], 0, 2)</f>
        <v>Dairy Origin</v>
      </c>
      <c r="F64" s="173"/>
      <c r="G64" s="14" t="str" cm="1">
        <f t="array" ref="G64">Common_InputFunctions.Utility_DisplayArrayInTable(Scope3_SourceData.Scope3_Livestock_Data(), Table_Scope3_Livestock[[#Headers],[Livestock class]], 0, 1)</f>
        <v>t LW</v>
      </c>
      <c r="H64" s="14" cm="1">
        <f t="array" ref="H64">Common_InputFunctions.Utility_DisplayArrayInTable(Scope3_SourceData.Scope3_Livestock_Data(), Table_Scope3_Livestock[[#Headers],[Livestock class]], 0, 1)</f>
        <v>80102</v>
      </c>
      <c r="I64" s="174"/>
      <c r="J64" s="14" t="str" cm="1">
        <f t="array" ref="J64">Common_InputFunctions.Utility_DisplayArrayInTable(Scope3_SourceData.Scope3_Livestock_Data(), Table_Scope3_Livestock[[#Headers],[Livestock class]], 0, 1)</f>
        <v>t CO2-e / t LW</v>
      </c>
      <c r="K64" s="155">
        <f>Table_Scope3_Livestock[[#This Row],[Liveweight]]*Table_Scope3_Livestock[[#This Row],[AusLCI Emissions intensity]]</f>
        <v>0</v>
      </c>
      <c r="L64" s="155">
        <f>Table_Scope3_Livestock[[#This Row],[Liveweight]]*IF(Table_Scope3_Livestock[[#This Row],[Custom emissions intensity]], Table_Scope3_Livestock[[#This Row],[Custom emissions intensity]], Table_Scope3_Livestock[[#This Row],[AusLCI Emissions intensity]])</f>
        <v>0</v>
      </c>
      <c r="M64" s="174"/>
      <c r="N64" s="175"/>
      <c r="O64" s="174"/>
      <c r="P64" s="155" cm="1">
        <f t="array" ref="P64">Common_InputFunctions.Utility_LookupValueInTableNumber(Table_Scope3_Livestock[[#This Row],[Custom emissions intensity source type (Select)]],#REF!,#REF!)</f>
        <v>0</v>
      </c>
      <c r="Q64" s="14"/>
    </row>
    <row r="65" spans="3:17" ht="20.100000000000001" customHeight="1" x14ac:dyDescent="0.25">
      <c r="C65" s="14"/>
      <c r="D65" s="14" t="str" cm="1">
        <f t="array" ref="D65">Common_InputFunctions.Utility_DisplayArrayInTable(Scope3_SourceData.Scope3_Livestock_Data(), Table_Scope3_Livestock[[#Headers],[Livestock class]], 0, 2)</f>
        <v>Dairy cattle</v>
      </c>
      <c r="E65" s="14" t="str" cm="1">
        <f t="array" ref="E65">Common_InputFunctions.Utility_DisplayArrayInTable(Scope3_SourceData.Scope3_Livestock_Data(), Table_Scope3_Livestock[[#Headers],[Livestock class]], 0, 2)</f>
        <v>Location not specified</v>
      </c>
      <c r="F65" s="173"/>
      <c r="G65" s="14" t="str" cm="1">
        <f t="array" ref="G65">Common_InputFunctions.Utility_DisplayArrayInTable(Scope3_SourceData.Scope3_Livestock_Data(), Table_Scope3_Livestock[[#Headers],[Livestock class]], 0, 1)</f>
        <v>t LW</v>
      </c>
      <c r="H65" s="14" cm="1">
        <f t="array" ref="H65">Common_InputFunctions.Utility_DisplayArrayInTable(Scope3_SourceData.Scope3_Livestock_Data(), Table_Scope3_Livestock[[#Headers],[Livestock class]], 0, 1)</f>
        <v>80103</v>
      </c>
      <c r="I65" s="174"/>
      <c r="J65" s="14" t="str" cm="1">
        <f t="array" ref="J65">Common_InputFunctions.Utility_DisplayArrayInTable(Scope3_SourceData.Scope3_Livestock_Data(), Table_Scope3_Livestock[[#Headers],[Livestock class]], 0, 1)</f>
        <v>t CO2-e / t LW</v>
      </c>
      <c r="K65" s="155">
        <f>Table_Scope3_Livestock[[#This Row],[Liveweight]]*Table_Scope3_Livestock[[#This Row],[AusLCI Emissions intensity]]</f>
        <v>0</v>
      </c>
      <c r="L65" s="155">
        <f>Table_Scope3_Livestock[[#This Row],[Liveweight]]*IF(Table_Scope3_Livestock[[#This Row],[Custom emissions intensity]], Table_Scope3_Livestock[[#This Row],[Custom emissions intensity]], Table_Scope3_Livestock[[#This Row],[AusLCI Emissions intensity]])</f>
        <v>0</v>
      </c>
      <c r="M65" s="174"/>
      <c r="N65" s="175"/>
      <c r="O65" s="174"/>
      <c r="P65" s="155" cm="1">
        <f t="array" ref="P65">Common_InputFunctions.Utility_LookupValueInTableNumber(Table_Scope3_Livestock[[#This Row],[Custom emissions intensity source type (Select)]],#REF!,#REF!)</f>
        <v>0</v>
      </c>
      <c r="Q65" s="14"/>
    </row>
    <row r="66" spans="3:17" ht="20.100000000000001" customHeight="1" x14ac:dyDescent="0.25">
      <c r="C66" s="14"/>
      <c r="D66" s="14" t="str" cm="1">
        <f t="array" ref="D66">Common_InputFunctions.Utility_DisplayArrayInTable(Scope3_SourceData.Scope3_Livestock_Data(), Table_Scope3_Livestock[[#Headers],[Livestock class]], 0, 2)</f>
        <v>Sheep</v>
      </c>
      <c r="E66" s="14" t="str" cm="1">
        <f t="array" ref="E66">Common_InputFunctions.Utility_DisplayArrayInTable(Scope3_SourceData.Scope3_Livestock_Data(), Table_Scope3_Livestock[[#Headers],[Livestock class]], 0, 2)</f>
        <v>Location not specified</v>
      </c>
      <c r="F66" s="173"/>
      <c r="G66" s="14" t="str" cm="1">
        <f t="array" ref="G66">Common_InputFunctions.Utility_DisplayArrayInTable(Scope3_SourceData.Scope3_Livestock_Data(), Table_Scope3_Livestock[[#Headers],[Livestock class]], 0, 1)</f>
        <v>t LW</v>
      </c>
      <c r="H66" s="14" cm="1">
        <f t="array" ref="H66">Common_InputFunctions.Utility_DisplayArrayInTable(Scope3_SourceData.Scope3_Livestock_Data(), Table_Scope3_Livestock[[#Headers],[Livestock class]], 0, 1)</f>
        <v>80104</v>
      </c>
      <c r="I66" s="174"/>
      <c r="J66" s="14" t="str" cm="1">
        <f t="array" ref="J66">Common_InputFunctions.Utility_DisplayArrayInTable(Scope3_SourceData.Scope3_Livestock_Data(), Table_Scope3_Livestock[[#Headers],[Livestock class]], 0, 1)</f>
        <v>t CO2-e / t LW</v>
      </c>
      <c r="K66" s="155">
        <f>Table_Scope3_Livestock[[#This Row],[Liveweight]]*Table_Scope3_Livestock[[#This Row],[AusLCI Emissions intensity]]</f>
        <v>0</v>
      </c>
      <c r="L66" s="155">
        <f>Table_Scope3_Livestock[[#This Row],[Liveweight]]*IF(Table_Scope3_Livestock[[#This Row],[Custom emissions intensity]], Table_Scope3_Livestock[[#This Row],[Custom emissions intensity]], Table_Scope3_Livestock[[#This Row],[AusLCI Emissions intensity]])</f>
        <v>0</v>
      </c>
      <c r="M66" s="174"/>
      <c r="N66" s="175"/>
      <c r="O66" s="174"/>
      <c r="P66" s="155" cm="1">
        <f t="array" ref="P66">Common_InputFunctions.Utility_LookupValueInTableNumber(Table_Scope3_Livestock[[#This Row],[Custom emissions intensity source type (Select)]],#REF!,#REF!)</f>
        <v>0</v>
      </c>
      <c r="Q66" s="14"/>
    </row>
    <row r="67" spans="3:17" ht="20.100000000000001" customHeight="1" x14ac:dyDescent="0.25">
      <c r="C67" s="14"/>
      <c r="D67" s="14" t="str" cm="1">
        <f t="array" ref="D67">Common_InputFunctions.Utility_DisplayArrayInTable(Scope3_SourceData.Scope3_Livestock_Data(), Table_Scope3_Livestock[[#Headers],[Livestock class]], 0, 2)</f>
        <v>Pigs</v>
      </c>
      <c r="E67" s="14" t="str" cm="1">
        <f t="array" ref="E67">Common_InputFunctions.Utility_DisplayArrayInTable(Scope3_SourceData.Scope3_Livestock_Data(), Table_Scope3_Livestock[[#Headers],[Livestock class]], 0, 2)</f>
        <v>Location not specified</v>
      </c>
      <c r="F67" s="173"/>
      <c r="G67" s="14" t="str" cm="1">
        <f t="array" ref="G67">Common_InputFunctions.Utility_DisplayArrayInTable(Scope3_SourceData.Scope3_Livestock_Data(), Table_Scope3_Livestock[[#Headers],[Livestock class]], 0, 1)</f>
        <v>t LW</v>
      </c>
      <c r="H67" s="14" cm="1">
        <f t="array" ref="H67">Common_InputFunctions.Utility_DisplayArrayInTable(Scope3_SourceData.Scope3_Livestock_Data(), Table_Scope3_Livestock[[#Headers],[Livestock class]], 0, 1)</f>
        <v>80105</v>
      </c>
      <c r="I67" s="174"/>
      <c r="J67" s="14" t="str" cm="1">
        <f t="array" ref="J67">Common_InputFunctions.Utility_DisplayArrayInTable(Scope3_SourceData.Scope3_Livestock_Data(), Table_Scope3_Livestock[[#Headers],[Livestock class]], 0, 1)</f>
        <v>t CO2-e / t LW</v>
      </c>
      <c r="K67" s="155">
        <f>Table_Scope3_Livestock[[#This Row],[Liveweight]]*Table_Scope3_Livestock[[#This Row],[AusLCI Emissions intensity]]</f>
        <v>0</v>
      </c>
      <c r="L67" s="155">
        <f>Table_Scope3_Livestock[[#This Row],[Liveweight]]*IF(Table_Scope3_Livestock[[#This Row],[Custom emissions intensity]], Table_Scope3_Livestock[[#This Row],[Custom emissions intensity]], Table_Scope3_Livestock[[#This Row],[AusLCI Emissions intensity]])</f>
        <v>0</v>
      </c>
      <c r="M67" s="174"/>
      <c r="N67" s="175"/>
      <c r="O67" s="174"/>
      <c r="P67" s="155" cm="1">
        <f t="array" ref="P67">Common_InputFunctions.Utility_LookupValueInTableNumber(Table_Scope3_Livestock[[#This Row],[Custom emissions intensity source type (Select)]],#REF!,#REF!)</f>
        <v>0</v>
      </c>
      <c r="Q67" s="14"/>
    </row>
    <row r="68" spans="3:17" ht="20.100000000000001" customHeight="1" x14ac:dyDescent="0.25">
      <c r="C68" s="14"/>
      <c r="D68" s="14" t="str" cm="1">
        <f t="array" ref="D68">Common_InputFunctions.Utility_DisplayArrayInTable(Scope3_SourceData.Scope3_Livestock_Data(), Table_Scope3_Livestock[[#Headers],[Livestock class]], 0, 2)</f>
        <v>Chickens</v>
      </c>
      <c r="E68" s="14" t="str" cm="1">
        <f t="array" ref="E68">Common_InputFunctions.Utility_DisplayArrayInTable(Scope3_SourceData.Scope3_Livestock_Data(), Table_Scope3_Livestock[[#Headers],[Livestock class]], 0, 2)</f>
        <v>Location not specified</v>
      </c>
      <c r="F68" s="173"/>
      <c r="G68" s="14" t="str" cm="1">
        <f t="array" ref="G68">Common_InputFunctions.Utility_DisplayArrayInTable(Scope3_SourceData.Scope3_Livestock_Data(), Table_Scope3_Livestock[[#Headers],[Livestock class]], 0, 1)</f>
        <v>t LW</v>
      </c>
      <c r="H68" s="14" cm="1">
        <f t="array" ref="H68">Common_InputFunctions.Utility_DisplayArrayInTable(Scope3_SourceData.Scope3_Livestock_Data(), Table_Scope3_Livestock[[#Headers],[Livestock class]], 0, 1)</f>
        <v>80106</v>
      </c>
      <c r="I68" s="174"/>
      <c r="J68" s="14" t="str" cm="1">
        <f t="array" ref="J68">Common_InputFunctions.Utility_DisplayArrayInTable(Scope3_SourceData.Scope3_Livestock_Data(), Table_Scope3_Livestock[[#Headers],[Livestock class]], 0, 1)</f>
        <v>t CO2-e / t LW</v>
      </c>
      <c r="K68" s="155">
        <f>Table_Scope3_Livestock[[#This Row],[Liveweight]]*Table_Scope3_Livestock[[#This Row],[AusLCI Emissions intensity]]</f>
        <v>0</v>
      </c>
      <c r="L68" s="155">
        <f>Table_Scope3_Livestock[[#This Row],[Liveweight]]*IF(Table_Scope3_Livestock[[#This Row],[Custom emissions intensity]], Table_Scope3_Livestock[[#This Row],[Custom emissions intensity]], Table_Scope3_Livestock[[#This Row],[AusLCI Emissions intensity]])</f>
        <v>0</v>
      </c>
      <c r="M68" s="174"/>
      <c r="N68" s="175"/>
      <c r="O68" s="174"/>
      <c r="P68" s="155" cm="1">
        <f t="array" ref="P68">Common_InputFunctions.Utility_LookupValueInTableNumber(Table_Scope3_Livestock[[#This Row],[Custom emissions intensity source type (Select)]],#REF!,#REF!)</f>
        <v>0</v>
      </c>
      <c r="Q68" s="14"/>
    </row>
    <row r="69" spans="3:17" ht="20.100000000000001" customHeight="1" x14ac:dyDescent="0.25">
      <c r="C69" s="14"/>
      <c r="D69" s="14"/>
      <c r="E69" s="14"/>
      <c r="F69" s="14"/>
      <c r="G69" s="14"/>
      <c r="H69" s="14"/>
      <c r="I69" s="14"/>
      <c r="J69" s="14"/>
      <c r="K69" s="14"/>
      <c r="L69" s="14"/>
      <c r="M69" s="14"/>
      <c r="N69" s="14"/>
      <c r="O69" s="14"/>
      <c r="P69" s="14"/>
      <c r="Q69" s="14"/>
    </row>
    <row r="70" spans="3:17" ht="20.100000000000001" customHeight="1" x14ac:dyDescent="0.35">
      <c r="C70" s="14"/>
      <c r="D70" s="162" t="s">
        <v>330</v>
      </c>
      <c r="E70" s="163"/>
      <c r="F70" s="164"/>
      <c r="G70" s="162">
        <f>SUM(Table_Scope3_Livestock[Scope 3 emissions exc. custom (t CO2-e)])</f>
        <v>0</v>
      </c>
      <c r="H70" s="165" t="s">
        <v>321</v>
      </c>
      <c r="I70" s="14"/>
      <c r="J70" s="14"/>
      <c r="K70" s="14"/>
      <c r="L70" s="14"/>
      <c r="M70" s="14"/>
      <c r="N70" s="14"/>
      <c r="O70" s="14"/>
      <c r="P70" s="14"/>
      <c r="Q70" s="14"/>
    </row>
    <row r="71" spans="3:17" ht="20.100000000000001" customHeight="1" x14ac:dyDescent="0.25">
      <c r="C71" s="14"/>
      <c r="D71" s="166" t="s">
        <v>331</v>
      </c>
      <c r="E71" s="167"/>
      <c r="F71" s="167"/>
      <c r="G71" s="166">
        <f>SUM(Table_Scope3_Livestock[Scope 3 emissions inc. custom (t CO2-e)2])</f>
        <v>0</v>
      </c>
      <c r="H71" s="165" t="s">
        <v>321</v>
      </c>
      <c r="I71" s="14"/>
      <c r="J71" s="14"/>
      <c r="K71" s="14"/>
      <c r="L71" s="14"/>
      <c r="M71" s="14"/>
      <c r="N71" s="14"/>
      <c r="O71" s="14"/>
      <c r="P71" s="14"/>
      <c r="Q71" s="14"/>
    </row>
    <row r="72" spans="3:17" ht="20.100000000000001" customHeight="1" x14ac:dyDescent="0.25">
      <c r="C72" s="14"/>
      <c r="D72" s="171"/>
      <c r="E72" s="172"/>
      <c r="F72" s="172"/>
      <c r="G72" s="171"/>
      <c r="H72" s="13"/>
      <c r="I72" s="14"/>
      <c r="J72" s="14"/>
      <c r="K72" s="14"/>
      <c r="L72" s="14"/>
      <c r="M72" s="14"/>
      <c r="N72" s="14"/>
      <c r="O72" s="14"/>
      <c r="P72" s="14"/>
      <c r="Q72" s="14"/>
    </row>
    <row r="73" spans="3:17" ht="20.100000000000001" customHeight="1" x14ac:dyDescent="0.25">
      <c r="C73" s="14"/>
      <c r="D73" s="171"/>
      <c r="E73" s="172"/>
      <c r="F73" s="172"/>
      <c r="G73" s="171"/>
      <c r="H73" s="13"/>
      <c r="I73" s="14"/>
      <c r="J73" s="14"/>
      <c r="K73" s="14"/>
      <c r="L73" s="14"/>
      <c r="M73" s="14"/>
      <c r="N73" s="14"/>
      <c r="O73" s="14"/>
      <c r="P73" s="14"/>
      <c r="Q73" s="14"/>
    </row>
    <row r="74" spans="3:17" ht="20.100000000000001" customHeight="1" x14ac:dyDescent="0.25">
      <c r="C74" s="14"/>
      <c r="D74" s="9" t="str" cm="1">
        <f t="array" ref="D74">Scope3_SourceData.Scope3_SoilAmendments_Title()</f>
        <v>Soil amendments scope 3</v>
      </c>
      <c r="E74" s="14"/>
      <c r="F74" s="14"/>
      <c r="G74" s="14"/>
      <c r="H74" s="14"/>
      <c r="I74" s="14"/>
      <c r="J74" s="14"/>
      <c r="K74" s="14"/>
      <c r="L74" s="14"/>
      <c r="M74" s="14"/>
      <c r="N74" s="14"/>
      <c r="O74" s="14"/>
      <c r="P74" s="14"/>
      <c r="Q74" s="14"/>
    </row>
    <row r="75" spans="3:17" ht="20.100000000000001" customHeight="1" x14ac:dyDescent="0.25">
      <c r="C75" s="14"/>
      <c r="D75" s="11" t="str" cm="1">
        <f t="array" ref="D75">Scope3_SourceData.Scope3_SoilAmendments_Source()</f>
        <v>Scope 3 GHG Emission Factors for Australian Agriculture, Fisheries and Forestry 2026</v>
      </c>
      <c r="E75" s="14"/>
      <c r="F75" s="14"/>
      <c r="G75" s="14"/>
      <c r="H75" s="14"/>
      <c r="I75" s="14"/>
      <c r="J75" s="14"/>
      <c r="K75" s="14"/>
      <c r="L75" s="14"/>
      <c r="M75" s="14"/>
      <c r="N75" s="14"/>
      <c r="O75" s="14"/>
      <c r="P75" s="14"/>
      <c r="Q75" s="14"/>
    </row>
    <row r="76" spans="3:17" ht="20.100000000000001" customHeight="1" x14ac:dyDescent="0.25">
      <c r="C76" s="14"/>
      <c r="D76" s="14"/>
      <c r="E76" s="14"/>
      <c r="F76" s="14"/>
      <c r="G76" s="14"/>
      <c r="H76" s="14"/>
      <c r="I76" s="14"/>
      <c r="J76" s="14"/>
      <c r="K76" s="14"/>
      <c r="L76" s="14"/>
      <c r="M76" s="14"/>
      <c r="N76" s="14"/>
      <c r="O76" s="14"/>
      <c r="P76" s="14"/>
      <c r="Q76" s="14"/>
    </row>
    <row r="77" spans="3:17" ht="20.100000000000001" customHeight="1" x14ac:dyDescent="0.25">
      <c r="C77" s="14"/>
      <c r="D77" s="169" t="s">
        <v>332</v>
      </c>
      <c r="E77" s="169" t="s">
        <v>304</v>
      </c>
      <c r="F77" s="169" t="s">
        <v>305</v>
      </c>
      <c r="G77" s="169" t="s">
        <v>306</v>
      </c>
      <c r="H77" s="170" t="s">
        <v>307</v>
      </c>
      <c r="I77" s="169" t="s">
        <v>308</v>
      </c>
      <c r="J77" s="169" t="s">
        <v>324</v>
      </c>
      <c r="K77" s="169" t="s">
        <v>310</v>
      </c>
      <c r="L77" s="170" t="s">
        <v>311</v>
      </c>
      <c r="M77" s="170" t="s">
        <v>312</v>
      </c>
      <c r="N77" s="170" t="s">
        <v>313</v>
      </c>
      <c r="O77" s="169" t="s">
        <v>314</v>
      </c>
      <c r="P77" s="14"/>
      <c r="Q77" s="14"/>
    </row>
    <row r="78" spans="3:17" ht="20.100000000000001" customHeight="1" x14ac:dyDescent="0.25">
      <c r="C78" s="14"/>
      <c r="D78" s="14" t="str" cm="1">
        <f t="array" ref="D78">Common_InputFunctions.Utility_DisplayArrayInTable(Scope3_SourceData.Scope3_SoilAmendments_Data(), Table_Scope3_SoilAmendments[[#Headers],[Soil amendment type]], 0, 2)</f>
        <v>Lime</v>
      </c>
      <c r="E78" s="14" cm="1">
        <f t="array" ref="E78">Fertiliser_InputFunctions.Fertiliser_TotalSoilAmendmentApplied(Table_Input_Lime[Total amount applied (t)],Table_Input_Lime[Percent Lime CaCO3])</f>
        <v>4000</v>
      </c>
      <c r="F78" s="14" t="str" cm="1">
        <f t="array" ref="F78">Common_InputFunctions.Utility_DisplayArrayInTable(Scope3_SourceData.Scope3_OrganicFertilisers_Data(), Table_Scope3_SoilAmendments[[#Headers],[Soil amendment type]], 0, 2)</f>
        <v>t</v>
      </c>
      <c r="G78" s="14" cm="1">
        <f t="array" ref="G78">Common_InputFunctions.Utility_DisplayArrayInTable(Scope3_SourceData.Scope3_SoilAmendments_Data(), Table_Scope3_SoilAmendments[[#Headers],[Soil amendment type]], 0, 2)</f>
        <v>30101</v>
      </c>
      <c r="H78" s="154">
        <v>100</v>
      </c>
      <c r="I78" s="14" t="str" cm="1">
        <f t="array" ref="I78">Common_InputFunctions.Utility_DisplayArrayInTable(Scope3_SourceData.Scope3_SoilAmendments_Data(), Table_Scope3_SoilAmendments[[#Headers],[Soil amendment type]], 0, 2)</f>
        <v>t CO2-e / t</v>
      </c>
      <c r="J78" s="14">
        <f>Table_Scope3_SoilAmendments[[#This Row],[Quantity]]*Table_Scope3_SoilAmendments[[#This Row],[AusLCI Emissions intensity]]</f>
        <v>120404000</v>
      </c>
      <c r="K78" s="14">
        <f>Table_Scope3_SoilAmendments[[#This Row],[Quantity]]*IF(Table_Scope3_SoilAmendments[[#This Row],[Custom emissions intensity]], Table_Scope3_SoilAmendments[[#This Row],[Custom emissions intensity]], Table_Scope3_SoilAmendments[[#This Row],[AusLCI Emissions intensity]])</f>
        <v>400000</v>
      </c>
      <c r="L78" s="154"/>
      <c r="M78" s="48"/>
      <c r="N78" s="154"/>
      <c r="O78" s="155" cm="1">
        <f t="array" ref="O78">Common_InputFunctions.Utility_LookupValueInTableNumber(Table_Scope3_SoilAmendments[[#This Row],[Custom emissions intensity source type (Select)]],#REF!,#REF!)</f>
        <v>0</v>
      </c>
      <c r="P78" s="14"/>
      <c r="Q78" s="14"/>
    </row>
    <row r="79" spans="3:17" ht="20.100000000000001" customHeight="1" x14ac:dyDescent="0.25">
      <c r="C79" s="14"/>
      <c r="D79" s="14" t="str" cm="1">
        <f t="array" ref="D79">Common_InputFunctions.Utility_DisplayArrayInTable(Scope3_SourceData.Scope3_SoilAmendments_Data(), Table_Scope3_SoilAmendments[[#Headers],[Soil amendment type]], 0, 2)</f>
        <v>Limesand</v>
      </c>
      <c r="E79" s="14" cm="1">
        <f t="array" ref="E79">Fertiliser_InputFunctions.Fertiliser_TotalSoilAmendmentApplied(Table_Input_Lime[Total amount applied (t)],Table_Input_Lime[Percent Lime CaCO3])</f>
        <v>4000</v>
      </c>
      <c r="F79" s="14" t="str" cm="1">
        <f t="array" ref="F79">Common_InputFunctions.Utility_DisplayArrayInTable(Scope3_SourceData.Scope3_OrganicFertilisers_Data(), Table_Scope3_SoilAmendments[[#Headers],[Soil amendment type]], 0, 2)</f>
        <v>t</v>
      </c>
      <c r="G79" s="14" cm="1">
        <f t="array" ref="G79">Common_InputFunctions.Utility_DisplayArrayInTable(Scope3_SourceData.Scope3_SoilAmendments_Data(), Table_Scope3_SoilAmendments[[#Headers],[Soil amendment type]], 0, 2)</f>
        <v>30102</v>
      </c>
      <c r="H79" s="154"/>
      <c r="I79" s="14" t="str" cm="1">
        <f t="array" ref="I79">Common_InputFunctions.Utility_DisplayArrayInTable(Scope3_SourceData.Scope3_SoilAmendments_Data(), Table_Scope3_SoilAmendments[[#Headers],[Soil amendment type]], 0, 2)</f>
        <v>t CO2-e / t</v>
      </c>
      <c r="J79" s="14">
        <f>Table_Scope3_SoilAmendments[[#This Row],[Quantity]]*Table_Scope3_SoilAmendments[[#This Row],[AusLCI Emissions intensity]]</f>
        <v>120408000</v>
      </c>
      <c r="K79" s="14">
        <f>Table_Scope3_SoilAmendments[[#This Row],[Quantity]]*IF(Table_Scope3_SoilAmendments[[#This Row],[Custom emissions intensity]], Table_Scope3_SoilAmendments[[#This Row],[Custom emissions intensity]], Table_Scope3_SoilAmendments[[#This Row],[AusLCI Emissions intensity]])</f>
        <v>120408000</v>
      </c>
      <c r="L79" s="154"/>
      <c r="M79" s="48"/>
      <c r="N79" s="154"/>
      <c r="O79" s="155" cm="1">
        <f t="array" ref="O79">Common_InputFunctions.Utility_LookupValueInTableNumber(Table_Scope3_SoilAmendments[[#This Row],[Custom emissions intensity source type (Select)]],#REF!,#REF!)</f>
        <v>0</v>
      </c>
      <c r="P79" s="14"/>
      <c r="Q79" s="14"/>
    </row>
    <row r="80" spans="3:17" ht="20.100000000000001" customHeight="1" x14ac:dyDescent="0.25">
      <c r="C80" s="14"/>
      <c r="D80" s="14" t="str" cm="1">
        <f t="array" ref="D80">Common_InputFunctions.Utility_DisplayArrayInTable(Scope3_SourceData.Scope3_SoilAmendments_Data(), Table_Scope3_SoilAmendments[[#Headers],[Soil amendment type]], 0, 2)</f>
        <v>Dolomite</v>
      </c>
      <c r="E80" s="14" cm="1">
        <f t="array" ref="E80">Fertiliser_InputFunctions.Fertiliser_TotalSoilAmendmentApplied(Table_Input_Lime[Total amount applied (t)],Table_Input_Lime[Percent Lime CaCO3])</f>
        <v>4000</v>
      </c>
      <c r="F80" s="14" t="str" cm="1">
        <f t="array" ref="F80">Common_InputFunctions.Utility_DisplayArrayInTable(Scope3_SourceData.Scope3_OrganicFertilisers_Data(), Table_Scope3_SoilAmendments[[#Headers],[Soil amendment type]], 0, 2)</f>
        <v>t</v>
      </c>
      <c r="G80" s="14" cm="1">
        <f t="array" ref="G80">Common_InputFunctions.Utility_DisplayArrayInTable(Scope3_SourceData.Scope3_SoilAmendments_Data(), Table_Scope3_SoilAmendments[[#Headers],[Soil amendment type]], 0, 2)</f>
        <v>30103</v>
      </c>
      <c r="H80" s="154"/>
      <c r="I80" s="14" t="str" cm="1">
        <f t="array" ref="I80">Common_InputFunctions.Utility_DisplayArrayInTable(Scope3_SourceData.Scope3_SoilAmendments_Data(), Table_Scope3_SoilAmendments[[#Headers],[Soil amendment type]], 0, 2)</f>
        <v>t CO2-e / t</v>
      </c>
      <c r="J80" s="14">
        <f>Table_Scope3_SoilAmendments[[#This Row],[Quantity]]*Table_Scope3_SoilAmendments[[#This Row],[AusLCI Emissions intensity]]</f>
        <v>120412000</v>
      </c>
      <c r="K80" s="14">
        <f>Table_Scope3_SoilAmendments[[#This Row],[Quantity]]*IF(Table_Scope3_SoilAmendments[[#This Row],[Custom emissions intensity]], Table_Scope3_SoilAmendments[[#This Row],[Custom emissions intensity]], Table_Scope3_SoilAmendments[[#This Row],[AusLCI Emissions intensity]])</f>
        <v>120412000</v>
      </c>
      <c r="L80" s="154"/>
      <c r="M80" s="48"/>
      <c r="N80" s="154"/>
      <c r="O80" s="155" cm="1">
        <f t="array" ref="O80">Common_InputFunctions.Utility_LookupValueInTableNumber(Table_Scope3_SoilAmendments[[#This Row],[Custom emissions intensity source type (Select)]],#REF!,#REF!)</f>
        <v>0</v>
      </c>
      <c r="P80" s="14"/>
      <c r="Q80" s="14"/>
    </row>
    <row r="81" spans="3:17" ht="20.100000000000001" customHeight="1" x14ac:dyDescent="0.25">
      <c r="C81" s="14"/>
      <c r="D81" s="14" t="str" cm="1">
        <f t="array" ref="D81">Common_InputFunctions.Utility_DisplayArrayInTable(Scope3_SourceData.Scope3_SoilAmendments_Data(), Table_Scope3_SoilAmendments[[#Headers],[Soil amendment type]], 0, 2)</f>
        <v>Gypsum</v>
      </c>
      <c r="E81" s="14" cm="1">
        <f t="array" ref="E81">Fertiliser_InputFunctions.Fertiliser_TotalSoilAmendmentApplied(Table_Input_Lime[Total amount applied (t)],Table_Input_Lime[Percent Lime CaCO3])</f>
        <v>4000</v>
      </c>
      <c r="F81" s="14" t="str" cm="1">
        <f t="array" ref="F81">Common_InputFunctions.Utility_DisplayArrayInTable(Scope3_SourceData.Scope3_OrganicFertilisers_Data(), Table_Scope3_SoilAmendments[[#Headers],[Soil amendment type]], 0, 2)</f>
        <v>t</v>
      </c>
      <c r="G81" s="14" cm="1">
        <f t="array" ref="G81">Common_InputFunctions.Utility_DisplayArrayInTable(Scope3_SourceData.Scope3_SoilAmendments_Data(), Table_Scope3_SoilAmendments[[#Headers],[Soil amendment type]], 0, 2)</f>
        <v>30104</v>
      </c>
      <c r="H81" s="154"/>
      <c r="I81" s="14" t="str" cm="1">
        <f t="array" ref="I81">Common_InputFunctions.Utility_DisplayArrayInTable(Scope3_SourceData.Scope3_SoilAmendments_Data(), Table_Scope3_SoilAmendments[[#Headers],[Soil amendment type]], 0, 2)</f>
        <v>t CO2-e / t</v>
      </c>
      <c r="J81" s="14">
        <f>Table_Scope3_SoilAmendments[[#This Row],[Quantity]]*Table_Scope3_SoilAmendments[[#This Row],[AusLCI Emissions intensity]]</f>
        <v>120416000</v>
      </c>
      <c r="K81" s="14">
        <f>Table_Scope3_SoilAmendments[[#This Row],[Quantity]]*IF(Table_Scope3_SoilAmendments[[#This Row],[Custom emissions intensity]], Table_Scope3_SoilAmendments[[#This Row],[Custom emissions intensity]], Table_Scope3_SoilAmendments[[#This Row],[AusLCI Emissions intensity]])</f>
        <v>120416000</v>
      </c>
      <c r="L81" s="154"/>
      <c r="M81" s="48"/>
      <c r="N81" s="154"/>
      <c r="O81" s="155" cm="1">
        <f t="array" ref="O81">Common_InputFunctions.Utility_LookupValueInTableNumber(Table_Scope3_SoilAmendments[[#This Row],[Custom emissions intensity source type (Select)]],#REF!,#REF!)</f>
        <v>0</v>
      </c>
      <c r="P81" s="14"/>
      <c r="Q81" s="14"/>
    </row>
    <row r="82" spans="3:17" ht="20.100000000000001" customHeight="1" x14ac:dyDescent="0.25">
      <c r="C82" s="14"/>
      <c r="D82" s="14" t="str" cm="1">
        <f t="array" ref="D82">Common_InputFunctions.Utility_DisplayArrayInTable(Scope3_SourceData.Scope3_SoilAmendments_Data(), Table_Scope3_SoilAmendments[[#Headers],[Soil amendment type]], 0, 2)</f>
        <v>Potash</v>
      </c>
      <c r="E82" s="14" cm="1">
        <f t="array" ref="E82">Fertiliser_InputFunctions.Fertiliser_TotalSoilAmendmentApplied(Table_Input_Lime[Total amount applied (t)],Table_Input_Lime[Percent Lime CaCO3])</f>
        <v>4000</v>
      </c>
      <c r="F82" s="14" t="str" cm="1">
        <f t="array" ref="F82">Common_InputFunctions.Utility_DisplayArrayInTable(Scope3_SourceData.Scope3_OrganicFertilisers_Data(), Table_Scope3_SoilAmendments[[#Headers],[Soil amendment type]], 0, 2)</f>
        <v>t</v>
      </c>
      <c r="G82" s="14" cm="1">
        <f t="array" ref="G82">Common_InputFunctions.Utility_DisplayArrayInTable(Scope3_SourceData.Scope3_SoilAmendments_Data(), Table_Scope3_SoilAmendments[[#Headers],[Soil amendment type]], 0, 2)</f>
        <v>30105</v>
      </c>
      <c r="H82" s="154"/>
      <c r="I82" s="14" t="str" cm="1">
        <f t="array" ref="I82">Common_InputFunctions.Utility_DisplayArrayInTable(Scope3_SourceData.Scope3_SoilAmendments_Data(), Table_Scope3_SoilAmendments[[#Headers],[Soil amendment type]], 0, 2)</f>
        <v>t CO2-e / t</v>
      </c>
      <c r="J82" s="14">
        <f>Table_Scope3_SoilAmendments[[#This Row],[Quantity]]*Table_Scope3_SoilAmendments[[#This Row],[AusLCI Emissions intensity]]</f>
        <v>120420000</v>
      </c>
      <c r="K82" s="14">
        <f>Table_Scope3_SoilAmendments[[#This Row],[Quantity]]*IF(Table_Scope3_SoilAmendments[[#This Row],[Custom emissions intensity]], Table_Scope3_SoilAmendments[[#This Row],[Custom emissions intensity]], Table_Scope3_SoilAmendments[[#This Row],[AusLCI Emissions intensity]])</f>
        <v>120420000</v>
      </c>
      <c r="L82" s="154"/>
      <c r="M82" s="48"/>
      <c r="N82" s="154"/>
      <c r="O82" s="155" cm="1">
        <f t="array" ref="O82">Common_InputFunctions.Utility_LookupValueInTableNumber(Table_Scope3_SoilAmendments[[#This Row],[Custom emissions intensity source type (Select)]],#REF!,#REF!)</f>
        <v>0</v>
      </c>
      <c r="P82" s="14"/>
      <c r="Q82" s="14"/>
    </row>
    <row r="83" spans="3:17" ht="20.100000000000001" customHeight="1" x14ac:dyDescent="0.25">
      <c r="C83" s="14"/>
      <c r="D83" s="14"/>
      <c r="E83" s="14"/>
      <c r="F83" s="14"/>
      <c r="G83" s="14"/>
      <c r="H83" s="14"/>
      <c r="I83" s="14"/>
      <c r="J83" s="14"/>
      <c r="K83" s="14"/>
      <c r="L83" s="14"/>
      <c r="M83" s="14"/>
      <c r="N83" s="14"/>
      <c r="O83" s="14"/>
      <c r="P83" s="14"/>
      <c r="Q83" s="14"/>
    </row>
    <row r="84" spans="3:17" ht="20.100000000000001" customHeight="1" x14ac:dyDescent="0.35">
      <c r="C84" s="14"/>
      <c r="D84" s="162" t="s">
        <v>333</v>
      </c>
      <c r="E84" s="163"/>
      <c r="F84" s="164"/>
      <c r="G84" s="162">
        <f>SUM(Table_Scope3_SoilAmendments[Scope 3 emissions exc. custom (t CO2-e)])</f>
        <v>602060000</v>
      </c>
      <c r="H84" s="165" t="s">
        <v>321</v>
      </c>
      <c r="I84" s="14"/>
      <c r="J84" s="14"/>
      <c r="K84" s="14"/>
      <c r="L84" s="14"/>
      <c r="M84" s="14"/>
      <c r="N84" s="14"/>
      <c r="O84" s="14"/>
      <c r="P84" s="14"/>
      <c r="Q84" s="14"/>
    </row>
    <row r="85" spans="3:17" ht="20.100000000000001" customHeight="1" x14ac:dyDescent="0.25">
      <c r="C85" s="14"/>
      <c r="D85" s="166" t="s">
        <v>334</v>
      </c>
      <c r="E85" s="167"/>
      <c r="F85" s="167"/>
      <c r="G85" s="166">
        <f>SUM(Table_Scope3_SoilAmendments[Scope 3 emissions inc. custom (t CO2-e)2])</f>
        <v>482056000</v>
      </c>
      <c r="H85" s="165" t="s">
        <v>321</v>
      </c>
      <c r="I85" s="14"/>
      <c r="J85" s="14"/>
      <c r="K85" s="14"/>
      <c r="L85" s="14"/>
      <c r="M85" s="14"/>
      <c r="N85" s="14"/>
      <c r="O85" s="14"/>
      <c r="P85" s="14"/>
      <c r="Q85" s="14"/>
    </row>
    <row r="86" spans="3:17" ht="20.100000000000001" customHeight="1" x14ac:dyDescent="0.25">
      <c r="C86" s="14"/>
      <c r="D86" s="14"/>
      <c r="E86" s="14"/>
      <c r="F86" s="14"/>
      <c r="G86" s="14"/>
      <c r="H86" s="14"/>
      <c r="I86" s="14"/>
      <c r="J86" s="14"/>
      <c r="K86" s="14"/>
      <c r="L86" s="14"/>
      <c r="M86" s="14"/>
      <c r="N86" s="14"/>
      <c r="O86" s="14"/>
      <c r="P86" s="14"/>
      <c r="Q86" s="14"/>
    </row>
    <row r="87" spans="3:17" ht="20.100000000000001" customHeight="1" x14ac:dyDescent="0.25">
      <c r="C87" s="14"/>
      <c r="D87" s="14"/>
      <c r="E87" s="14"/>
      <c r="F87" s="14"/>
      <c r="G87" s="14"/>
      <c r="H87" s="14"/>
      <c r="I87" s="14"/>
      <c r="J87" s="14"/>
      <c r="K87" s="14"/>
      <c r="L87" s="14"/>
      <c r="M87" s="14"/>
      <c r="N87" s="14"/>
      <c r="O87" s="14"/>
      <c r="P87" s="14"/>
      <c r="Q87" s="14"/>
    </row>
    <row r="88" spans="3:17" ht="20.100000000000001" customHeight="1" x14ac:dyDescent="0.25">
      <c r="C88" s="14"/>
      <c r="D88" s="9" t="str" cm="1">
        <f t="array" ref="D88">Scope3_SourceData.Scope3_Agrochemicals_Title()</f>
        <v>Agrochemicals scope 3</v>
      </c>
      <c r="E88" s="14"/>
      <c r="F88" s="14"/>
      <c r="G88" s="14"/>
      <c r="H88" s="14"/>
      <c r="I88" s="14"/>
      <c r="J88" s="14"/>
      <c r="K88" s="14"/>
      <c r="L88" s="14"/>
      <c r="M88" s="14"/>
      <c r="N88" s="14"/>
      <c r="O88" s="14"/>
      <c r="P88" s="14"/>
      <c r="Q88" s="14"/>
    </row>
    <row r="89" spans="3:17" ht="20.100000000000001" customHeight="1" x14ac:dyDescent="0.25">
      <c r="C89" s="14"/>
      <c r="D89" s="11" t="str" cm="1">
        <f t="array" ref="D89">Scope3_SourceData.Scope3_Agrochemicals_Source()</f>
        <v>Scope 3 GHG Emission Factors for Australian Agriculture, Fisheries and Forestry 2026</v>
      </c>
      <c r="E89" s="14"/>
      <c r="F89" s="14"/>
      <c r="G89" s="14"/>
      <c r="H89" s="14"/>
      <c r="I89" s="14"/>
      <c r="J89" s="14"/>
      <c r="K89" s="14"/>
      <c r="L89" s="14"/>
      <c r="M89" s="14"/>
      <c r="N89" s="14"/>
      <c r="O89" s="14"/>
      <c r="P89" s="14"/>
      <c r="Q89" s="14"/>
    </row>
    <row r="90" spans="3:17" ht="20.100000000000001" customHeight="1" x14ac:dyDescent="0.25">
      <c r="C90" s="14"/>
      <c r="D90" s="14"/>
      <c r="E90" s="14"/>
      <c r="F90" s="14"/>
      <c r="G90" s="14"/>
      <c r="H90" s="14"/>
      <c r="I90" s="14"/>
      <c r="J90" s="14"/>
      <c r="K90" s="14"/>
      <c r="L90" s="14"/>
      <c r="M90" s="14"/>
      <c r="N90" s="14"/>
      <c r="O90" s="14"/>
      <c r="P90" s="14"/>
      <c r="Q90" s="14"/>
    </row>
    <row r="91" spans="3:17" ht="20.100000000000001" customHeight="1" x14ac:dyDescent="0.25">
      <c r="C91" s="14"/>
      <c r="D91" s="169" t="s">
        <v>335</v>
      </c>
      <c r="E91" s="169" t="s">
        <v>304</v>
      </c>
      <c r="F91" s="169" t="s">
        <v>305</v>
      </c>
      <c r="G91" s="169" t="s">
        <v>306</v>
      </c>
      <c r="H91" s="170" t="s">
        <v>307</v>
      </c>
      <c r="I91" s="169" t="s">
        <v>308</v>
      </c>
      <c r="J91" s="169" t="s">
        <v>324</v>
      </c>
      <c r="K91" s="169" t="s">
        <v>310</v>
      </c>
      <c r="L91" s="170" t="s">
        <v>311</v>
      </c>
      <c r="M91" s="170" t="s">
        <v>312</v>
      </c>
      <c r="N91" s="170" t="s">
        <v>313</v>
      </c>
      <c r="O91" s="169" t="s">
        <v>314</v>
      </c>
      <c r="P91" s="14"/>
      <c r="Q91" s="14"/>
    </row>
    <row r="92" spans="3:17" ht="20.100000000000001" customHeight="1" x14ac:dyDescent="0.25">
      <c r="C92" s="14"/>
      <c r="D92" s="14" t="str" cm="1">
        <f t="array" ref="D92">Common_InputFunctions.Utility_DisplayArrayInTable(Scope3_SourceData.Scope3_Agrochemicals_Data(), Table_Scope3_Agrochemicals[[#Headers],[Agrochemical type]], 0, 2)</f>
        <v>Glyphosate</v>
      </c>
      <c r="E92" s="14" cm="1">
        <f t="array" ref="E92">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2" s="14" t="str" cm="1">
        <f t="array" ref="F92">Common_InputFunctions.Utility_DisplayArrayInTable(Scope3_SourceData.Scope3_Agrochemicals_Data(), Table_Scope3_Agrochemicals[[#Headers],[Agrochemical type]], 0, 2)</f>
        <v>t</v>
      </c>
      <c r="G92" s="14" cm="1">
        <f t="array" ref="G92">Common_InputFunctions.Utility_DisplayArrayInTable(Scope3_SourceData.Scope3_Agrochemicals_Data(), Table_Scope3_Agrochemicals[[#Headers],[Agrochemical type]], 0, 2)</f>
        <v>40101</v>
      </c>
      <c r="H92" s="154">
        <v>100</v>
      </c>
      <c r="I92" s="14" t="str" cm="1">
        <f t="array" ref="I92">Common_InputFunctions.Utility_DisplayArrayInTable(Scope3_SourceData.Scope3_Agrochemicals_Data(), Table_Scope3_Agrochemicals[[#Headers],[Agrochemical type]], 0, 2)</f>
        <v>t CO2-e / t</v>
      </c>
      <c r="J92" s="14">
        <f>Table_Scope3_Agrochemicals[[#This Row],[Quantity]]*Table_Scope3_Agrochemicals[[#This Row],[AusLCI Emissions intensity]]</f>
        <v>0</v>
      </c>
      <c r="K92" s="14">
        <f>Table_Scope3_Agrochemicals[[#This Row],[Quantity]]*IF(Table_Scope3_Agrochemicals[[#This Row],[Custom emissions intensity]], Table_Scope3_Agrochemicals[[#This Row],[Custom emissions intensity]], Table_Scope3_Agrochemicals[[#This Row],[AusLCI Emissions intensity]])</f>
        <v>0</v>
      </c>
      <c r="L92" s="154"/>
      <c r="M92" s="48"/>
      <c r="N92" s="154"/>
      <c r="O92" s="155" cm="1">
        <f t="array" ref="O92">Common_InputFunctions.Utility_LookupValueInTableNumber(Table_Scope3_Agrochemicals[[#This Row],[Custom emissions intensity source type (Select)]],#REF!,#REF!)</f>
        <v>0</v>
      </c>
      <c r="P92" s="14"/>
      <c r="Q92" s="14"/>
    </row>
    <row r="93" spans="3:17" ht="20.100000000000001" customHeight="1" x14ac:dyDescent="0.25">
      <c r="C93" s="14"/>
      <c r="D93" s="14" t="str" cm="1">
        <f t="array" ref="D93">Common_InputFunctions.Utility_DisplayArrayInTable(Scope3_SourceData.Scope3_Agrochemicals_Data(), Table_Scope3_Agrochemicals[[#Headers],[Agrochemical type]], 0, 2)</f>
        <v>Paraquat, diquat</v>
      </c>
      <c r="E93" s="14" cm="1">
        <f t="array" ref="E93">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v>
      </c>
      <c r="F93" s="14" t="str" cm="1">
        <f t="array" ref="F93">Common_InputFunctions.Utility_DisplayArrayInTable(Scope3_SourceData.Scope3_Agrochemicals_Data(), Table_Scope3_Agrochemicals[[#Headers],[Agrochemical type]], 0, 2)</f>
        <v>t</v>
      </c>
      <c r="G93" s="14" cm="1">
        <f t="array" ref="G93">Common_InputFunctions.Utility_DisplayArrayInTable(Scope3_SourceData.Scope3_Agrochemicals_Data(), Table_Scope3_Agrochemicals[[#Headers],[Agrochemical type]], 0, 2)</f>
        <v>40102</v>
      </c>
      <c r="H93" s="154"/>
      <c r="I93" s="14" t="str" cm="1">
        <f t="array" ref="I93">Common_InputFunctions.Utility_DisplayArrayInTable(Scope3_SourceData.Scope3_Agrochemicals_Data(), Table_Scope3_Agrochemicals[[#Headers],[Agrochemical type]], 0, 2)</f>
        <v>t CO2-e / t</v>
      </c>
      <c r="J93" s="14">
        <f>Table_Scope3_Agrochemicals[[#This Row],[Quantity]]*Table_Scope3_Agrochemicals[[#This Row],[AusLCI Emissions intensity]]</f>
        <v>8020.4000000000005</v>
      </c>
      <c r="K93" s="14">
        <f>Table_Scope3_Agrochemicals[[#This Row],[Quantity]]*IF(Table_Scope3_Agrochemicals[[#This Row],[Custom emissions intensity]], Table_Scope3_Agrochemicals[[#This Row],[Custom emissions intensity]], Table_Scope3_Agrochemicals[[#This Row],[AusLCI Emissions intensity]])</f>
        <v>8020.4000000000005</v>
      </c>
      <c r="L93" s="154"/>
      <c r="M93" s="48"/>
      <c r="N93" s="154"/>
      <c r="O93" s="155" cm="1">
        <f t="array" ref="O93">Common_InputFunctions.Utility_LookupValueInTableNumber(Table_Scope3_Agrochemicals[[#This Row],[Custom emissions intensity source type (Select)]],#REF!,#REF!)</f>
        <v>0</v>
      </c>
      <c r="P93" s="14"/>
      <c r="Q93" s="14"/>
    </row>
    <row r="94" spans="3:17" ht="20.100000000000001" customHeight="1" x14ac:dyDescent="0.25">
      <c r="C94" s="14"/>
      <c r="D94" s="14" t="str" cm="1">
        <f t="array" ref="D94">Common_InputFunctions.Utility_DisplayArrayInTable(Scope3_SourceData.Scope3_Agrochemicals_Data(), Table_Scope3_Agrochemicals[[#Headers],[Agrochemical type]], 0, 2)</f>
        <v>Generic Herbicide</v>
      </c>
      <c r="E94" s="14" cm="1">
        <f t="array" ref="E94">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4" s="14" t="str" cm="1">
        <f t="array" ref="F94">Common_InputFunctions.Utility_DisplayArrayInTable(Scope3_SourceData.Scope3_Agrochemicals_Data(), Table_Scope3_Agrochemicals[[#Headers],[Agrochemical type]], 0, 2)</f>
        <v>t</v>
      </c>
      <c r="G94" s="14" cm="1">
        <f t="array" ref="G94">Common_InputFunctions.Utility_DisplayArrayInTable(Scope3_SourceData.Scope3_Agrochemicals_Data(), Table_Scope3_Agrochemicals[[#Headers],[Agrochemical type]], 0, 2)</f>
        <v>40103</v>
      </c>
      <c r="H94" s="154"/>
      <c r="I94" s="14" t="str" cm="1">
        <f t="array" ref="I94">Common_InputFunctions.Utility_DisplayArrayInTable(Scope3_SourceData.Scope3_Agrochemicals_Data(), Table_Scope3_Agrochemicals[[#Headers],[Agrochemical type]], 0, 2)</f>
        <v>t CO2-e / t</v>
      </c>
      <c r="J94" s="14">
        <f>Table_Scope3_Agrochemicals[[#This Row],[Quantity]]*Table_Scope3_Agrochemicals[[#This Row],[AusLCI Emissions intensity]]</f>
        <v>0</v>
      </c>
      <c r="K94" s="14">
        <f>Table_Scope3_Agrochemicals[[#This Row],[Quantity]]*IF(Table_Scope3_Agrochemicals[[#This Row],[Custom emissions intensity]], Table_Scope3_Agrochemicals[[#This Row],[Custom emissions intensity]], Table_Scope3_Agrochemicals[[#This Row],[AusLCI Emissions intensity]])</f>
        <v>0</v>
      </c>
      <c r="L94" s="154"/>
      <c r="M94" s="48"/>
      <c r="N94" s="154"/>
      <c r="O94" s="155" cm="1">
        <f t="array" ref="O94">Common_InputFunctions.Utility_LookupValueInTableNumber(Table_Scope3_Agrochemicals[[#This Row],[Custom emissions intensity source type (Select)]],#REF!,#REF!)</f>
        <v>0</v>
      </c>
      <c r="P94" s="14"/>
      <c r="Q94" s="14"/>
    </row>
    <row r="95" spans="3:17" ht="20.100000000000001" customHeight="1" x14ac:dyDescent="0.25">
      <c r="C95" s="14"/>
      <c r="D95" s="14" t="str" cm="1">
        <f t="array" ref="D95">Common_InputFunctions.Utility_DisplayArrayInTable(Scope3_SourceData.Scope3_Agrochemicals_Data(), Table_Scope3_Agrochemicals[[#Headers],[Agrochemical type]], 0, 2)</f>
        <v>Generic Insecticide</v>
      </c>
      <c r="E95" s="14" cm="1">
        <f t="array" ref="E95">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0.25</v>
      </c>
      <c r="F95" s="14" t="str" cm="1">
        <f t="array" ref="F95">Common_InputFunctions.Utility_DisplayArrayInTable(Scope3_SourceData.Scope3_Agrochemicals_Data(), Table_Scope3_Agrochemicals[[#Headers],[Agrochemical type]], 0, 2)</f>
        <v>t</v>
      </c>
      <c r="G95" s="14" cm="1">
        <f t="array" ref="G95">Common_InputFunctions.Utility_DisplayArrayInTable(Scope3_SourceData.Scope3_Agrochemicals_Data(), Table_Scope3_Agrochemicals[[#Headers],[Agrochemical type]], 0, 2)</f>
        <v>40104</v>
      </c>
      <c r="H95" s="154"/>
      <c r="I95" s="14" t="str" cm="1">
        <f t="array" ref="I95">Common_InputFunctions.Utility_DisplayArrayInTable(Scope3_SourceData.Scope3_Agrochemicals_Data(), Table_Scope3_Agrochemicals[[#Headers],[Agrochemical type]], 0, 2)</f>
        <v>t CO2-e / t</v>
      </c>
      <c r="J95" s="14">
        <f>Table_Scope3_Agrochemicals[[#This Row],[Quantity]]*Table_Scope3_Agrochemicals[[#This Row],[AusLCI Emissions intensity]]</f>
        <v>10026</v>
      </c>
      <c r="K95" s="14">
        <f>Table_Scope3_Agrochemicals[[#This Row],[Quantity]]*IF(Table_Scope3_Agrochemicals[[#This Row],[Custom emissions intensity]], Table_Scope3_Agrochemicals[[#This Row],[Custom emissions intensity]], Table_Scope3_Agrochemicals[[#This Row],[AusLCI Emissions intensity]])</f>
        <v>10026</v>
      </c>
      <c r="L95" s="154"/>
      <c r="M95" s="48"/>
      <c r="N95" s="154"/>
      <c r="O95" s="155" cm="1">
        <f t="array" ref="O95">Common_InputFunctions.Utility_LookupValueInTableNumber(Table_Scope3_Agrochemicals[[#This Row],[Custom emissions intensity source type (Select)]],#REF!,#REF!)</f>
        <v>0</v>
      </c>
      <c r="P95" s="14"/>
      <c r="Q95" s="14"/>
    </row>
    <row r="96" spans="3:17" ht="20.100000000000001" customHeight="1" x14ac:dyDescent="0.25">
      <c r="C96" s="14"/>
      <c r="D96" s="14" t="str" cm="1">
        <f t="array" ref="D96">Common_InputFunctions.Utility_DisplayArrayInTable(Scope3_SourceData.Scope3_Agrochemicals_Data(), Table_Scope3_Agrochemicals[[#Headers],[Agrochemical type]], 0, 2)</f>
        <v>Generic Fungicide</v>
      </c>
      <c r="E96" s="14" cm="1">
        <f t="array" ref="E96">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6" s="14" t="str" cm="1">
        <f t="array" ref="F96">Common_InputFunctions.Utility_DisplayArrayInTable(Scope3_SourceData.Scope3_Agrochemicals_Data(), Table_Scope3_Agrochemicals[[#Headers],[Agrochemical type]], 0, 2)</f>
        <v>t</v>
      </c>
      <c r="G96" s="14" cm="1">
        <f t="array" ref="G96">Common_InputFunctions.Utility_DisplayArrayInTable(Scope3_SourceData.Scope3_Agrochemicals_Data(), Table_Scope3_Agrochemicals[[#Headers],[Agrochemical type]], 0, 2)</f>
        <v>40105</v>
      </c>
      <c r="H96" s="154"/>
      <c r="I96" s="14" t="str" cm="1">
        <f t="array" ref="I96">Common_InputFunctions.Utility_DisplayArrayInTable(Scope3_SourceData.Scope3_Agrochemicals_Data(), Table_Scope3_Agrochemicals[[#Headers],[Agrochemical type]], 0, 2)</f>
        <v>t CO2-e / t</v>
      </c>
      <c r="J96" s="14">
        <f>Table_Scope3_Agrochemicals[[#This Row],[Quantity]]*Table_Scope3_Agrochemicals[[#This Row],[AusLCI Emissions intensity]]</f>
        <v>0</v>
      </c>
      <c r="K96" s="14">
        <f>Table_Scope3_Agrochemicals[[#This Row],[Quantity]]*IF(Table_Scope3_Agrochemicals[[#This Row],[Custom emissions intensity]], Table_Scope3_Agrochemicals[[#This Row],[Custom emissions intensity]], Table_Scope3_Agrochemicals[[#This Row],[AusLCI Emissions intensity]])</f>
        <v>0</v>
      </c>
      <c r="L96" s="154"/>
      <c r="M96" s="48"/>
      <c r="N96" s="154"/>
      <c r="O96" s="155" cm="1">
        <f t="array" ref="O96">Common_InputFunctions.Utility_LookupValueInTableNumber(Table_Scope3_Agrochemicals[[#This Row],[Custom emissions intensity source type (Select)]],#REF!,#REF!)</f>
        <v>0</v>
      </c>
      <c r="P96" s="14"/>
      <c r="Q96" s="14"/>
    </row>
    <row r="97" spans="3:17" ht="20.100000000000001" customHeight="1" x14ac:dyDescent="0.25">
      <c r="C97" s="14"/>
      <c r="D97" s="14"/>
      <c r="E97" s="14"/>
      <c r="F97" s="14"/>
      <c r="G97" s="14"/>
      <c r="H97" s="14"/>
      <c r="I97" s="14"/>
      <c r="J97" s="14"/>
      <c r="K97" s="14"/>
      <c r="L97" s="14"/>
      <c r="M97" s="14"/>
      <c r="N97" s="14"/>
      <c r="O97" s="14"/>
      <c r="P97" s="14"/>
      <c r="Q97" s="14"/>
    </row>
    <row r="98" spans="3:17" ht="20.100000000000001" customHeight="1" x14ac:dyDescent="0.35">
      <c r="C98" s="14"/>
      <c r="D98" s="162" t="s">
        <v>336</v>
      </c>
      <c r="E98" s="163" t="s">
        <v>276</v>
      </c>
      <c r="F98" s="164"/>
      <c r="G98" s="162">
        <f>SUM(Table_Scope3_Agrochemicals[Scope 3 emissions exc. custom (t CO2-e)])</f>
        <v>18046.400000000001</v>
      </c>
      <c r="H98" s="165" t="s">
        <v>321</v>
      </c>
      <c r="I98" s="14"/>
      <c r="J98" s="14"/>
      <c r="K98" s="14"/>
      <c r="L98" s="14"/>
      <c r="M98" s="14"/>
      <c r="N98" s="14"/>
      <c r="O98" s="14"/>
      <c r="P98" s="14"/>
      <c r="Q98" s="14"/>
    </row>
    <row r="99" spans="3:17" ht="20.100000000000001" customHeight="1" x14ac:dyDescent="0.25">
      <c r="C99" s="14"/>
      <c r="D99" s="166" t="s">
        <v>337</v>
      </c>
      <c r="E99" s="167"/>
      <c r="F99" s="167"/>
      <c r="G99" s="166">
        <f>SUM(Table_Scope3_Agrochemicals[Scope 3 emissions inc. custom (t CO2-e)2])</f>
        <v>18046.400000000001</v>
      </c>
      <c r="H99" s="165" t="s">
        <v>321</v>
      </c>
      <c r="I99" s="14"/>
      <c r="J99" s="14"/>
      <c r="K99" s="14"/>
      <c r="L99" s="14"/>
      <c r="M99" s="14"/>
      <c r="N99" s="14"/>
      <c r="O99" s="14"/>
      <c r="P99" s="14"/>
      <c r="Q99" s="14"/>
    </row>
    <row r="100" spans="3:17" ht="20.100000000000001" customHeight="1" x14ac:dyDescent="0.25">
      <c r="C100" s="14"/>
      <c r="D100" s="14"/>
      <c r="E100" s="14"/>
      <c r="F100" s="14"/>
      <c r="G100" s="14"/>
      <c r="H100" s="14"/>
      <c r="I100" s="14"/>
      <c r="J100" s="14"/>
      <c r="K100" s="14"/>
      <c r="L100" s="14"/>
      <c r="M100" s="14"/>
      <c r="N100" s="14"/>
      <c r="O100" s="14"/>
      <c r="P100" s="14"/>
      <c r="Q100" s="14"/>
    </row>
    <row r="101" spans="3:17" ht="20.100000000000001" customHeight="1" x14ac:dyDescent="0.25">
      <c r="C101" s="14"/>
      <c r="D101" s="14"/>
      <c r="E101" s="14"/>
      <c r="F101" s="14"/>
      <c r="G101" s="14"/>
      <c r="H101" s="14"/>
      <c r="I101" s="14"/>
      <c r="J101" s="14"/>
      <c r="K101" s="14"/>
      <c r="L101" s="14"/>
      <c r="M101" s="14"/>
      <c r="N101" s="14"/>
      <c r="O101" s="14"/>
      <c r="P101" s="14"/>
      <c r="Q101" s="14"/>
    </row>
    <row r="102" spans="3:17" ht="20.100000000000001" customHeight="1" x14ac:dyDescent="0.25">
      <c r="C102" s="14"/>
      <c r="D102" s="9" t="str" cm="1">
        <f t="array" ref="D102">Scope3_SourceData.Scope3_LickBlocks_Title()</f>
        <v>Lick Blocks scope 3</v>
      </c>
      <c r="E102" s="14"/>
      <c r="F102" s="14"/>
      <c r="G102" s="14"/>
      <c r="H102" s="14"/>
      <c r="I102" s="14"/>
      <c r="J102" s="14"/>
      <c r="K102" s="14"/>
      <c r="L102" s="14"/>
      <c r="M102" s="14"/>
      <c r="N102" s="14"/>
      <c r="O102" s="14"/>
      <c r="P102" s="14"/>
      <c r="Q102" s="14"/>
    </row>
    <row r="103" spans="3:17" ht="20.100000000000001" customHeight="1" x14ac:dyDescent="0.25">
      <c r="C103" s="14"/>
      <c r="D103" s="11" t="str" cm="1">
        <f t="array" ref="D103">Scope3_SourceData.Scope3_LickBlocks_Source()</f>
        <v>Scope 3 GHG Emission Factors for Australian Agriculture, Fisheries and Forestry 2026</v>
      </c>
      <c r="E103" s="14"/>
      <c r="F103" s="14"/>
      <c r="G103" s="14"/>
      <c r="H103" s="14"/>
      <c r="I103" s="14"/>
      <c r="J103" s="14"/>
      <c r="K103" s="14"/>
      <c r="L103" s="14"/>
      <c r="M103" s="14"/>
      <c r="N103" s="14"/>
      <c r="O103" s="14"/>
      <c r="P103" s="14"/>
      <c r="Q103" s="14"/>
    </row>
    <row r="104" spans="3:17" ht="20.100000000000001" customHeight="1" x14ac:dyDescent="0.25">
      <c r="C104" s="14"/>
      <c r="D104" s="14"/>
      <c r="E104" s="14"/>
      <c r="F104" s="14"/>
      <c r="G104" s="14"/>
      <c r="H104" s="14"/>
      <c r="I104" s="14"/>
      <c r="J104" s="14"/>
      <c r="K104" s="14"/>
      <c r="L104" s="14"/>
      <c r="M104" s="14"/>
      <c r="N104" s="14"/>
      <c r="O104" s="14"/>
      <c r="P104" s="14"/>
      <c r="Q104" s="14"/>
    </row>
    <row r="105" spans="3:17" ht="20.100000000000001" customHeight="1" x14ac:dyDescent="0.25">
      <c r="C105" s="14"/>
      <c r="D105" s="169" t="s">
        <v>338</v>
      </c>
      <c r="E105" s="169" t="s">
        <v>304</v>
      </c>
      <c r="F105" s="169" t="s">
        <v>305</v>
      </c>
      <c r="G105" s="169" t="s">
        <v>306</v>
      </c>
      <c r="H105" s="170" t="s">
        <v>307</v>
      </c>
      <c r="I105" s="169" t="s">
        <v>308</v>
      </c>
      <c r="J105" s="169" t="s">
        <v>324</v>
      </c>
      <c r="K105" s="169" t="s">
        <v>310</v>
      </c>
      <c r="L105" s="170" t="s">
        <v>311</v>
      </c>
      <c r="M105" s="170" t="s">
        <v>312</v>
      </c>
      <c r="N105" s="170" t="s">
        <v>313</v>
      </c>
      <c r="O105" s="169" t="s">
        <v>314</v>
      </c>
      <c r="P105" s="14"/>
      <c r="Q105" s="14"/>
    </row>
    <row r="106" spans="3:17" ht="20.100000000000001" customHeight="1" x14ac:dyDescent="0.25">
      <c r="C106" s="14"/>
      <c r="D106" s="14" t="str" cm="1">
        <f t="array" ref="D106">Common_InputFunctions.Utility_DisplayArrayInTable(Scope3_SourceData.Scope3_LickBlocks_Data(), Table68[[#Headers],[Lick block type]], 0, 2)</f>
        <v>Mineral block</v>
      </c>
      <c r="E106" s="173">
        <f>'Input - Feed - Dairy'!E9</f>
        <v>10</v>
      </c>
      <c r="F106" s="14" t="str" cm="1">
        <f t="array" ref="F106">Common_InputFunctions.Utility_DisplayArrayInTable(Scope3_SourceData.Scope3_LickBlocks_Data(), Table68[[#Headers],[Lick block type]], 0, 2)</f>
        <v>t</v>
      </c>
      <c r="G106" s="14" cm="1">
        <f t="array" ref="G106">Common_InputFunctions.Utility_DisplayArrayInTable(Scope3_SourceData.Scope3_LickBlocks_Data(), Table68[[#Headers],[Lick block type]], 0, 2)</f>
        <v>50101</v>
      </c>
      <c r="H106" s="174">
        <v>100</v>
      </c>
      <c r="I106" s="14" t="str" cm="1">
        <f t="array" ref="I106">Common_InputFunctions.Utility_DisplayArrayInTable(Scope3_SourceData.Scope3_LickBlocks_Data(), Table68[[#Headers],[Lick block type]], 0, 2)</f>
        <v>t CO2-e / t</v>
      </c>
      <c r="J106" s="14">
        <f>Table68[[#This Row],[Quantity]]*Table68[[#This Row],[AusLCI Emissions intensity]]</f>
        <v>501010</v>
      </c>
      <c r="K106" s="155">
        <f>Table68[[#This Row],[Quantity]]*IF(Table68[[#This Row],[Custom emissions intensity]], Table68[[#This Row],[Custom emissions intensity]], Table68[[#This Row],[AusLCI Emissions intensity]])</f>
        <v>1000</v>
      </c>
      <c r="L106" s="174"/>
      <c r="M106" s="48"/>
      <c r="N106" s="174"/>
      <c r="O106" s="155" cm="1">
        <f t="array" ref="O106">Common_InputFunctions.Utility_LookupValueInTableNumber(Table68[[#This Row],[Custom emissions intensity source type (Select)]],#REF!,#REF!)</f>
        <v>0</v>
      </c>
      <c r="P106" s="14"/>
      <c r="Q106" s="14"/>
    </row>
    <row r="107" spans="3:17" ht="20.100000000000001" customHeight="1" x14ac:dyDescent="0.25">
      <c r="C107" s="14"/>
      <c r="D107" s="14" t="str" cm="1">
        <f t="array" ref="D107">Common_InputFunctions.Utility_DisplayArrayInTable(Scope3_SourceData.Scope3_LickBlocks_Data(), Table68[[#Headers],[Lick block type]], 0, 2)</f>
        <v>Weaner block</v>
      </c>
      <c r="E107" s="173">
        <f>'Input - Feed - Dairy'!E10</f>
        <v>20</v>
      </c>
      <c r="F107" s="14" t="str" cm="1">
        <f t="array" ref="F107">Common_InputFunctions.Utility_DisplayArrayInTable(Scope3_SourceData.Scope3_LickBlocks_Data(), Table68[[#Headers],[Lick block type]], 0, 2)</f>
        <v>t</v>
      </c>
      <c r="G107" s="14" cm="1">
        <f t="array" ref="G107">Common_InputFunctions.Utility_DisplayArrayInTable(Scope3_SourceData.Scope3_LickBlocks_Data(), Table68[[#Headers],[Lick block type]], 0, 2)</f>
        <v>50102</v>
      </c>
      <c r="H107" s="174"/>
      <c r="I107" s="14" t="str" cm="1">
        <f t="array" ref="I107">Common_InputFunctions.Utility_DisplayArrayInTable(Scope3_SourceData.Scope3_LickBlocks_Data(), Table68[[#Headers],[Lick block type]], 0, 2)</f>
        <v>t CO2-e / t</v>
      </c>
      <c r="J107" s="155">
        <f>Table68[[#This Row],[Quantity]]*Table68[[#This Row],[AusLCI Emissions intensity]]</f>
        <v>1002040</v>
      </c>
      <c r="K107" s="155">
        <f>Table68[[#This Row],[Quantity]]*IF(Table68[[#This Row],[Custom emissions intensity]], Table68[[#This Row],[Custom emissions intensity]], Table68[[#This Row],[AusLCI Emissions intensity]])</f>
        <v>1002040</v>
      </c>
      <c r="L107" s="174"/>
      <c r="M107" s="48"/>
      <c r="N107" s="174"/>
      <c r="O107" s="155" cm="1">
        <f t="array" ref="O107">Common_InputFunctions.Utility_LookupValueInTableNumber(Table68[[#This Row],[Custom emissions intensity source type (Select)]],#REF!,#REF!)</f>
        <v>0</v>
      </c>
      <c r="P107" s="14"/>
      <c r="Q107" s="14"/>
    </row>
    <row r="108" spans="3:17" ht="20.100000000000001" customHeight="1" x14ac:dyDescent="0.25">
      <c r="C108" s="14"/>
      <c r="D108" s="14" t="str" cm="1">
        <f t="array" ref="D108">Common_InputFunctions.Utility_DisplayArrayInTable(Scope3_SourceData.Scope3_LickBlocks_Data(), Table68[[#Headers],[Lick block type]], 0, 2)</f>
        <v>Dry season mix</v>
      </c>
      <c r="E108" s="173">
        <f>'Input - Feed - Dairy'!E11</f>
        <v>30</v>
      </c>
      <c r="F108" s="14" t="str" cm="1">
        <f t="array" ref="F108">Common_InputFunctions.Utility_DisplayArrayInTable(Scope3_SourceData.Scope3_LickBlocks_Data(), Table68[[#Headers],[Lick block type]], 0, 2)</f>
        <v>t</v>
      </c>
      <c r="G108" s="14" cm="1">
        <f t="array" ref="G108">Common_InputFunctions.Utility_DisplayArrayInTable(Scope3_SourceData.Scope3_LickBlocks_Data(), Table68[[#Headers],[Lick block type]], 0, 2)</f>
        <v>50103</v>
      </c>
      <c r="H108" s="174"/>
      <c r="I108" s="14" t="str" cm="1">
        <f t="array" ref="I108">Common_InputFunctions.Utility_DisplayArrayInTable(Scope3_SourceData.Scope3_LickBlocks_Data(), Table68[[#Headers],[Lick block type]], 0, 2)</f>
        <v>t CO2-e / t</v>
      </c>
      <c r="J108" s="155">
        <f>Table68[[#This Row],[Quantity]]*Table68[[#This Row],[AusLCI Emissions intensity]]</f>
        <v>1503090</v>
      </c>
      <c r="K108" s="155">
        <f>Table68[[#This Row],[Quantity]]*IF(Table68[[#This Row],[Custom emissions intensity]], Table68[[#This Row],[Custom emissions intensity]], Table68[[#This Row],[AusLCI Emissions intensity]])</f>
        <v>1503090</v>
      </c>
      <c r="L108" s="174"/>
      <c r="M108" s="48"/>
      <c r="N108" s="174"/>
      <c r="O108" s="155" cm="1">
        <f t="array" ref="O108">Common_InputFunctions.Utility_LookupValueInTableNumber(Table68[[#This Row],[Custom emissions intensity source type (Select)]],#REF!,#REF!)</f>
        <v>0</v>
      </c>
      <c r="P108" s="14"/>
      <c r="Q108" s="14"/>
    </row>
    <row r="109" spans="3:17" ht="20.100000000000001" customHeight="1" x14ac:dyDescent="0.25">
      <c r="C109" s="14"/>
      <c r="D109" s="14"/>
      <c r="E109" s="14"/>
      <c r="F109" s="14"/>
      <c r="G109" s="14"/>
      <c r="H109" s="14"/>
      <c r="I109" s="14"/>
      <c r="J109" s="14"/>
      <c r="K109" s="14"/>
      <c r="L109" s="14"/>
      <c r="M109" s="14"/>
      <c r="N109" s="14"/>
      <c r="O109" s="14"/>
      <c r="P109" s="14"/>
      <c r="Q109" s="14"/>
    </row>
    <row r="110" spans="3:17" ht="20.100000000000001" customHeight="1" x14ac:dyDescent="0.35">
      <c r="C110" s="14"/>
      <c r="D110" s="162" t="s">
        <v>339</v>
      </c>
      <c r="E110" s="163"/>
      <c r="F110" s="164"/>
      <c r="G110" s="162">
        <f>SUM(Table68[Scope 3 emissions exc. custom (t CO2-e)])</f>
        <v>3006140</v>
      </c>
      <c r="H110" s="165" t="s">
        <v>321</v>
      </c>
      <c r="I110" s="14"/>
      <c r="J110" s="14"/>
      <c r="K110" s="14"/>
      <c r="L110" s="14"/>
      <c r="M110" s="14"/>
      <c r="N110" s="14"/>
      <c r="O110" s="14"/>
      <c r="P110" s="14"/>
      <c r="Q110" s="14"/>
    </row>
    <row r="111" spans="3:17" ht="20.100000000000001" customHeight="1" x14ac:dyDescent="0.25">
      <c r="C111" s="14"/>
      <c r="D111" s="166" t="s">
        <v>340</v>
      </c>
      <c r="E111" s="167"/>
      <c r="F111" s="167"/>
      <c r="G111" s="166">
        <f>SUM(Table68[Scope 3 emissions inc. custom (t CO2-e)2])</f>
        <v>2506130</v>
      </c>
      <c r="H111" s="165" t="s">
        <v>321</v>
      </c>
      <c r="I111" s="14"/>
      <c r="J111" s="14"/>
      <c r="K111" s="14"/>
      <c r="L111" s="14"/>
      <c r="M111" s="14"/>
      <c r="N111" s="14"/>
      <c r="O111" s="14"/>
      <c r="P111" s="14"/>
      <c r="Q111" s="14"/>
    </row>
    <row r="112" spans="3:17" ht="20.100000000000001" customHeight="1" x14ac:dyDescent="0.25">
      <c r="C112" s="14"/>
      <c r="D112" s="14"/>
      <c r="E112" s="14"/>
      <c r="F112" s="14"/>
      <c r="G112" s="14"/>
      <c r="H112" s="14"/>
      <c r="I112" s="14"/>
      <c r="J112" s="14"/>
      <c r="K112" s="14"/>
      <c r="L112" s="14"/>
      <c r="M112" s="14"/>
      <c r="N112" s="14"/>
      <c r="O112" s="14"/>
      <c r="P112" s="14"/>
      <c r="Q112" s="14"/>
    </row>
    <row r="113" spans="3:17" ht="20.100000000000001" customHeight="1" x14ac:dyDescent="0.25">
      <c r="C113" s="14"/>
      <c r="D113" s="14"/>
      <c r="E113" s="14"/>
      <c r="F113" s="14"/>
      <c r="G113" s="14"/>
      <c r="H113" s="14"/>
      <c r="I113" s="14"/>
      <c r="J113" s="14"/>
      <c r="K113" s="14"/>
      <c r="L113" s="14"/>
      <c r="M113" s="14"/>
      <c r="N113" s="14"/>
      <c r="O113" s="14"/>
      <c r="P113" s="14"/>
      <c r="Q113" s="14"/>
    </row>
    <row r="114" spans="3:17" ht="20.100000000000001" customHeight="1" x14ac:dyDescent="0.25">
      <c r="C114" s="14"/>
      <c r="D114" s="9" t="str" cm="1">
        <f t="array" ref="D114">Scope3_SourceData.Scope3_AnimalFeed_Title()</f>
        <v>Animal Feed scope 3</v>
      </c>
      <c r="E114" s="14"/>
      <c r="F114" s="14"/>
      <c r="G114" s="14"/>
      <c r="H114" s="14"/>
      <c r="I114" s="14"/>
      <c r="J114" s="14"/>
      <c r="K114" s="14"/>
      <c r="L114" s="14"/>
      <c r="M114" s="14"/>
      <c r="N114" s="14"/>
      <c r="O114" s="14"/>
      <c r="P114" s="14"/>
      <c r="Q114" s="14"/>
    </row>
    <row r="115" spans="3:17" ht="20.100000000000001" customHeight="1" x14ac:dyDescent="0.25">
      <c r="C115" s="14"/>
      <c r="D115" s="11" t="str" cm="1">
        <f t="array" ref="D115">Scope3_SourceData.Scope3_AnimalFeed_Source()</f>
        <v>Scope 3 GHG Emission Factors for Australian Agriculture, Fisheries and Forestry 2026</v>
      </c>
      <c r="E115" s="14"/>
      <c r="F115" s="14"/>
      <c r="G115" s="14"/>
      <c r="H115" s="14"/>
      <c r="I115" s="14"/>
      <c r="J115" s="14"/>
      <c r="K115" s="14"/>
      <c r="L115" s="14"/>
      <c r="M115" s="14"/>
      <c r="N115" s="14"/>
      <c r="O115" s="14"/>
      <c r="P115" s="14"/>
      <c r="Q115" s="14"/>
    </row>
    <row r="116" spans="3:17" ht="20.100000000000001" customHeight="1" x14ac:dyDescent="0.25">
      <c r="C116" s="14"/>
      <c r="D116" s="14"/>
      <c r="E116" s="14"/>
      <c r="F116" s="14"/>
      <c r="G116" s="14"/>
      <c r="H116" s="14"/>
      <c r="I116" s="14"/>
      <c r="J116" s="14"/>
      <c r="K116" s="14"/>
      <c r="L116" s="14"/>
      <c r="M116" s="14"/>
      <c r="N116" s="14"/>
      <c r="O116" s="14"/>
      <c r="P116" s="14"/>
      <c r="Q116" s="14"/>
    </row>
    <row r="117" spans="3:17" ht="20.100000000000001" customHeight="1" x14ac:dyDescent="0.25">
      <c r="C117" s="14"/>
      <c r="D117" s="169" t="s">
        <v>341</v>
      </c>
      <c r="E117" s="169" t="s">
        <v>304</v>
      </c>
      <c r="F117" s="169" t="s">
        <v>305</v>
      </c>
      <c r="G117" s="169" t="s">
        <v>306</v>
      </c>
      <c r="H117" s="170" t="s">
        <v>307</v>
      </c>
      <c r="I117" s="169" t="s">
        <v>308</v>
      </c>
      <c r="J117" s="169" t="s">
        <v>324</v>
      </c>
      <c r="K117" s="169" t="s">
        <v>310</v>
      </c>
      <c r="L117" s="170" t="s">
        <v>311</v>
      </c>
      <c r="M117" s="170" t="s">
        <v>312</v>
      </c>
      <c r="N117" s="170" t="s">
        <v>313</v>
      </c>
      <c r="O117" s="169" t="s">
        <v>314</v>
      </c>
      <c r="P117" s="14"/>
      <c r="Q117" s="14"/>
    </row>
    <row r="118" spans="3:17" ht="20.100000000000001" customHeight="1" x14ac:dyDescent="0.25">
      <c r="C118" s="14"/>
      <c r="D118" s="14" t="str" cm="1">
        <f t="array" ref="D118">Common_InputFunctions.Utility_DisplayArrayInTable(Scope3_SourceData.Scope3_AnimalFeed_Data(), Table_Scope3_AnimalFeed[[#Headers],[Feed ingredient]], 0, 2)</f>
        <v>Grain</v>
      </c>
      <c r="E118" s="14" cm="1">
        <f t="array" ref="E11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18" s="14" t="str" cm="1">
        <f t="array" ref="F118">Common_InputFunctions.Utility_DisplayArrayInTable(Scope3_SourceData.Scope3_AnimalFeed_Data(), Table_Scope3_AnimalFeed[[#Headers],[Feed ingredient]], 0, 2)</f>
        <v>t</v>
      </c>
      <c r="G118" s="14" cm="1">
        <f t="array" ref="G118">Common_InputFunctions.Utility_DisplayArrayInTable(Scope3_SourceData.Scope3_AnimalFeed_Data(), Table_Scope3_AnimalFeed[[#Headers],[Feed ingredient]], 0, 2)</f>
        <v>60101</v>
      </c>
      <c r="H118" s="174">
        <v>100</v>
      </c>
      <c r="I118" s="14" t="str" cm="1">
        <f t="array" ref="I118">Common_InputFunctions.Utility_DisplayArrayInTable(Scope3_SourceData.Scope3_AnimalFeed_Data(), Table_Scope3_AnimalFeed[[#Headers],[Feed ingredient]], 0, 2)</f>
        <v>t CO2-e / t</v>
      </c>
      <c r="J118" s="14">
        <f>Table_Scope3_AnimalFeed[[#This Row],[Quantity]]*Table_Scope3_AnimalFeed[[#This Row],[AusLCI Emissions intensity]]</f>
        <v>0</v>
      </c>
      <c r="K118" s="155">
        <f>Table_Scope3_AnimalFeed[[#This Row],[Quantity]]*IF(Table_Scope3_AnimalFeed[[#This Row],[Custom emissions intensity]], Table_Scope3_AnimalFeed[[#This Row],[Custom emissions intensity]], Table_Scope3_AnimalFeed[[#This Row],[AusLCI Emissions intensity]])</f>
        <v>0</v>
      </c>
      <c r="L118" s="174"/>
      <c r="M118" s="48"/>
      <c r="N118" s="174"/>
      <c r="O118" s="155" cm="1">
        <f t="array" ref="O118">Common_InputFunctions.Utility_LookupValueInTableNumber(Table_Scope3_AnimalFeed[[#This Row],[Custom emissions intensity source type (Select)]],#REF!,#REF!)</f>
        <v>0</v>
      </c>
      <c r="P118" s="14"/>
      <c r="Q118" s="14"/>
    </row>
    <row r="119" spans="3:17" ht="20.100000000000001" customHeight="1" x14ac:dyDescent="0.25">
      <c r="C119" s="14"/>
      <c r="D119" s="14" t="str" cm="1">
        <f t="array" ref="D119">Common_InputFunctions.Utility_DisplayArrayInTable(Scope3_SourceData.Scope3_AnimalFeed_Data(), Table_Scope3_AnimalFeed[[#Headers],[Feed ingredient]], 0, 2)</f>
        <v>Wheat</v>
      </c>
      <c r="E119" s="14" cm="1">
        <f t="array" ref="E11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0.26400000000000001</v>
      </c>
      <c r="F119" s="14" t="str" cm="1">
        <f t="array" ref="F119">Common_InputFunctions.Utility_DisplayArrayInTable(Scope3_SourceData.Scope3_AnimalFeed_Data(), Table_Scope3_AnimalFeed[[#Headers],[Feed ingredient]], 0, 2)</f>
        <v>t</v>
      </c>
      <c r="G119" s="14" cm="1">
        <f t="array" ref="G119">Common_InputFunctions.Utility_DisplayArrayInTable(Scope3_SourceData.Scope3_AnimalFeed_Data(), Table_Scope3_AnimalFeed[[#Headers],[Feed ingredient]], 0, 2)</f>
        <v>60102</v>
      </c>
      <c r="H119" s="174"/>
      <c r="I119" s="14" t="str" cm="1">
        <f t="array" ref="I119">Common_InputFunctions.Utility_DisplayArrayInTable(Scope3_SourceData.Scope3_AnimalFeed_Data(), Table_Scope3_AnimalFeed[[#Headers],[Feed ingredient]], 0, 2)</f>
        <v>t CO2-e / t</v>
      </c>
      <c r="J119" s="155">
        <f>Table_Scope3_AnimalFeed[[#This Row],[Quantity]]*Table_Scope3_AnimalFeed[[#This Row],[AusLCI Emissions intensity]]</f>
        <v>15866.928</v>
      </c>
      <c r="K119" s="155">
        <f>Table_Scope3_AnimalFeed[[#This Row],[Quantity]]*IF(Table_Scope3_AnimalFeed[[#This Row],[Custom emissions intensity]], Table_Scope3_AnimalFeed[[#This Row],[Custom emissions intensity]], Table_Scope3_AnimalFeed[[#This Row],[AusLCI Emissions intensity]])</f>
        <v>15866.928</v>
      </c>
      <c r="L119" s="174"/>
      <c r="M119" s="48"/>
      <c r="N119" s="174"/>
      <c r="O119" s="155" cm="1">
        <f t="array" ref="O119">Common_InputFunctions.Utility_LookupValueInTableNumber(Table_Scope3_AnimalFeed[[#This Row],[Custom emissions intensity source type (Select)]],#REF!,#REF!)</f>
        <v>0</v>
      </c>
      <c r="P119" s="14"/>
      <c r="Q119" s="14"/>
    </row>
    <row r="120" spans="3:17" ht="20.100000000000001" customHeight="1" x14ac:dyDescent="0.25">
      <c r="C120" s="14"/>
      <c r="D120" s="14" t="str" cm="1">
        <f t="array" ref="D120">Common_InputFunctions.Utility_DisplayArrayInTable(Scope3_SourceData.Scope3_AnimalFeed_Data(), Table_Scope3_AnimalFeed[[#Headers],[Feed ingredient]], 0, 2)</f>
        <v>Wheat Bran</v>
      </c>
      <c r="E120" s="14" cm="1">
        <f t="array" ref="E12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0" s="14" t="str" cm="1">
        <f t="array" ref="F120">Common_InputFunctions.Utility_DisplayArrayInTable(Scope3_SourceData.Scope3_AnimalFeed_Data(), Table_Scope3_AnimalFeed[[#Headers],[Feed ingredient]], 0, 2)</f>
        <v>t</v>
      </c>
      <c r="G120" s="14" cm="1">
        <f t="array" ref="G120">Common_InputFunctions.Utility_DisplayArrayInTable(Scope3_SourceData.Scope3_AnimalFeed_Data(), Table_Scope3_AnimalFeed[[#Headers],[Feed ingredient]], 0, 2)</f>
        <v>60103</v>
      </c>
      <c r="H120" s="174"/>
      <c r="I120" s="14" t="str" cm="1">
        <f t="array" ref="I120">Common_InputFunctions.Utility_DisplayArrayInTable(Scope3_SourceData.Scope3_AnimalFeed_Data(), Table_Scope3_AnimalFeed[[#Headers],[Feed ingredient]], 0, 2)</f>
        <v>t CO2-e / t</v>
      </c>
      <c r="J120" s="155">
        <f>Table_Scope3_AnimalFeed[[#This Row],[Quantity]]*Table_Scope3_AnimalFeed[[#This Row],[AusLCI Emissions intensity]]</f>
        <v>41543.193599999999</v>
      </c>
      <c r="K120" s="155">
        <f>Table_Scope3_AnimalFeed[[#This Row],[Quantity]]*IF(Table_Scope3_AnimalFeed[[#This Row],[Custom emissions intensity]], Table_Scope3_AnimalFeed[[#This Row],[Custom emissions intensity]], Table_Scope3_AnimalFeed[[#This Row],[AusLCI Emissions intensity]])</f>
        <v>41543.193599999999</v>
      </c>
      <c r="L120" s="174"/>
      <c r="M120" s="48"/>
      <c r="N120" s="174"/>
      <c r="O120" s="155" cm="1">
        <f t="array" ref="O120">Common_InputFunctions.Utility_LookupValueInTableNumber(Table_Scope3_AnimalFeed[[#This Row],[Custom emissions intensity source type (Select)]],#REF!,#REF!)</f>
        <v>0</v>
      </c>
      <c r="P120" s="14"/>
      <c r="Q120" s="14"/>
    </row>
    <row r="121" spans="3:17" ht="20.100000000000001" customHeight="1" x14ac:dyDescent="0.25">
      <c r="C121" s="14"/>
      <c r="D121" s="14" t="str" cm="1">
        <f t="array" ref="D121">Common_InputFunctions.Utility_DisplayArrayInTable(Scope3_SourceData.Scope3_AnimalFeed_Data(), Table_Scope3_AnimalFeed[[#Headers],[Feed ingredient]], 0, 2)</f>
        <v>Barley</v>
      </c>
      <c r="E121" s="14" cm="1">
        <f t="array" ref="E12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1" s="14" t="str" cm="1">
        <f t="array" ref="F121">Common_InputFunctions.Utility_DisplayArrayInTable(Scope3_SourceData.Scope3_AnimalFeed_Data(), Table_Scope3_AnimalFeed[[#Headers],[Feed ingredient]], 0, 2)</f>
        <v>t</v>
      </c>
      <c r="G121" s="14" cm="1">
        <f t="array" ref="G121">Common_InputFunctions.Utility_DisplayArrayInTable(Scope3_SourceData.Scope3_AnimalFeed_Data(), Table_Scope3_AnimalFeed[[#Headers],[Feed ingredient]], 0, 2)</f>
        <v>60104</v>
      </c>
      <c r="H121" s="174"/>
      <c r="I121" s="14" t="str" cm="1">
        <f t="array" ref="I121">Common_InputFunctions.Utility_DisplayArrayInTable(Scope3_SourceData.Scope3_AnimalFeed_Data(), Table_Scope3_AnimalFeed[[#Headers],[Feed ingredient]], 0, 2)</f>
        <v>t CO2-e / t</v>
      </c>
      <c r="J121" s="155">
        <f>Table_Scope3_AnimalFeed[[#This Row],[Quantity]]*Table_Scope3_AnimalFeed[[#This Row],[AusLCI Emissions intensity]]</f>
        <v>0</v>
      </c>
      <c r="K121" s="155">
        <f>Table_Scope3_AnimalFeed[[#This Row],[Quantity]]*IF(Table_Scope3_AnimalFeed[[#This Row],[Custom emissions intensity]], Table_Scope3_AnimalFeed[[#This Row],[Custom emissions intensity]], Table_Scope3_AnimalFeed[[#This Row],[AusLCI Emissions intensity]])</f>
        <v>0</v>
      </c>
      <c r="L121" s="174"/>
      <c r="M121" s="48"/>
      <c r="N121" s="174"/>
      <c r="O121" s="155" cm="1">
        <f t="array" ref="O121">Common_InputFunctions.Utility_LookupValueInTableNumber(Table_Scope3_AnimalFeed[[#This Row],[Custom emissions intensity source type (Select)]],#REF!,#REF!)</f>
        <v>0</v>
      </c>
      <c r="P121" s="14"/>
      <c r="Q121" s="14"/>
    </row>
    <row r="122" spans="3:17" ht="20.100000000000001" customHeight="1" x14ac:dyDescent="0.25">
      <c r="C122" s="14"/>
      <c r="D122" s="14" t="str" cm="1">
        <f t="array" ref="D122">Common_InputFunctions.Utility_DisplayArrayInTable(Scope3_SourceData.Scope3_AnimalFeed_Data(), Table_Scope3_AnimalFeed[[#Headers],[Feed ingredient]], 0, 2)</f>
        <v>Soybean</v>
      </c>
      <c r="E122" s="14" cm="1">
        <f t="array" ref="E12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2" s="14" t="str" cm="1">
        <f t="array" ref="F122">Common_InputFunctions.Utility_DisplayArrayInTable(Scope3_SourceData.Scope3_AnimalFeed_Data(), Table_Scope3_AnimalFeed[[#Headers],[Feed ingredient]], 0, 2)</f>
        <v>t</v>
      </c>
      <c r="G122" s="14" cm="1">
        <f t="array" ref="G122">Common_InputFunctions.Utility_DisplayArrayInTable(Scope3_SourceData.Scope3_AnimalFeed_Data(), Table_Scope3_AnimalFeed[[#Headers],[Feed ingredient]], 0, 2)</f>
        <v>60105</v>
      </c>
      <c r="H122" s="174"/>
      <c r="I122" s="14" t="str" cm="1">
        <f t="array" ref="I122">Common_InputFunctions.Utility_DisplayArrayInTable(Scope3_SourceData.Scope3_AnimalFeed_Data(), Table_Scope3_AnimalFeed[[#Headers],[Feed ingredient]], 0, 2)</f>
        <v>t CO2-e / t</v>
      </c>
      <c r="J122" s="155">
        <f>Table_Scope3_AnimalFeed[[#This Row],[Quantity]]*Table_Scope3_AnimalFeed[[#This Row],[AusLCI Emissions intensity]]</f>
        <v>0</v>
      </c>
      <c r="K122" s="155">
        <f>Table_Scope3_AnimalFeed[[#This Row],[Quantity]]*IF(Table_Scope3_AnimalFeed[[#This Row],[Custom emissions intensity]], Table_Scope3_AnimalFeed[[#This Row],[Custom emissions intensity]], Table_Scope3_AnimalFeed[[#This Row],[AusLCI Emissions intensity]])</f>
        <v>0</v>
      </c>
      <c r="L122" s="174"/>
      <c r="M122" s="48"/>
      <c r="N122" s="174"/>
      <c r="O122" s="155" cm="1">
        <f t="array" ref="O122">Common_InputFunctions.Utility_LookupValueInTableNumber(Table_Scope3_AnimalFeed[[#This Row],[Custom emissions intensity source type (Select)]],#REF!,#REF!)</f>
        <v>0</v>
      </c>
      <c r="P122" s="14"/>
      <c r="Q122" s="14"/>
    </row>
    <row r="123" spans="3:17" ht="20.100000000000001" customHeight="1" x14ac:dyDescent="0.25">
      <c r="C123" s="14"/>
      <c r="D123" s="14" t="str" cm="1">
        <f t="array" ref="D123">Common_InputFunctions.Utility_DisplayArrayInTable(Scope3_SourceData.Scope3_AnimalFeed_Data(), Table_Scope3_AnimalFeed[[#Headers],[Feed ingredient]], 0, 2)</f>
        <v>Soybean meal</v>
      </c>
      <c r="E123" s="14" cm="1">
        <f t="array" ref="E12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3" s="14" t="str" cm="1">
        <f t="array" ref="F123">Common_InputFunctions.Utility_DisplayArrayInTable(Scope3_SourceData.Scope3_AnimalFeed_Data(), Table_Scope3_AnimalFeed[[#Headers],[Feed ingredient]], 0, 2)</f>
        <v>t</v>
      </c>
      <c r="G123" s="14" cm="1">
        <f t="array" ref="G123">Common_InputFunctions.Utility_DisplayArrayInTable(Scope3_SourceData.Scope3_AnimalFeed_Data(), Table_Scope3_AnimalFeed[[#Headers],[Feed ingredient]], 0, 2)</f>
        <v>60106</v>
      </c>
      <c r="H123" s="174"/>
      <c r="I123" s="14" t="str" cm="1">
        <f t="array" ref="I123">Common_InputFunctions.Utility_DisplayArrayInTable(Scope3_SourceData.Scope3_AnimalFeed_Data(), Table_Scope3_AnimalFeed[[#Headers],[Feed ingredient]], 0, 2)</f>
        <v>t CO2-e / t</v>
      </c>
      <c r="J123" s="155">
        <f>Table_Scope3_AnimalFeed[[#This Row],[Quantity]]*Table_Scope3_AnimalFeed[[#This Row],[AusLCI Emissions intensity]]</f>
        <v>0</v>
      </c>
      <c r="K123" s="155">
        <f>Table_Scope3_AnimalFeed[[#This Row],[Quantity]]*IF(Table_Scope3_AnimalFeed[[#This Row],[Custom emissions intensity]], Table_Scope3_AnimalFeed[[#This Row],[Custom emissions intensity]], Table_Scope3_AnimalFeed[[#This Row],[AusLCI Emissions intensity]])</f>
        <v>0</v>
      </c>
      <c r="L123" s="174"/>
      <c r="M123" s="48"/>
      <c r="N123" s="174"/>
      <c r="O123" s="155" cm="1">
        <f t="array" ref="O123">Common_InputFunctions.Utility_LookupValueInTableNumber(Table_Scope3_AnimalFeed[[#This Row],[Custom emissions intensity source type (Select)]],#REF!,#REF!)</f>
        <v>0</v>
      </c>
      <c r="P123" s="14"/>
      <c r="Q123" s="14"/>
    </row>
    <row r="124" spans="3:17" ht="20.100000000000001" customHeight="1" x14ac:dyDescent="0.25">
      <c r="C124" s="14"/>
      <c r="D124" s="14" t="str" cm="1">
        <f t="array" ref="D124">Common_InputFunctions.Utility_DisplayArrayInTable(Scope3_SourceData.Scope3_AnimalFeed_Data(), Table_Scope3_AnimalFeed[[#Headers],[Feed ingredient]], 0, 2)</f>
        <v>Canola meal</v>
      </c>
      <c r="E124" s="14" cm="1">
        <f t="array" ref="E12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4" s="14" t="str" cm="1">
        <f t="array" ref="F124">Common_InputFunctions.Utility_DisplayArrayInTable(Scope3_SourceData.Scope3_AnimalFeed_Data(), Table_Scope3_AnimalFeed[[#Headers],[Feed ingredient]], 0, 2)</f>
        <v>t</v>
      </c>
      <c r="G124" s="14" cm="1">
        <f t="array" ref="G124">Common_InputFunctions.Utility_DisplayArrayInTable(Scope3_SourceData.Scope3_AnimalFeed_Data(), Table_Scope3_AnimalFeed[[#Headers],[Feed ingredient]], 0, 2)</f>
        <v>60107</v>
      </c>
      <c r="H124" s="174"/>
      <c r="I124" s="14" t="str" cm="1">
        <f t="array" ref="I124">Common_InputFunctions.Utility_DisplayArrayInTable(Scope3_SourceData.Scope3_AnimalFeed_Data(), Table_Scope3_AnimalFeed[[#Headers],[Feed ingredient]], 0, 2)</f>
        <v>t CO2-e / t</v>
      </c>
      <c r="J124" s="155">
        <f>Table_Scope3_AnimalFeed[[#This Row],[Quantity]]*Table_Scope3_AnimalFeed[[#This Row],[AusLCI Emissions intensity]]</f>
        <v>0</v>
      </c>
      <c r="K124" s="155">
        <f>Table_Scope3_AnimalFeed[[#This Row],[Quantity]]*IF(Table_Scope3_AnimalFeed[[#This Row],[Custom emissions intensity]], Table_Scope3_AnimalFeed[[#This Row],[Custom emissions intensity]], Table_Scope3_AnimalFeed[[#This Row],[AusLCI Emissions intensity]])</f>
        <v>0</v>
      </c>
      <c r="L124" s="174"/>
      <c r="M124" s="48"/>
      <c r="N124" s="174"/>
      <c r="O124" s="155" cm="1">
        <f t="array" ref="O124">Common_InputFunctions.Utility_LookupValueInTableNumber(Table_Scope3_AnimalFeed[[#This Row],[Custom emissions intensity source type (Select)]],#REF!,#REF!)</f>
        <v>0</v>
      </c>
      <c r="P124" s="14"/>
      <c r="Q124" s="14"/>
    </row>
    <row r="125" spans="3:17" ht="20.100000000000001" customHeight="1" x14ac:dyDescent="0.25">
      <c r="C125" s="14"/>
      <c r="D125" s="14" t="str" cm="1">
        <f t="array" ref="D125">Common_InputFunctions.Utility_DisplayArrayInTable(Scope3_SourceData.Scope3_AnimalFeed_Data(), Table_Scope3_AnimalFeed[[#Headers],[Feed ingredient]], 0, 2)</f>
        <v>Canola oil</v>
      </c>
      <c r="E125" s="14" cm="1">
        <f t="array" ref="E12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0.14400000000000002</v>
      </c>
      <c r="F125" s="14" t="str" cm="1">
        <f t="array" ref="F125">Common_InputFunctions.Utility_DisplayArrayInTable(Scope3_SourceData.Scope3_AnimalFeed_Data(), Table_Scope3_AnimalFeed[[#Headers],[Feed ingredient]], 0, 2)</f>
        <v>t</v>
      </c>
      <c r="G125" s="14" cm="1">
        <f t="array" ref="G125">Common_InputFunctions.Utility_DisplayArrayInTable(Scope3_SourceData.Scope3_AnimalFeed_Data(), Table_Scope3_AnimalFeed[[#Headers],[Feed ingredient]], 0, 2)</f>
        <v>60108</v>
      </c>
      <c r="H125" s="174"/>
      <c r="I125" s="14" t="str" cm="1">
        <f t="array" ref="I125">Common_InputFunctions.Utility_DisplayArrayInTable(Scope3_SourceData.Scope3_AnimalFeed_Data(), Table_Scope3_AnimalFeed[[#Headers],[Feed ingredient]], 0, 2)</f>
        <v>t CO2-e / t</v>
      </c>
      <c r="J125" s="155">
        <f>Table_Scope3_AnimalFeed[[#This Row],[Quantity]]*Table_Scope3_AnimalFeed[[#This Row],[AusLCI Emissions intensity]]</f>
        <v>8655.5520000000015</v>
      </c>
      <c r="K125" s="155">
        <f>Table_Scope3_AnimalFeed[[#This Row],[Quantity]]*IF(Table_Scope3_AnimalFeed[[#This Row],[Custom emissions intensity]], Table_Scope3_AnimalFeed[[#This Row],[Custom emissions intensity]], Table_Scope3_AnimalFeed[[#This Row],[AusLCI Emissions intensity]])</f>
        <v>8655.5520000000015</v>
      </c>
      <c r="L125" s="174"/>
      <c r="M125" s="48"/>
      <c r="N125" s="174"/>
      <c r="O125" s="155" cm="1">
        <f t="array" ref="O125">Common_InputFunctions.Utility_LookupValueInTableNumber(Table_Scope3_AnimalFeed[[#This Row],[Custom emissions intensity source type (Select)]],#REF!,#REF!)</f>
        <v>0</v>
      </c>
      <c r="P125" s="14"/>
      <c r="Q125" s="14"/>
    </row>
    <row r="126" spans="3:17" ht="20.100000000000001" customHeight="1" x14ac:dyDescent="0.25">
      <c r="C126" s="14"/>
      <c r="D126" s="14" t="str" cm="1">
        <f t="array" ref="D126">Common_InputFunctions.Utility_DisplayArrayInTable(Scope3_SourceData.Scope3_AnimalFeed_Data(), Table_Scope3_AnimalFeed[[#Headers],[Feed ingredient]], 0, 2)</f>
        <v>Beet pulp</v>
      </c>
      <c r="E126" s="14" cm="1">
        <f t="array" ref="E12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0.42</v>
      </c>
      <c r="F126" s="14" t="str" cm="1">
        <f t="array" ref="F126">Common_InputFunctions.Utility_DisplayArrayInTable(Scope3_SourceData.Scope3_AnimalFeed_Data(), Table_Scope3_AnimalFeed[[#Headers],[Feed ingredient]], 0, 2)</f>
        <v>t</v>
      </c>
      <c r="G126" s="14" cm="1">
        <f t="array" ref="G126">Common_InputFunctions.Utility_DisplayArrayInTable(Scope3_SourceData.Scope3_AnimalFeed_Data(), Table_Scope3_AnimalFeed[[#Headers],[Feed ingredient]], 0, 2)</f>
        <v>60109</v>
      </c>
      <c r="H126" s="174"/>
      <c r="I126" s="14" t="str" cm="1">
        <f t="array" ref="I126">Common_InputFunctions.Utility_DisplayArrayInTable(Scope3_SourceData.Scope3_AnimalFeed_Data(), Table_Scope3_AnimalFeed[[#Headers],[Feed ingredient]], 0, 2)</f>
        <v>t CO2-e / t</v>
      </c>
      <c r="J126" s="155">
        <f>Table_Scope3_AnimalFeed[[#This Row],[Quantity]]*Table_Scope3_AnimalFeed[[#This Row],[AusLCI Emissions intensity]]</f>
        <v>25245.78</v>
      </c>
      <c r="K126" s="155">
        <f>Table_Scope3_AnimalFeed[[#This Row],[Quantity]]*IF(Table_Scope3_AnimalFeed[[#This Row],[Custom emissions intensity]], Table_Scope3_AnimalFeed[[#This Row],[Custom emissions intensity]], Table_Scope3_AnimalFeed[[#This Row],[AusLCI Emissions intensity]])</f>
        <v>25245.78</v>
      </c>
      <c r="L126" s="174"/>
      <c r="M126" s="48"/>
      <c r="N126" s="174"/>
      <c r="O126" s="155" cm="1">
        <f t="array" ref="O126">Common_InputFunctions.Utility_LookupValueInTableNumber(Table_Scope3_AnimalFeed[[#This Row],[Custom emissions intensity source type (Select)]],#REF!,#REF!)</f>
        <v>0</v>
      </c>
      <c r="P126" s="14"/>
      <c r="Q126" s="14"/>
    </row>
    <row r="127" spans="3:17" ht="20.100000000000001" customHeight="1" x14ac:dyDescent="0.25">
      <c r="C127" s="14"/>
      <c r="D127" s="14" t="str" cm="1">
        <f t="array" ref="D127">Common_InputFunctions.Utility_DisplayArrayInTable(Scope3_SourceData.Scope3_AnimalFeed_Data(), Table_Scope3_AnimalFeed[[#Headers],[Feed ingredient]], 0, 2)</f>
        <v>Cotton seed</v>
      </c>
      <c r="E127" s="14" cm="1">
        <f t="array" ref="E12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7" s="14" t="str" cm="1">
        <f t="array" ref="F127">Common_InputFunctions.Utility_DisplayArrayInTable(Scope3_SourceData.Scope3_AnimalFeed_Data(), Table_Scope3_AnimalFeed[[#Headers],[Feed ingredient]], 0, 2)</f>
        <v>t</v>
      </c>
      <c r="G127" s="14" cm="1">
        <f t="array" ref="G127">Common_InputFunctions.Utility_DisplayArrayInTable(Scope3_SourceData.Scope3_AnimalFeed_Data(), Table_Scope3_AnimalFeed[[#Headers],[Feed ingredient]], 0, 2)</f>
        <v>60110</v>
      </c>
      <c r="H127" s="174"/>
      <c r="I127" s="14" t="str" cm="1">
        <f t="array" ref="I127">Common_InputFunctions.Utility_DisplayArrayInTable(Scope3_SourceData.Scope3_AnimalFeed_Data(), Table_Scope3_AnimalFeed[[#Headers],[Feed ingredient]], 0, 2)</f>
        <v>t CO2-e / t</v>
      </c>
      <c r="J127" s="155">
        <f>Table_Scope3_AnimalFeed[[#This Row],[Quantity]]*Table_Scope3_AnimalFeed[[#This Row],[AusLCI Emissions intensity]]</f>
        <v>41548.031999999999</v>
      </c>
      <c r="K127" s="155">
        <f>Table_Scope3_AnimalFeed[[#This Row],[Quantity]]*IF(Table_Scope3_AnimalFeed[[#This Row],[Custom emissions intensity]], Table_Scope3_AnimalFeed[[#This Row],[Custom emissions intensity]], Table_Scope3_AnimalFeed[[#This Row],[AusLCI Emissions intensity]])</f>
        <v>41548.031999999999</v>
      </c>
      <c r="L127" s="174"/>
      <c r="M127" s="48"/>
      <c r="N127" s="174"/>
      <c r="O127" s="155" cm="1">
        <f t="array" ref="O127">Common_InputFunctions.Utility_LookupValueInTableNumber(Table_Scope3_AnimalFeed[[#This Row],[Custom emissions intensity source type (Select)]],#REF!,#REF!)</f>
        <v>0</v>
      </c>
      <c r="P127" s="14"/>
      <c r="Q127" s="14"/>
    </row>
    <row r="128" spans="3:17" ht="20.100000000000001" customHeight="1" x14ac:dyDescent="0.25">
      <c r="C128" s="14"/>
      <c r="D128" s="14" t="str" cm="1">
        <f t="array" ref="D128">Common_InputFunctions.Utility_DisplayArrayInTable(Scope3_SourceData.Scope3_AnimalFeed_Data(), Table_Scope3_AnimalFeed[[#Headers],[Feed ingredient]], 0, 2)</f>
        <v>Hay</v>
      </c>
      <c r="E128" s="14" cm="1">
        <f t="array" ref="E12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0.36</v>
      </c>
      <c r="F128" s="14" t="str" cm="1">
        <f t="array" ref="F128">Common_InputFunctions.Utility_DisplayArrayInTable(Scope3_SourceData.Scope3_AnimalFeed_Data(), Table_Scope3_AnimalFeed[[#Headers],[Feed ingredient]], 0, 2)</f>
        <v>t</v>
      </c>
      <c r="G128" s="14" cm="1">
        <f t="array" ref="G128">Common_InputFunctions.Utility_DisplayArrayInTable(Scope3_SourceData.Scope3_AnimalFeed_Data(), Table_Scope3_AnimalFeed[[#Headers],[Feed ingredient]], 0, 2)</f>
        <v>60111</v>
      </c>
      <c r="H128" s="174"/>
      <c r="I128" s="14" t="str" cm="1">
        <f t="array" ref="I128">Common_InputFunctions.Utility_DisplayArrayInTable(Scope3_SourceData.Scope3_AnimalFeed_Data(), Table_Scope3_AnimalFeed[[#Headers],[Feed ingredient]], 0, 2)</f>
        <v>t CO2-e / t</v>
      </c>
      <c r="J128" s="155">
        <f>Table_Scope3_AnimalFeed[[#This Row],[Quantity]]*Table_Scope3_AnimalFeed[[#This Row],[AusLCI Emissions intensity]]</f>
        <v>21639.96</v>
      </c>
      <c r="K128" s="155">
        <f>Table_Scope3_AnimalFeed[[#This Row],[Quantity]]*IF(Table_Scope3_AnimalFeed[[#This Row],[Custom emissions intensity]], Table_Scope3_AnimalFeed[[#This Row],[Custom emissions intensity]], Table_Scope3_AnimalFeed[[#This Row],[AusLCI Emissions intensity]])</f>
        <v>21639.96</v>
      </c>
      <c r="L128" s="174"/>
      <c r="M128" s="48"/>
      <c r="N128" s="174"/>
      <c r="O128" s="155" cm="1">
        <f t="array" ref="O128">Common_InputFunctions.Utility_LookupValueInTableNumber(Table_Scope3_AnimalFeed[[#This Row],[Custom emissions intensity source type (Select)]],#REF!,#REF!)</f>
        <v>0</v>
      </c>
      <c r="P128" s="14"/>
      <c r="Q128" s="14"/>
    </row>
    <row r="129" spans="3:17" ht="20.100000000000001" customHeight="1" x14ac:dyDescent="0.25">
      <c r="C129" s="14"/>
      <c r="D129" s="14" t="str" cm="1">
        <f t="array" ref="D129">Common_InputFunctions.Utility_DisplayArrayInTable(Scope3_SourceData.Scope3_AnimalFeed_Data(), Table_Scope3_AnimalFeed[[#Headers],[Feed ingredient]], 0, 2)</f>
        <v>Feed formulations (chicken, pigs, cattle, dairy)</v>
      </c>
      <c r="E129" s="14" cm="1">
        <f t="array" ref="E12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9" s="14" t="str" cm="1">
        <f t="array" ref="F129">Common_InputFunctions.Utility_DisplayArrayInTable(Scope3_SourceData.Scope3_AnimalFeed_Data(), Table_Scope3_AnimalFeed[[#Headers],[Feed ingredient]], 0, 2)</f>
        <v>t</v>
      </c>
      <c r="G129" s="14" cm="1">
        <f t="array" ref="G129">Common_InputFunctions.Utility_DisplayArrayInTable(Scope3_SourceData.Scope3_AnimalFeed_Data(), Table_Scope3_AnimalFeed[[#Headers],[Feed ingredient]], 0, 2)</f>
        <v>60112</v>
      </c>
      <c r="H129" s="174"/>
      <c r="I129" s="14" t="str" cm="1">
        <f t="array" ref="I129">Common_InputFunctions.Utility_DisplayArrayInTable(Scope3_SourceData.Scope3_AnimalFeed_Data(), Table_Scope3_AnimalFeed[[#Headers],[Feed ingredient]], 0, 2)</f>
        <v>t CO2-e / t</v>
      </c>
      <c r="J129" s="155">
        <f>Table_Scope3_AnimalFeed[[#This Row],[Quantity]]*Table_Scope3_AnimalFeed[[#This Row],[AusLCI Emissions intensity]]</f>
        <v>0</v>
      </c>
      <c r="K129" s="155">
        <f>Table_Scope3_AnimalFeed[[#This Row],[Quantity]]*IF(Table_Scope3_AnimalFeed[[#This Row],[Custom emissions intensity]], Table_Scope3_AnimalFeed[[#This Row],[Custom emissions intensity]], Table_Scope3_AnimalFeed[[#This Row],[AusLCI Emissions intensity]])</f>
        <v>0</v>
      </c>
      <c r="L129" s="174"/>
      <c r="M129" s="48"/>
      <c r="N129" s="174"/>
      <c r="O129" s="155" cm="1">
        <f t="array" ref="O129">Common_InputFunctions.Utility_LookupValueInTableNumber(Table_Scope3_AnimalFeed[[#This Row],[Custom emissions intensity source type (Select)]],#REF!,#REF!)</f>
        <v>0</v>
      </c>
      <c r="P129" s="14"/>
      <c r="Q129" s="14"/>
    </row>
    <row r="130" spans="3:17" ht="20.100000000000001" customHeight="1" x14ac:dyDescent="0.25">
      <c r="C130" s="14"/>
      <c r="D130" s="14" t="str" cm="1">
        <f t="array" ref="D130">Common_InputFunctions.Utility_DisplayArrayInTable(Scope3_SourceData.Scope3_AnimalFeed_Data(), Table_Scope3_AnimalFeed[[#Headers],[Feed ingredient]], 0, 2)</f>
        <v>Molasses</v>
      </c>
      <c r="E130" s="14" cm="1">
        <f t="array" ref="E13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0" s="14" t="str" cm="1">
        <f t="array" ref="F130">Common_InputFunctions.Utility_DisplayArrayInTable(Scope3_SourceData.Scope3_AnimalFeed_Data(), Table_Scope3_AnimalFeed[[#Headers],[Feed ingredient]], 0, 2)</f>
        <v>t</v>
      </c>
      <c r="G130" s="14" cm="1">
        <f t="array" ref="G130">Common_InputFunctions.Utility_DisplayArrayInTable(Scope3_SourceData.Scope3_AnimalFeed_Data(), Table_Scope3_AnimalFeed[[#Headers],[Feed ingredient]], 0, 2)</f>
        <v>60113</v>
      </c>
      <c r="H130" s="174"/>
      <c r="I130" s="14" t="str" cm="1">
        <f t="array" ref="I130">Common_InputFunctions.Utility_DisplayArrayInTable(Scope3_SourceData.Scope3_AnimalFeed_Data(), Table_Scope3_AnimalFeed[[#Headers],[Feed ingredient]], 0, 2)</f>
        <v>t CO2-e / t</v>
      </c>
      <c r="J130" s="155">
        <f>Table_Scope3_AnimalFeed[[#This Row],[Quantity]]*Table_Scope3_AnimalFeed[[#This Row],[AusLCI Emissions intensity]]</f>
        <v>0</v>
      </c>
      <c r="K130" s="155">
        <f>Table_Scope3_AnimalFeed[[#This Row],[Quantity]]*IF(Table_Scope3_AnimalFeed[[#This Row],[Custom emissions intensity]], Table_Scope3_AnimalFeed[[#This Row],[Custom emissions intensity]], Table_Scope3_AnimalFeed[[#This Row],[AusLCI Emissions intensity]])</f>
        <v>0</v>
      </c>
      <c r="L130" s="174"/>
      <c r="M130" s="48"/>
      <c r="N130" s="174"/>
      <c r="O130" s="155" cm="1">
        <f t="array" ref="O130">Common_InputFunctions.Utility_LookupValueInTableNumber(Table_Scope3_AnimalFeed[[#This Row],[Custom emissions intensity source type (Select)]],#REF!,#REF!)</f>
        <v>0</v>
      </c>
      <c r="P130" s="14"/>
      <c r="Q130" s="14"/>
    </row>
    <row r="131" spans="3:17" ht="20.100000000000001" customHeight="1" x14ac:dyDescent="0.25">
      <c r="C131" s="14"/>
      <c r="D131" s="14" t="str" cm="1">
        <f t="array" ref="D131">Common_InputFunctions.Utility_DisplayArrayInTable(Scope3_SourceData.Scope3_AnimalFeed_Data(), Table_Scope3_AnimalFeed[[#Headers],[Feed ingredient]], 0, 2)</f>
        <v>Bentonite</v>
      </c>
      <c r="E131" s="14" cm="1">
        <f t="array" ref="E13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0.06</v>
      </c>
      <c r="F131" s="14" t="str" cm="1">
        <f t="array" ref="F131">Common_InputFunctions.Utility_DisplayArrayInTable(Scope3_SourceData.Scope3_AnimalFeed_Data(), Table_Scope3_AnimalFeed[[#Headers],[Feed ingredient]], 0, 2)</f>
        <v>t</v>
      </c>
      <c r="G131" s="14" cm="1">
        <f t="array" ref="G131">Common_InputFunctions.Utility_DisplayArrayInTable(Scope3_SourceData.Scope3_AnimalFeed_Data(), Table_Scope3_AnimalFeed[[#Headers],[Feed ingredient]], 0, 2)</f>
        <v>60114</v>
      </c>
      <c r="H131" s="174"/>
      <c r="I131" s="14" t="str" cm="1">
        <f t="array" ref="I131">Common_InputFunctions.Utility_DisplayArrayInTable(Scope3_SourceData.Scope3_AnimalFeed_Data(), Table_Scope3_AnimalFeed[[#Headers],[Feed ingredient]], 0, 2)</f>
        <v>t CO2-e / t</v>
      </c>
      <c r="J131" s="155">
        <f>Table_Scope3_AnimalFeed[[#This Row],[Quantity]]*Table_Scope3_AnimalFeed[[#This Row],[AusLCI Emissions intensity]]</f>
        <v>3606.8399999999997</v>
      </c>
      <c r="K131" s="155">
        <f>Table_Scope3_AnimalFeed[[#This Row],[Quantity]]*IF(Table_Scope3_AnimalFeed[[#This Row],[Custom emissions intensity]], Table_Scope3_AnimalFeed[[#This Row],[Custom emissions intensity]], Table_Scope3_AnimalFeed[[#This Row],[AusLCI Emissions intensity]])</f>
        <v>3606.8399999999997</v>
      </c>
      <c r="L131" s="174"/>
      <c r="M131" s="48"/>
      <c r="N131" s="174"/>
      <c r="O131" s="155" cm="1">
        <f t="array" ref="O131">Common_InputFunctions.Utility_LookupValueInTableNumber(Table_Scope3_AnimalFeed[[#This Row],[Custom emissions intensity source type (Select)]],#REF!,#REF!)</f>
        <v>0</v>
      </c>
      <c r="P131" s="14"/>
      <c r="Q131" s="14"/>
    </row>
    <row r="132" spans="3:17" ht="20.100000000000001" customHeight="1" x14ac:dyDescent="0.25">
      <c r="C132" s="14"/>
      <c r="D132" s="14" t="str" cm="1">
        <f t="array" ref="D132">Common_InputFunctions.Utility_DisplayArrayInTable(Scope3_SourceData.Scope3_AnimalFeed_Data(), Table_Scope3_AnimalFeed[[#Headers],[Feed ingredient]], 0, 2)</f>
        <v>Meat meal</v>
      </c>
      <c r="E132" s="14" cm="1">
        <f t="array" ref="E13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2.4E-2</v>
      </c>
      <c r="F132" s="14" t="str" cm="1">
        <f t="array" ref="F132">Common_InputFunctions.Utility_DisplayArrayInTable(Scope3_SourceData.Scope3_AnimalFeed_Data(), Table_Scope3_AnimalFeed[[#Headers],[Feed ingredient]], 0, 2)</f>
        <v>t</v>
      </c>
      <c r="G132" s="14" cm="1">
        <f t="array" ref="G132">Common_InputFunctions.Utility_DisplayArrayInTable(Scope3_SourceData.Scope3_AnimalFeed_Data(), Table_Scope3_AnimalFeed[[#Headers],[Feed ingredient]], 0, 2)</f>
        <v>60115</v>
      </c>
      <c r="H132" s="174"/>
      <c r="I132" s="14" t="str" cm="1">
        <f t="array" ref="I132">Common_InputFunctions.Utility_DisplayArrayInTable(Scope3_SourceData.Scope3_AnimalFeed_Data(), Table_Scope3_AnimalFeed[[#Headers],[Feed ingredient]], 0, 2)</f>
        <v>t CO2-e / t</v>
      </c>
      <c r="J132" s="155">
        <f>Table_Scope3_AnimalFeed[[#This Row],[Quantity]]*Table_Scope3_AnimalFeed[[#This Row],[AusLCI Emissions intensity]]</f>
        <v>1442.76</v>
      </c>
      <c r="K132" s="155">
        <f>Table_Scope3_AnimalFeed[[#This Row],[Quantity]]*IF(Table_Scope3_AnimalFeed[[#This Row],[Custom emissions intensity]], Table_Scope3_AnimalFeed[[#This Row],[Custom emissions intensity]], Table_Scope3_AnimalFeed[[#This Row],[AusLCI Emissions intensity]])</f>
        <v>1442.76</v>
      </c>
      <c r="L132" s="174"/>
      <c r="M132" s="48"/>
      <c r="N132" s="174"/>
      <c r="O132" s="155" cm="1">
        <f t="array" ref="O132">Common_InputFunctions.Utility_LookupValueInTableNumber(Table_Scope3_AnimalFeed[[#This Row],[Custom emissions intensity source type (Select)]],#REF!,#REF!)</f>
        <v>0</v>
      </c>
      <c r="P132" s="14"/>
      <c r="Q132" s="14"/>
    </row>
    <row r="133" spans="3:17" ht="20.100000000000001" customHeight="1" x14ac:dyDescent="0.25">
      <c r="C133" s="14"/>
      <c r="D133" s="14" t="str" cm="1">
        <f t="array" ref="D133">Common_InputFunctions.Utility_DisplayArrayInTable(Scope3_SourceData.Scope3_AnimalFeed_Data(), Table_Scope3_AnimalFeed[[#Headers],[Feed ingredient]], 0, 2)</f>
        <v>BentLime, phosphorus, potashonite</v>
      </c>
      <c r="E133" s="14" cm="1">
        <f t="array" ref="E13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3" s="14" t="str" cm="1">
        <f t="array" ref="F133">Common_InputFunctions.Utility_DisplayArrayInTable(Scope3_SourceData.Scope3_AnimalFeed_Data(), Table_Scope3_AnimalFeed[[#Headers],[Feed ingredient]], 0, 2)</f>
        <v>t</v>
      </c>
      <c r="G133" s="14" cm="1">
        <f t="array" ref="G133">Common_InputFunctions.Utility_DisplayArrayInTable(Scope3_SourceData.Scope3_AnimalFeed_Data(), Table_Scope3_AnimalFeed[[#Headers],[Feed ingredient]], 0, 2)</f>
        <v>60114</v>
      </c>
      <c r="H133" s="174"/>
      <c r="I133" s="14" t="str" cm="1">
        <f t="array" ref="I133">Common_InputFunctions.Utility_DisplayArrayInTable(Scope3_SourceData.Scope3_AnimalFeed_Data(), Table_Scope3_AnimalFeed[[#Headers],[Feed ingredient]], 0, 2)</f>
        <v>t CO2-e / t</v>
      </c>
      <c r="J133" s="155">
        <f>Table_Scope3_AnimalFeed[[#This Row],[Quantity]]*Table_Scope3_AnimalFeed[[#This Row],[AusLCI Emissions intensity]]</f>
        <v>0</v>
      </c>
      <c r="K133" s="155">
        <f>Table_Scope3_AnimalFeed[[#This Row],[Quantity]]*IF(Table_Scope3_AnimalFeed[[#This Row],[Custom emissions intensity]], Table_Scope3_AnimalFeed[[#This Row],[Custom emissions intensity]], Table_Scope3_AnimalFeed[[#This Row],[AusLCI Emissions intensity]])</f>
        <v>0</v>
      </c>
      <c r="L133" s="174"/>
      <c r="M133" s="48"/>
      <c r="N133" s="174"/>
      <c r="O133" s="155" cm="1">
        <f t="array" ref="O133">Common_InputFunctions.Utility_LookupValueInTableNumber(Table_Scope3_AnimalFeed[[#This Row],[Custom emissions intensity source type (Select)]],#REF!,#REF!)</f>
        <v>0</v>
      </c>
      <c r="P133" s="14"/>
      <c r="Q133" s="14"/>
    </row>
    <row r="134" spans="3:17" ht="20.100000000000001" customHeight="1" x14ac:dyDescent="0.25">
      <c r="C134" s="14"/>
      <c r="D134" s="14"/>
      <c r="E134" s="14"/>
      <c r="F134" s="14"/>
      <c r="G134" s="14"/>
      <c r="H134" s="14"/>
      <c r="I134" s="14"/>
      <c r="J134" s="14"/>
      <c r="K134" s="14"/>
      <c r="L134" s="14"/>
      <c r="M134" s="14"/>
      <c r="N134" s="14"/>
      <c r="O134" s="14"/>
      <c r="P134" s="14"/>
      <c r="Q134" s="14"/>
    </row>
    <row r="135" spans="3:17" ht="20.100000000000001" customHeight="1" x14ac:dyDescent="0.35">
      <c r="C135" s="14"/>
      <c r="D135" s="162" t="s">
        <v>342</v>
      </c>
      <c r="E135" s="163"/>
      <c r="F135" s="164"/>
      <c r="G135" s="162">
        <f>SUM(Table_Scope3_OrganicFertiliser[Scope 3 emissions exc. custom (t CO2-e)])</f>
        <v>0</v>
      </c>
      <c r="H135" s="165" t="s">
        <v>321</v>
      </c>
      <c r="I135" s="14"/>
      <c r="J135" s="14"/>
      <c r="K135" s="14"/>
      <c r="L135" s="14"/>
      <c r="M135" s="14"/>
      <c r="N135" s="14"/>
      <c r="O135" s="14"/>
      <c r="P135" s="14"/>
      <c r="Q135" s="14"/>
    </row>
    <row r="136" spans="3:17" ht="20.100000000000001" customHeight="1" x14ac:dyDescent="0.25">
      <c r="C136" s="14"/>
      <c r="D136" s="166" t="s">
        <v>343</v>
      </c>
      <c r="E136" s="167"/>
      <c r="F136" s="167"/>
      <c r="G136" s="166">
        <f>SUM(Table_Scope3_OrganicFertiliser[Scope 3 emissions inc. custom (t CO2-e)2])</f>
        <v>0</v>
      </c>
      <c r="H136" s="165" t="s">
        <v>321</v>
      </c>
      <c r="I136" s="14"/>
      <c r="J136" s="14"/>
      <c r="K136" s="14"/>
      <c r="L136" s="14"/>
      <c r="M136" s="14"/>
      <c r="N136" s="14"/>
      <c r="O136" s="14"/>
      <c r="P136" s="14"/>
      <c r="Q136" s="14"/>
    </row>
    <row r="137" spans="3:17" ht="20.100000000000001" customHeight="1" x14ac:dyDescent="0.25">
      <c r="C137" s="14"/>
      <c r="D137" s="14"/>
      <c r="E137" s="14"/>
      <c r="F137" s="14"/>
      <c r="G137" s="14"/>
      <c r="H137" s="14"/>
      <c r="I137" s="14"/>
      <c r="J137" s="14"/>
      <c r="K137" s="14"/>
      <c r="L137" s="14"/>
      <c r="M137" s="14"/>
      <c r="N137" s="14"/>
      <c r="O137" s="14"/>
      <c r="P137" s="14"/>
      <c r="Q137" s="14"/>
    </row>
    <row r="138" spans="3:17" ht="20.100000000000001" customHeight="1" x14ac:dyDescent="0.25">
      <c r="C138" s="14"/>
      <c r="D138" s="14"/>
      <c r="E138" s="14"/>
      <c r="F138" s="14"/>
      <c r="G138" s="14"/>
      <c r="H138" s="14"/>
      <c r="I138" s="14"/>
      <c r="J138" s="14"/>
      <c r="K138" s="14"/>
      <c r="L138" s="14"/>
      <c r="M138" s="14"/>
      <c r="N138" s="14"/>
      <c r="O138" s="14"/>
      <c r="P138" s="14"/>
      <c r="Q138" s="14"/>
    </row>
    <row r="139" spans="3:17" ht="20.100000000000001" customHeight="1" x14ac:dyDescent="0.25">
      <c r="C139" s="14"/>
      <c r="D139" s="9" t="str" cm="1">
        <f t="array" ref="D139">Scope3_SourceData.Scope3_AquacultureFeedAndBait_Title()</f>
        <v>Aquaculture Feed and Bait scope 3</v>
      </c>
      <c r="E139" s="14"/>
      <c r="F139" s="14"/>
      <c r="G139" s="14"/>
      <c r="H139" s="14"/>
      <c r="I139" s="14"/>
      <c r="J139" s="14"/>
      <c r="K139" s="14"/>
      <c r="L139" s="14"/>
      <c r="M139" s="14"/>
      <c r="N139" s="14"/>
      <c r="O139" s="14"/>
      <c r="P139" s="14"/>
      <c r="Q139" s="14"/>
    </row>
    <row r="140" spans="3:17" ht="20.100000000000001" customHeight="1" x14ac:dyDescent="0.25">
      <c r="C140" s="14"/>
      <c r="D140" s="11" t="str" cm="1">
        <f t="array" ref="D140">Scope3_SourceData.Scope3_AquacultureFeedAndBait_Source()</f>
        <v>Scope 3 GHG Emission Factors for Australian Agriculture, Fisheries and Forestry 2026</v>
      </c>
      <c r="E140" s="14"/>
      <c r="F140" s="14"/>
      <c r="G140" s="14"/>
      <c r="H140" s="14"/>
      <c r="I140" s="14"/>
      <c r="J140" s="14"/>
      <c r="K140" s="14"/>
      <c r="L140" s="14"/>
      <c r="M140" s="14"/>
      <c r="N140" s="14"/>
      <c r="O140" s="14"/>
      <c r="P140" s="14"/>
      <c r="Q140" s="14"/>
    </row>
    <row r="141" spans="3:17" ht="20.100000000000001" customHeight="1" x14ac:dyDescent="0.25">
      <c r="C141" s="14"/>
      <c r="D141" s="14"/>
      <c r="E141" s="14"/>
      <c r="F141" s="14"/>
      <c r="G141" s="14"/>
      <c r="H141" s="14"/>
      <c r="I141" s="14"/>
      <c r="J141" s="14"/>
      <c r="K141" s="14"/>
      <c r="L141" s="14"/>
      <c r="M141" s="14"/>
      <c r="N141" s="14"/>
      <c r="O141" s="14"/>
      <c r="P141" s="14"/>
      <c r="Q141" s="14"/>
    </row>
    <row r="142" spans="3:17" ht="20.100000000000001" customHeight="1" x14ac:dyDescent="0.25">
      <c r="C142" s="14"/>
      <c r="D142" s="169" t="s">
        <v>344</v>
      </c>
      <c r="E142" s="169" t="s">
        <v>304</v>
      </c>
      <c r="F142" s="169" t="s">
        <v>305</v>
      </c>
      <c r="G142" s="169" t="s">
        <v>306</v>
      </c>
      <c r="H142" s="170" t="s">
        <v>307</v>
      </c>
      <c r="I142" s="169" t="s">
        <v>308</v>
      </c>
      <c r="J142" s="169" t="s">
        <v>324</v>
      </c>
      <c r="K142" s="169" t="s">
        <v>310</v>
      </c>
      <c r="L142" s="170" t="s">
        <v>311</v>
      </c>
      <c r="M142" s="170" t="s">
        <v>312</v>
      </c>
      <c r="N142" s="170" t="s">
        <v>313</v>
      </c>
      <c r="O142" s="169" t="s">
        <v>314</v>
      </c>
      <c r="P142" s="14"/>
      <c r="Q142" s="14"/>
    </row>
    <row r="143" spans="3:17" ht="20.100000000000001" customHeight="1" x14ac:dyDescent="0.25">
      <c r="C143" s="14"/>
      <c r="D143" s="14" t="str" cm="1">
        <f t="array" ref="D143">Common_InputFunctions.Utility_DisplayArrayInTable(Scope3_SourceData.Scope3_AquacultureFeedAndBait_Data(), Table_Scope3_AquacultureFeedBait[[#Headers],[Feed / Bait ingredient]], 0, 2)</f>
        <v>Low Animal Protein Formulated Feed</v>
      </c>
      <c r="E143" s="14" cm="1">
        <f t="array" ref="E143">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3" s="14" t="str" cm="1">
        <f t="array" ref="F143">Common_InputFunctions.Utility_DisplayArrayInTable(Scope3_SourceData.Scope3_AquacultureFeedAndBait_Data(), Table_Scope3_AquacultureFeedBait[[#Headers],[Feed / Bait ingredient]], 0, 2)</f>
        <v>t</v>
      </c>
      <c r="G143" s="14" cm="1">
        <f t="array" ref="G143">Common_InputFunctions.Utility_DisplayArrayInTable(Scope3_SourceData.Scope3_AquacultureFeedAndBait_Data(), Table_Scope3_AquacultureFeedBait[[#Headers],[Feed / Bait ingredient]], 0, 2)</f>
        <v>70101</v>
      </c>
      <c r="H143" s="174">
        <v>100</v>
      </c>
      <c r="I143" s="14" t="str" cm="1">
        <f t="array" ref="I143">Common_InputFunctions.Utility_DisplayArrayInTable(Scope3_SourceData.Scope3_AquacultureFeedAndBait_Data(), Table_Scope3_AquacultureFeedBait[[#Headers],[Feed / Bait ingredient]], 0, 2)</f>
        <v>t CO2-e / t</v>
      </c>
      <c r="J143" s="14">
        <f>Table_Scope3_AquacultureFeedBait[[#This Row],[Quantity]]*Table_Scope3_AquacultureFeedBait[[#This Row],[AusLCI Emissions intensity]]</f>
        <v>0</v>
      </c>
      <c r="K143" s="155">
        <f>Table_Scope3_AquacultureFeedBait[[#This Row],[Quantity]]*IF(Table_Scope3_AquacultureFeedBait[[#This Row],[Custom emissions intensity]], Table_Scope3_AquacultureFeedBait[[#This Row],[Custom emissions intensity]], Table_Scope3_AquacultureFeedBait[[#This Row],[AusLCI Emissions intensity]])</f>
        <v>0</v>
      </c>
      <c r="L143" s="174"/>
      <c r="M143" s="48"/>
      <c r="N143" s="174"/>
      <c r="O143" s="155" cm="1">
        <f t="array" ref="O143">Common_InputFunctions.Utility_LookupValueInTableNumber(Table_Scope3_AquacultureFeedBait[[#This Row],[Custom emissions intensity source type (Select)]],#REF!,#REF!)</f>
        <v>0</v>
      </c>
      <c r="P143" s="14"/>
      <c r="Q143" s="14"/>
    </row>
    <row r="144" spans="3:17" ht="20.100000000000001" customHeight="1" x14ac:dyDescent="0.25">
      <c r="C144" s="14"/>
      <c r="D144" s="14" t="str" cm="1">
        <f t="array" ref="D144">Common_InputFunctions.Utility_DisplayArrayInTable(Scope3_SourceData.Scope3_AquacultureFeedAndBait_Data(), Table_Scope3_AquacultureFeedBait[[#Headers],[Feed / Bait ingredient]], 0, 2)</f>
        <v>High Animal Protein Formulated Feed</v>
      </c>
      <c r="E144" s="14" cm="1">
        <f t="array" ref="E144">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264</v>
      </c>
      <c r="F144" s="14" t="str" cm="1">
        <f t="array" ref="F144">Common_InputFunctions.Utility_DisplayArrayInTable(Scope3_SourceData.Scope3_AquacultureFeedAndBait_Data(), Table_Scope3_AquacultureFeedBait[[#Headers],[Feed / Bait ingredient]], 0, 2)</f>
        <v>t</v>
      </c>
      <c r="G144" s="14" cm="1">
        <f t="array" ref="G144">Common_InputFunctions.Utility_DisplayArrayInTable(Scope3_SourceData.Scope3_AquacultureFeedAndBait_Data(), Table_Scope3_AquacultureFeedBait[[#Headers],[Feed / Bait ingredient]], 0, 2)</f>
        <v>70102</v>
      </c>
      <c r="H144" s="174"/>
      <c r="I144" s="14" t="str" cm="1">
        <f t="array" ref="I144">Common_InputFunctions.Utility_DisplayArrayInTable(Scope3_SourceData.Scope3_AquacultureFeedAndBait_Data(), Table_Scope3_AquacultureFeedBait[[#Headers],[Feed / Bait ingredient]], 0, 2)</f>
        <v>t CO2-e / t</v>
      </c>
      <c r="J144" s="155">
        <f>Table_Scope3_AquacultureFeedBait[[#This Row],[Quantity]]*Table_Scope3_AquacultureFeedBait[[#This Row],[AusLCI Emissions intensity]]</f>
        <v>18506928</v>
      </c>
      <c r="K144" s="155">
        <f>Table_Scope3_AquacultureFeedBait[[#This Row],[Quantity]]*IF(Table_Scope3_AquacultureFeedBait[[#This Row],[Custom emissions intensity]], Table_Scope3_AquacultureFeedBait[[#This Row],[Custom emissions intensity]], Table_Scope3_AquacultureFeedBait[[#This Row],[AusLCI Emissions intensity]])</f>
        <v>18506928</v>
      </c>
      <c r="L144" s="174"/>
      <c r="M144" s="48"/>
      <c r="N144" s="174"/>
      <c r="O144" s="155" cm="1">
        <f t="array" ref="O144">Common_InputFunctions.Utility_LookupValueInTableNumber(Table_Scope3_AquacultureFeedBait[[#This Row],[Custom emissions intensity source type (Select)]],#REF!,#REF!)</f>
        <v>0</v>
      </c>
      <c r="P144" s="14"/>
      <c r="Q144" s="14"/>
    </row>
    <row r="145" spans="3:17" ht="20.100000000000001" customHeight="1" x14ac:dyDescent="0.25">
      <c r="C145" s="14"/>
      <c r="D145" s="14" t="str" cm="1">
        <f t="array" ref="D145">Common_InputFunctions.Utility_DisplayArrayInTable(Scope3_SourceData.Scope3_AquacultureFeedAndBait_Data(), Table_Scope3_AquacultureFeedBait[[#Headers],[Feed / Bait ingredient]], 0, 2)</f>
        <v>Cereal grain</v>
      </c>
      <c r="E145" s="14" cm="1">
        <f t="array" ref="E145">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144</v>
      </c>
      <c r="F145" s="14" t="str" cm="1">
        <f t="array" ref="F145">Common_InputFunctions.Utility_DisplayArrayInTable(Scope3_SourceData.Scope3_AquacultureFeedAndBait_Data(), Table_Scope3_AquacultureFeedBait[[#Headers],[Feed / Bait ingredient]], 0, 2)</f>
        <v>t</v>
      </c>
      <c r="G145" s="14" cm="1">
        <f t="array" ref="G145">Common_InputFunctions.Utility_DisplayArrayInTable(Scope3_SourceData.Scope3_AquacultureFeedAndBait_Data(), Table_Scope3_AquacultureFeedBait[[#Headers],[Feed / Bait ingredient]], 0, 2)</f>
        <v>70103</v>
      </c>
      <c r="H145" s="174"/>
      <c r="I145" s="14" t="str" cm="1">
        <f t="array" ref="I145">Common_InputFunctions.Utility_DisplayArrayInTable(Scope3_SourceData.Scope3_AquacultureFeedAndBait_Data(), Table_Scope3_AquacultureFeedBait[[#Headers],[Feed / Bait ingredient]], 0, 2)</f>
        <v>t CO2-e / t</v>
      </c>
      <c r="J145" s="155">
        <f>Table_Scope3_AquacultureFeedBait[[#This Row],[Quantity]]*Table_Scope3_AquacultureFeedBait[[#This Row],[AusLCI Emissions intensity]]</f>
        <v>10094832</v>
      </c>
      <c r="K145" s="155">
        <f>Table_Scope3_AquacultureFeedBait[[#This Row],[Quantity]]*IF(Table_Scope3_AquacultureFeedBait[[#This Row],[Custom emissions intensity]], Table_Scope3_AquacultureFeedBait[[#This Row],[Custom emissions intensity]], Table_Scope3_AquacultureFeedBait[[#This Row],[AusLCI Emissions intensity]])</f>
        <v>10094832</v>
      </c>
      <c r="L145" s="174"/>
      <c r="M145" s="48"/>
      <c r="N145" s="174"/>
      <c r="O145" s="155" cm="1">
        <f t="array" ref="O145">Common_InputFunctions.Utility_LookupValueInTableNumber(Table_Scope3_AquacultureFeedBait[[#This Row],[Custom emissions intensity source type (Select)]],#REF!,#REF!)</f>
        <v>0</v>
      </c>
      <c r="P145" s="14"/>
      <c r="Q145" s="14"/>
    </row>
    <row r="146" spans="3:17" ht="20.100000000000001" customHeight="1" x14ac:dyDescent="0.25">
      <c r="C146" s="14"/>
      <c r="D146" s="14" t="str" cm="1">
        <f t="array" ref="D146">Common_InputFunctions.Utility_DisplayArrayInTable(Scope3_SourceData.Scope3_AquacultureFeedAndBait_Data(), Table_Scope3_AquacultureFeedBait[[#Headers],[Feed / Bait ingredient]], 0, 2)</f>
        <v>Squid</v>
      </c>
      <c r="E146" s="14" cm="1">
        <f t="array" ref="E146">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1260</v>
      </c>
      <c r="F146" s="14" t="str" cm="1">
        <f t="array" ref="F146">Common_InputFunctions.Utility_DisplayArrayInTable(Scope3_SourceData.Scope3_AquacultureFeedAndBait_Data(), Table_Scope3_AquacultureFeedBait[[#Headers],[Feed / Bait ingredient]], 0, 2)</f>
        <v>t</v>
      </c>
      <c r="G146" s="14" cm="1">
        <f t="array" ref="G146">Common_InputFunctions.Utility_DisplayArrayInTable(Scope3_SourceData.Scope3_AquacultureFeedAndBait_Data(), Table_Scope3_AquacultureFeedBait[[#Headers],[Feed / Bait ingredient]], 0, 2)</f>
        <v>70104</v>
      </c>
      <c r="H146" s="174"/>
      <c r="I146" s="14" t="str" cm="1">
        <f t="array" ref="I146">Common_InputFunctions.Utility_DisplayArrayInTable(Scope3_SourceData.Scope3_AquacultureFeedAndBait_Data(), Table_Scope3_AquacultureFeedBait[[#Headers],[Feed / Bait ingredient]], 0, 2)</f>
        <v>t CO2-e / t</v>
      </c>
      <c r="J146" s="155">
        <f>Table_Scope3_AquacultureFeedBait[[#This Row],[Quantity]]*Table_Scope3_AquacultureFeedBait[[#This Row],[AusLCI Emissions intensity]]</f>
        <v>88331040</v>
      </c>
      <c r="K146" s="155">
        <f>Table_Scope3_AquacultureFeedBait[[#This Row],[Quantity]]*IF(Table_Scope3_AquacultureFeedBait[[#This Row],[Custom emissions intensity]], Table_Scope3_AquacultureFeedBait[[#This Row],[Custom emissions intensity]], Table_Scope3_AquacultureFeedBait[[#This Row],[AusLCI Emissions intensity]])</f>
        <v>88331040</v>
      </c>
      <c r="L146" s="174"/>
      <c r="M146" s="48"/>
      <c r="N146" s="174"/>
      <c r="O146" s="155" cm="1">
        <f t="array" ref="O146">Common_InputFunctions.Utility_LookupValueInTableNumber(Table_Scope3_AquacultureFeedBait[[#This Row],[Custom emissions intensity source type (Select)]],#REF!,#REF!)</f>
        <v>0</v>
      </c>
      <c r="P146" s="14"/>
      <c r="Q146" s="14"/>
    </row>
    <row r="147" spans="3:17" ht="20.100000000000001" customHeight="1" x14ac:dyDescent="0.25">
      <c r="C147" s="14"/>
      <c r="D147" s="14" t="str" cm="1">
        <f t="array" ref="D147">Common_InputFunctions.Utility_DisplayArrayInTable(Scope3_SourceData.Scope3_AquacultureFeedAndBait_Data(), Table_Scope3_AquacultureFeedBait[[#Headers],[Feed / Bait ingredient]], 0, 2)</f>
        <v>Whole Fish</v>
      </c>
      <c r="E147" s="14" cm="1">
        <f t="array" ref="E147">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420</v>
      </c>
      <c r="F147" s="14" t="str" cm="1">
        <f t="array" ref="F147">Common_InputFunctions.Utility_DisplayArrayInTable(Scope3_SourceData.Scope3_AquacultureFeedAndBait_Data(), Table_Scope3_AquacultureFeedBait[[#Headers],[Feed / Bait ingredient]], 0, 2)</f>
        <v>t</v>
      </c>
      <c r="G147" s="14" cm="1">
        <f t="array" ref="G147">Common_InputFunctions.Utility_DisplayArrayInTable(Scope3_SourceData.Scope3_AquacultureFeedAndBait_Data(), Table_Scope3_AquacultureFeedBait[[#Headers],[Feed / Bait ingredient]], 0, 2)</f>
        <v>70105</v>
      </c>
      <c r="H147" s="174"/>
      <c r="I147" s="14" t="str" cm="1">
        <f t="array" ref="I147">Common_InputFunctions.Utility_DisplayArrayInTable(Scope3_SourceData.Scope3_AquacultureFeedAndBait_Data(), Table_Scope3_AquacultureFeedBait[[#Headers],[Feed / Bait ingredient]], 0, 2)</f>
        <v>t CO2-e / t</v>
      </c>
      <c r="J147" s="155">
        <f>Table_Scope3_AquacultureFeedBait[[#This Row],[Quantity]]*Table_Scope3_AquacultureFeedBait[[#This Row],[AusLCI Emissions intensity]]</f>
        <v>29444100</v>
      </c>
      <c r="K147" s="155">
        <f>Table_Scope3_AquacultureFeedBait[[#This Row],[Quantity]]*IF(Table_Scope3_AquacultureFeedBait[[#This Row],[Custom emissions intensity]], Table_Scope3_AquacultureFeedBait[[#This Row],[Custom emissions intensity]], Table_Scope3_AquacultureFeedBait[[#This Row],[AusLCI Emissions intensity]])</f>
        <v>29444100</v>
      </c>
      <c r="L147" s="174"/>
      <c r="M147" s="48"/>
      <c r="N147" s="174"/>
      <c r="O147" s="155" cm="1">
        <f t="array" ref="O147">Common_InputFunctions.Utility_LookupValueInTableNumber(Table_Scope3_AquacultureFeedBait[[#This Row],[Custom emissions intensity source type (Select)]],#REF!,#REF!)</f>
        <v>0</v>
      </c>
      <c r="P147" s="14"/>
      <c r="Q147" s="14"/>
    </row>
    <row r="148" spans="3:17" ht="20.100000000000001" customHeight="1" x14ac:dyDescent="0.25">
      <c r="C148" s="14"/>
      <c r="D148" s="14" t="str" cm="1">
        <f t="array" ref="D148">Common_InputFunctions.Utility_DisplayArrayInTable(Scope3_SourceData.Scope3_AquacultureFeedAndBait_Data(), Table_Scope3_AquacultureFeedBait[[#Headers],[Feed / Bait ingredient]], 0, 2)</f>
        <v>Whole Sardines</v>
      </c>
      <c r="E148" s="14" cm="1">
        <f t="array" ref="E148">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24</v>
      </c>
      <c r="F148" s="14" t="str" cm="1">
        <f t="array" ref="F148">Common_InputFunctions.Utility_DisplayArrayInTable(Scope3_SourceData.Scope3_AquacultureFeedAndBait_Data(), Table_Scope3_AquacultureFeedBait[[#Headers],[Feed / Bait ingredient]], 0, 2)</f>
        <v>t</v>
      </c>
      <c r="G148" s="14" cm="1">
        <f t="array" ref="G148">Common_InputFunctions.Utility_DisplayArrayInTable(Scope3_SourceData.Scope3_AquacultureFeedAndBait_Data(), Table_Scope3_AquacultureFeedBait[[#Headers],[Feed / Bait ingredient]], 0, 2)</f>
        <v>70106</v>
      </c>
      <c r="H148" s="174"/>
      <c r="I148" s="14" t="str" cm="1">
        <f t="array" ref="I148">Common_InputFunctions.Utility_DisplayArrayInTable(Scope3_SourceData.Scope3_AquacultureFeedAndBait_Data(), Table_Scope3_AquacultureFeedBait[[#Headers],[Feed / Bait ingredient]], 0, 2)</f>
        <v>t CO2-e / t</v>
      </c>
      <c r="J148" s="155">
        <f>Table_Scope3_AquacultureFeedBait[[#This Row],[Quantity]]*Table_Scope3_AquacultureFeedBait[[#This Row],[AusLCI Emissions intensity]]</f>
        <v>1682544</v>
      </c>
      <c r="K148" s="155">
        <f>Table_Scope3_AquacultureFeedBait[[#This Row],[Quantity]]*IF(Table_Scope3_AquacultureFeedBait[[#This Row],[Custom emissions intensity]], Table_Scope3_AquacultureFeedBait[[#This Row],[Custom emissions intensity]], Table_Scope3_AquacultureFeedBait[[#This Row],[AusLCI Emissions intensity]])</f>
        <v>1682544</v>
      </c>
      <c r="L148" s="174"/>
      <c r="M148" s="48"/>
      <c r="N148" s="174"/>
      <c r="O148" s="155" cm="1">
        <f t="array" ref="O148">Common_InputFunctions.Utility_LookupValueInTableNumber(Table_Scope3_AquacultureFeedBait[[#This Row],[Custom emissions intensity source type (Select)]],#REF!,#REF!)</f>
        <v>0</v>
      </c>
      <c r="P148" s="14"/>
      <c r="Q148" s="14"/>
    </row>
    <row r="149" spans="3:17" ht="20.100000000000001" customHeight="1" x14ac:dyDescent="0.25">
      <c r="C149" s="14"/>
      <c r="D149" s="14" t="str" cm="1">
        <f t="array" ref="D149">Common_InputFunctions.Utility_DisplayArrayInTable(Scope3_SourceData.Scope3_AquacultureFeedAndBait_Data(), Table_Scope3_AquacultureFeedBait[[#Headers],[Feed / Bait ingredient]], 0, 2)</f>
        <v>Fish Frames</v>
      </c>
      <c r="E149" s="14" cm="1">
        <f t="array" ref="E149">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9" s="14" t="str" cm="1">
        <f t="array" ref="F149">Common_InputFunctions.Utility_DisplayArrayInTable(Scope3_SourceData.Scope3_AquacultureFeedAndBait_Data(), Table_Scope3_AquacultureFeedBait[[#Headers],[Feed / Bait ingredient]], 0, 2)</f>
        <v>t</v>
      </c>
      <c r="G149" s="14" cm="1">
        <f t="array" ref="G149">Common_InputFunctions.Utility_DisplayArrayInTable(Scope3_SourceData.Scope3_AquacultureFeedAndBait_Data(), Table_Scope3_AquacultureFeedBait[[#Headers],[Feed / Bait ingredient]], 0, 2)</f>
        <v>70107</v>
      </c>
      <c r="H149" s="174"/>
      <c r="I149" s="14" t="str" cm="1">
        <f t="array" ref="I149">Common_InputFunctions.Utility_DisplayArrayInTable(Scope3_SourceData.Scope3_AquacultureFeedAndBait_Data(), Table_Scope3_AquacultureFeedBait[[#Headers],[Feed / Bait ingredient]], 0, 2)</f>
        <v>t CO2-e / t</v>
      </c>
      <c r="J149" s="155">
        <f>Table_Scope3_AquacultureFeedBait[[#This Row],[Quantity]]*Table_Scope3_AquacultureFeedBait[[#This Row],[AusLCI Emissions intensity]]</f>
        <v>0</v>
      </c>
      <c r="K149" s="155">
        <f>Table_Scope3_AquacultureFeedBait[[#This Row],[Quantity]]*IF(Table_Scope3_AquacultureFeedBait[[#This Row],[Custom emissions intensity]], Table_Scope3_AquacultureFeedBait[[#This Row],[Custom emissions intensity]], Table_Scope3_AquacultureFeedBait[[#This Row],[AusLCI Emissions intensity]])</f>
        <v>0</v>
      </c>
      <c r="L149" s="174"/>
      <c r="M149" s="48"/>
      <c r="N149" s="174"/>
      <c r="O149" s="155" cm="1">
        <f t="array" ref="O149">Common_InputFunctions.Utility_LookupValueInTableNumber(Table_Scope3_AquacultureFeedBait[[#This Row],[Custom emissions intensity source type (Select)]],#REF!,#REF!)</f>
        <v>0</v>
      </c>
      <c r="P149" s="14"/>
      <c r="Q149" s="14"/>
    </row>
    <row r="150" spans="3:17" ht="20.100000000000001" customHeight="1" x14ac:dyDescent="0.25">
      <c r="C150" s="14"/>
      <c r="D150" s="14" t="str" cm="1">
        <f t="array" ref="D150">Common_InputFunctions.Utility_DisplayArrayInTable(Scope3_SourceData.Scope3_AquacultureFeedAndBait_Data(), Table_Scope3_AquacultureFeedBait[[#Headers],[Feed / Bait ingredient]], 0, 2)</f>
        <v>Fish Heads</v>
      </c>
      <c r="E150" s="14" cm="1">
        <f t="array" ref="E150">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50" s="14" t="str" cm="1">
        <f t="array" ref="F150">Common_InputFunctions.Utility_DisplayArrayInTable(Scope3_SourceData.Scope3_AquacultureFeedAndBait_Data(), Table_Scope3_AquacultureFeedBait[[#Headers],[Feed / Bait ingredient]], 0, 2)</f>
        <v>t</v>
      </c>
      <c r="G150" s="14" cm="1">
        <f t="array" ref="G150">Common_InputFunctions.Utility_DisplayArrayInTable(Scope3_SourceData.Scope3_AquacultureFeedAndBait_Data(), Table_Scope3_AquacultureFeedBait[[#Headers],[Feed / Bait ingredient]], 0, 2)</f>
        <v>70108</v>
      </c>
      <c r="H150" s="174"/>
      <c r="I150" s="14" t="str" cm="1">
        <f t="array" ref="I150">Common_InputFunctions.Utility_DisplayArrayInTable(Scope3_SourceData.Scope3_AquacultureFeedAndBait_Data(), Table_Scope3_AquacultureFeedBait[[#Headers],[Feed / Bait ingredient]], 0, 2)</f>
        <v>t CO2-e / t</v>
      </c>
      <c r="J150" s="155">
        <f>Table_Scope3_AquacultureFeedBait[[#This Row],[Quantity]]*Table_Scope3_AquacultureFeedBait[[#This Row],[AusLCI Emissions intensity]]</f>
        <v>0</v>
      </c>
      <c r="K150" s="155">
        <f>Table_Scope3_AquacultureFeedBait[[#This Row],[Quantity]]*IF(Table_Scope3_AquacultureFeedBait[[#This Row],[Custom emissions intensity]], Table_Scope3_AquacultureFeedBait[[#This Row],[Custom emissions intensity]], Table_Scope3_AquacultureFeedBait[[#This Row],[AusLCI Emissions intensity]])</f>
        <v>0</v>
      </c>
      <c r="L150" s="174"/>
      <c r="M150" s="48"/>
      <c r="N150" s="174"/>
      <c r="O150" s="155" cm="1">
        <f t="array" ref="O150">Common_InputFunctions.Utility_LookupValueInTableNumber(Table_Scope3_AquacultureFeedBait[[#This Row],[Custom emissions intensity source type (Select)]],#REF!,#REF!)</f>
        <v>0</v>
      </c>
      <c r="P150" s="14"/>
      <c r="Q150" s="14"/>
    </row>
    <row r="151" spans="3:17" ht="20.100000000000001" customHeight="1" x14ac:dyDescent="0.25">
      <c r="C151" s="14"/>
      <c r="D151" s="14"/>
      <c r="E151" s="14"/>
      <c r="F151" s="14"/>
      <c r="G151" s="14"/>
      <c r="H151" s="14"/>
      <c r="I151" s="14"/>
      <c r="J151" s="14"/>
      <c r="K151" s="14"/>
      <c r="L151" s="14"/>
      <c r="M151" s="14"/>
      <c r="N151" s="14"/>
      <c r="O151" s="14"/>
      <c r="P151" s="14"/>
      <c r="Q151" s="14"/>
    </row>
    <row r="152" spans="3:17" ht="20.100000000000001" customHeight="1" x14ac:dyDescent="0.35">
      <c r="C152" s="14"/>
      <c r="D152" s="162" t="s">
        <v>345</v>
      </c>
      <c r="E152" s="163"/>
      <c r="F152" s="164"/>
      <c r="G152" s="162">
        <f>SUM(Table_Scope3_AquacultureFeedBait[Scope 3 emissions exc. custom (t CO2-e)])</f>
        <v>148059444</v>
      </c>
      <c r="H152" s="165" t="s">
        <v>321</v>
      </c>
      <c r="I152" s="14"/>
      <c r="J152" s="14"/>
      <c r="K152" s="14"/>
      <c r="L152" s="14"/>
      <c r="M152" s="14"/>
      <c r="N152" s="14"/>
      <c r="O152" s="14"/>
      <c r="P152" s="14"/>
      <c r="Q152" s="14"/>
    </row>
    <row r="153" spans="3:17" ht="20.100000000000001" customHeight="1" x14ac:dyDescent="0.25">
      <c r="C153" s="14"/>
      <c r="D153" s="166" t="s">
        <v>346</v>
      </c>
      <c r="E153" s="167"/>
      <c r="F153" s="167"/>
      <c r="G153" s="166">
        <f>SUM(Table_Scope3_AquacultureFeedBait[Scope 3 emissions inc. custom (t CO2-e)2])</f>
        <v>148059444</v>
      </c>
      <c r="H153" s="165" t="s">
        <v>321</v>
      </c>
      <c r="I153" s="14"/>
      <c r="J153" s="14"/>
      <c r="K153" s="14"/>
      <c r="L153" s="14"/>
      <c r="M153" s="14"/>
      <c r="N153" s="14"/>
      <c r="O153" s="14"/>
      <c r="P153" s="14"/>
      <c r="Q153" s="14"/>
    </row>
    <row r="154" spans="3:17" ht="20.100000000000001" customHeight="1" x14ac:dyDescent="0.25">
      <c r="C154" s="14"/>
      <c r="D154" s="14"/>
      <c r="E154" s="14"/>
      <c r="F154" s="14"/>
      <c r="G154" s="14"/>
      <c r="H154" s="14"/>
      <c r="I154" s="14"/>
      <c r="J154" s="14"/>
      <c r="K154" s="14"/>
      <c r="L154" s="14"/>
      <c r="M154" s="14"/>
      <c r="N154" s="14"/>
      <c r="O154" s="14"/>
      <c r="P154" s="14"/>
      <c r="Q154" s="14"/>
    </row>
    <row r="155" spans="3:17" ht="20.100000000000001" customHeight="1" x14ac:dyDescent="0.25">
      <c r="C155" s="14"/>
      <c r="D155" s="14"/>
      <c r="E155" s="14"/>
      <c r="F155" s="14"/>
      <c r="G155" s="14"/>
      <c r="H155" s="14"/>
      <c r="I155" s="14"/>
      <c r="J155" s="14"/>
      <c r="K155" s="14"/>
      <c r="L155" s="14"/>
      <c r="M155" s="14"/>
      <c r="N155" s="14"/>
      <c r="O155" s="14"/>
      <c r="P155" s="14"/>
      <c r="Q155" s="14"/>
    </row>
    <row r="156" spans="3:17" ht="20.100000000000001" customHeight="1" x14ac:dyDescent="0.25">
      <c r="C156" s="14"/>
      <c r="D156" s="9" t="str" cm="1">
        <f t="array" ref="D156">Scope3_SourceData.Scope3_Packaging_Title()</f>
        <v>Packaging scope 3</v>
      </c>
      <c r="E156" s="14"/>
      <c r="F156" s="14"/>
      <c r="G156" s="14"/>
      <c r="H156" s="14"/>
      <c r="I156" s="14"/>
      <c r="J156" s="14"/>
      <c r="K156" s="14"/>
      <c r="L156" s="14"/>
      <c r="M156" s="14"/>
      <c r="N156" s="14"/>
      <c r="O156" s="14"/>
      <c r="P156" s="14"/>
      <c r="Q156" s="14"/>
    </row>
    <row r="157" spans="3:17" ht="20.100000000000001" customHeight="1" x14ac:dyDescent="0.25">
      <c r="C157" s="14"/>
      <c r="D157" s="11" t="str" cm="1">
        <f t="array" ref="D157">Scope3_SourceData.Scope3_Packaging_Source()</f>
        <v>Scope 3 GHG Emission Factors for Australian Agriculture, Fisheries and Forestry 2026</v>
      </c>
      <c r="E157" s="14"/>
      <c r="F157" s="14"/>
      <c r="G157" s="14"/>
      <c r="H157" s="14"/>
      <c r="I157" s="14"/>
      <c r="J157" s="14"/>
      <c r="K157" s="14"/>
      <c r="L157" s="14"/>
      <c r="M157" s="14"/>
      <c r="N157" s="14"/>
      <c r="O157" s="14"/>
      <c r="P157" s="14"/>
      <c r="Q157" s="14"/>
    </row>
    <row r="158" spans="3:17" ht="20.100000000000001" customHeight="1" x14ac:dyDescent="0.25">
      <c r="C158" s="14"/>
      <c r="D158" s="14"/>
      <c r="E158" s="14"/>
      <c r="F158" s="14"/>
      <c r="G158" s="14"/>
      <c r="H158" s="14"/>
      <c r="I158" s="14"/>
      <c r="J158" s="14"/>
      <c r="K158" s="14"/>
      <c r="L158" s="14"/>
      <c r="M158" s="14"/>
      <c r="N158" s="14"/>
      <c r="O158" s="14"/>
      <c r="P158" s="14"/>
      <c r="Q158" s="14"/>
    </row>
    <row r="159" spans="3:17" ht="20.100000000000001" customHeight="1" x14ac:dyDescent="0.25">
      <c r="C159" s="14"/>
      <c r="D159" s="169" t="s">
        <v>347</v>
      </c>
      <c r="E159" s="169" t="s">
        <v>304</v>
      </c>
      <c r="F159" s="169" t="s">
        <v>305</v>
      </c>
      <c r="G159" s="169" t="s">
        <v>306</v>
      </c>
      <c r="H159" s="170" t="s">
        <v>307</v>
      </c>
      <c r="I159" s="169" t="s">
        <v>308</v>
      </c>
      <c r="J159" s="169" t="s">
        <v>324</v>
      </c>
      <c r="K159" s="169" t="s">
        <v>310</v>
      </c>
      <c r="L159" s="170" t="s">
        <v>311</v>
      </c>
      <c r="M159" s="170" t="s">
        <v>312</v>
      </c>
      <c r="N159" s="170" t="s">
        <v>313</v>
      </c>
      <c r="O159" s="169" t="s">
        <v>314</v>
      </c>
      <c r="P159" s="14"/>
      <c r="Q159" s="14"/>
    </row>
    <row r="160" spans="3:17" ht="20.100000000000001" customHeight="1" x14ac:dyDescent="0.25">
      <c r="C160" s="14"/>
      <c r="D160" s="14" t="str" cm="1">
        <f t="array" ref="D160">Common_InputFunctions.Utility_DisplayArrayInTable(Scope3_SourceData.Scope3_Packaging_Data(),Table_Scope3_Packaging[[#Headers],[Packaging component]], 0, 2)</f>
        <v>Wine bottles: Glass - conventional</v>
      </c>
      <c r="E160" s="173" cm="1">
        <f t="array" ref="E160">Common_InputFunctions.Utility_SumQuantityFromCriteria(Table_Scope3_Packaging[[#This Row],[Packaging component]],Table_Input_Packaging[Packaging component (select)],Table_Input_Packaging[Quantity purchased])</f>
        <v>0</v>
      </c>
      <c r="F160" s="14" t="str" cm="1">
        <f t="array" ref="F160">Common_InputFunctions.Utility_DisplayArrayInTable(Scope3_SourceData.Scope3_Packaging_Data(),Table_Scope3_Packaging[[#Headers],[Packaging component]], 0, 2)</f>
        <v>bottle</v>
      </c>
      <c r="G160" s="14" cm="1">
        <f t="array" ref="G160">Common_InputFunctions.Utility_DisplayArrayInTable(Scope3_SourceData.Scope3_Packaging_Data(),Table_Scope3_Packaging[[#Headers],[Packaging component]], 0, 2)</f>
        <v>90101</v>
      </c>
      <c r="H160" s="174">
        <v>100</v>
      </c>
      <c r="I160" s="14" t="str" cm="1">
        <f t="array" ref="I160">Common_InputFunctions.Utility_DisplayArrayInTable(Scope3_SourceData.Scope3_Packaging_Data(),Table_Scope3_Packaging[[#Headers],[Packaging component]], 0, 2)</f>
        <v>kg CO2-e / bottle</v>
      </c>
      <c r="J160" s="14">
        <f>Table_Scope3_Packaging[[#This Row],[Quantity]]*Table_Scope3_Packaging[[#This Row],[AusLCI Emissions intensity]]</f>
        <v>0</v>
      </c>
      <c r="K160" s="155">
        <f>Table_Scope3_Packaging[[#This Row],[Quantity]]*IF(Table_Scope3_Packaging[[#This Row],[Custom emissions intensity]], Table_Scope3_Packaging[[#This Row],[Custom emissions intensity]], Table_Scope3_Packaging[[#This Row],[AusLCI Emissions intensity]])</f>
        <v>0</v>
      </c>
      <c r="L160" s="174"/>
      <c r="M160" s="48" t="s">
        <v>348</v>
      </c>
      <c r="N160" s="174"/>
      <c r="O160" s="155" cm="1">
        <f t="array" ref="O160">Common_InputFunctions.Utility_LookupValueInTableNumber(Table_Scope3_Packaging[[#This Row],[Custom emissions intensity source type (Select)]],#REF!,#REF!)</f>
        <v>0</v>
      </c>
      <c r="P160" s="14"/>
      <c r="Q160" s="14"/>
    </row>
    <row r="161" spans="3:17" ht="20.100000000000001" customHeight="1" x14ac:dyDescent="0.25">
      <c r="C161" s="14"/>
      <c r="D161" s="14" t="str" cm="1">
        <f t="array" ref="D161">Common_InputFunctions.Utility_DisplayArrayInTable(Scope3_SourceData.Scope3_Packaging_Data(),Table_Scope3_Packaging[[#Headers],[Packaging component]], 0, 2)</f>
        <v>Wine bottles: Glass - light</v>
      </c>
      <c r="E161" s="173" cm="1">
        <f t="array" ref="E161">Common_InputFunctions.Utility_SumQuantityFromCriteria(Table_Scope3_Packaging[[#This Row],[Packaging component]],Table_Input_Packaging[Packaging component (select)],Table_Input_Packaging[Quantity purchased])</f>
        <v>0</v>
      </c>
      <c r="F161" s="14" t="str" cm="1">
        <f t="array" ref="F161">Common_InputFunctions.Utility_DisplayArrayInTable(Scope3_SourceData.Scope3_Packaging_Data(),Table_Scope3_Packaging[[#Headers],[Packaging component]], 0, 2)</f>
        <v>bottle</v>
      </c>
      <c r="G161" s="14" cm="1">
        <f t="array" ref="G161">Common_InputFunctions.Utility_DisplayArrayInTable(Scope3_SourceData.Scope3_Packaging_Data(),Table_Scope3_Packaging[[#Headers],[Packaging component]], 0, 2)</f>
        <v>90102</v>
      </c>
      <c r="H161" s="174"/>
      <c r="I161" s="14" t="str" cm="1">
        <f t="array" ref="I161">Common_InputFunctions.Utility_DisplayArrayInTable(Scope3_SourceData.Scope3_Packaging_Data(),Table_Scope3_Packaging[[#Headers],[Packaging component]], 0, 2)</f>
        <v>kg CO2-e / bottle</v>
      </c>
      <c r="J161" s="155">
        <f>Table_Scope3_Packaging[[#This Row],[Quantity]]*Table_Scope3_Packaging[[#This Row],[AusLCI Emissions intensity]]</f>
        <v>0</v>
      </c>
      <c r="K161" s="155">
        <f>Table_Scope3_Packaging[[#This Row],[Quantity]]*IF(Table_Scope3_Packaging[[#This Row],[Custom emissions intensity]], Table_Scope3_Packaging[[#This Row],[Custom emissions intensity]], Table_Scope3_Packaging[[#This Row],[AusLCI Emissions intensity]])</f>
        <v>0</v>
      </c>
      <c r="L161" s="174"/>
      <c r="M161" s="175"/>
      <c r="N161" s="174"/>
      <c r="O161" s="155" cm="1">
        <f t="array" ref="O161">Common_InputFunctions.Utility_LookupValueInTableNumber(Table_Scope3_Packaging[[#This Row],[Custom emissions intensity source type (Select)]],#REF!,#REF!)</f>
        <v>0</v>
      </c>
      <c r="P161" s="14"/>
      <c r="Q161" s="14"/>
    </row>
    <row r="162" spans="3:17" ht="20.100000000000001" customHeight="1" x14ac:dyDescent="0.25">
      <c r="C162" s="14"/>
      <c r="D162" s="14" t="str" cm="1">
        <f t="array" ref="D162">Common_InputFunctions.Utility_DisplayArrayInTable(Scope3_SourceData.Scope3_Packaging_Data(),Table_Scope3_Packaging[[#Headers],[Packaging component]], 0, 2)</f>
        <v>Plastic packaging</v>
      </c>
      <c r="E162" s="173" cm="1">
        <f t="array" ref="E162">Common_InputFunctions.Utility_SumQuantityFromCriteria(Table_Scope3_Packaging[[#This Row],[Packaging component]],Table_Input_Packaging[Packaging component (select)],Table_Input_Packaging[Quantity purchased])</f>
        <v>456</v>
      </c>
      <c r="F162" s="14" t="str" cm="1">
        <f t="array" ref="F162">Common_InputFunctions.Utility_DisplayArrayInTable(Scope3_SourceData.Scope3_Packaging_Data(),Table_Scope3_Packaging[[#Headers],[Packaging component]], 0, 2)</f>
        <v>kg</v>
      </c>
      <c r="G162" s="14" cm="1">
        <f t="array" ref="G162">Common_InputFunctions.Utility_DisplayArrayInTable(Scope3_SourceData.Scope3_Packaging_Data(),Table_Scope3_Packaging[[#Headers],[Packaging component]], 0, 2)</f>
        <v>90201</v>
      </c>
      <c r="H162" s="174"/>
      <c r="I162" s="14" t="str" cm="1">
        <f t="array" ref="I162">Common_InputFunctions.Utility_DisplayArrayInTable(Scope3_SourceData.Scope3_Packaging_Data(),Table_Scope3_Packaging[[#Headers],[Packaging component]], 0, 2)</f>
        <v>kg CO2-e / kg</v>
      </c>
      <c r="J162" s="155">
        <f>Table_Scope3_Packaging[[#This Row],[Quantity]]*Table_Scope3_Packaging[[#This Row],[AusLCI Emissions intensity]]</f>
        <v>41131656</v>
      </c>
      <c r="K162" s="155">
        <f>Table_Scope3_Packaging[[#This Row],[Quantity]]*IF(Table_Scope3_Packaging[[#This Row],[Custom emissions intensity]], Table_Scope3_Packaging[[#This Row],[Custom emissions intensity]], Table_Scope3_Packaging[[#This Row],[AusLCI Emissions intensity]])</f>
        <v>41131656</v>
      </c>
      <c r="L162" s="174"/>
      <c r="M162" s="175"/>
      <c r="N162" s="174"/>
      <c r="O162" s="155" cm="1">
        <f t="array" ref="O162">Common_InputFunctions.Utility_LookupValueInTableNumber(Table_Scope3_Packaging[[#This Row],[Custom emissions intensity source type (Select)]],#REF!,#REF!)</f>
        <v>0</v>
      </c>
      <c r="P162" s="14"/>
      <c r="Q162" s="14"/>
    </row>
    <row r="163" spans="3:17" ht="20.100000000000001" customHeight="1" x14ac:dyDescent="0.25">
      <c r="C163" s="14"/>
      <c r="D163" s="14" t="str" cm="1">
        <f t="array" ref="D163">Common_InputFunctions.Utility_DisplayArrayInTable(Scope3_SourceData.Scope3_Packaging_Data(),Table_Scope3_Packaging[[#Headers],[Packaging component]], 0, 2)</f>
        <v>Polyethylene terephthalate (PET)</v>
      </c>
      <c r="E163" s="173" cm="1">
        <f t="array" ref="E163">Common_InputFunctions.Utility_SumQuantityFromCriteria(Table_Scope3_Packaging[[#This Row],[Packaging component]],Table_Input_Packaging[Packaging component (select)],Table_Input_Packaging[Quantity purchased])</f>
        <v>0</v>
      </c>
      <c r="F163" s="14" t="str" cm="1">
        <f t="array" ref="F163">Common_InputFunctions.Utility_DisplayArrayInTable(Scope3_SourceData.Scope3_Packaging_Data(),Table_Scope3_Packaging[[#Headers],[Packaging component]], 0, 2)</f>
        <v>kg</v>
      </c>
      <c r="G163" s="14" cm="1">
        <f t="array" ref="G163">Common_InputFunctions.Utility_DisplayArrayInTable(Scope3_SourceData.Scope3_Packaging_Data(),Table_Scope3_Packaging[[#Headers],[Packaging component]], 0, 2)</f>
        <v>90202</v>
      </c>
      <c r="H163" s="174"/>
      <c r="I163" s="14" t="str" cm="1">
        <f t="array" ref="I163">Common_InputFunctions.Utility_DisplayArrayInTable(Scope3_SourceData.Scope3_Packaging_Data(),Table_Scope3_Packaging[[#Headers],[Packaging component]], 0, 2)</f>
        <v>kg CO2-e / kg</v>
      </c>
      <c r="J163" s="155">
        <f>Table_Scope3_Packaging[[#This Row],[Quantity]]*Table_Scope3_Packaging[[#This Row],[AusLCI Emissions intensity]]</f>
        <v>0</v>
      </c>
      <c r="K163" s="155">
        <f>Table_Scope3_Packaging[[#This Row],[Quantity]]*IF(Table_Scope3_Packaging[[#This Row],[Custom emissions intensity]], Table_Scope3_Packaging[[#This Row],[Custom emissions intensity]], Table_Scope3_Packaging[[#This Row],[AusLCI Emissions intensity]])</f>
        <v>0</v>
      </c>
      <c r="L163" s="174"/>
      <c r="M163" s="175"/>
      <c r="N163" s="174"/>
      <c r="O163" s="155" cm="1">
        <f t="array" ref="O163">Common_InputFunctions.Utility_LookupValueInTableNumber(Table_Scope3_Packaging[[#This Row],[Custom emissions intensity source type (Select)]],#REF!,#REF!)</f>
        <v>0</v>
      </c>
      <c r="P163" s="14"/>
      <c r="Q163" s="14"/>
    </row>
    <row r="164" spans="3:17" ht="20.100000000000001" customHeight="1" x14ac:dyDescent="0.25">
      <c r="C164" s="14"/>
      <c r="D164" s="14" t="str" cm="1">
        <f t="array" ref="D164">Common_InputFunctions.Utility_DisplayArrayInTable(Scope3_SourceData.Scope3_Packaging_Data(),Table_Scope3_Packaging[[#Headers],[Packaging component]], 0, 2)</f>
        <v>Polypropylene (PP)</v>
      </c>
      <c r="E164" s="173" cm="1">
        <f t="array" ref="E164">Common_InputFunctions.Utility_SumQuantityFromCriteria(Table_Scope3_Packaging[[#This Row],[Packaging component]],Table_Input_Packaging[Packaging component (select)],Table_Input_Packaging[Quantity purchased])</f>
        <v>1100</v>
      </c>
      <c r="F164" s="14" t="str" cm="1">
        <f t="array" ref="F164">Common_InputFunctions.Utility_DisplayArrayInTable(Scope3_SourceData.Scope3_Packaging_Data(),Table_Scope3_Packaging[[#Headers],[Packaging component]], 0, 2)</f>
        <v>kg</v>
      </c>
      <c r="G164" s="14" cm="1">
        <f t="array" ref="G164">Common_InputFunctions.Utility_DisplayArrayInTable(Scope3_SourceData.Scope3_Packaging_Data(),Table_Scope3_Packaging[[#Headers],[Packaging component]], 0, 2)</f>
        <v>90203</v>
      </c>
      <c r="H164" s="174"/>
      <c r="I164" s="14" t="str" cm="1">
        <f t="array" ref="I164">Common_InputFunctions.Utility_DisplayArrayInTable(Scope3_SourceData.Scope3_Packaging_Data(),Table_Scope3_Packaging[[#Headers],[Packaging component]], 0, 2)</f>
        <v>kg CO2-e / kg</v>
      </c>
      <c r="J164" s="155">
        <f>Table_Scope3_Packaging[[#This Row],[Quantity]]*Table_Scope3_Packaging[[#This Row],[AusLCI Emissions intensity]]</f>
        <v>99223300</v>
      </c>
      <c r="K164" s="155">
        <f>Table_Scope3_Packaging[[#This Row],[Quantity]]*IF(Table_Scope3_Packaging[[#This Row],[Custom emissions intensity]], Table_Scope3_Packaging[[#This Row],[Custom emissions intensity]], Table_Scope3_Packaging[[#This Row],[AusLCI Emissions intensity]])</f>
        <v>99223300</v>
      </c>
      <c r="L164" s="174"/>
      <c r="M164" s="175"/>
      <c r="N164" s="174"/>
      <c r="O164" s="155" cm="1">
        <f t="array" ref="O164">Common_InputFunctions.Utility_LookupValueInTableNumber(Table_Scope3_Packaging[[#This Row],[Custom emissions intensity source type (Select)]],#REF!,#REF!)</f>
        <v>0</v>
      </c>
      <c r="P164" s="14"/>
      <c r="Q164" s="14"/>
    </row>
    <row r="165" spans="3:17" ht="20.100000000000001" customHeight="1" x14ac:dyDescent="0.25">
      <c r="C165" s="14"/>
      <c r="D165" s="14" t="str" cm="1">
        <f t="array" ref="D165">Common_InputFunctions.Utility_DisplayArrayInTable(Scope3_SourceData.Scope3_Packaging_Data(),Table_Scope3_Packaging[[#Headers],[Packaging component]], 0, 2)</f>
        <v>Cardboard</v>
      </c>
      <c r="E165" s="173" cm="1">
        <f t="array" ref="E165">Common_InputFunctions.Utility_SumQuantityFromCriteria(Table_Scope3_Packaging[[#This Row],[Packaging component]],Table_Input_Packaging[Packaging component (select)],Table_Input_Packaging[Quantity purchased])</f>
        <v>1234</v>
      </c>
      <c r="F165" s="14" t="str" cm="1">
        <f t="array" ref="F165">Common_InputFunctions.Utility_DisplayArrayInTable(Scope3_SourceData.Scope3_Packaging_Data(),Table_Scope3_Packaging[[#Headers],[Packaging component]], 0, 2)</f>
        <v>kg</v>
      </c>
      <c r="G165" s="14" cm="1">
        <f t="array" ref="G165">Common_InputFunctions.Utility_DisplayArrayInTable(Scope3_SourceData.Scope3_Packaging_Data(),Table_Scope3_Packaging[[#Headers],[Packaging component]], 0, 2)</f>
        <v>90204</v>
      </c>
      <c r="H165" s="174"/>
      <c r="I165" s="14" t="str" cm="1">
        <f t="array" ref="I165">Common_InputFunctions.Utility_DisplayArrayInTable(Scope3_SourceData.Scope3_Packaging_Data(),Table_Scope3_Packaging[[#Headers],[Packaging component]], 0, 2)</f>
        <v>kg CO2-e / kg</v>
      </c>
      <c r="J165" s="155">
        <f>Table_Scope3_Packaging[[#This Row],[Quantity]]*Table_Scope3_Packaging[[#This Row],[AusLCI Emissions intensity]]</f>
        <v>111311736</v>
      </c>
      <c r="K165" s="155">
        <f>Table_Scope3_Packaging[[#This Row],[Quantity]]*IF(Table_Scope3_Packaging[[#This Row],[Custom emissions intensity]], Table_Scope3_Packaging[[#This Row],[Custom emissions intensity]], Table_Scope3_Packaging[[#This Row],[AusLCI Emissions intensity]])</f>
        <v>111311736</v>
      </c>
      <c r="L165" s="174"/>
      <c r="M165" s="175"/>
      <c r="N165" s="174"/>
      <c r="O165" s="155" cm="1">
        <f t="array" ref="O165">Common_InputFunctions.Utility_LookupValueInTableNumber(Table_Scope3_Packaging[[#This Row],[Custom emissions intensity source type (Select)]],#REF!,#REF!)</f>
        <v>0</v>
      </c>
      <c r="P165" s="14"/>
      <c r="Q165" s="14"/>
    </row>
    <row r="166" spans="3:17" ht="20.100000000000001" customHeight="1" x14ac:dyDescent="0.25">
      <c r="C166" s="14"/>
      <c r="D166" s="14"/>
      <c r="E166" s="14"/>
      <c r="F166" s="14"/>
      <c r="G166" s="14"/>
      <c r="H166" s="14"/>
      <c r="I166" s="14"/>
      <c r="J166" s="14"/>
      <c r="K166" s="14"/>
      <c r="L166" s="14"/>
      <c r="M166" s="14"/>
      <c r="N166" s="14"/>
      <c r="O166" s="14"/>
      <c r="P166" s="14"/>
      <c r="Q166" s="14"/>
    </row>
    <row r="167" spans="3:17" ht="20.100000000000001" customHeight="1" x14ac:dyDescent="0.35">
      <c r="C167" s="14"/>
      <c r="D167" s="162" t="s">
        <v>349</v>
      </c>
      <c r="E167" s="163"/>
      <c r="F167" s="164"/>
      <c r="G167" s="162">
        <f>SUM(Table_Scope3_Packaging[Scope 3 emissions exc. custom (t CO2-e)])</f>
        <v>251666692</v>
      </c>
      <c r="H167" s="165" t="s">
        <v>321</v>
      </c>
      <c r="I167" s="14"/>
      <c r="J167" s="14"/>
      <c r="K167" s="14"/>
      <c r="L167" s="14"/>
      <c r="M167" s="14"/>
      <c r="N167" s="14"/>
      <c r="O167" s="14"/>
      <c r="P167" s="14"/>
      <c r="Q167" s="14"/>
    </row>
    <row r="168" spans="3:17" ht="20.100000000000001" customHeight="1" x14ac:dyDescent="0.25">
      <c r="C168" s="14"/>
      <c r="D168" s="166" t="s">
        <v>350</v>
      </c>
      <c r="E168" s="167"/>
      <c r="F168" s="167"/>
      <c r="G168" s="166">
        <f>SUM(Table_Scope3_Packaging[Scope 3 emissions inc. custom (t CO2-e)2])</f>
        <v>251666692</v>
      </c>
      <c r="H168" s="165" t="s">
        <v>321</v>
      </c>
      <c r="I168" s="14"/>
      <c r="J168" s="14"/>
      <c r="K168" s="14"/>
      <c r="L168" s="14"/>
      <c r="M168" s="14"/>
      <c r="N168" s="14"/>
      <c r="O168" s="14"/>
      <c r="P168" s="14"/>
      <c r="Q168" s="14"/>
    </row>
    <row r="169" spans="3:17" ht="20.100000000000001" customHeight="1" x14ac:dyDescent="0.25">
      <c r="C169" s="14"/>
      <c r="D169" s="14"/>
      <c r="E169" s="14"/>
      <c r="F169" s="14"/>
      <c r="G169" s="14"/>
      <c r="H169" s="14"/>
      <c r="I169" s="14"/>
      <c r="J169" s="14"/>
      <c r="K169" s="14"/>
      <c r="L169" s="14"/>
      <c r="M169" s="14"/>
      <c r="N169" s="14"/>
      <c r="O169" s="14"/>
      <c r="P169" s="14"/>
      <c r="Q169" s="14"/>
    </row>
    <row r="170" spans="3:17" ht="20.100000000000001" customHeight="1" x14ac:dyDescent="0.25">
      <c r="C170" s="14"/>
      <c r="D170" s="14"/>
      <c r="E170" s="14"/>
      <c r="F170" s="14"/>
      <c r="G170" s="14"/>
      <c r="H170" s="14"/>
      <c r="I170" s="14"/>
      <c r="J170" s="14"/>
      <c r="K170" s="14"/>
      <c r="L170" s="14"/>
      <c r="M170" s="14"/>
      <c r="N170" s="14"/>
      <c r="O170" s="14"/>
      <c r="P170" s="14"/>
      <c r="Q170" s="14"/>
    </row>
    <row r="171" spans="3:17" ht="20.100000000000001" customHeight="1" x14ac:dyDescent="0.25">
      <c r="C171" s="14"/>
      <c r="D171" s="9" t="str" cm="1">
        <f t="array" ref="D171">Scope3_SourceData.Scope3_CleaningChemicals_Title()</f>
        <v>Cleaning chemicals scope 3</v>
      </c>
      <c r="E171" s="14"/>
      <c r="F171" s="14"/>
      <c r="G171" s="14"/>
      <c r="H171" s="14"/>
      <c r="I171" s="14"/>
      <c r="J171" s="14"/>
      <c r="K171" s="14"/>
      <c r="L171" s="14"/>
      <c r="M171" s="14"/>
      <c r="N171" s="14"/>
      <c r="O171" s="14"/>
      <c r="P171" s="14"/>
      <c r="Q171" s="14"/>
    </row>
    <row r="172" spans="3:17" ht="20.100000000000001" customHeight="1" x14ac:dyDescent="0.25">
      <c r="C172" s="14"/>
      <c r="D172" s="11" t="str" cm="1">
        <f t="array" ref="D172">Scope3_SourceData.Scope3_CleaningChemicals_Source()</f>
        <v>Scope 3 GHG Emission Factors for Australian Agriculture, Fisheries and Forestry 2026</v>
      </c>
      <c r="E172" s="14"/>
      <c r="F172" s="14"/>
      <c r="G172" s="14"/>
      <c r="H172" s="14"/>
      <c r="I172" s="14"/>
      <c r="J172" s="14"/>
      <c r="K172" s="14"/>
      <c r="L172" s="14"/>
      <c r="M172" s="14"/>
      <c r="N172" s="14"/>
      <c r="O172" s="14"/>
      <c r="P172" s="14"/>
      <c r="Q172" s="14"/>
    </row>
    <row r="173" spans="3:17" ht="20.100000000000001" customHeight="1" x14ac:dyDescent="0.25">
      <c r="C173" s="14"/>
      <c r="D173" s="14"/>
      <c r="E173" s="14"/>
      <c r="F173" s="14"/>
      <c r="G173" s="14"/>
      <c r="H173" s="14"/>
      <c r="I173" s="14"/>
      <c r="J173" s="14"/>
      <c r="K173" s="14"/>
      <c r="L173" s="14"/>
      <c r="M173" s="14"/>
      <c r="N173" s="14"/>
      <c r="O173" s="14"/>
      <c r="P173" s="14"/>
      <c r="Q173" s="14"/>
    </row>
    <row r="174" spans="3:17" ht="20.100000000000001" customHeight="1" x14ac:dyDescent="0.25">
      <c r="C174" s="14"/>
      <c r="D174" s="169" t="s">
        <v>351</v>
      </c>
      <c r="E174" s="169" t="s">
        <v>304</v>
      </c>
      <c r="F174" s="169" t="s">
        <v>305</v>
      </c>
      <c r="G174" s="169" t="s">
        <v>306</v>
      </c>
      <c r="H174" s="170" t="s">
        <v>307</v>
      </c>
      <c r="I174" s="169" t="s">
        <v>308</v>
      </c>
      <c r="J174" s="169" t="s">
        <v>324</v>
      </c>
      <c r="K174" s="169" t="s">
        <v>310</v>
      </c>
      <c r="L174" s="170" t="s">
        <v>311</v>
      </c>
      <c r="M174" s="170" t="s">
        <v>312</v>
      </c>
      <c r="N174" s="170" t="s">
        <v>313</v>
      </c>
      <c r="O174" s="169" t="s">
        <v>314</v>
      </c>
      <c r="P174" s="14"/>
      <c r="Q174" s="14"/>
    </row>
    <row r="175" spans="3:17" ht="20.100000000000001" customHeight="1" x14ac:dyDescent="0.25">
      <c r="C175" s="14"/>
      <c r="D175" s="14" t="str" cm="1">
        <f t="array" ref="D175">Common_InputFunctions.Utility_DisplayArrayInTable(Scope3_SourceData.Scope3_CleaningChemicals_Data(), Table_Scope3_CleaningChemicals[[#Headers],[Chemical type]], 0, 2)</f>
        <v>Detergent</v>
      </c>
      <c r="E175" s="173" cm="1">
        <f t="array" ref="E175">Common_InputFunctions.Utility_SumQuantityFromCriteria(Table_Scope3_CleaningChemicals[[#This Row],[Chemical type]],Table_Input_CleaningChemicals[Type],Table_Input_CleaningChemicals[Quantity purchased (L)])</f>
        <v>3601</v>
      </c>
      <c r="F175" s="14" t="str" cm="1">
        <f t="array" ref="F175">Common_InputFunctions.Utility_DisplayArrayInTable(Scope3_SourceData.Scope3_CleaningChemicals_Data(), Table_Scope3_CleaningChemicals[[#Headers],[Chemical type]], 0, 2)</f>
        <v>t</v>
      </c>
      <c r="G175" s="14" cm="1">
        <f t="array" ref="G175">Common_InputFunctions.Utility_DisplayArrayInTable(Scope3_SourceData.Scope3_CleaningChemicals_Data(), Table_Scope3_CleaningChemicals[[#Headers],[Chemical type]], 0, 2)</f>
        <v>110101</v>
      </c>
      <c r="H175" s="174">
        <v>100</v>
      </c>
      <c r="I175" s="14" t="str" cm="1">
        <f t="array" ref="I175">Common_InputFunctions.Utility_DisplayArrayInTable(Scope3_SourceData.Scope3_CleaningChemicals_Data(), Table_Scope3_CleaningChemicals[[#Headers],[Chemical type]], 0, 2)</f>
        <v>t CO2-e / t</v>
      </c>
      <c r="J175" s="14">
        <f>Table_Scope3_CleaningChemicals[[#This Row],[Quantity]]*Table_Scope3_CleaningChemicals[[#This Row],[AusLCI Emissions intensity]]</f>
        <v>396473701</v>
      </c>
      <c r="K175" s="155">
        <f>Table_Scope3_CleaningChemicals[[#This Row],[Quantity]]*IF(Table_Scope3_CleaningChemicals[[#This Row],[Custom emissions intensity]], Table_Scope3_CleaningChemicals[[#This Row],[Custom emissions intensity]], Table_Scope3_CleaningChemicals[[#This Row],[AusLCI Emissions intensity]])</f>
        <v>360100</v>
      </c>
      <c r="L175" s="174"/>
      <c r="M175" s="48"/>
      <c r="N175" s="174"/>
      <c r="O175" s="155" cm="1">
        <f t="array" ref="O175">Common_InputFunctions.Utility_LookupValueInTableNumber(Table_Scope3_CleaningChemicals[[#This Row],[Custom emissions intensity source type (Select)]],#REF!,#REF!)</f>
        <v>0</v>
      </c>
      <c r="P175" s="14"/>
      <c r="Q175" s="14"/>
    </row>
    <row r="176" spans="3:17" ht="20.100000000000001" customHeight="1" x14ac:dyDescent="0.25">
      <c r="C176" s="14"/>
      <c r="D176" s="14" t="str" cm="1">
        <f t="array" ref="D176">Common_InputFunctions.Utility_DisplayArrayInTable(Scope3_SourceData.Scope3_CleaningChemicals_Data(), Table_Scope3_CleaningChemicals[[#Headers],[Chemical type]], 0, 2)</f>
        <v>Acid</v>
      </c>
      <c r="E176" s="173" cm="1">
        <f t="array" ref="E176">Common_InputFunctions.Utility_SumQuantityFromCriteria(Table_Scope3_CleaningChemicals[[#This Row],[Chemical type]],Table_Input_CleaningChemicals[Type],Table_Input_CleaningChemicals[Quantity purchased (L)])</f>
        <v>378</v>
      </c>
      <c r="F176" s="14" t="str" cm="1">
        <f t="array" ref="F176">Common_InputFunctions.Utility_DisplayArrayInTable(Scope3_SourceData.Scope3_CleaningChemicals_Data(), Table_Scope3_CleaningChemicals[[#Headers],[Chemical type]], 0, 2)</f>
        <v>t</v>
      </c>
      <c r="G176" s="14" cm="1">
        <f t="array" ref="G176">Common_InputFunctions.Utility_DisplayArrayInTable(Scope3_SourceData.Scope3_CleaningChemicals_Data(), Table_Scope3_CleaningChemicals[[#Headers],[Chemical type]], 0, 2)</f>
        <v>110102</v>
      </c>
      <c r="H176" s="174"/>
      <c r="I176" s="14" t="str" cm="1">
        <f t="array" ref="I176">Common_InputFunctions.Utility_DisplayArrayInTable(Scope3_SourceData.Scope3_CleaningChemicals_Data(), Table_Scope3_CleaningChemicals[[#Headers],[Chemical type]], 0, 2)</f>
        <v>t CO2-e / t</v>
      </c>
      <c r="J176" s="155">
        <f>Table_Scope3_CleaningChemicals[[#This Row],[Quantity]]*Table_Scope3_CleaningChemicals[[#This Row],[AusLCI Emissions intensity]]</f>
        <v>41618556</v>
      </c>
      <c r="K176" s="155">
        <f>Table_Scope3_CleaningChemicals[[#This Row],[Quantity]]*IF(Table_Scope3_CleaningChemicals[[#This Row],[Custom emissions intensity]], Table_Scope3_CleaningChemicals[[#This Row],[Custom emissions intensity]], Table_Scope3_CleaningChemicals[[#This Row],[AusLCI Emissions intensity]])</f>
        <v>41618556</v>
      </c>
      <c r="L176" s="174"/>
      <c r="M176" s="48"/>
      <c r="N176" s="174"/>
      <c r="O176" s="155" cm="1">
        <f t="array" ref="O176">Common_InputFunctions.Utility_LookupValueInTableNumber(Table_Scope3_CleaningChemicals[[#This Row],[Custom emissions intensity source type (Select)]],#REF!,#REF!)</f>
        <v>0</v>
      </c>
      <c r="P176" s="14"/>
      <c r="Q176" s="14"/>
    </row>
    <row r="177" spans="3:17" ht="20.100000000000001" customHeight="1" x14ac:dyDescent="0.25">
      <c r="C177" s="14"/>
      <c r="D177" s="14" t="str" cm="1">
        <f t="array" ref="D177">Common_InputFunctions.Utility_DisplayArrayInTable(Scope3_SourceData.Scope3_CleaningChemicals_Data(), Table_Scope3_CleaningChemicals[[#Headers],[Chemical type]], 0, 2)</f>
        <v>Bleach</v>
      </c>
      <c r="E177" s="173" cm="1">
        <f t="array" ref="E177">Common_InputFunctions.Utility_SumQuantityFromCriteria(Table_Scope3_CleaningChemicals[[#This Row],[Chemical type]],Table_Input_CleaningChemicals[Type],Table_Input_CleaningChemicals[Quantity purchased (L)])</f>
        <v>12</v>
      </c>
      <c r="F177" s="14" t="str" cm="1">
        <f t="array" ref="F177">Common_InputFunctions.Utility_DisplayArrayInTable(Scope3_SourceData.Scope3_CleaningChemicals_Data(), Table_Scope3_CleaningChemicals[[#Headers],[Chemical type]], 0, 2)</f>
        <v>L</v>
      </c>
      <c r="G177" s="14" cm="1">
        <f t="array" ref="G177">Common_InputFunctions.Utility_DisplayArrayInTable(Scope3_SourceData.Scope3_CleaningChemicals_Data(), Table_Scope3_CleaningChemicals[[#Headers],[Chemical type]], 0, 2)</f>
        <v>110103</v>
      </c>
      <c r="H177" s="174"/>
      <c r="I177" s="14" t="str" cm="1">
        <f t="array" ref="I177">Common_InputFunctions.Utility_DisplayArrayInTable(Scope3_SourceData.Scope3_CleaningChemicals_Data(), Table_Scope3_CleaningChemicals[[#Headers],[Chemical type]], 0, 2)</f>
        <v>t CO2-e / L</v>
      </c>
      <c r="J177" s="155">
        <f>Table_Scope3_CleaningChemicals[[#This Row],[Quantity]]*Table_Scope3_CleaningChemicals[[#This Row],[AusLCI Emissions intensity]]</f>
        <v>1321236</v>
      </c>
      <c r="K177" s="155">
        <f>Table_Scope3_CleaningChemicals[[#This Row],[Quantity]]*IF(Table_Scope3_CleaningChemicals[[#This Row],[Custom emissions intensity]], Table_Scope3_CleaningChemicals[[#This Row],[Custom emissions intensity]], Table_Scope3_CleaningChemicals[[#This Row],[AusLCI Emissions intensity]])</f>
        <v>1321236</v>
      </c>
      <c r="L177" s="174"/>
      <c r="M177" s="48"/>
      <c r="N177" s="174"/>
      <c r="O177" s="155" cm="1">
        <f t="array" ref="O177">Common_InputFunctions.Utility_LookupValueInTableNumber(Table_Scope3_CleaningChemicals[[#This Row],[Custom emissions intensity source type (Select)]],#REF!,#REF!)</f>
        <v>0</v>
      </c>
      <c r="P177" s="14"/>
      <c r="Q177" s="14"/>
    </row>
    <row r="178" spans="3:17" ht="20.100000000000001" customHeight="1" x14ac:dyDescent="0.25">
      <c r="C178" s="14"/>
      <c r="D178" s="14"/>
      <c r="E178" s="14"/>
      <c r="F178" s="14"/>
      <c r="G178" s="14"/>
      <c r="H178" s="14"/>
      <c r="I178" s="14"/>
      <c r="J178" s="14"/>
      <c r="K178" s="14"/>
      <c r="L178" s="14"/>
      <c r="M178" s="14"/>
      <c r="N178" s="14"/>
      <c r="O178" s="14"/>
      <c r="P178" s="14"/>
      <c r="Q178" s="14"/>
    </row>
    <row r="179" spans="3:17" ht="20.100000000000001" customHeight="1" x14ac:dyDescent="0.35">
      <c r="C179" s="14"/>
      <c r="D179" s="162" t="s">
        <v>352</v>
      </c>
      <c r="E179" s="163"/>
      <c r="F179" s="164"/>
      <c r="G179" s="162">
        <f>SUM(Table_Scope3_CleaningChemicals[Scope 3 emissions exc. custom (t CO2-e)])</f>
        <v>439413493</v>
      </c>
      <c r="H179" s="165" t="s">
        <v>321</v>
      </c>
      <c r="I179" s="14"/>
      <c r="J179" s="14"/>
      <c r="K179" s="14"/>
      <c r="L179" s="14"/>
      <c r="M179" s="14"/>
      <c r="N179" s="14"/>
      <c r="O179" s="14"/>
      <c r="P179" s="14"/>
      <c r="Q179" s="14"/>
    </row>
    <row r="180" spans="3:17" ht="20.100000000000001" customHeight="1" x14ac:dyDescent="0.25">
      <c r="C180" s="14"/>
      <c r="D180" s="166" t="s">
        <v>353</v>
      </c>
      <c r="E180" s="167"/>
      <c r="F180" s="167"/>
      <c r="G180" s="166">
        <f>SUM(Table_Scope3_CleaningChemicals[Scope 3 emissions inc. custom (t CO2-e)2])</f>
        <v>43299892</v>
      </c>
      <c r="H180" s="165" t="s">
        <v>321</v>
      </c>
      <c r="I180" s="14"/>
      <c r="J180" s="14"/>
      <c r="K180" s="14"/>
      <c r="L180" s="14"/>
      <c r="M180" s="14"/>
      <c r="N180" s="14"/>
      <c r="O180" s="14"/>
      <c r="P180" s="14"/>
      <c r="Q180" s="14"/>
    </row>
    <row r="181" spans="3:17" ht="20.100000000000001" customHeight="1" x14ac:dyDescent="0.25">
      <c r="C181" s="14"/>
      <c r="D181" s="14"/>
      <c r="E181" s="14"/>
      <c r="F181" s="14"/>
      <c r="G181" s="14"/>
      <c r="H181" s="14"/>
      <c r="I181" s="14"/>
      <c r="J181" s="14"/>
      <c r="K181" s="14"/>
      <c r="L181" s="14"/>
      <c r="M181" s="14"/>
      <c r="N181" s="14"/>
      <c r="O181" s="14"/>
      <c r="P181" s="14"/>
      <c r="Q181" s="14"/>
    </row>
    <row r="182" spans="3:17" ht="20.100000000000001" customHeight="1" x14ac:dyDescent="0.25">
      <c r="C182" s="14"/>
      <c r="D182" s="14"/>
      <c r="E182" s="14"/>
      <c r="F182" s="14"/>
      <c r="G182" s="14"/>
      <c r="H182" s="14"/>
      <c r="I182" s="14"/>
      <c r="J182" s="14"/>
      <c r="K182" s="14"/>
      <c r="L182" s="14"/>
      <c r="M182" s="14"/>
      <c r="N182" s="14"/>
      <c r="O182" s="14"/>
      <c r="P182" s="14"/>
      <c r="Q182" s="14"/>
    </row>
    <row r="183" spans="3:17" ht="20.100000000000001" customHeight="1" x14ac:dyDescent="0.25">
      <c r="C183" s="14"/>
      <c r="D183" s="9" t="str" cm="1">
        <f t="array" ref="D183">Scope3_SourceData.Scope3_SeedsAndSeedlings_Title()</f>
        <v>Seeds and Seedlings scope 3</v>
      </c>
      <c r="E183" s="14"/>
      <c r="F183" s="14"/>
      <c r="G183" s="14"/>
      <c r="H183" s="14"/>
      <c r="I183" s="14"/>
      <c r="J183" s="14"/>
      <c r="K183" s="14"/>
      <c r="L183" s="14"/>
      <c r="M183" s="14"/>
      <c r="N183" s="14"/>
      <c r="O183" s="14"/>
      <c r="P183" s="14"/>
      <c r="Q183" s="14"/>
    </row>
    <row r="184" spans="3:17" ht="20.100000000000001" customHeight="1" x14ac:dyDescent="0.25">
      <c r="C184" s="14"/>
      <c r="D184" s="11" t="str" cm="1">
        <f t="array" ref="D184">Scope3_SourceData.Scope3_SeedsAndSeedlings_Source()</f>
        <v>Scope 3 GHG Emission Factors for Australian Agriculture, Fisheries and Forestry 2026</v>
      </c>
      <c r="E184" s="14"/>
      <c r="F184" s="14"/>
      <c r="G184" s="14"/>
      <c r="H184" s="14"/>
      <c r="I184" s="14"/>
      <c r="J184" s="14"/>
      <c r="K184" s="14"/>
      <c r="L184" s="14"/>
      <c r="M184" s="14"/>
      <c r="N184" s="14"/>
      <c r="O184" s="14"/>
      <c r="P184" s="14"/>
      <c r="Q184" s="14"/>
    </row>
    <row r="185" spans="3:17" ht="20.100000000000001" customHeight="1" x14ac:dyDescent="0.25">
      <c r="C185" s="14"/>
      <c r="D185" s="14"/>
      <c r="E185" s="14"/>
      <c r="F185" s="14"/>
      <c r="G185" s="14"/>
      <c r="H185" s="14"/>
      <c r="I185" s="14"/>
      <c r="J185" s="14"/>
      <c r="K185" s="14"/>
      <c r="L185" s="14"/>
      <c r="M185" s="14"/>
      <c r="N185" s="14"/>
      <c r="O185" s="14"/>
      <c r="P185" s="14"/>
      <c r="Q185" s="14"/>
    </row>
    <row r="186" spans="3:17" ht="20.100000000000001" customHeight="1" x14ac:dyDescent="0.25">
      <c r="C186" s="14"/>
      <c r="D186" s="169" t="s">
        <v>354</v>
      </c>
      <c r="E186" s="169" t="s">
        <v>304</v>
      </c>
      <c r="F186" s="169" t="s">
        <v>305</v>
      </c>
      <c r="G186" s="169" t="s">
        <v>306</v>
      </c>
      <c r="H186" s="170" t="s">
        <v>307</v>
      </c>
      <c r="I186" s="169" t="s">
        <v>308</v>
      </c>
      <c r="J186" s="169" t="s">
        <v>324</v>
      </c>
      <c r="K186" s="169" t="s">
        <v>310</v>
      </c>
      <c r="L186" s="170" t="s">
        <v>311</v>
      </c>
      <c r="M186" s="170" t="s">
        <v>312</v>
      </c>
      <c r="N186" s="170" t="s">
        <v>313</v>
      </c>
      <c r="O186" s="169" t="s">
        <v>314</v>
      </c>
      <c r="P186" s="14"/>
      <c r="Q186" s="14"/>
    </row>
    <row r="187" spans="3:17" ht="20.100000000000001" customHeight="1" x14ac:dyDescent="0.25">
      <c r="C187" s="14"/>
      <c r="D187" s="14" t="str" cm="1">
        <f t="array" ref="D187">Common_InputFunctions.Utility_DisplayArrayInTable(Scope3_SourceData.Scope3_SeedsAndSeedlings_Data(), Table_Scope3_SeedsAndSeedlings[[#Headers],[Type]], 0, 2)</f>
        <v>Seed (general crop and pasture)</v>
      </c>
      <c r="E187" s="173">
        <f>'Input - Other Farm Inputs'!E12</f>
        <v>700</v>
      </c>
      <c r="F187" s="14" t="str" cm="1">
        <f t="array" ref="F187">Common_InputFunctions.Utility_DisplayArrayInTable(Scope3_SourceData.Scope3_SeedsAndSeedlings_Data(), Table_Scope3_SeedsAndSeedlings[[#Headers],[Type]], 0, 2)</f>
        <v>t</v>
      </c>
      <c r="G187" s="14" cm="1">
        <f t="array" ref="G187">Common_InputFunctions.Utility_DisplayArrayInTable(Scope3_SourceData.Scope3_SeedsAndSeedlings_Data(), Table_Scope3_SeedsAndSeedlings[[#Headers],[Type]], 0, 2)</f>
        <v>100101</v>
      </c>
      <c r="H187" s="174">
        <v>100</v>
      </c>
      <c r="I187" s="14" t="str" cm="1">
        <f t="array" ref="I187">Common_InputFunctions.Utility_DisplayArrayInTable(Scope3_SourceData.Scope3_SeedsAndSeedlings_Data(), Table_Scope3_SeedsAndSeedlings[[#Headers],[Type]], 0, 2)</f>
        <v>t CO2-e / t</v>
      </c>
      <c r="J187" s="14">
        <f>Table_Scope3_SeedsAndSeedlings[[#This Row],[Quantity]]*Table_Scope3_SeedsAndSeedlings[[#This Row],[AusLCI Emissions intensity]]</f>
        <v>70070700</v>
      </c>
      <c r="K187" s="155">
        <f>Table_Scope3_SeedsAndSeedlings[[#This Row],[Quantity]]*IF(Table_Scope3_SeedsAndSeedlings[[#This Row],[Custom emissions intensity]], Table_Scope3_SeedsAndSeedlings[[#This Row],[Custom emissions intensity]], Table_Scope3_SeedsAndSeedlings[[#This Row],[AusLCI Emissions intensity]])</f>
        <v>70000</v>
      </c>
      <c r="L187" s="174"/>
      <c r="M187" s="48"/>
      <c r="N187" s="174"/>
      <c r="O187" s="155" cm="1">
        <f t="array" ref="O187">Common_InputFunctions.Utility_LookupValueInTableNumber(Table_Scope3_SeedsAndSeedlings[[#This Row],[Custom emissions intensity source type (Select)]],#REF!,#REF!)</f>
        <v>0</v>
      </c>
      <c r="P187" s="14"/>
      <c r="Q187" s="14"/>
    </row>
    <row r="188" spans="3:17" ht="20.100000000000001" customHeight="1" x14ac:dyDescent="0.25">
      <c r="C188" s="14"/>
      <c r="D188" s="14" t="str" cm="1">
        <f t="array" ref="D188">Common_InputFunctions.Utility_DisplayArrayInTable(Scope3_SourceData.Scope3_SeedsAndSeedlings_Data(), Table_Scope3_SeedsAndSeedlings[[#Headers],[Type]], 0, 2)</f>
        <v>Seedlings (forestry, horticulture, environmental)</v>
      </c>
      <c r="E188" s="173">
        <f>'Input - Other Farm Inputs'!E13</f>
        <v>800</v>
      </c>
      <c r="F188" s="14" t="str" cm="1">
        <f t="array" ref="F188">Common_InputFunctions.Utility_DisplayArrayInTable(Scope3_SourceData.Scope3_SeedsAndSeedlings_Data(), Table_Scope3_SeedsAndSeedlings[[#Headers],[Type]], 0, 2)</f>
        <v>Seedling</v>
      </c>
      <c r="G188" s="14" cm="1">
        <f t="array" ref="G188">Common_InputFunctions.Utility_DisplayArrayInTable(Scope3_SourceData.Scope3_SeedsAndSeedlings_Data(), Table_Scope3_SeedsAndSeedlings[[#Headers],[Type]], 0, 2)</f>
        <v>100102</v>
      </c>
      <c r="H188" s="174"/>
      <c r="I188" s="14" t="str" cm="1">
        <f t="array" ref="I188">Common_InputFunctions.Utility_DisplayArrayInTable(Scope3_SourceData.Scope3_SeedsAndSeedlings_Data(), Table_Scope3_SeedsAndSeedlings[[#Headers],[Type]], 0, 2)</f>
        <v>t CO2-e / Seedling</v>
      </c>
      <c r="J188" s="155">
        <f>Table_Scope3_SeedsAndSeedlings[[#This Row],[Quantity]]*Table_Scope3_SeedsAndSeedlings[[#This Row],[AusLCI Emissions intensity]]</f>
        <v>80081600</v>
      </c>
      <c r="K188" s="155">
        <f>Table_Scope3_SeedsAndSeedlings[[#This Row],[Quantity]]*IF(Table_Scope3_SeedsAndSeedlings[[#This Row],[Custom emissions intensity]], Table_Scope3_SeedsAndSeedlings[[#This Row],[Custom emissions intensity]], Table_Scope3_SeedsAndSeedlings[[#This Row],[AusLCI Emissions intensity]])</f>
        <v>80081600</v>
      </c>
      <c r="L188" s="174"/>
      <c r="M188" s="175"/>
      <c r="N188" s="174"/>
      <c r="O188" s="155" cm="1">
        <f t="array" ref="O188">Common_InputFunctions.Utility_LookupValueInTableNumber(Table_Scope3_SeedsAndSeedlings[[#This Row],[Custom emissions intensity source type (Select)]],#REF!,#REF!)</f>
        <v>0</v>
      </c>
      <c r="P188" s="14"/>
      <c r="Q188" s="14"/>
    </row>
    <row r="189" spans="3:17" ht="20.100000000000001" customHeight="1" x14ac:dyDescent="0.25">
      <c r="C189" s="14"/>
      <c r="D189" s="14"/>
      <c r="E189" s="14"/>
      <c r="F189" s="14"/>
      <c r="G189" s="14"/>
      <c r="H189" s="14"/>
      <c r="I189" s="14"/>
      <c r="J189" s="14"/>
      <c r="K189" s="14"/>
      <c r="L189" s="14"/>
      <c r="M189" s="14"/>
      <c r="N189" s="14"/>
      <c r="O189" s="14"/>
      <c r="P189" s="14"/>
      <c r="Q189" s="14"/>
    </row>
    <row r="190" spans="3:17" ht="20.100000000000001" customHeight="1" x14ac:dyDescent="0.35">
      <c r="C190" s="14"/>
      <c r="D190" s="162" t="s">
        <v>355</v>
      </c>
      <c r="E190" s="163"/>
      <c r="F190" s="164"/>
      <c r="G190" s="162">
        <f>SUM(Table_Scope3_SeedsAndSeedlings[Scope 3 emissions exc. custom (t CO2-e)])</f>
        <v>150152300</v>
      </c>
      <c r="H190" s="165" t="s">
        <v>321</v>
      </c>
      <c r="I190" s="14"/>
      <c r="J190" s="14"/>
      <c r="K190" s="14"/>
      <c r="L190" s="14"/>
      <c r="M190" s="14"/>
      <c r="N190" s="14"/>
      <c r="O190" s="14"/>
      <c r="P190" s="14"/>
      <c r="Q190" s="14"/>
    </row>
    <row r="191" spans="3:17" ht="20.100000000000001" customHeight="1" x14ac:dyDescent="0.25">
      <c r="C191" s="14"/>
      <c r="D191" s="166" t="s">
        <v>356</v>
      </c>
      <c r="E191" s="167"/>
      <c r="F191" s="167"/>
      <c r="G191" s="166">
        <f>SUM(Table_Scope3_SeedsAndSeedlings[Scope 3 emissions inc. custom (t CO2-e)2])</f>
        <v>80151600</v>
      </c>
      <c r="H191" s="165" t="s">
        <v>321</v>
      </c>
      <c r="I191" s="14"/>
      <c r="J191" s="14"/>
      <c r="K191" s="14"/>
      <c r="L191" s="14"/>
      <c r="M191" s="14"/>
      <c r="N191" s="14"/>
      <c r="O191" s="14"/>
      <c r="P191" s="14"/>
      <c r="Q191" s="14"/>
    </row>
    <row r="192" spans="3:17" ht="20.100000000000001" customHeight="1" x14ac:dyDescent="0.25">
      <c r="C192" s="14"/>
      <c r="D192" s="14"/>
      <c r="E192" s="14"/>
      <c r="F192" s="14"/>
      <c r="G192" s="14"/>
      <c r="H192" s="14"/>
      <c r="I192" s="14"/>
      <c r="J192" s="14"/>
      <c r="K192" s="14"/>
      <c r="L192" s="14"/>
      <c r="M192" s="14"/>
      <c r="N192" s="14"/>
      <c r="O192" s="14"/>
      <c r="P192" s="14"/>
      <c r="Q192" s="14"/>
    </row>
    <row r="193" spans="3:17" ht="20.100000000000001" customHeight="1" x14ac:dyDescent="0.25">
      <c r="C193" s="14"/>
      <c r="D193" s="14"/>
      <c r="E193" s="14"/>
      <c r="F193" s="14"/>
      <c r="G193" s="14"/>
      <c r="H193" s="14"/>
      <c r="I193" s="14"/>
      <c r="J193" s="14"/>
      <c r="K193" s="14"/>
      <c r="L193" s="14"/>
      <c r="M193" s="14"/>
      <c r="N193" s="14"/>
      <c r="O193" s="14"/>
      <c r="P193" s="14"/>
      <c r="Q193" s="14"/>
    </row>
    <row r="194" spans="3:17" ht="20.100000000000001" customHeight="1" x14ac:dyDescent="0.25">
      <c r="C194" s="14"/>
      <c r="D194" s="9" t="str" cm="1">
        <f t="array" ref="D194">Scope3_SourceData.Scope3_OtherAgriculturalInputs_Title()</f>
        <v>Other agricultural inputs scope 3</v>
      </c>
      <c r="E194" s="14"/>
      <c r="F194" s="14"/>
      <c r="G194" s="14"/>
      <c r="H194" s="14"/>
      <c r="I194" s="14"/>
      <c r="J194" s="14"/>
      <c r="K194" s="14"/>
      <c r="L194" s="14"/>
      <c r="M194" s="14"/>
      <c r="N194" s="14"/>
      <c r="O194" s="14"/>
      <c r="P194" s="14"/>
      <c r="Q194" s="14"/>
    </row>
    <row r="195" spans="3:17" ht="20.100000000000001" customHeight="1" x14ac:dyDescent="0.25">
      <c r="C195" s="14"/>
      <c r="D195" s="11" t="str" cm="1">
        <f t="array" ref="D195">Scope3_SourceData.Scope3_OtherAgriculturalInputs_Source()</f>
        <v>Scope 3 GHG Emission Factors for Australian Agriculture, Fisheries and Forestry 2026</v>
      </c>
      <c r="E195" s="14"/>
      <c r="F195" s="14"/>
      <c r="G195" s="14"/>
      <c r="H195" s="14"/>
      <c r="I195" s="14"/>
      <c r="J195" s="14"/>
      <c r="K195" s="14"/>
      <c r="L195" s="14"/>
      <c r="M195" s="14"/>
      <c r="N195" s="14"/>
      <c r="O195" s="14"/>
      <c r="P195" s="14"/>
      <c r="Q195" s="14"/>
    </row>
    <row r="196" spans="3:17" ht="20.100000000000001" customHeight="1" x14ac:dyDescent="0.25">
      <c r="C196" s="14"/>
      <c r="D196" s="14"/>
      <c r="E196" s="14"/>
      <c r="F196" s="14"/>
      <c r="G196" s="14"/>
      <c r="H196" s="14"/>
      <c r="I196" s="14"/>
      <c r="J196" s="14"/>
      <c r="K196" s="14"/>
      <c r="L196" s="14"/>
      <c r="M196" s="14"/>
      <c r="N196" s="14"/>
      <c r="O196" s="14"/>
      <c r="P196" s="14"/>
      <c r="Q196" s="14"/>
    </row>
    <row r="197" spans="3:17" ht="20.100000000000001" customHeight="1" x14ac:dyDescent="0.25">
      <c r="C197" s="14"/>
      <c r="D197" s="169" t="s">
        <v>354</v>
      </c>
      <c r="E197" s="169" t="s">
        <v>304</v>
      </c>
      <c r="F197" s="169" t="s">
        <v>305</v>
      </c>
      <c r="G197" s="169" t="s">
        <v>306</v>
      </c>
      <c r="H197" s="170" t="s">
        <v>307</v>
      </c>
      <c r="I197" s="169" t="s">
        <v>308</v>
      </c>
      <c r="J197" s="169" t="s">
        <v>324</v>
      </c>
      <c r="K197" s="169" t="s">
        <v>310</v>
      </c>
      <c r="L197" s="170" t="s">
        <v>311</v>
      </c>
      <c r="M197" s="170" t="s">
        <v>312</v>
      </c>
      <c r="N197" s="170" t="s">
        <v>313</v>
      </c>
      <c r="O197" s="169" t="s">
        <v>314</v>
      </c>
      <c r="P197" s="14"/>
      <c r="Q197" s="14"/>
    </row>
    <row r="198" spans="3:17" ht="20.100000000000001" customHeight="1" x14ac:dyDescent="0.25">
      <c r="C198" s="14"/>
      <c r="D198" s="14" t="str" cm="1">
        <f t="array" ref="D198">Common_InputFunctions.Utility_DisplayArrayInTable(Scope3_SourceData.Scope3_OtherAgriculturalInputs_Data(), Table_Scope3_OtherInputs[[#Headers],[Type]], 0, 2)</f>
        <v>CO2 for carbonation</v>
      </c>
      <c r="E198" s="173">
        <f>'Input - Other Farm Inputs'!E6</f>
        <v>100</v>
      </c>
      <c r="F198" s="14" t="str" cm="1">
        <f t="array" ref="F198">Common_InputFunctions.Utility_DisplayArrayInTable(Scope3_SourceData.Scope3_OtherAgriculturalInputs_Data(), Table_Scope3_OtherInputs[[#Headers],[Type]], 0, 2)</f>
        <v>t</v>
      </c>
      <c r="G198" s="14" cm="1">
        <f t="array" ref="G198">Common_InputFunctions.Utility_DisplayArrayInTable(Scope3_SourceData.Scope3_OtherAgriculturalInputs_Data(), Table_Scope3_OtherInputs[[#Headers],[Type]], 0, 2)</f>
        <v>120101</v>
      </c>
      <c r="H198" s="174">
        <v>100</v>
      </c>
      <c r="I198" s="14" t="str" cm="1">
        <f t="array" ref="I198">Common_InputFunctions.Utility_DisplayArrayInTable(Scope3_SourceData.Scope3_OtherAgriculturalInputs_Data(), Table_Scope3_OtherInputs[[#Headers],[Type]], 0, 2)</f>
        <v>t CO2-e / t</v>
      </c>
      <c r="J198" s="14">
        <f>Table_Scope3_OtherInputs[[#This Row],[Quantity]]*Table_Scope3_OtherInputs[[#This Row],[AusLCI Emissions intensity]]</f>
        <v>12010100</v>
      </c>
      <c r="K198" s="155">
        <f>Table_Scope3_OtherInputs[[#This Row],[Quantity]]*IF(Table_Scope3_OtherInputs[[#This Row],[Custom emissions intensity]], Table_Scope3_OtherInputs[[#This Row],[Custom emissions intensity]], Table_Scope3_OtherInputs[[#This Row],[AusLCI Emissions intensity]])</f>
        <v>10000</v>
      </c>
      <c r="L198" s="174"/>
      <c r="M198" s="48"/>
      <c r="N198" s="174"/>
      <c r="O198" s="155" cm="1">
        <f t="array" ref="O198">Common_InputFunctions.Utility_LookupValueInTableNumber(Table_Scope3_OtherInputs[[#This Row],[Custom emissions intensity source type (Select)]],#REF!,#REF!)</f>
        <v>0</v>
      </c>
      <c r="P198" s="14"/>
      <c r="Q198" s="14"/>
    </row>
    <row r="199" spans="3:17" ht="20.100000000000001" customHeight="1" x14ac:dyDescent="0.25">
      <c r="C199" s="14"/>
      <c r="D199" s="14" t="str" cm="1">
        <f t="array" ref="D199">Common_InputFunctions.Utility_DisplayArrayInTable(Scope3_SourceData.Scope3_OtherAgriculturalInputs_Data(), Table_Scope3_OtherInputs[[#Headers],[Type]], 0, 2)</f>
        <v>Livestock antibiotics</v>
      </c>
      <c r="E199" s="173">
        <f>'Input - Other Farm Inputs'!E7</f>
        <v>200</v>
      </c>
      <c r="F199" s="14" t="str" cm="1">
        <f t="array" ref="F199">Common_InputFunctions.Utility_DisplayArrayInTable(Scope3_SourceData.Scope3_OtherAgriculturalInputs_Data(), Table_Scope3_OtherInputs[[#Headers],[Type]], 0, 2)</f>
        <v>t</v>
      </c>
      <c r="G199" s="14" cm="1">
        <f t="array" ref="G199">Common_InputFunctions.Utility_DisplayArrayInTable(Scope3_SourceData.Scope3_OtherAgriculturalInputs_Data(), Table_Scope3_OtherInputs[[#Headers],[Type]], 0, 2)</f>
        <v>110102</v>
      </c>
      <c r="H199" s="174"/>
      <c r="I199" s="14" t="str" cm="1">
        <f t="array" ref="I199">Common_InputFunctions.Utility_DisplayArrayInTable(Scope3_SourceData.Scope3_OtherAgriculturalInputs_Data(), Table_Scope3_OtherInputs[[#Headers],[Type]], 0, 2)</f>
        <v>t CO2-e / t</v>
      </c>
      <c r="J199" s="155">
        <f>Table_Scope3_OtherInputs[[#This Row],[Quantity]]*Table_Scope3_OtherInputs[[#This Row],[AusLCI Emissions intensity]]</f>
        <v>22020400</v>
      </c>
      <c r="K199" s="155">
        <f>Table_Scope3_OtherInputs[[#This Row],[Quantity]]*IF(Table_Scope3_OtherInputs[[#This Row],[Custom emissions intensity]], Table_Scope3_OtherInputs[[#This Row],[Custom emissions intensity]], Table_Scope3_OtherInputs[[#This Row],[AusLCI Emissions intensity]])</f>
        <v>22020400</v>
      </c>
      <c r="L199" s="174"/>
      <c r="M199" s="48"/>
      <c r="N199" s="174"/>
      <c r="O199" s="155" cm="1">
        <f t="array" ref="O199">Common_InputFunctions.Utility_LookupValueInTableNumber(Table_Scope3_OtherInputs[[#This Row],[Custom emissions intensity source type (Select)]],#REF!,#REF!)</f>
        <v>0</v>
      </c>
      <c r="P199" s="14"/>
      <c r="Q199" s="14"/>
    </row>
    <row r="200" spans="3:17" ht="20.100000000000001" customHeight="1" x14ac:dyDescent="0.25">
      <c r="C200" s="14"/>
      <c r="D200" s="14" t="str" cm="1">
        <f t="array" ref="D200">Common_InputFunctions.Utility_DisplayArrayInTable(Scope3_SourceData.Scope3_OtherAgriculturalInputs_Data(), Table_Scope3_OtherInputs[[#Headers],[Type]], 0, 2)</f>
        <v>Nylon netting for horticulture</v>
      </c>
      <c r="E200" s="173">
        <f>'Input - Other Farm Inputs'!E8</f>
        <v>300</v>
      </c>
      <c r="F200" s="14" t="str" cm="1">
        <f t="array" ref="F200">Common_InputFunctions.Utility_DisplayArrayInTable(Scope3_SourceData.Scope3_OtherAgriculturalInputs_Data(), Table_Scope3_OtherInputs[[#Headers],[Type]], 0, 2)</f>
        <v>t</v>
      </c>
      <c r="G200" s="14" cm="1">
        <f t="array" ref="G200">Common_InputFunctions.Utility_DisplayArrayInTable(Scope3_SourceData.Scope3_OtherAgriculturalInputs_Data(), Table_Scope3_OtherInputs[[#Headers],[Type]], 0, 2)</f>
        <v>110103</v>
      </c>
      <c r="H200" s="174"/>
      <c r="I200" s="14" t="str" cm="1">
        <f t="array" ref="I200">Common_InputFunctions.Utility_DisplayArrayInTable(Scope3_SourceData.Scope3_OtherAgriculturalInputs_Data(), Table_Scope3_OtherInputs[[#Headers],[Type]], 0, 2)</f>
        <v>t CO2-e / t</v>
      </c>
      <c r="J200" s="155">
        <f>Table_Scope3_OtherInputs[[#This Row],[Quantity]]*Table_Scope3_OtherInputs[[#This Row],[AusLCI Emissions intensity]]</f>
        <v>33030900</v>
      </c>
      <c r="K200" s="155">
        <f>Table_Scope3_OtherInputs[[#This Row],[Quantity]]*IF(Table_Scope3_OtherInputs[[#This Row],[Custom emissions intensity]], Table_Scope3_OtherInputs[[#This Row],[Custom emissions intensity]], Table_Scope3_OtherInputs[[#This Row],[AusLCI Emissions intensity]])</f>
        <v>33030900</v>
      </c>
      <c r="L200" s="174"/>
      <c r="M200" s="48"/>
      <c r="N200" s="174"/>
      <c r="O200" s="155" cm="1">
        <f t="array" ref="O200">Common_InputFunctions.Utility_LookupValueInTableNumber(Table_Scope3_OtherInputs[[#This Row],[Custom emissions intensity source type (Select)]],#REF!,#REF!)</f>
        <v>0</v>
      </c>
      <c r="P200" s="14"/>
      <c r="Q200" s="14"/>
    </row>
    <row r="201" spans="3:17" ht="20.100000000000001" customHeight="1" x14ac:dyDescent="0.25">
      <c r="C201" s="14"/>
      <c r="D201" s="14" t="str" cm="1">
        <f t="array" ref="D201">Common_InputFunctions.Utility_DisplayArrayInTable(Scope3_SourceData.Scope3_OtherAgriculturalInputs_Data(), Table_Scope3_OtherInputs[[#Headers],[Type]], 0, 2)</f>
        <v>Pallets - Wood</v>
      </c>
      <c r="E201" s="173">
        <f>'Input - Other Farm Inputs'!E9</f>
        <v>400</v>
      </c>
      <c r="F201" s="14" t="str" cm="1">
        <f t="array" ref="F201">Common_InputFunctions.Utility_DisplayArrayInTable(Scope3_SourceData.Scope3_OtherAgriculturalInputs_Data(), Table_Scope3_OtherInputs[[#Headers],[Type]], 0, 2)</f>
        <v>t</v>
      </c>
      <c r="G201" s="14" cm="1">
        <f t="array" ref="G201">Common_InputFunctions.Utility_DisplayArrayInTable(Scope3_SourceData.Scope3_OtherAgriculturalInputs_Data(), Table_Scope3_OtherInputs[[#Headers],[Type]], 0, 2)</f>
        <v>110104</v>
      </c>
      <c r="H201" s="174"/>
      <c r="I201" s="14" t="str" cm="1">
        <f t="array" ref="I201">Common_InputFunctions.Utility_DisplayArrayInTable(Scope3_SourceData.Scope3_OtherAgriculturalInputs_Data(), Table_Scope3_OtherInputs[[#Headers],[Type]], 0, 2)</f>
        <v>t CO2-e / t</v>
      </c>
      <c r="J201" s="155">
        <f>Table_Scope3_OtherInputs[[#This Row],[Quantity]]*Table_Scope3_OtherInputs[[#This Row],[AusLCI Emissions intensity]]</f>
        <v>44041600</v>
      </c>
      <c r="K201" s="155">
        <f>Table_Scope3_OtherInputs[[#This Row],[Quantity]]*IF(Table_Scope3_OtherInputs[[#This Row],[Custom emissions intensity]], Table_Scope3_OtherInputs[[#This Row],[Custom emissions intensity]], Table_Scope3_OtherInputs[[#This Row],[AusLCI Emissions intensity]])</f>
        <v>44041600</v>
      </c>
      <c r="L201" s="174"/>
      <c r="M201" s="48"/>
      <c r="N201" s="174"/>
      <c r="O201" s="155" cm="1">
        <f t="array" ref="O201">Common_InputFunctions.Utility_LookupValueInTableNumber(Table_Scope3_OtherInputs[[#This Row],[Custom emissions intensity source type (Select)]],#REF!,#REF!)</f>
        <v>0</v>
      </c>
      <c r="P201" s="14"/>
      <c r="Q201" s="14"/>
    </row>
    <row r="202" spans="3:17" ht="20.100000000000001" customHeight="1" x14ac:dyDescent="0.25">
      <c r="C202" s="14"/>
      <c r="D202" s="14" t="str" cm="1">
        <f t="array" ref="D202">Common_InputFunctions.Utility_DisplayArrayInTable(Scope3_SourceData.Scope3_OtherAgriculturalInputs_Data(), Table_Scope3_OtherInputs[[#Headers],[Type]], 0, 2)</f>
        <v>Pallets - Plastic</v>
      </c>
      <c r="E202" s="173">
        <f>'Input - Other Farm Inputs'!E10</f>
        <v>500</v>
      </c>
      <c r="F202" s="14" t="str" cm="1">
        <f t="array" ref="F202">Common_InputFunctions.Utility_DisplayArrayInTable(Scope3_SourceData.Scope3_OtherAgriculturalInputs_Data(), Table_Scope3_OtherInputs[[#Headers],[Type]], 0, 2)</f>
        <v>t</v>
      </c>
      <c r="G202" s="14" cm="1">
        <f t="array" ref="G202">Common_InputFunctions.Utility_DisplayArrayInTable(Scope3_SourceData.Scope3_OtherAgriculturalInputs_Data(), Table_Scope3_OtherInputs[[#Headers],[Type]], 0, 2)</f>
        <v>110105</v>
      </c>
      <c r="H202" s="174"/>
      <c r="I202" s="14" t="str" cm="1">
        <f t="array" ref="I202">Common_InputFunctions.Utility_DisplayArrayInTable(Scope3_SourceData.Scope3_OtherAgriculturalInputs_Data(), Table_Scope3_OtherInputs[[#Headers],[Type]], 0, 2)</f>
        <v>t CO2-e / t</v>
      </c>
      <c r="J202" s="155">
        <f>Table_Scope3_OtherInputs[[#This Row],[Quantity]]*Table_Scope3_OtherInputs[[#This Row],[AusLCI Emissions intensity]]</f>
        <v>55052500</v>
      </c>
      <c r="K202" s="155">
        <f>Table_Scope3_OtherInputs[[#This Row],[Quantity]]*IF(Table_Scope3_OtherInputs[[#This Row],[Custom emissions intensity]], Table_Scope3_OtherInputs[[#This Row],[Custom emissions intensity]], Table_Scope3_OtherInputs[[#This Row],[AusLCI Emissions intensity]])</f>
        <v>55052500</v>
      </c>
      <c r="L202" s="174"/>
      <c r="M202" s="48"/>
      <c r="N202" s="174"/>
      <c r="O202" s="155" cm="1">
        <f t="array" ref="O202">Common_InputFunctions.Utility_LookupValueInTableNumber(Table_Scope3_OtherInputs[[#This Row],[Custom emissions intensity source type (Select)]],#REF!,#REF!)</f>
        <v>0</v>
      </c>
      <c r="P202" s="14"/>
      <c r="Q202" s="14"/>
    </row>
    <row r="203" spans="3:17" ht="20.100000000000001" customHeight="1" x14ac:dyDescent="0.25">
      <c r="C203" s="14"/>
      <c r="D203" s="14" t="str" cm="1">
        <f t="array" ref="D203">Common_InputFunctions.Utility_DisplayArrayInTable(Scope3_SourceData.Scope3_OtherAgriculturalInputs_Data(), Table_Scope3_OtherInputs[[#Headers],[Type]], 0, 2)</f>
        <v>Livestock tags</v>
      </c>
      <c r="E203" s="173">
        <f>'Input - Other Farm Inputs'!E11</f>
        <v>600</v>
      </c>
      <c r="F203" s="14" t="str" cm="1">
        <f t="array" ref="F203">Common_InputFunctions.Utility_DisplayArrayInTable(Scope3_SourceData.Scope3_OtherAgriculturalInputs_Data(), Table_Scope3_OtherInputs[[#Headers],[Type]], 0, 2)</f>
        <v>t</v>
      </c>
      <c r="G203" s="14" cm="1">
        <f t="array" ref="G203">Common_InputFunctions.Utility_DisplayArrayInTable(Scope3_SourceData.Scope3_OtherAgriculturalInputs_Data(), Table_Scope3_OtherInputs[[#Headers],[Type]], 0, 2)</f>
        <v>110106</v>
      </c>
      <c r="H203" s="174"/>
      <c r="I203" s="14" t="str" cm="1">
        <f t="array" ref="I203">Common_InputFunctions.Utility_DisplayArrayInTable(Scope3_SourceData.Scope3_OtherAgriculturalInputs_Data(), Table_Scope3_OtherInputs[[#Headers],[Type]], 0, 2)</f>
        <v>t CO2-e / t</v>
      </c>
      <c r="J203" s="155">
        <f>Table_Scope3_OtherInputs[[#This Row],[Quantity]]*Table_Scope3_OtherInputs[[#This Row],[AusLCI Emissions intensity]]</f>
        <v>66063600</v>
      </c>
      <c r="K203" s="155">
        <f>Table_Scope3_OtherInputs[[#This Row],[Quantity]]*IF(Table_Scope3_OtherInputs[[#This Row],[Custom emissions intensity]], Table_Scope3_OtherInputs[[#This Row],[Custom emissions intensity]], Table_Scope3_OtherInputs[[#This Row],[AusLCI Emissions intensity]])</f>
        <v>66063600</v>
      </c>
      <c r="L203" s="174"/>
      <c r="M203" s="48"/>
      <c r="N203" s="174"/>
      <c r="O203" s="155" cm="1">
        <f t="array" ref="O203">Common_InputFunctions.Utility_LookupValueInTableNumber(Table_Scope3_OtherInputs[[#This Row],[Custom emissions intensity source type (Select)]],#REF!,#REF!)</f>
        <v>0</v>
      </c>
      <c r="P203" s="14"/>
      <c r="Q203" s="14"/>
    </row>
    <row r="204" spans="3:17" ht="20.100000000000001" customHeight="1" x14ac:dyDescent="0.25">
      <c r="C204" s="14"/>
      <c r="D204" s="14"/>
      <c r="E204" s="14"/>
      <c r="F204" s="14"/>
      <c r="G204" s="14"/>
      <c r="H204" s="14"/>
      <c r="I204" s="14"/>
      <c r="J204" s="14"/>
      <c r="K204" s="14"/>
      <c r="L204" s="14"/>
      <c r="M204" s="14"/>
      <c r="N204" s="14"/>
      <c r="O204" s="14"/>
      <c r="P204" s="14"/>
      <c r="Q204" s="14"/>
    </row>
    <row r="205" spans="3:17" ht="20.100000000000001" customHeight="1" x14ac:dyDescent="0.35">
      <c r="C205" s="14"/>
      <c r="D205" s="162" t="s">
        <v>357</v>
      </c>
      <c r="E205" s="163"/>
      <c r="F205" s="164"/>
      <c r="G205" s="162">
        <f>SUM(Table_Scope3_SeedsAndSeedlings[Scope 3 emissions exc. custom (t CO2-e)])</f>
        <v>150152300</v>
      </c>
      <c r="H205" s="165" t="s">
        <v>321</v>
      </c>
      <c r="I205" s="14"/>
      <c r="J205" s="14"/>
      <c r="K205" s="14"/>
      <c r="L205" s="14"/>
      <c r="M205" s="14"/>
      <c r="N205" s="14"/>
      <c r="O205" s="14"/>
      <c r="P205" s="14"/>
      <c r="Q205" s="14"/>
    </row>
    <row r="206" spans="3:17" ht="20.100000000000001" customHeight="1" x14ac:dyDescent="0.25">
      <c r="C206" s="14"/>
      <c r="D206" s="166" t="s">
        <v>358</v>
      </c>
      <c r="E206" s="167"/>
      <c r="F206" s="167"/>
      <c r="G206" s="166">
        <f>SUM(Table_Scope3_SeedsAndSeedlings[Scope 3 emissions inc. custom (t CO2-e)2])</f>
        <v>80151600</v>
      </c>
      <c r="H206" s="165" t="s">
        <v>321</v>
      </c>
      <c r="I206" s="14"/>
      <c r="J206" s="14"/>
      <c r="K206" s="14"/>
      <c r="L206" s="14"/>
      <c r="M206" s="14"/>
      <c r="N206" s="14"/>
      <c r="O206" s="14"/>
      <c r="P206" s="14"/>
      <c r="Q206" s="14"/>
    </row>
    <row r="207" spans="3:17" ht="20.100000000000001" customHeight="1" x14ac:dyDescent="0.25">
      <c r="C207" s="14"/>
      <c r="D207" s="14"/>
      <c r="E207" s="14"/>
      <c r="F207" s="14"/>
      <c r="G207" s="14"/>
      <c r="H207" s="14"/>
      <c r="I207" s="14"/>
      <c r="J207" s="14"/>
      <c r="K207" s="14"/>
      <c r="L207" s="14"/>
      <c r="M207" s="14"/>
      <c r="N207" s="14"/>
      <c r="O207" s="14"/>
      <c r="P207" s="14"/>
      <c r="Q207" s="14"/>
    </row>
    <row r="208" spans="3:17" ht="20.100000000000001" customHeight="1" x14ac:dyDescent="0.25">
      <c r="C208" s="14"/>
      <c r="D208" s="14"/>
      <c r="E208" s="14"/>
      <c r="F208" s="14"/>
      <c r="G208" s="14"/>
      <c r="H208" s="14"/>
      <c r="I208" s="14"/>
      <c r="J208" s="14"/>
      <c r="K208" s="14"/>
      <c r="L208" s="14"/>
      <c r="M208" s="14"/>
      <c r="N208" s="14"/>
      <c r="O208" s="14"/>
      <c r="P208" s="14"/>
      <c r="Q208" s="14"/>
    </row>
    <row r="209" spans="3:17" ht="20.100000000000001" customHeight="1" x14ac:dyDescent="0.25"/>
    <row r="210" spans="3:17" ht="20.100000000000001" customHeight="1" x14ac:dyDescent="0.25"/>
    <row r="211" spans="3:17" ht="20.100000000000001" customHeight="1" x14ac:dyDescent="0.25"/>
    <row r="212" spans="3:17" ht="20.100000000000001" customHeight="1" x14ac:dyDescent="0.25"/>
    <row r="213" spans="3:17" ht="20.100000000000001" customHeight="1" x14ac:dyDescent="0.25"/>
    <row r="214" spans="3:17" ht="20.100000000000001" customHeight="1" x14ac:dyDescent="0.25"/>
    <row r="215" spans="3:17" ht="20.100000000000001" customHeight="1" x14ac:dyDescent="0.25"/>
    <row r="216" spans="3:17" ht="20.100000000000001" customHeight="1" x14ac:dyDescent="0.25"/>
    <row r="217" spans="3:17" ht="20.100000000000001" customHeight="1" x14ac:dyDescent="0.25"/>
    <row r="218" spans="3:17" ht="20.100000000000001" customHeight="1" x14ac:dyDescent="0.25"/>
    <row r="219" spans="3:17" ht="20.100000000000001" customHeight="1" x14ac:dyDescent="0.25"/>
    <row r="220" spans="3:17" ht="20.100000000000001" customHeight="1" x14ac:dyDescent="0.25"/>
    <row r="221" spans="3:17" ht="20.100000000000001" customHeight="1" x14ac:dyDescent="0.25"/>
    <row r="222" spans="3:17" ht="20.100000000000001" customHeight="1" x14ac:dyDescent="0.25"/>
    <row r="223" spans="3:17" ht="20.100000000000001" customHeight="1" x14ac:dyDescent="0.25"/>
    <row r="224" spans="3:17" ht="20.100000000000001" customHeight="1" x14ac:dyDescent="0.25">
      <c r="C224" s="14"/>
      <c r="D224" s="14"/>
      <c r="E224" s="14"/>
      <c r="F224" s="14"/>
      <c r="G224" s="14"/>
      <c r="H224" s="14"/>
      <c r="I224" s="14"/>
      <c r="J224" s="14"/>
      <c r="K224" s="14"/>
      <c r="L224" s="14"/>
      <c r="M224" s="14"/>
      <c r="N224" s="14"/>
      <c r="O224" s="14"/>
      <c r="P224" s="14"/>
      <c r="Q224" s="14"/>
    </row>
    <row r="225" spans="3:17" ht="20.100000000000001" customHeight="1" x14ac:dyDescent="0.25">
      <c r="C225" s="14"/>
      <c r="D225" s="14"/>
      <c r="E225" s="14"/>
      <c r="F225" s="14"/>
      <c r="G225" s="14"/>
      <c r="H225" s="14"/>
      <c r="I225" s="14"/>
      <c r="J225" s="14"/>
      <c r="K225" s="14"/>
      <c r="L225" s="14"/>
      <c r="M225" s="14"/>
      <c r="N225" s="14"/>
      <c r="O225" s="14"/>
      <c r="P225" s="14"/>
      <c r="Q225" s="14"/>
    </row>
    <row r="226" spans="3:17" ht="20.100000000000001" customHeight="1" x14ac:dyDescent="0.25">
      <c r="C226" s="14"/>
      <c r="D226" s="14"/>
      <c r="E226" s="14"/>
      <c r="F226" s="14"/>
      <c r="G226" s="14"/>
      <c r="H226" s="14"/>
      <c r="I226" s="14"/>
      <c r="J226" s="14"/>
      <c r="K226" s="14"/>
      <c r="L226" s="14"/>
      <c r="M226" s="14"/>
      <c r="N226" s="14"/>
      <c r="O226" s="14"/>
      <c r="P226" s="14"/>
      <c r="Q226" s="14"/>
    </row>
    <row r="227" spans="3:17" ht="20.100000000000001" customHeight="1" x14ac:dyDescent="0.25">
      <c r="C227" s="14"/>
      <c r="D227" s="14"/>
      <c r="E227" s="14"/>
      <c r="F227" s="14"/>
      <c r="G227" s="14"/>
      <c r="H227" s="14"/>
      <c r="I227" s="14"/>
      <c r="J227" s="14"/>
      <c r="K227" s="14"/>
      <c r="L227" s="14"/>
      <c r="M227" s="14"/>
      <c r="N227" s="14"/>
      <c r="O227" s="14"/>
      <c r="P227" s="14"/>
      <c r="Q227" s="14"/>
    </row>
    <row r="228" spans="3:17" ht="20.100000000000001" customHeight="1" x14ac:dyDescent="0.25">
      <c r="C228" s="14"/>
      <c r="D228" s="14"/>
      <c r="E228" s="14"/>
      <c r="F228" s="14"/>
      <c r="G228" s="14"/>
      <c r="H228" s="14"/>
      <c r="I228" s="14"/>
      <c r="J228" s="14"/>
      <c r="K228" s="14"/>
      <c r="L228" s="14"/>
      <c r="M228" s="14"/>
      <c r="N228" s="14"/>
      <c r="O228" s="14"/>
      <c r="P228" s="14"/>
      <c r="Q228" s="14"/>
    </row>
    <row r="229" spans="3:17" ht="20.100000000000001" customHeight="1" x14ac:dyDescent="0.25">
      <c r="C229" s="14"/>
      <c r="D229" s="14"/>
      <c r="E229" s="14"/>
      <c r="F229" s="14"/>
      <c r="G229" s="14"/>
      <c r="H229" s="14"/>
      <c r="I229" s="14"/>
      <c r="J229" s="14"/>
      <c r="K229" s="14"/>
      <c r="L229" s="14"/>
      <c r="M229" s="14"/>
      <c r="N229" s="14"/>
      <c r="O229" s="14"/>
      <c r="P229" s="14"/>
      <c r="Q229" s="14"/>
    </row>
    <row r="230" spans="3:17" ht="20.100000000000001" customHeight="1" x14ac:dyDescent="0.25">
      <c r="C230" s="14"/>
      <c r="D230" s="14"/>
      <c r="E230" s="14"/>
      <c r="F230" s="14"/>
      <c r="G230" s="14"/>
      <c r="H230" s="14"/>
      <c r="I230" s="14"/>
      <c r="J230" s="14"/>
      <c r="K230" s="14"/>
      <c r="L230" s="14"/>
      <c r="M230" s="14"/>
      <c r="N230" s="14"/>
      <c r="O230" s="14"/>
      <c r="P230" s="14"/>
      <c r="Q230" s="14"/>
    </row>
    <row r="231" spans="3:17" ht="20.100000000000001" customHeight="1" x14ac:dyDescent="0.25">
      <c r="C231" s="14"/>
      <c r="D231" s="14"/>
      <c r="E231" s="14"/>
      <c r="F231" s="14"/>
      <c r="G231" s="14"/>
      <c r="H231" s="14"/>
      <c r="I231" s="14"/>
      <c r="J231" s="14"/>
      <c r="K231" s="14"/>
      <c r="L231" s="14"/>
      <c r="M231" s="14"/>
      <c r="N231" s="14"/>
      <c r="O231" s="14"/>
      <c r="P231" s="14"/>
      <c r="Q231" s="14"/>
    </row>
    <row r="232" spans="3:17" ht="20.100000000000001" customHeight="1" x14ac:dyDescent="0.25">
      <c r="C232" s="14"/>
      <c r="D232" s="14"/>
      <c r="E232" s="14"/>
      <c r="F232" s="14"/>
      <c r="G232" s="14"/>
      <c r="H232" s="14"/>
      <c r="I232" s="14"/>
      <c r="J232" s="14"/>
      <c r="K232" s="14"/>
      <c r="L232" s="14"/>
      <c r="M232" s="14"/>
      <c r="N232" s="14"/>
      <c r="O232" s="14"/>
      <c r="P232" s="14"/>
      <c r="Q232" s="14"/>
    </row>
    <row r="233" spans="3:17" ht="20.100000000000001" customHeight="1" x14ac:dyDescent="0.25">
      <c r="C233" s="14"/>
      <c r="D233" s="14"/>
      <c r="E233" s="14"/>
      <c r="F233" s="14"/>
      <c r="G233" s="14"/>
      <c r="H233" s="14"/>
      <c r="I233" s="14"/>
      <c r="J233" s="14"/>
      <c r="K233" s="14"/>
      <c r="L233" s="14"/>
      <c r="M233" s="14"/>
      <c r="N233" s="14"/>
      <c r="O233" s="14"/>
      <c r="P233" s="14"/>
      <c r="Q233" s="14"/>
    </row>
    <row r="234" spans="3:17" ht="20.100000000000001" customHeight="1" x14ac:dyDescent="0.25">
      <c r="C234" s="14"/>
      <c r="D234" s="14"/>
      <c r="E234" s="14"/>
      <c r="F234" s="14"/>
      <c r="G234" s="14"/>
      <c r="H234" s="14"/>
      <c r="I234" s="14"/>
      <c r="J234" s="14"/>
      <c r="K234" s="14"/>
      <c r="L234" s="14"/>
      <c r="M234" s="14"/>
      <c r="N234" s="14"/>
      <c r="O234" s="14"/>
      <c r="P234" s="14"/>
      <c r="Q234" s="14"/>
    </row>
    <row r="235" spans="3:17" ht="20.100000000000001" customHeight="1" x14ac:dyDescent="0.25">
      <c r="C235" s="14"/>
      <c r="D235" s="14"/>
      <c r="E235" s="14"/>
      <c r="F235" s="14"/>
      <c r="G235" s="14"/>
      <c r="H235" s="14"/>
      <c r="I235" s="14"/>
      <c r="J235" s="14"/>
      <c r="K235" s="14"/>
      <c r="L235" s="14"/>
      <c r="M235" s="14"/>
      <c r="N235" s="14"/>
      <c r="O235" s="14"/>
      <c r="P235" s="14"/>
      <c r="Q235" s="14"/>
    </row>
    <row r="236" spans="3:17" ht="20.100000000000001" customHeight="1" x14ac:dyDescent="0.25">
      <c r="C236" s="14"/>
      <c r="D236" s="14"/>
      <c r="E236" s="14"/>
      <c r="F236" s="14"/>
      <c r="G236" s="14"/>
      <c r="H236" s="14"/>
      <c r="I236" s="14"/>
      <c r="J236" s="14"/>
      <c r="K236" s="14"/>
      <c r="L236" s="14"/>
      <c r="M236" s="14"/>
      <c r="N236" s="14"/>
      <c r="O236" s="14"/>
      <c r="P236" s="14"/>
      <c r="Q236" s="14"/>
    </row>
    <row r="237" spans="3:17" ht="20.100000000000001" customHeight="1" x14ac:dyDescent="0.25">
      <c r="C237" s="14"/>
      <c r="D237" s="14"/>
      <c r="E237" s="14"/>
      <c r="F237" s="14"/>
      <c r="G237" s="14"/>
      <c r="H237" s="14"/>
      <c r="I237" s="14"/>
      <c r="J237" s="14"/>
      <c r="K237" s="14"/>
      <c r="L237" s="14"/>
      <c r="M237" s="14"/>
      <c r="N237" s="14"/>
      <c r="O237" s="14"/>
      <c r="P237" s="14"/>
      <c r="Q237" s="14"/>
    </row>
    <row r="238" spans="3:17" ht="20.100000000000001" customHeight="1" x14ac:dyDescent="0.25">
      <c r="C238" s="14"/>
      <c r="D238" s="14"/>
      <c r="E238" s="14"/>
      <c r="F238" s="14"/>
      <c r="G238" s="14"/>
      <c r="H238" s="14"/>
      <c r="I238" s="14"/>
      <c r="J238" s="14"/>
      <c r="K238" s="14"/>
      <c r="L238" s="14"/>
      <c r="M238" s="14"/>
      <c r="N238" s="14"/>
      <c r="O238" s="14"/>
      <c r="P238" s="14"/>
      <c r="Q238" s="14"/>
    </row>
    <row r="239" spans="3:17" ht="20.100000000000001" customHeight="1" x14ac:dyDescent="0.25">
      <c r="C239" s="14"/>
      <c r="D239" s="14"/>
      <c r="E239" s="14"/>
      <c r="F239" s="14"/>
      <c r="G239" s="14"/>
      <c r="H239" s="14"/>
      <c r="I239" s="14"/>
      <c r="J239" s="14"/>
      <c r="K239" s="14"/>
      <c r="L239" s="14"/>
      <c r="M239" s="14"/>
      <c r="N239" s="14"/>
      <c r="O239" s="14"/>
      <c r="P239" s="14"/>
      <c r="Q239" s="14"/>
    </row>
    <row r="240" spans="3:17" ht="20.100000000000001" customHeight="1" x14ac:dyDescent="0.25">
      <c r="C240" s="14"/>
      <c r="D240" s="14"/>
      <c r="E240" s="14"/>
      <c r="F240" s="14"/>
      <c r="G240" s="14"/>
      <c r="H240" s="14"/>
      <c r="I240" s="14"/>
      <c r="J240" s="14"/>
      <c r="K240" s="14"/>
      <c r="L240" s="14"/>
      <c r="M240" s="14"/>
      <c r="N240" s="14"/>
      <c r="O240" s="14"/>
      <c r="P240" s="14"/>
      <c r="Q240" s="14"/>
    </row>
    <row r="241" spans="3:17" ht="20.100000000000001" customHeight="1" x14ac:dyDescent="0.25">
      <c r="C241" s="14"/>
      <c r="D241" s="14"/>
      <c r="E241" s="14"/>
      <c r="F241" s="14"/>
      <c r="G241" s="14"/>
      <c r="H241" s="14"/>
      <c r="I241" s="14"/>
      <c r="J241" s="14"/>
      <c r="K241" s="14"/>
      <c r="L241" s="14"/>
      <c r="M241" s="14"/>
      <c r="N241" s="14"/>
      <c r="O241" s="14"/>
      <c r="P241" s="14"/>
      <c r="Q241" s="14"/>
    </row>
    <row r="242" spans="3:17" ht="20.100000000000001" customHeight="1" x14ac:dyDescent="0.25">
      <c r="C242" s="14"/>
      <c r="D242" s="14"/>
      <c r="E242" s="14"/>
      <c r="F242" s="14"/>
      <c r="G242" s="14"/>
      <c r="H242" s="14"/>
      <c r="I242" s="14"/>
      <c r="J242" s="14"/>
      <c r="K242" s="14"/>
      <c r="L242" s="14"/>
      <c r="M242" s="14"/>
      <c r="N242" s="14"/>
      <c r="O242" s="14"/>
      <c r="P242" s="14"/>
      <c r="Q242" s="14"/>
    </row>
    <row r="243" spans="3:17" ht="20.100000000000001" customHeight="1" x14ac:dyDescent="0.25">
      <c r="C243" s="14"/>
      <c r="D243" s="14"/>
      <c r="E243" s="14"/>
      <c r="F243" s="14"/>
      <c r="G243" s="14"/>
      <c r="H243" s="14"/>
      <c r="I243" s="14"/>
      <c r="J243" s="14"/>
      <c r="K243" s="14"/>
      <c r="L243" s="14"/>
      <c r="M243" s="14"/>
      <c r="N243" s="14"/>
      <c r="O243" s="14"/>
      <c r="P243" s="14"/>
      <c r="Q243" s="14"/>
    </row>
    <row r="244" spans="3:17" ht="20.100000000000001" customHeight="1" x14ac:dyDescent="0.25">
      <c r="C244" s="14"/>
      <c r="D244" s="14"/>
      <c r="E244" s="14"/>
      <c r="F244" s="14"/>
      <c r="G244" s="14"/>
      <c r="H244" s="14"/>
      <c r="I244" s="14"/>
      <c r="J244" s="14"/>
      <c r="K244" s="14"/>
      <c r="L244" s="14"/>
      <c r="M244" s="14"/>
      <c r="N244" s="14"/>
      <c r="O244" s="14"/>
      <c r="P244" s="14"/>
      <c r="Q244" s="14"/>
    </row>
    <row r="245" spans="3:17" ht="20.100000000000001" customHeight="1" x14ac:dyDescent="0.25">
      <c r="C245" s="14"/>
      <c r="D245" s="14"/>
      <c r="E245" s="14"/>
      <c r="F245" s="14"/>
      <c r="G245" s="14"/>
      <c r="H245" s="14"/>
      <c r="I245" s="14"/>
      <c r="J245" s="14"/>
      <c r="K245" s="14"/>
      <c r="L245" s="14"/>
      <c r="M245" s="14"/>
      <c r="N245" s="14"/>
      <c r="O245" s="14"/>
      <c r="P245" s="14"/>
      <c r="Q245" s="14"/>
    </row>
    <row r="246" spans="3:17" ht="20.100000000000001" customHeight="1" x14ac:dyDescent="0.25">
      <c r="C246" s="14"/>
      <c r="D246" s="14"/>
      <c r="E246" s="14"/>
      <c r="F246" s="14"/>
      <c r="G246" s="14"/>
      <c r="H246" s="14"/>
      <c r="I246" s="14"/>
      <c r="J246" s="14"/>
      <c r="K246" s="14"/>
      <c r="L246" s="14"/>
      <c r="M246" s="14"/>
      <c r="N246" s="14"/>
      <c r="O246" s="14"/>
      <c r="P246" s="14"/>
      <c r="Q246" s="14"/>
    </row>
    <row r="247" spans="3:17" ht="20.100000000000001" customHeight="1" x14ac:dyDescent="0.25">
      <c r="C247" s="14"/>
      <c r="D247" s="14"/>
      <c r="E247" s="14"/>
      <c r="F247" s="14"/>
      <c r="G247" s="14"/>
      <c r="H247" s="14"/>
      <c r="I247" s="14"/>
      <c r="J247" s="14"/>
      <c r="K247" s="14"/>
      <c r="L247" s="14"/>
      <c r="M247" s="14"/>
      <c r="N247" s="14"/>
      <c r="O247" s="14"/>
      <c r="P247" s="14"/>
      <c r="Q247" s="14"/>
    </row>
    <row r="248" spans="3:17" ht="20.100000000000001" customHeight="1" x14ac:dyDescent="0.25">
      <c r="C248" s="14"/>
      <c r="D248" s="14"/>
      <c r="E248" s="14"/>
      <c r="F248" s="14"/>
      <c r="G248" s="14"/>
      <c r="H248" s="14"/>
      <c r="I248" s="14"/>
      <c r="J248" s="14"/>
      <c r="K248" s="14"/>
      <c r="L248" s="14"/>
      <c r="M248" s="14"/>
      <c r="N248" s="14"/>
      <c r="O248" s="14"/>
      <c r="P248" s="14"/>
      <c r="Q248" s="14"/>
    </row>
    <row r="249" spans="3:17" ht="20.100000000000001" customHeight="1" x14ac:dyDescent="0.25">
      <c r="C249" s="14"/>
      <c r="D249" s="14"/>
      <c r="E249" s="14"/>
      <c r="F249" s="14"/>
      <c r="G249" s="14"/>
      <c r="H249" s="14"/>
      <c r="I249" s="14"/>
      <c r="J249" s="14"/>
      <c r="K249" s="14"/>
      <c r="L249" s="14"/>
      <c r="M249" s="14"/>
      <c r="N249" s="14"/>
      <c r="O249" s="14"/>
      <c r="P249" s="14"/>
      <c r="Q249" s="14"/>
    </row>
  </sheetData>
  <dataValidations disablePrompts="1" count="1">
    <dataValidation type="list" allowBlank="1" showInputMessage="1" showErrorMessage="1" sqref="M78:M82 M92:M96 M106:M108 M118:M133 M143:M150 M198:M203 M175:M177 M160:M165 N62:N68 R9:R33 N43:N52 M187:M188" xr:uid="{EED79F87-0F18-411D-94E0-BF3FA07AB1A0}">
      <formula1>INDIRECT("Table_SourceData_DataScores_Scope3[Data source]")</formula1>
    </dataValidation>
  </dataValidation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workbookViewId="0">
      <selection activeCell="E25" sqref="E25"/>
    </sheetView>
  </sheetViews>
  <sheetFormatPr defaultRowHeight="15.75" x14ac:dyDescent="0.25"/>
  <cols>
    <col min="4" max="4" width="39" customWidth="1"/>
    <col min="5" max="5" width="33.75" customWidth="1"/>
    <col min="6" max="6" width="37.375" customWidth="1"/>
  </cols>
  <sheetData>
    <row r="2" spans="4:8" x14ac:dyDescent="0.25">
      <c r="D2" t="s">
        <v>296</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297</v>
      </c>
    </row>
    <row r="24" spans="4:8" ht="17.25" x14ac:dyDescent="0.25">
      <c r="D24" s="60" t="s">
        <v>138</v>
      </c>
      <c r="E24" s="47" t="s">
        <v>239</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2377.1739141000007</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364.50000000000006</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1215.0000000000002</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3" spans="4:5" x14ac:dyDescent="0.25">
      <c r="D43" t="str">
        <v>Calcium nitrate</v>
      </c>
    </row>
    <row r="44" spans="4:5" x14ac:dyDescent="0.25">
      <c r="D44" t="s">
        <v>298</v>
      </c>
    </row>
    <row r="45" spans="4:5" x14ac:dyDescent="0.25">
      <c r="D45" t="s">
        <v>299</v>
      </c>
      <c r="E45" s="149">
        <f>'Input - Electricity'!E11</f>
        <v>500</v>
      </c>
    </row>
    <row r="46" spans="4:5" x14ac:dyDescent="0.25">
      <c r="D46" t="s">
        <v>300</v>
      </c>
      <c r="E46" t="str">
        <f>'Input - Electricity'!E13</f>
        <v>Western Australia - South West Interconnected System (SWIS)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topLeftCell="N1"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94"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94"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94"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94"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94"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F18" sqref="F1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240</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241</v>
      </c>
      <c r="E9" s="26" t="s">
        <v>242</v>
      </c>
      <c r="F9" s="26" t="s">
        <v>243</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241</v>
      </c>
      <c r="E24" s="65" t="s">
        <v>244</v>
      </c>
      <c r="F24" s="65" t="s">
        <v>245</v>
      </c>
      <c r="G24" s="65" t="s">
        <v>246</v>
      </c>
      <c r="H24" s="65" t="s">
        <v>247</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xADIALAAgADIAOAAsAFwAbgAgAEwAQQBNAEIARABBACgAcgAsAGMALABcAG4AIAAgAEkATgBEAEUAWAAoAHsAXABuAFwAIgBJAG4AYwBsAHUAZABlACAAbwByACAAZQB4AGMAbAB1AGQAZQBcACIALABcACIATgBvAHQAZQBzAFwAIgAsAFwAIgBDAG8AbQBwAGEAbgB5AFwAIgAsAFwAIgBQAHIAbwBkAHUAYwB0ACAATgBhAG0AZQBcACIALABcACIAVQBuAGkAdABcACIALABcACIARABlAG4AcwBpAHQAe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7AFwAbgBcACIASQBuAGMAbAB1AGQAZQBcACIALABcACIAXAAiACwAXAAiAEMAYQBtAHAAYgBlAGwAbABzACAAZgBlAHIAdABpAGwAaQBzAGUAcgBzACAAQQB1AHMAdAByAGEAbABpAGEAXAAiACwAXAAiAEEAcQB1AGEAIABGAGkAbgBpAHMAaA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RwByAG8Adw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TgBpAHQAcgBvACAAQQBO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UwB0AGEAcgB0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VABoAGkAbwAtAEMAbwBtAHAAbABlAHQAZQ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QBtAGUAcgBnAGU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VABoAGkAbwAtAEYAbABvAHUAcgBpAHMAaA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kAbgBjAGwAdQBkAGUAIAAtACAAQQBiAHMAZQBuAHQAIABpAG4AZwByAGUAZABpAGUAbgB0AHMAIAA8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kAbgBjAGwAdQBkAGUAXAAiACwAXAAiAFwAIgAsAFwAIgBDAGEAbQBwAGIAZQBsAGwAcwAgAGYAZQByAHQAaQBsAGkAcwBlAHIAcwAgAEEAdQBzAHQAcgBhAGwAaQBhAFwAIgAsAFwAIgBCAHIAbwBuAHoAZQBcACIALABcACIAawBnAFwAIgAsADE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OwBcAG4AXAAiAEkAbgBjAGwAdQBkAGUAIAAtACAAQQBiAHMAZQBuAHQAIABpAG4AZwByAGUAZABpAGUAbgB0AHMAIAA8ACAAMgAlAFwAIgAsAFwAIgBDAG8AbgB0AHIAbwBsAGwAZQBkACAAcgBlAGwAZQBhAHMAZQAgAE4AIAB0AHIAZQBhAHQAZQBkACAAYQBzACAAZwBlAG4AZQByAGkAYwAs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XABuAH0ALAAgAHIALAAgAGMAKQBcAG4AKQApACkAOwBcAG4AXABuAC8AKgBcAG4ARgBlAHIAdABpAGwAaQBzAGUAcgBfAFAAcgBvAGQAdQBjAHQAcwBfAEQAYQB0AGEAMgBcAG4APQBMAEEATQBCAEQAQQAoAFwAbgAgAE0AQQBLAEUAQQBSAFIAQQBZACgANgAsACAAMgA4ACwAXABuACAATABBAE0AQgBEAEEAKAByACwAYwAsAFwAbgAgACAASQBOAEQARQBYACgAewBcAG4AXAAiAEUAeABjAGwAdQBkAGUAIAAtACAAQQBiAHMAZQBuAHQAIABpAG4AZwByAGUAZABpAGUAbgB0AHMAIAA+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D4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A8ACAAMgAlAFwAIgAsAFwAIgBDAG8AbgB0AHIAbwBsAGwAZQBkACAAcgBlAGwAZQBhAHMAZQAgAE4AIAB0AHIAZQBhAHQAZQBkACAAYQBzACAAZwBlAG4AZQByAGkAYwBcACIALABcACIAXAAiACwAXAAiAEMAYQBtAHAAYgBlAGwAbABzACAAZgBlAHIAdABpAGwAaQBzAGUAcgBzACAAQQB1AHMAdAByAGEAbABpAGEAXAAiACwAXAAiAEMAbwBSAG8ATgAgADEAMgAtADAALQAxADAAXAAiACwAXAAiAEwAXAAiACwAMQAuADIAMQA1ACwAXAAiAFwAIgAsAFwAIgBOAGkAdAByAG8AZwBlAG4AIAAtACAAVQByAGUAaQBjAFwAIgAsADAALgAwADk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XABuACAAIAB9ACwAIAByACwAIABjACkAXABuACkAKQApADsAXABuAFwAbgBcAG4ARgBlAHIAdABpAGwAaQBzAGUAcgBfAFAAcgBvAGQAdQBjAHQAcwBfAEQAYQB0AGEAMwBcAG4APQBMAEEATQBCAEQAQQAoAFwAbgAgAE0AQQBLAEUAQQBSAFIAQQBZACgAMgAwACwAIAAzADUALABcAG4AIABMAEEATQBCAEQAQQAoAHIALABjACwAXABuACAAIABJAE4ARABFAFgAKAB7AFwAbgBcACIAUgB1AHMAdABpAGMAYQAgAE4AZQByAGcAZQB0AGkAYwBcACIALABcACIAawBnAFwAIgAsADEALABcACIAUABvAHQAYQBzAHMAaQB1AG0AIAAtACAARwBlAG4AZQByAGkAYwBcACIALAAwAC4AMQA0ADE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kANgAsAFwAIgBMAG8AYwBhAHQAaQBvAG4AIABuAG8AdAAgAHMAcABlAGMAaQBmAGkAZQBkAFwAIgAsAFwAIgBQAGgAbwBzAHAAaABvAHIAdQBzACAALQAgAEcAZQBuAGUAcgBpAGMAXAAiACwAMAAuADAANQAyACwAXAAiAEwAbwBjAGEAdABpAG8AbgAgAG4AbwB0ACAAcwBwAGUAYwBpAGYAaQBlAGQAXAAiACwAXAAiAE0AYQBnAG4AZQBzAGkAdQBtACAALQAgAGcAZQBuAGUAcgBpAGMAXAAiACwAMAAuADAAMQAyACwAXAAiAEwAbwBjAGEAdABpAG8AbgAgAG4AbwB0ACAAcwBwAGUAYwBpAGYAaQBlAGQAXAAiACwAXAAiAFoAaQBuAGMAIAAtACAARwBlAG4AZQByAGkAYwBcACIALAAwAC4AMAAwADA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gAsAFwAIgBMAG8AYwBhAHQAaQBvAG4AIABuAG8AdAAgAHMAcABlAGMAaQBmAGkAZQBkAFwAIgAsAFwAIgBCAG8AcgBvAG4AIAAtACAAZwBlAG4AZQByAGkAYwBcACIALAAwAC4AMAAwADAAMgAsAFwAIgBMAG8AYwBhAHQAaQBvAG4AIABuAG8AdAAgAHMAcABlAGMAaQBmAGkAZQBkAFwAIgAsAFwAIgBcACIALABcACIAXAAiACwAXAAiAFwAIgA7AFwAbgBcACIAUwBFAFQAbgBTAEkAWgBFAFwAIgAsAFwAIgBMAFwAIgAsADEALgAzACwAXAAiAFAAbwB0AGEAcwBzAGkAdQBtACAALQAgAEcAZQBuAGUAcgBpAGMAXAAiACwAMAAuADAANwA5ADIALABcACIATABvAGMAYQB0AGkAbwBuACAAbgBvAHQAIABzAHAAZQBjAGkAZgBpAGUAZABcACIALABcACIAUABoAG8AcwBwAGgAbwByAHUAcwAgAC0AIABHAGUAbgBlAHIAaQBjAFwAIgAsADAALgAwADYAMAA1ACwAXAAiAEwAbwBjAGEAdABpAG8AbgAgAG4AbwB0ACAAcwBwAGUAYwBpAGYAaQBlAGQAXAAiACwAXAAiAE4AaQB0AHIAbwBnAGUAbgAgAC0AIABHAGUAbgBlAHIAaQBjAFwAIgAsADAALgAwADEAMAA4ACwAXAAiAEwAbwBjAGEAdABpAG8AbgAgAG4AbwB0ACAAcwBwAGUAYwBpAGYAaQBlAGQAXAAiACwAXAAiAFoAaQBuAGMAIAAtACAARwBlAG4AZQByAGkAYwBcACIALAAwAC4AMAAxADAANwAsAFwAIgBMAG8AYwBhAHQAaQBvAG4AIABuAG8AdAAgAHMAcABlAGMAaQBmAGkAZQBkAFwAIgAsAFwAIgBNAGEAZwBuAGUAcwBpAHUAbQAgAC0AIABnAGUAbgBlAHIAaQBjAFwAIgAsADAALgAwADEAMAA0ACwAXAAiAEwAbwBjAGEAdABpAG8AbgAgAG4AbwB0ACAAcwBwAGUAYwBpAGYAaQBlAGQAXAAiACwAXAAiAE0AYQBuAGcAYQBuAGUAcwBlACAALQAgAEcAZQBuAGUAcgBpAGMAXAAiACwAMAAuADAAMAA3ADUALABcACIATABvAGMAYQB0AGkAbwBuACAAbgBvAHQAIABzAHAAZQBjAGkAZgBpAGUAZABcACIALABcACIAUwB1AGwAZgB1AHIAIAAtACAARwBlAG4AZQByAGkAYwBcACIALAAwAC4AMAAwADUANAAsAFwAIgBMAG8AYwBhAHQAaQBvAG4AIABuAG8AdAAgAHMAcABlAGMAaQBmAGkAZQBkAFwAIgAsAFwAIgBDAG8AYgBhAGwAdAAgAC0AIABnAGUAbgBlAHIAaQBjAFwAIgAsADAALgAwADAAMQA4ACwAXAAiAEwAbwBjAGEAdABpAG8AbgAgAG4AbwB0ACAAcwBwAGUAYwBpAGYAaQBlAGQAXAAiACwAXAAiAEkAcgBvAG4AIAAtACAAZwBlAG4AZQByAGkAYwBcACIALAAwAC4AMAAwADEANQAsAFwAIgBMAG8AYwBhAHQAaQBvAG4AIABuAG8AdAAgAHMAcABlAGMAaQBmAGkAZQBkAFwAIgAsAFwAIgBDAG8AcABwAGUAcgAgAC0AIABnAGUAbgBlAHIAaQBjAFwAIgAsADAALgAwADAAMQAxACwAXAAiAEwAbwBjAGEAdABpAG8AbgAgAG4AbwB0ACAAcwBwAGUAYwBpAGYAaQBlAGQAXAAiADsAXABuAFwAIgBTAE8AQQBcACIALABcACIAawBnAFwAIgAsADEALABcACIATgBpAHQAcgBvAGcAZQBuACAALQAgAEEAbQBtAG8AbgBpAGEAYwBhAGwAXAAiACwAMAAuADIAMQAsAFwAIgBMAG8AYwBhAHQAaQBvAG4AIABuAG8AdAAgAHMAcABlAGMAaQBmAGkAZQBkAFwAIgAsAFwAIgBTAHUAbABmAHUAcgAgAC0AIABHAGUAbgBlAHIAaQBjAFwAIgAsADAALgAy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LAFAAXAAiACwAXAAiAGsAZwBcACIALAAxACwAXAAiAFAAaABvAHMAcABoAG8AcgB1AHMAIAAtACAARwBlAG4AZQByAGkAYwBcACIALAAwAC4AMgAyADcALABcACIATABvAGMAYQB0AGkAbwBuACAAbgBvAHQAIABzAHAAZQBjAGkAZgBpAGUAZABcACIALABcACIAUABvAHQAYQBzAHMAaQB1AG0AIAAtACAARwBlAG4AZQByAGkAYwBcACIALAAwAC4AMgA4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TAGEAbQBcACIALABcACIAawBnAFwAIgAsADEALABcACIATgBpAHQAcgBvAGcAZQBuACAALQAgAEEAbQBtAG8AbgBpAGEAYwBhAGwAXAAiACwAMAAuADIAMAA4ACwAXAAiAEwAbwBjAGEAdABpAG8AbgAgAG4AbwB0ACAAcwBwAGUAYwBpAGYAaQBlAGQAXAAiACwAXAAiAFMAdQBsAGYAdQByACAALQAgAEcAZQBuAGUAcgBpAGMAXAAiACwAMAAuADIAMw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WgBpAG4AYwBcACIALABcACIAawBnAFwAIgAsADEALABcACIAWgBpAG4AYwAgAC0AIABHAGUAbgBlAHIAaQBjAFwAIgAsADAALgAyADEALABcACIATABvAGMAYQB0AGkAbwBuACAAbgBvAHQAIABzAHAAZQBjAGkAZgBpAGUAZABcACIALABcACIAUwB1AGwAZgB1AHIAIAAtACAARwBlAG4AZQByAGkAYwBcACIALAAwAC4AMQAw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LAFwAIgAsAFwAIgBMAFwAIgAsADEALgA0ADcALABcACIAUABvAHQAYQBzAHMAaQB1AG0AIAAtACAARwBlAG4AZQByAGkAYwBcACIALAAwAC4AMwAsAFwAIgBMAG8AYwBhAHQAaQBvAG4AIABuAG8AdAAgAHMAcABlAGMAaQBmAGkAZQBkAFwAIgAsAFwAIgBTAHUAbABmAHUAcgAgAC0AIABHAGUAbgBlAHIAaQBjAFwAIgAsADAALgAy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FwAIgAsAFwAIgBMAFwAIgAsADEALgAzADIALABcACIATgBpAHQAcgBvAGcAZQBuACAALQAgAEcAZQBuAGUAcgBpAGMAXAAiACwAMAAuADMANwAy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IABQAGwAdQBzAFwAIgAsAFwAIgBMAFwAIgAsADEALgAzADIALABcACIATgBpAHQAcgBvAGcAZQBuACAALQAgAEcAZQBuAGUAcgBpAGMAXAAiACwAMAAuADMANgA0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FMAdQBsAFwAIgAsAFwAIgBMAFwAIgAsADEALgAzADUALABcACIAUwB1AGwAZgB1AHIAIAAtACAARwBlAG4AZQByAGkAYwBcACIALAAwAC4AMwA1ACwAXAAiAEwAbwBjAGEAdABpAG8AbgAgAG4AbwB0ACAAcwBwAGUAYwBpAGYAaQBlAGQAXAAiACwAXAAiAE4AaQB0AHIAbwBnAGUAbgAgAC0AIABBAG0AbQBvAG4AaQBhAGMAYQBsAFwAIgAsADAALgAxADY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UAQQBTAFwAIgAsAFwAIgBMAFwAIgAsADEALgAyADMANQAsAFwAIgBOAGkAdAByAG8AZwBlAG4AIAAtACAARwBlAG4AZQByAGkAYwBcACIALAAwAC4AMgAwADkALABcACIATABvAGMAYQB0AGkAbwBuACAAbgBvAHQAIABzAHAAZQBjAGkAZgBpAGUAZABcACIALABcACIAUwB1AGwAZgB1AHIAIAAtACAARwBlAG4AZQByAGkAYwBcACIALAAwAC4AMAA2ADcALABcACIATABvAGMAYQB0AGkAbwBuACAAbgBvAHQAIABzAHAAZQBjAGkAZgBpAGUAZABcACIALABcACIATgBpAHQAcgBvAGcAZQBuACAALQAgAEEAbQBtAG8AbgBpAGEAYwBhAGwAXAAiACwAMAAuADAANQ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CAATABpAHEAdQBpAGQAcwAgAE4ALQBGAE8ATAAgADIANAArAFQARQBcACIALABcACIAawBnAFwAIgAsADEALABcACIATgBpAHQAcgBvAGcAZQBuACAALQAgAEcAZQBuAGUAcgBpAGMAXAAiACwAMAAuADEAOQAsAFwAIgBMAG8AYwBhAHQAaQBvAG4AIABuAG8AdAAgAHMAcABlAGMAaQBmAGkAZQBkAFwAIgAsAFwAIgBQAG8AdABhAHMAcwBpAHUAbQAgAC0AIABHAGUAbgBlAHIAaQBjAFwAIgAsADAALgAxADYANgAsAFwAIgBMAG8AYwBhAHQAaQBvAG4AIABuAG8AdAAgAHMAcABlAGMAaQBmAGkAZQBkAFwAIgAsAFwAIgBTAHUAbABmAHUAcgAgAC0AIABHAGUAbgBlAHIAaQBjAFwAIgAsADAALgAwADMALABcACIATABvAGMAYQB0AGkAbwBuACAAbgBvAHQAIABzAHAAZQBjAGkAZgBpAGUAZABcACIALABcACIAUABoAG8AcwBwAGgAbwByAHUAcwAgAC0AIABHAGUAbgBlAHIAaQBjAFwAIgAsADAALgAwADIAN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IABVAG4AaQBrAGEAIABQAGwAdQBzAFwAIgAsAFwAIgBrAGcAXAAiACwAMQAsAFwAIgBQAG8AdABhAHMAcwBpAHUAbQAgAC0AIABHAGUAbgBlAHIAaQBjAFwAIgAsADAALgAzADgAMg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E0AaQBsAGEAIAAyADEALQA3AC0AMwAoADQAKQBcACIALABcACIAawBnAFwAIgAsADEALABcACIATgBpAHQAcgBvAGcAZQBuACAALQAgAEcAZQBuAGUAcgBpAGMAXAAiACwAMAAuADIAMQAsAFwAIgBMAG8AYwBhAHQAaQBvAG4AIABuAG8AdAAgAHMAcABlAGMAaQBmAGkAZQBkAFwAIgAsAFwAIgBQAGgAbwBzAHAAaABvAHIAdQBzACAALQAgAEcAZQBuAGUAcgBpAGMAXAAiACwAMAAuADAANwA0ACwAXAAiAEwAbwBjAGEAdABpAG8AbgAgAG4AbwB0ACAAcwBwAGUAYwBpAGYAaQBlAGQAXAAiACwAXAAiAFMAdQBsAGYAdQByACAALQAgAEcAZQBuAGUAcgBpAGMAXAAiACwAMAAuADAANAAsAFwAIgBMAG8AYwBhAHQAaQBvAG4AIABuAG8AdAAgAHMAcABlAGMAaQBmAGkAZQBkAFwAIgAsAFwAIgBQAG8AdABhAHMAcwBpAHUAbQAgAC0AIABHAGUAbgBlAHIAaQBjAFwAIgAsADAALgAwADIANQAsAFwAIgBMAG8AYwBhAHQAaQBvAG4AIABuAG8AdAAgAHMAcABlAGMAaQBmAGkAZQBkAFwAIgAsAFwAIgBNAGEAZwBuAGUAcwBpAHUAbQAgAC0AIABnAGUAbgBlAHIAaQBjAFwAIgAsADAALgAwADAANAAsAFwAIgBMAG8AYwBhAHQAaQBvAG4AIABuAG8AdAAgAHMAcABlAGMAaQBmAGkAZQBkAFwAIgAsAFwAIgBaAGkAbgBjACAALQAgAEcAZQBuAGUAcgBpAGMAXAAiACwAMAAuADAAMAAxADUALABcACIATABvAGMAYQB0AGkAbwBuACAAbgBvAHQAIABzAHAAZQBjAGkAZgBpAGUAZABcACIALABcACIAXAAiACwAXAAiAFwAIgAsAFwAIgBcACIALABcACIAXAAiACwAXAAiAFwAIgAsAFwAIgBcACIALABcACIAXAAiACwAXAAiAFwAIgAsAFwAIgBcACIALABcACIAXAAiACwAXAAiAFwAIgAsAFwAIgBcACIAOwBcAG4AXAAiAFkAYQByAGEAUgBlAGcAYQAgADEAMwAtADIALQAyADEAXAAiACwAXAAiAGsAZwBcACIALAAxACwAXAAiAFAAbwB0AGEAcwBzAGkAdQBtACAALQAgAEcAZQBuAGUAcgBpAGMAXAAiACwAMAAuADIAMQAsAFwAIgBMAG8AYwBhAHQAaQBvAG4AIABuAG8AdAAgAHMAcABlAGMAaQBmAGkAZQBkAFwAIgAsAFwAIgBTAHUAbABmAHUAcgAgAC0AIABHAGUAbgBlAHIAaQBjAFwAIgAsADAALgAxADAAOAAsAFwAIgBMAG8AYwBhAHQAaQBvAG4AIABuAG8AdAAgAHMAcABlAGMAaQBmAGkAZQBkAFwAIgAsAFwAIgBOAGkAdAByAG8AZwBlAG4AIAAtACAAQQBtAG0AbwBuAGkAYQBjAGEAbABcACIALAAwAC4AMAA3ADcALABcACIATABvAGMAYQB0AGkAbwBuACAAbgBvAHQAIABzAHAAZQBjAGkAZgBpAGUAZABcACIALABcACIATgBpAHQAcgBvAGcAZQBuACAAZgByAG8AbQAgAE4AaQB0AHIAYQB0AGUAXAAiACwAMAAuADAANQAzACwAXAAiAEwAbwBjAGEAdABpAG8AbgAgAG4AbwB0ACAAcwBwAGUAYwBpAGYAaQBlAGQAXAAiACwAXAAiAFAAaABvAHMAcABoAG8AcgB1AHMAIAAtACAARwBlAG4AZQByAGkAYwBcACIALAAwAC4AMAAxADcANQAsAFwAIgBMAG8AYwBhAHQAaQBvAG4AIABuAG8AdAAgAHMAcABlAGMAaQBmAGkAZQBkAFwAIgAsAFwAIgBNAGEAZwBuAGUAcwBpAHUAbQAgAC0AIABnAGUAbgBlAHIAaQBjAFwAIgAsADAALgAwADAANAAsAFwAIgBMAG8AYwBhAHQAaQBvAG4AIABuAG8AdAAgAHMAcABlAGMAaQBmAGkAZQBkAFwAIgAsAFwAIgBCAG8AcgBvAG4AIAAtACAAZwBlAG4AZQByAGkAYwBcACIALAAwAC4AMAAwADAAOAAsAFwAIgBMAG8AYwBhAHQAaQBvAG4AIABuAG8AdAAgAHMAcABlAGMAaQBmAGkAZQBkAFwAIgAsAFwAIgBaAGkAbgBjACAALQAgAEcAZQBuAGUAcgBpAGMAXAAiACwAMAAuADAAMAAwADgALABcACIATABvAGMAYQB0AGkAbwBuACAAbgBvAHQAIABzAHAAZQBjAGkAZgBpAGUAZABcACIALABcACIAXAAiACwAXAAiAFwAIgAsAFwAIgBcACIALABcACIAXAAiACwAXAAiAFwAIgAsAFwAIgBcACIAOwBcAG4AXAAiAFkAYQByAGEAUgBlAGcAYQAgADkALQAwAC0AMwAwACAAKAAxADQAKQBcACIALABcACIAawBnAFwAIgAsADEALABcACIAUABvAHQAYQBzAHMAaQB1AG0AIAAtACAARwBlAG4AZQByAGkAYwBcACIALAAwAC4AMwAsAFwAIgBMAG8AYwBhAHQAaQBvAG4AIABuAG8AdAAgAHMAcABlAGMAaQBmAGkAZQBkAFwAIgAsAFwAIgBTAHUAbABmAHUAcgAgAC0AIABHAGUAbgBlAHIAaQBjAFwAIgAsADAALgAxADQALABcACIATABvAGMAYQB0AGkAbwBuACAAbgBvAHQAIABzAHAAZQBjAGkAZgBpAGUAZABcACIALABcACIATgBpAHQAcgBvAGcAZQBuACAALQAgAEEAbQBtAG8AbgBpAGEAYwBhAGwAXAAiACwAMAAuADAANAA1ACwAXAAiAEwAbwBjAGEAdABpAG8AbgAgAG4AbwB0ACAAcwBwAGUAYwBpAGYAaQBlAGQAXAAiACwAXAAiAE4AaQB0AHIAbwBnAGUAbgAgAGYAcgBvAG0AIABOAGkAdAByAGEAdABlAFwAIgAsADAALgAwADQ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LACAAUABMAFUAUwBcACIALABcACIAawBnAFwAIgAsADEALABcACIATgBpAHQAcgBvAGcAZQBuACAALQAgAEcAZQBuAGUAcgBpAGMAXAAiACwAMAAuADEAMwA3ACwAXAAiAEwAbwBjAGEAdABpAG8AbgAgAG4AbwB0ACAAcwBwAGUAYwBpAGYAaQBlAGQAXAAiACwAXAAiAFAAbwB0AGEAcwBzAGkAdQBtACAALQAgAEcAZQBuAGUAcgBpAGMAXAAiACwAMAAuADMAO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LAFAAXAAiACwAXAAiAGsAZwBcACIALAAxACwAXAAiAFAAbwB0AGEAcwBzAGkAdQBtACAALQAgAEcAZQBuAGUAcgBpAGMAXAAiACwAMAAuADIAOAAyACwAXAAiAEwAbwBjAGEAdABpAG8AbgAgAG4AbwB0ACAAcwBwAGUAYwBpAGYAaQBlAGQAXAAiACwAXAAiAFAAaABvAHMAcABoAG8AcgB1AHMAIAAtACAARwBlAG4AZQByAGkAYwBcACIALAAwAC4AMgAy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FwAbgBGAGUAcgB0AGkAbABpAHMAZQByAF8AUAByAG8AZAB1AGMAdABzAF8ARABhAHQAYQA0AFwAbgA9AEwAQQBNAEIARABBACgAXABuACAATQBBAEsARQBBAFIAUgBBAFkAKAA1ACwAIAAzADUALABcAG4AIABMAEEATQBCAEQAQQAoAHIALABjACwAXABuACAAIABJAE4ARABFAFgAKAB7AFwAbgBcACIAWQBhAHIAYQBUAGUAcgBhACAASwBSAEkAUwBUAEEATABPAE4AIABSAEUARABcACIALABcACIAawBnAFwAIgAsADEALABcACIAUABvAHQAYQBzAHMAaQB1AG0AIAAtACAARwBlAG4AZQByAGkAYwBcACIALAAwAC4AMgA5ADgAOAAsAFwAIgBMAG8AYwBhAHQAaQBvAG4AIABuAG8AdAAgAHMAcABlAGMAaQBmAGkAZQBkAFwAIgAsAFwAIgBOAGkAdAByAG8AZwBlAG4AIAAtACAARwBlAG4AZQByAGkAYwBcACIALAAwAC4AMQAyACwAXAAiAEwAbwBjAGEAdABpAG8AbgAgAG4AbwB0ACAAcwBwAGUAYwBpAGYAaQBlAGQAXAAiACwAXAAiAFAAaABvAHMAcABoAG8AcgB1AHMAIAAtACAARwBlAG4AZQByAGkAYwBcACIALAAwAC4AMAA1ADIANAA0ACwAXAAiAEwAbwBjAGEAdABpAG8AbgAgAG4AbwB0ACAAcwBwAGUAYwBpAGYAaQBlAGQAXAAiACwAXAAiAFMAdQBsAGYAdQByACAALQAgAEcAZQBuAGUAcgBpAGMAXAAiACwAMAAuADAAMQAsAFwAIgBMAG8AYwBhAHQAaQBvAG4AIABuAG8AdAAgAHMAcABlAGMAaQBmAGkAZQBkAFwAIgAsAFwAIgBNAGEAZwBuAGUAcwBpAHUAbQAgAC0AIABnAGUAbgBlAHIAaQBjAFwAIgAsADAALgAwADAANgAwADM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QAZQByAGEAIABLAFIASQBTAFQAQQBMAE8ATgAgAFMAUABFAEMASQBBAEwAXAAiACwAXAAiAGsAZwBcACIALAAxACwAXAAiAE4AaQB0AHIAbwBnAGUAbgAgAC0AIABHAGUAbgBlAHIAaQBjAFwAIgAsADAALgAxADgALABcACIATABvAGMAYQB0AGkAbwBuACAAbgBvAHQAIABzAHAAZQBjAGkAZgBpAGUAZABcACIALABcACIAUABvAHQAYQBzAHMAaQB1AG0AIAAtACAARwBlAG4AZQByAGkAYwBcACIALAAwAC4AMQA0ADkALABcACIATABvAGMAYQB0AGkAbwBuACAAbgBvAHQAIABzAHAAZQBjAGkAZgBpAGUAZABcACIALABcACIAUABoAG8AcwBwAGgAbwByAHUAcwAgAC0AIABHAGUAbgBlAHIAaQBjAFwAIgAsADAALgAwADcAOQAsAFwAIgBMAG8AYwBhAHQAaQBvAG4AIABuAG8AdAAgAHMAcABlAGMAaQBmAGkAZQBkAFwAIgAsAFwAIgBTAHUAbABmAHUAcgAgAC0AIABHAGUAbgBlAHIAaQBjAFwAIgAsADAALgAwADI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YAaQB0AGEAIABHAGwAeQB0AHIAZQBsACAAWgBuAFAAXAAiACwAXAAiAEwAXAAiACwAMQAuADMANQA0ACwAXAAiAFoAaQBuAGMAIAAtACAARwBlAG4AZQByAGkAYwBcACIALAAwAC4AMQAsAFwAIgBMAG8AYwBhAHQAaQBvAG4AIABuAG8AdAAgAHMAcABlAGMAaQBmAGkAZQBkAFwAIgAsAFwAIgBQAGgAbwBzAHAAaABvAHIAdQBzACAALQAgAEcAZQBuAGUAcgBpAGMAXAAiACwAMAAuADAAN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YAaQB0AGEAIABaAGkAbgB0AHIAYQBjAFwAIgAsAFwAIgBMAFwAIgAsADEALgA3ADMANAAsAFwAIgBaAGkAbgBjACAALQAgAEcAZQBuAGUAcgBpAGMAXAAiACwAMAAuADcALABcACIATABvAGMAYQB0AGkAbwBuACAAbgBvAHQAIABzAHAAZQBjAGkAZgBpAGUAZABcACIALABcACIATgBpAHQAcgBvAGcAZQBuACAALQAgAEcAZQBuAGUAcgBpAGMAXAAiACwAMAAuADAAMQ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aAGkAbgBjAFMAdABhAHIAXAAiACwAXAAiAGsAZwBcACIALAAxACwAXAAiAE4AaQB0AHIAbwBnAGUAbgAgAC0AIABBAG0AbQBvAG4AaQBhAGMAYQBsAFwAIgAsADAALgAxACwAXAAiAEwAbwBjAGEAdABpAG8AbgAgAG4AbwB0ACAAcwBwAGUAYwBpAGYAaQBlAGQAXAAiACwAXAAiAFAAaABvAHMAcABoAG8AcgB1AHMAIAAtACAARwBlAG4AZQByAGkAYwBcACIALAAwAC4AMgAyACwAXAAiAEwAbwBjAGEAdABpAG8AbgAgAG4AbwB0ACAAcwBwAGUAYwBpAGYAaQBlAGQAXAAiACwAXAAiAFMAdQBsAGYAdQByACAALQAgAEcAZQBuAGUAcgBpAGMAXAAiACwAMAAuADAAMgAsAFwAIgBMAG8AYwBhAHQAaQBvAG4AIABuAG8AdAAgAHMAcABlAGMAaQBmAGkAZQBkAFwAIgAsAFwAIgBaAGkAbgBjACAALQAgAEcAZQBuAGUAcgBpAGMAXAAiACwAMAAuADAAM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KgAv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UAByAG8AZAB1AGMAdAAsACAAUAByAG8AZAB1AGMAdABBAHQAdAByAGkAYgB1AHQAZQAsACAAUAByAG8AZAB1AGMAdABBAHIAcgBhAHkALAAgAFAAcgBvAGQAdQBjAHQAQQByAHIAYQB5AEMAbwBsAHUAbQBuACwAIABQAHIAbwBkAHUAYwB0AEEAcgByAGEAeQBIAGUAYQBkAGUAcgBzACwAXABuACAAIABJAEYARQBSAFIATwBSACgAXABuACAAIAAgACAASQBOAEQARQBYACgAXABuACAAIAAgACAAIAAgAFAAcgBvAGQAdQBjAHQAQQByAHIAYQB5ACwAXABuACAAIAAgACAAIAAgAFgATQBBAFQAQwBIACgAVABSAEkATQAoAFAAcgBvAGQAdQBjAHQAKQAsACAAUAByAG8AZAB1AGMAdABBAHIAcgBhAHkAQwBvAGwAdQBtAG4ALAAgADAAKQAsAFwAbgAgACAAIAAgACAAIABYAE0AQQBUAEMASAAoAFQAUgBJAE0AKABQAHIAbwBkAHUAYwB0AEEAdAB0AHIAaQBiAHUAdABlACkALAAgAFAAcgBvAGQAdQBjAHQAQQByAHIAYQB5AEgAZQBhAGQAZQByAHMALAAgADAAKQBcAG4AIAAgACAAIAApACwAXABuACAAIAAgACAAXAAiAFwAIgBcAG4AIAAgACkAXABuACkAOwBcAG4AXABuAFwAbgBGAGUAcgB0AGkAbABpAHMAZQByAF8AUwB1AG0AUAByAG8AZAB1AGMAdABBAHAAcABsAGkAZQBkAFwAbgA9AEwAQQBNAEIARABBACgAXABuACAAIABMAG8AbwBrAHUAcABUAGEAcgBnAGUAdAAxACwATABvAG8AawB1AHAAQQByAHIAYQB5ADEALABBAG0AbwB1AG4AdABBAHAAcABsAGkAZQBkACwAWwBMAG8AbwBrAHUAcABUAGEAcgBnAGUAdAAyAF0ALABbAEwAbwBvAGsAdQBwAEEAcgByAGEAeQAyAF0ALABcAG4AIAAgAEwARQBUACgAXABuACAAIAAgACAAYwByAGkAdABlAHIAaQBhADEALAAtAC0AKABMAG8AbwBrAHUAcABBAHIAcgBhAHkAMQA9AEwAbwBvAGsAdQBwAFQAYQByAGcAZQB0ADEAKQAsAFwAbgAgACAAIAAgAGMAcgBpAHQAZQByAGkAYQAyACwASQBGACgASQBTAE8ATQBJAFQAVABFAEQAKABMAG8AbwBrAHUAcABUAGEAcgBnAGUAdAAyACkALAAxACwALQAtACgATABvAG8AawB1AHAAQQByAHIAYQB5ADIAPQBMAG8AbwBrAHUAcABUAGEAcgBnAGUAdAAyACkAKQAsAFwAbgAgACAAIAAgAFMAVQBNAFAAUgBPAEQAVQBDAFQAKABjAHIAaQB0AGUAcgBpAGEAMQAqAGMAcgBpAHQAZQByAGkAYQAyACoAQQBtAG8AdQBuAHQAQQBwAHAAbABpAGUAZAApAFwAbgAgACAAKQBcAG4AKQA7AFwAbgBcAG4ARgBlAHIAdABpAGwAaQBzAGUAcgBfAFQAbwB0AGEAbABTAG8AaQBsAEEAbQBlAG4AZABtAGUAbgB0AEEAcABwAGwAaQBlAGQAXABuAD0ATABBAE0AQgBEAEEAKABcAG4AIAAgAEEAbQBvAHUAbgB0AEEAcABwAGwAaQBlAGQALAAgAEEAbQBlAG4AZABtAGUAbgB0AFAAZQByAGMAZQBuAHQALABcAG4AIAAgAFMAVQBNAFAAUgBPAEQAVQBDAFQAKABBAG0AbwB1AG4AdABBAHAAcABsAGkAZQBkACAAKgAgAEEAbQBlAG4AZABtAGUAbgB0AFAAZQByAGMAZQBuAHQAKQBcAG4AKQA7AFwAbgBcAG4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BcAG4AIAAgACAAIA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BcAG4AIAAgACAAIABQAHIAbwBkAHUAYwB0AEkAbgBnAHIAZQBkAGkAZQBuAHQAUwBvAHUAcgBjAGUALAAgAEkARgAoAFAAcgBvAGQAdQBjAHQASQBuAGcAcgBlAGQAaQBlAG4AdABTAG8AdQByAGMAZQA9AFwAIgBcACIALAAgAFwAIgBHAGwAbwBiAGEAbABcACIALAAgAFAAcgBvAGQAdQBjAHQASQBuAGcAcgBlAGQAaQBlAG4AdABTAG8AdQByAGMAZQApACwAXABuACAAIAAgACAARgBlAHIAdABpAGwAaQBzAGUAcgBfAFMAdQBtAFAAcgBvAGQAdQBjAHQAQQBwAHAAbABpAGUAZAAoAFwAbgAgACAAIAAgACAAIABDAGgAZQBtAGkAYwBhAGwAQwBvAG0AcABvAHUAbgBkACwAIABQAHIAbwBkAHUAYwB0AEkAbgBnAHIAZQBkAGkAZQBuAHQAMQAsACAAYwBhAGwAYwB1AGwAYQB0AGUAZABBAG0AbwB1AG4AdAAxACwAIABTAG8AdQByAGMAZQAsACAAUAByAG8AZAB1AGMAdABJAG4AZwByAGUAZABpAGUAbgB0AFMAbwB1AHIAYwBl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UwBvAHUAcgBjAGUAXABuACAAIAAgACAAKQAsACAAMAApAFwAbgAgACAAKQBcAG4AKQA7AFwAbgBcAG4ARgBlAHIAdABpAGwAaQBzAGUAcgBfAEcAZQB0AFMAYwBvAHAAZQAzAEUARgBcAG4APQBMAEEATQBCAEQAQQAoAFwAbgAgACAAIAAgAEMAaABlAG0AaQBjAGEAbABDAG8AbQBwAG8AdQBuAGQALAAgAFMAYwBvAHAAZQAzAEEAcgByAGEAeQAsACAAQwBoAGUAbQBpAGMAYQBsAEMAbwBtAHAAbwB1AG4AZABDAG8AbAB1AG0AbgAsACAAUwBvAHUAcgBjAGUALAAgAFMAbwB1AHIAYwBlAFIAbwB3ACwAXABuACAAIAAgACAASQBOAEQARQBYACgAUwBjAG8AcABlADMAQQByAHIAYQB5ACwAXABuACAAIAAgACAAIAAgACAATQBBAFQAQwBIACgAQwBoAGUAbQBpAGMAYQBsAEMAbwBtAHAAbwB1AG4AZAAsACAAQwBoAGUAbQBpAGMAYQBsAEMAbwBtAHAAbwB1AG4AZABDAG8AbAB1AG0AbgAsACAAMAApACwAXABuACAAIAAgACAAIAAgACAATQBBAFQAQwBIACgAUwBvAHUAcgBjAGUALAAgAFMAbwB1AHIAYwBlAFIAbwB3ACwAIAAwACkAXABuACAAIAAgACAAKQBcAG4AKQA7AFwAbgBcAG4ARgBlAHIAdABpAGwAaQBzAGUAcgBfAEcAZQB0AEMAaABlAG0AaQBjAGEAbABDAG8AbQBwAG8AdQBuAGQARQBsAGUAbQBlAG4AdABGAHIAYQBjAHQAaQBvAG4AXABuAD0ATABBAE0AQgBEAEEAKABcAG4AIAAgACAAIABDAGgAZQBtAGkAYwBhAGwAQwBvAG0AcABvAHUAbgBkACwAIABFAGwAZQBtAGUAbgB0ACwAIABDAGgAZQBtAGkAYwBhAGwAQwBvAG0AcABvAHUAbgBkAEEAcgByAGEAeQAsACAAQwBoAGUAbQBpAGMAYQBsAEMAbwBtAHAAbwB1AG4AZABDAG8AbAB1AG0AbgAsACAARQBsAGUAbQBlAG4AdABSAG8AdwAsAFwAbgAgACAAIAAgAEkATgBEAEUAWAAoAEMAaABlAG0AaQBjAGEAbABDAG8AbQBwAG8AdQBuAGQAQQByAHIAYQB5ACwAXABuACAAIAAgACAAIAAgAE0AQQBUAEMASAAoAEMAaABlAG0AaQBjAGEAbABDAG8AbQBwAG8AdQBuAGQALAAgAEMAaABlAG0AaQBjAGEAbABDAG8AbQBwAG8AdQBuAGQAQwBvAGwAdQBtAG4ALAAgADAAKQAsAFwAbgAgACAAIAAgACAAIABNAEEAVABDAEgAKABFAGwAZQBtAGUAbgB0ACwAIABFAGwAZQBtAGUAbgB0AFIAbwB3ACwAIAAwACkAXABuACAAIA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PAHIAZwBhAG4AaQBjACAAZgBlAHIAdABpAGwAaQBzAGUAcgBzACAAXABuAD0APQA9AD0APQA9AD0APQA9AD0APQA9AD0APQA9AD0APQA9AD0APQA9AD0APQA9AD0APQA9AD0APQA9AD0APQA9AD0APQA9AD0APQA9AD0APQA9AD0APQA9AD0APQA9AD0APQA9AD0APQA9AD0APQA9AD0APQA9AD0APQA9AD0APQA9AD0APQA9AD0APQA9AD0APQA9AD0AXABuACoALwBcAG4AXABuAFMAYwBvAHAAZQAzAF8ATwByAGcAYQBuAGkAYwBGAGUAcgB0AGkAbABpAHMAZQByAHMAXwBUAGkAdABsAGUAXABuAD0ATABBAE0AQgBEAEEAKAAoAFwAIgBPAHIAZwBhAG4AaQBjACAAZgBlAHIAdABpAGwAaQBzAGUAcgAgAHMAYwBvAHAAZQAgADMAXAAiACkAKQA7AFwAbgBcAG4AUwBjAG8AcABlADMAXwBPAHIAZwBhAG4AaQBjAEYAZQByAHQAaQBsAGkAcwBlAHI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PAHIAZwBhAG4AaQBjAEYAZQByAHQAaQBsAGkAcwBlAHIAcwBfAFYAYQByAGkAYQB0AGkAbwBuAFwAbgA9AEwAQQBNAEIARABBACgAKABcACIAXAAiACkAKQA7AFwAbgBcAG4AUwBjAG8AcABlADMAXwBPAHIAZwBhAG4AaQBjAEYAZQByAHQAaQBsAGkAcwBlAHIAcwBfAEQAYQB0AGEAXABuAD0ATABBAE0AQgBEAEEAKABcAG4AIAAgAE0AQQBLAEUAQQBSAFIAQQBZACgAMQAx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PAHIAZwBhAG4AaQBjACAARgBlAHIAdABpAGwAaQBzAGUAcgBzAFwAIgAsACAAXAAiAEQAYQBpAHIAeQAgAE0AYQBuAHUAcgBlAFwAIgAsACAAXAAiAFAAcgBpAG0AYQByAHkAIABNAE0AUwBcACIALAAgAFwAIgB0AFwAIgAsACAAMAAyADAAMQAwADEALAAgAFwAIgB0AFwAIgAsACAAXAAiAHQAIABDAE8AMgAtAGUAIAAvACAAdABcACIAOwBcAG4AIAAgACAAIAAgACAAIAAgAFwAIgBPAHIAZwBhAG4AaQBjACAARgBlAHIAdABpAGwAaQBzAGUAcgBzAFwAIgAsACAAXAAiAEQAYQBpAHIAeQAgAE0AYQBuAHUAcgBlAFwAIgAsACAAXAAiAFMAZQBjAG8AbgBkAGEAcgB5ACAATQBNAFMAXAAiACwAIABcACIAdABcACIALAAgADAAMgAwADEAMAAyACwAIABcACIAdABcACIALAAgAFwAIgB0ACAAQwBPADIALQBlACAALwAgAHQAXAAiADsAXABuACAAIAAgACAAIAAgACAAIABcACIATwByAGcAYQBuAGkAYwAgAEYAZQByAHQAaQBsAGkAcwBlAHIAcwBcACIALAAgAFwAIgBQAG8AcgBrACAATQBhAG4AdQByAGUAXAAiACwAIABcACIAUAByAGkAbQBhAHIAeQAgAE0ATQBTAFwAIgAsACAAXAAiAHQAXAAiACwAIAAwADIAMAAyADAAMQAsACAAXAAiAHQAXAAiACwAIABcACIAdAAgAEMATwAyAC0AZQAgAC8AIAB0AFwAIgA7AFwAbgAgACAAIAAgACAAIAAgACAAXAAiAE8AcgBnAGEAbgBpAGMAIABGAGUAcgB0AGkAbABpAHMAZQByAHMAXAAiACwAIABcACIAUABvAHIAawAgAE0AYQBuAHUAcgBlAFwAIgAsACAAXAAiAFMAZQBjAG8AbgBkAGEAcgB5ACAATQBNAFMAXAAiACwAIABcACIAdABcACIALAAgADAAMgAwADIAMAAyACwAIABcACIAdABcACIALAAgAFwAIgB0ACAAQwBPADIALQBlACAALwAgAHQAXAAiADsAXABuACAAIAAgACAAIAAgACAAIABcACIATwByAGcAYQBuAGkAYwAgAEYAZQByAHQAaQBsAGkAcwBlAHIAcwBcACIALAAgAFwAIgBGAGUAZQBkAGwAbwB0ACAATQBhAG4AdQByAGUAXAAiACwAIABcACIAUAByAGkAbQBhAHIAeQAgAE0ATQBTAFwAIgAsACAAXAAiAHQAXAAiACwAIAAwADIAMAAzADAAMQAsACAAXAAiAHQAXAAiACwAIABcACIAdAAgAEMATwAyAC0AZQAgAC8AIAB0AFwAIgA7AFwAbgAgACAAIAAgACAAIAAgACAAXAAiAE8AcgBnAGEAbgBpAGMAIABGAGUAcgB0AGkAbABpAHMAZQByAHMAXAAiACwAIABcACIARgBlAGUAZABsAG8AdAAgAE0AYQBuAHUAcgBlAFwAIgAsACAAXAAiAFMAZQBjAG8AbgBkAGEAcgB5ACAATQBNAFMAXAAiACwAIABcACIAdABcACIALAAgADAAMgAwADMAMAAyACwAIABcACIAdABcACIALAAgAFwAIgB0ACAAQwBPADIALQBlACAALwAgAHQAXAAiADsAXABuACAAIAAgACAAIAAgACAAIABcACIATwByAGcAYQBuAGkAYwAgAEYAZQByAHQAaQBsAGkAcwBlAHIAcwBcACIALAAgAFwAIgBGAGUAZQBkAGwAbwB0ACAATQBhAG4AdQByAGUAXAAiACwAIABcACIAVABlAHIAdABpAGEAcgB5ACAATQBNAFMAXAAiACwAIABcACIAdABcACIALAAgADAAMgAwADMAMAAzACwAIABcACIAdABcACIALAAgAFwAIgB0ACAAQwBPADIALQBlACAALwAgAHQAXAAiADsAXABuACAAIAAgACAAIAAgACAAIABcACIATwByAGcAYQBuAGkAYwAgAEYAZQByAHQAaQBsAGkAcwBlAHIAcwBcACIALAAgAFwAIgBQAG8AdQBsAHQAcgB5ACAATQBhAG4AdQByAGUAXAAiACwAIABcACIAUAByAGkAbQBhAHIAeQAgAE0ATQBTAFwAIgAsACAAXAAiAHQAXAAiACwAIAAwADIAMAA0ADAAMQAsACAAXAAiAHQAXAAiACwAIABcACIAdAAgAEMATwAyAC0AZQAgAC8AIAB0AFwAIgA7AFwAbgAgACAAIAAgACAAIAAgACAAXAAiAE8AcgBnAGEAbgBpAGMAIABGAGUAcgB0AGkAbABpAHMAZQByAHMAXAAiACwAIABcACIAUABvAHUAbAB0AHIAeQAgAE0AYQBuAHUAcgBlAFwAIgAsACAAXAAiAFMAZQBjAG8AbgBkAGEAcgB5ACAATQBNAFMAXAAiACwAIABcACIAdABcACIALAAgADAAMgAwADQAMAAyACwAIABcACIAdABcACIALAAgAFwAIgB0ACAAQwBPADIALQBlACAALwAgAHQAXAAiADsAXABuACAAIAAgACAAIAAgACAAIABcACIATwByAGcAYQBuAGkAYwAgAEYAZQByAHQAaQBsAGkAcwBlAHIAcwBcACIALAAgAFwAIgBPAHQAaABlAHIAXAAiACwAIABcACIATABvAGMAYQB0AGkAbwBuACAAbgBvAHQAIABzAHAAZQBjAGkAZgBpAGUAZABcACIALAAgAFwAIgB0AFwAIgAsACAAMAAyADAANQAwADE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Y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MAbwBpAGwAIABBAG0AZQBuAGQAbQBlAG4AdABzAFwAIgAsACAAXAAiAEwAaQBtAGUAXAAiACwAIABcACIATABvAGMAYQB0AGkAbwBuACAAbgBvAHQAIABzAHAAZQBjAGkAZgBpAGUAZABcACIALAAgAFwAIgB0AFwAIgAsACAAMAAzADAAMQAwADEALAAgAFwAIgB0AFwAIgAsACAAXAAiAHQAIABDAE8AMgAtAGUAIAAvACAAdABcACIAOwBcAG4AIAAgACAAIAAgACAAIAAgAFwAIgBTAG8AaQBsACAAQQBtAGUAbgBkAG0AZQBuAHQAcwBcACIALAAgAFwAIgBMAGkAbQBlAHMAYQBuAGQAXAAiACwAIABcACIATABvAGMAYQB0AGkAbwBuACAAbgBvAHQAIABzAHAAZQBjAGkAZgBpAGUAZABcACIALAAgAFwAIgB0AFwAIgAsACAAMAAzADAAMQAwADIALAAgAFwAIgB0AFwAIgAsACAAXAAiAHQAIABDAE8AMgAtAGUAIAAvACAAdABcACIAOwBcAG4AIAAgACAAIAAgACAAIAAgAFwAIgBTAG8AaQBsACAAQQBtAGUAbgBkAG0AZQBuAHQAcwBcACIALAAgAFwAIgBEAG8AbABvAG0AaQB0AGUAXAAiACwAIABcACIATABvAGMAYQB0AGkAbwBuACAAbgBvAHQAIABzAHAAZQBjAGkAZgBpAGUAZABcACIALAAgAFwAIgB0AFwAIgAsACAAMAAzADAAMQAwADMALAAgAFwAIgB0AFwAIgAsACAAXAAiAHQAIABDAE8AMgAtAGUAIAAvACAAdABcACIAOwBcAG4AIAAgACAAIAAgACAAIAAgAFwAIgBTAG8AaQBsACAAQQBtAGUAbgBkAG0AZQBuAHQAcwBcACIALAAgAFwAIgBHAHkAcABzAHUAbQBcACIALAAgAFwAIgBMAG8AYwBhAHQAaQBvAG4AIABuAG8AdAAgAHMAcABlAGMAaQBmAGkAZQBkAFwAIgAsACAAXAAiAHQAXAAiACwAIAAwADMAMAAxADAANAAsACAAXAAiAHQAXAAiACwAIABcACIAdAAgAEMATwAyAC0AZQAgAC8AIAB0AFwAIgA7AFwAbgAgACAAIAAgACAAIAAgACAAXAAiAFMAbwBpAGwAIABBAG0AZQBuAGQAbQBlAG4AdABzAFwAIgAsACAAXAAiAFAAbwB0AGEAcwBoAFwAIgAsACAAXAAiAEwAbwBjAGEAdABpAG8AbgAgAG4AbwB0ACAAcwBwAGUAYwBpAGYAaQBlAGQAXAAiACwAIABcACIAdABcACIALAAgADAAMwAwADEAMAA1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ZwByAG8AYwBoAGUAbQBpAGMAYQBsAHMAXABuAD0APQA9AD0APQA9AD0APQA9AD0APQA9AD0APQA9AD0APQA9AD0APQA9AD0APQA9AD0APQA9AD0APQA9AD0APQA9AD0APQA9AD0APQA9AD0APQA9AD0APQA9AD0APQA9AD0APQA9AD0APQA9AD0APQA9AD0APQA9AD0APQA9AD0APQA9AD0APQA9AD0APQA9AD0APQA9AD0AXABuACoALwBcAG4AXABuAFMAYwBvAHAAZQAzAF8AQQBnAHIAbwBjAGgAZQBtAGkAYwBhAGwAcwBfAFQAaQB0AGwAZQBcAG4APQBMAEEATQBCAEQAQQAoACgAXAAiAEEAZwByAG8AYwBoAGUAbQBpAGMAYQBsAHMAIABzAGMAbwBwAGUAIAAzAFwAIgApACkAOwBcAG4AXABuAFMAYwBvAHAAZQAzAF8AQQBnAHIAbwBjAGgAZQBtAGkAYwBhAGw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BAGcAcgBvAGMAaABlAG0AaQBjAGEAbABzAF8AVgBhAHIAaQBhAHQAaQBvAG4AXABuAD0ATABBAE0AQgBEAEEAKAAoAFwAIgBcACIAKQApADsAXABuAFwAbgBTAGMAbwBwAGUAMwBfAEEAZwByAG8AYwBoAGUAbQBpAGMAYQBsAHMAXwBEAGEAdABhAFwAbgA9AEwAQQBNAEIARABBACgAXABuACAAIABNAEEASwBFAEEAUgBSAEEAWQAoADY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ZwByAG8AYwBoAGUAbQBpAGMAYQBsAHMAXAAiACwAIABcACIARwBsAHkAcABoAG8AcwBhAHQAZQBcACIALAAgAFwAIgBMAG8AYwBhAHQAaQBvAG4AIABuAG8AdAAgAHMAcABlAGMAaQBmAGkAZQBkAFwAIgAsACAAXAAiAHQAXAAiACwAIAAwADQAMAAxADAAMQAsACAAXAAiAHQAXAAiACwAIABcACIAdAAgAEMATwAyAC0AZQAgAC8AIAB0AFwAIgA7AFwAbgAgACAAIAAgACAAIAAgACAAXAAiAEEAZwByAG8AYwBoAGUAbQBpAGMAYQBsAHMAXAAiACwAIABcACIAUABhAHIAYQBxAHUAYQB0ACwAIABkAGkAcQB1AGEAdABcACIALAAgAFwAIgBMAG8AYwBhAHQAaQBvAG4AIABuAG8AdAAgAHMAcABlAGMAaQBmAGkAZQBkAFwAIgAsACAAXAAiAHQAXAAiACwAIAAwADQAMAAxADAAMgAsACAAXAAiAHQAXAAiACwAIABcACIAdAAgAEMATwAyAC0AZQAgAC8AIAB0AFwAIgA7AFwAbgAgACAAIAAgACAAIAAgACAAXAAiAEEAZwByAG8AYwBoAGUAbQBpAGMAYQBsAHMAXAAiACwAIABcACIARwBlAG4AZQByAGkAYwAgAEgAZQByAGIAaQBjAGkAZABlAFwAIgAsACAAXAAiAEwAbwBjAGEAdABpAG8AbgAgAG4AbwB0ACAAcwBwAGUAYwBpAGYAaQBlAGQAXAAiACwAIABcACIAdABcACIALAAgADAANAAwADEAMAAzACwAIABcACIAdABcACIALAAgAFwAIgB0ACAAQwBPADIALQBlACAALwAgAHQAXAAiADsAXABuACAAIAAgACAAIAAgACAAIABcACIAQQBnAHIAbwBjAGgAZQBtAGkAYwBhAGwAcwBcACIALAAgAFwAIgBHAGUAbgBlAHIAaQBjACAASQBuAHMAZQBjAHQAaQBjAGkAZABlAFwAIgAsACAAXAAiAEwAbwBjAGEAdABpAG8AbgAgAG4AbwB0ACAAcwBwAGUAYwBpAGYAaQBlAGQAXAAiACwAIABcACIAdABcACIALAAgADAANAAwADEAMAA0ACwAIABcACIAdABcACIALAAgAFwAIgB0ACAAQwBPADIALQBlACAALwAgAHQAXAAiADsAXABuACAAIAAgACAAIAAgACAAIABcACIAQQBnAHIAbwBjAGgAZQBtAGkAYwBhAGwAcwBcACIALAAgAFwAIgBHAGUAbgBlAHIAaQBjACAARgB1AG4AZwBpAGMAaQBkAGUAXAAiACwAIABcACIATABvAGMAYQB0AGkAbwBuACAAbgBvAHQAIABzAHAAZQBjAGkAZgBpAGUAZABcACIALAAgAFwAIgB0AFwAIgAsACAAMAA0ADAAMQAwADU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ABpAGMAawAgAEIAbABvAGMAawBzAFwAbgA9AD0APQA9AD0APQA9AD0APQA9AD0APQA9AD0APQA9AD0APQA9AD0APQA9AD0APQA9AD0APQA9AD0APQA9AD0APQA9AD0APQA9AD0APQA9AD0APQA9AD0APQA9AD0APQA9AD0APQA9AD0APQA9AD0APQA9AD0APQA9AD0APQA9AD0APQA9AD0APQA9AD0APQA9AD0APQA9AFwAbgAqAC8AXABuAFwAbgBTAGMAbwBwAGUAMwBfAEwAaQBjAGsAQgBsAG8AYwBrAHMAXwBUAGkAdABsAGUAXABuAD0ATABBAE0AQgBEAEEAKAAoAFwAIgBMAGkAYwBrACAAQgBsAG8AYwBrAHMAIABzAGMAbwBwAGUAIAAzAFwAIgApACkAOwBcAG4AXABuAFMAYwBvAHAAZQAzAF8ATABpAGMAawBCAGwAbwBjAGs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MAGkAYwBrAEIAbABvAGMAawBzAF8AVgBhAHIAaQBhAHQAaQBvAG4AXABuAD0ATABBAE0AQgBEAEEAKAAoAFwAIgBcACIAKQApADsAXABuAFwAbgBTAGMAbwBwAGUAMwBfAEwAaQBjAGsAQgBsAG8AYwBrAHMAXwBEAGEAdABhAFwAbgA9AEwAQQBNAEIARABBACgAXABuACAAIABNAEEASwBFAEEAUgBSAEEAWQAoADQ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wAaQBjAGsAIABCAGwAbwBjAGsAcwBcACIALAAgAFwAIgBNAGkAbgBlAHIAYQBsACAAYgBsAG8AYwBrAFwAIgAsACAAXAAiAEwAbwBjAGEAdABpAG8AbgAgAG4AbwB0ACAAcwBwAGUAYwBpAGYAaQBlAGQAXAAiACwAIABcACIAdABcACIALAAgADAANQAwADEAMAAxACwAIABcACIAdABcACIALAAgAFwAIgB0ACAAQwBPADIALQBlACAALwAgAHQAXAAiADsAXABuACAAIAAgACAAIAAgACAAIABcACIATABpAGMAawAgAEIAbABvAGMAawBzAFwAIgAsACAAXAAiAFcAZQBhAG4AZQByACAAYgBsAG8AYwBrAFwAIgAsACAAXAAiAEwAbwBjAGEAdABpAG8AbgAgAG4AbwB0ACAAcwBwAGUAYwBpAGYAaQBlAGQAXAAiACwAIABcACIAdABcACIALAAgADAANQAwADEAMAAyACwAIABcACIAdABcACIALAAgAFwAIgB0ACAAQwBPADIALQBlACAALwAgAHQAXAAiADsAXABuACAAIAAgACAAIAAgACAAIABcACIATABpAGMAawAgAEIAbABvAGMAawBzAFwAIgAsACAAXAAiAEQAcgB5ACAAcwBlAGEAcwBvAG4AIABtAGkAeABcACIALAAgAFwAIgBMAG8AYwBhAHQAaQBvAG4AIABuAG8AdAAgAHMAcABlAGMAaQBmAGkAZQBkAFwAIgAsACAAXAAiAHQAXAAiACwAIAAwADUAMAAxADAAMw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G4AaQBtAGEAbAAgAEYAZQBlAGQAXABuAD0APQA9AD0APQA9AD0APQA9AD0APQA9AD0APQA9AD0APQA9AD0APQA9AD0APQA9AD0APQA9AD0APQA9AD0APQA9AD0APQA9AD0APQA9AD0APQA9AD0APQA9AD0APQA9AD0APQA9AD0APQA9AD0APQA9AD0APQA9AD0APQA9AD0APQA9AD0APQA9AD0APQA9AD0APQA9AD0AXABuACoALwBcAG4AXABuAFMAYwBvAHAAZQAzAF8AQQBuAGkAbQBhAGwARgBlAGUAZABfAFQAaQB0AGwAZQBcAG4APQBMAEEATQBCAEQAQQAoACgAXAAiAEEAbgBpAG0AYQBsACAARgBlAGUAZAAgAHMAYwBvAHAAZQAgADMAXAAiACkAKQA7AFwAbgBcAG4AUwBjAG8AcABlADMAXwBBAG4AaQBtAGEAbABGAGUAZQBk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EAbgBpAG0AYQBsAEYAZQBlAGQAXwBWAGEAcgBpAGEAdABpAG8AbgBcAG4APQBMAEEATQBCAEQAQQAoACgAXAAiAFwAIgApACkAOwBcAG4AXABuAFMAYwBvAHAAZQAzAF8AQQBuAGkAbQBhAGwARgBlAGUAZABfAEQAYQB0AGEAXABuAD0ATABBAE0AQgBEAEEAKABcAG4AIAAgAE0AQQBLAEUAQQBSAFIAQQBZACgAMQ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G4AaQBtAGEAbAAgAEYAZQBlAGQAXAAiACwAIABcACIARwByAGEAaQBuAFwAIgAsACAAXAAiAEwAbwBjAGEAdABpAG8AbgAgAG4AbwB0ACAAcwBwAGUAYwBpAGYAaQBlAGQAXAAiACwAIABcACIAdABcACIALAAgADAANgAwADEAMAAxACwAIABcACIAdABcACIALAAgAFwAIgB0ACAAQwBPADIALQBlACAALwAgAHQAXAAiADsAXABuACAAIAAgACAAIAAgACAAIABcACIAQQBuAGkAbQBhAGwAIABGAGUAZQBkAFwAIgAsACAAXAAiAFcAaABlAGEAdABcACIALAAgAFwAIgBMAG8AYwBhAHQAaQBvAG4AIABuAG8AdAAgAHMAcABlAGMAaQBmAGkAZQBkAFwAIgAsACAAXAAiAHQAXAAiACwAIAAwADYAMAAxADAAMgAsACAAXAAiAHQAXAAiACwAIABcACIAdAAgAEMATwAyAC0AZQAgAC8AIAB0AFwAIgA7AFwAbgAgACAAIAAgACAAIAAgACAAXAAiAEEAbgBpAG0AYQBsACAARgBlAGUAZABcACIALAAgAFwAIgBXAGgAZQBhAHQAIABCAHIAYQBuAFwAIgAsACAAXAAiAEwAbwBjAGEAdABpAG8AbgAgAG4AbwB0ACAAcwBwAGUAYwBpAGYAaQBlAGQAXAAiACwAIABcACIAdABcACIALAAgADAANgAwADEAMAAzACwAIABcACIAdABcACIALAAgAFwAIgB0ACAAQwBPADIALQBlACAALwAgAHQAXAAiADsAXABuACAAIAAgACAAIAAgACAAIABcACIAQQBuAGkAbQBhAGwAIABGAGUAZQBkAFwAIgAsACAAXAAiAEIAYQByAGwAZQB5AFwAIgAsACAAXAAiAEwAbwBjAGEAdABpAG8AbgAgAG4AbwB0ACAAcwBwAGUAYwBpAGYAaQBlAGQAXAAiACwAIABcACIAdABcACIALAAgADAANgAwADEAMAA0ACwAIABcACIAdABcACIALAAgAFwAIgB0ACAAQwBPADIALQBlACAALwAgAHQAXAAiADsAXABuACAAIAAgACAAIAAgACAAIABcACIAQQBuAGkAbQBhAGwAIABGAGUAZQBkAFwAIgAsACAAXAAiAFMAbwB5AGIAZQBhAG4AXAAiACwAIABcACIATABvAGMAYQB0AGkAbwBuACAAbgBvAHQAIABzAHAAZQBjAGkAZgBpAGUAZABcACIALAAgAFwAIgB0AFwAIgAsACAAMAA2ADAAMQAwADUALAAgAFwAIgB0AFwAIgAsACAAXAAiAHQAIABDAE8AMgAtAGUAIAAvACAAdABcACIAOwBcAG4AIAAgACAAIAAgACAAIAAgAFwAIgBBAG4AaQBtAGEAbAAgAEYAZQBlAGQAXAAiACwAIABcACIAUwBvAHkAYgBlAGEAbgAgAG0AZQBhAGwAXAAiACwAIABcACIATABvAGMAYQB0AGkAbwBuACAAbgBvAHQAIABzAHAAZQBjAGkAZgBpAGUAZABcACIALAAgAFwAIgB0AFwAIgAsACAAMAA2ADAAMQAwADYALAAgAFwAIgB0AFwAIgAsACAAXAAiAHQAIABDAE8AMgAtAGUAIAAvACAAdABcACIAOwBcAG4AIAAgACAAIAAgACAAIAAgAFwAIgBBAG4AaQBtAGEAbAAgAEYAZQBlAGQAXAAiACwAIABcACIAQwBhAG4AbwBsAGEAIABtAGUAYQBsAFwAIgAsACAAXAAiAEwAbwBjAGEAdABpAG8AbgAgAG4AbwB0ACAAcwBwAGUAYwBpAGYAaQBlAGQAXAAiACwAIABcACIAdABcACIALAAgADAANgAwADEAMAA3ACwAIABcACIAdABcACIALAAgAFwAIgB0ACAAQwBPADIALQBlACAALwAgAHQAXAAiADsAXABuACAAIAAgACAAIAAgACAAIABcACIAQQBuAGkAbQBhAGwAIABGAGUAZQBkAFwAIgAsACAAXAAiAEMAYQBuAG8AbABhACAAbwBpAGwAXAAiACwAIABcACIATABvAGMAYQB0AGkAbwBuACAAbgBvAHQAIABzAHAAZQBjAGkAZgBpAGUAZABcACIALAAgAFwAIgB0AFwAIgAsACAAMAA2ADAAMQAwADgALAAgAFwAIgB0AFwAIgAsACAAXAAiAHQAIABDAE8AMgAtAGUAIAAvACAAdABcACIAOwBcAG4AIAAgACAAIAAgACAAIAAgAFwAIgBBAG4AaQBtAGEAbAAgAEYAZQBlAGQAXAAiACwAIABcACIAQgBlAGUAdAAgAHAAdQBsAHAAXAAiACwAIABcACIATABvAGMAYQB0AGkAbwBuACAAbgBvAHQAIABzAHAAZQBjAGkAZgBpAGUAZABcACIALAAgAFwAIgB0AFwAIgAsACAAMAA2ADAAMQAwADkALAAgAFwAIgB0AFwAIgAsACAAXAAiAHQAIABDAE8AMgAtAGUAIAAvACAAdABcACIAOwBcAG4AIAAgACAAIAAgACAAIAAgAFwAIgBBAG4AaQBtAGEAbAAgAEYAZQBlAGQAXAAiACwAIABcACIAQwBvAHQAdABvAG4AIABzAGUAZQBkAFwAIgAsACAAXAAiAEwAbwBjAGEAdABpAG8AbgAgAG4AbwB0ACAAcwBwAGUAYwBpAGYAaQBlAGQAXAAiACwAIABcACIAdABcACIALAAgADAANgAwADEAMQAwACwAIABcACIAdABcACIALAAgAFwAIgB0ACAAQwBPADIALQBlACAALwAgAHQAXAAiADsAXABuACAAIAAgACAAIAAgACAAIABcACIAQQBuAGkAbQBhAGwAIABGAGUAZQBkAFwAIgAsACAAXAAiAEgAYQB5AFwAIgAsACAAXAAiAEwAbwBjAGEAdABpAG8AbgAgAG4AbwB0ACAAcwBwAGUAYwBpAGYAaQBlAGQAXAAiACwAIABcACIAdABcACIALAAgADAANgAwADEAMQAxACwAIABcACIAdABcACIALAAgAFwAIgB0ACAAQwBPADIALQBlACAALwAgAHQAXAAiADsAXABuACAAIAAgACAAIAAgACAAIABcACIAQQBuAGkAbQBhAGwAIABGAGUAZQBkAFwAIgAsACAAXAAiAEYAZQBlAGQAIABmAG8AcgBtAHUAbABhAHQAaQBvAG4AcwAgACgAYwBoAGkAYwBrAGUAbgAsACAAcABpAGcAcwAsACAAYwBhAHQAdABsAGUALAAgAGQAYQBpAHIAeQApAFwAIgAsACAAXAAiAEwAbwBjAGEAdABpAG8AbgAgAG4AbwB0ACAAcwBwAGUAYwBpAGYAaQBlAGQAXAAiACwAIABcACIAdABcACIALAAgADAANgAwADEAMQAyACwAIABcACIAdABcACIALAAgAFwAIgB0ACAAQwBPADIALQBlACAALwAgAHQAXAAiADsAXABuACAAIAAgACAAIAAgACAAIABcACIAQQBuAGkAbQBhAGwAIABGAGUAZQBkAFwAIgAsACAAXAAiAE0AbwBsAGEAcwBzAGUAcwBcACIALAAgAFwAIgBMAG8AYwBhAHQAaQBvAG4AIABuAG8AdAAgAHMAcABlAGMAaQBmAGkAZQBkAFwAIgAsACAAXAAiAHQAXAAiACwAIAAwADYAMAAxADEAMwAsACAAXAAiAHQAXAAiACwAIABcACIAdAAgAEMATwAyAC0AZQAgAC8AIAB0AFwAIgA7AFwAbgAgACAAIAAgACAAIAAgACAAXAAiAEEAbgBpAG0AYQBsACAARgBlAGUAZABcACIALAAgAFwAIgBCAGUAbgB0AG8AbgBpAHQAZQBcACIALAAgAFwAIgBMAG8AYwBhAHQAaQBvAG4AIABuAG8AdAAgAHMAcABlAGMAaQBmAGkAZQBkAFwAIgAsACAAXAAiAHQAXAAiACwAIAAwADYAMAAxADEANAAsACAAXAAiAHQAXAAiACwAIABcACIAdAAgAEMATwAyAC0AZQAgAC8AIAB0AFwAIgA7AFwAbgAgACAAIAAgACAAIAAgACAAXAAiAEEAbgBpAG0AYQBsACAARgBlAGUAZABcACIALAAgAFwAIgBNAGUAYQB0ACAAbQBlAGEAbABcACIALAAgAFwAIgBMAG8AYwBhAHQAaQBvAG4AIABuAG8AdAAgAHMAcABlAGMAaQBmAGkAZQBkAFwAIgAsACAAXAAiAHQAXAAiACwAIAAwADYAMAAxADEANQAsACAAXAAiAHQAXAAiACwAIABcACIAdAAgAEMATwAyAC0AZQAgAC8AIAB0AFwAIgA7AFwAbgAgACAAIAAgACAAIAAgACAAXAAiAEEAbgBpAG0AYQBsACAARgBlAGUAZABcACIALAAgAFwAIgBCAGUAbgB0AEwAaQBtAGUALAAgAHAAaABvAHMAcABoAG8AcgB1AHMALAAgAHAAbwB0AGEAcwBoAG8AbgBpAHQAZQBcACIALAAgAFwAIgBMAG8AYwBhAHQAaQBvAG4AIABuAG8AdAAgAHMAcABlAGMAaQBmAGkAZQBkAFwAIgAsACAAXAAiAHQAXAAiACwAIAAwADYAMAAxADEANA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HEAdQBhAGMAdQBsAHQAdQByAGUAIABGAGUAZQBkACAAYQBuAGQAIABCAGEAaQB0AFwAbgA9AD0APQA9AD0APQA9AD0APQA9AD0APQA9AD0APQA9AD0APQA9AD0APQA9AD0APQA9AD0APQA9AD0APQA9AD0APQA9AD0APQA9AD0APQA9AD0APQA9AD0APQA9AD0APQA9AD0APQA9AD0APQA9AD0APQA9AD0APQA9AD0APQA9AD0APQA9AD0APQA9AD0APQA9AD0APQA9AFwAbgAqAC8AXABuAFwAbgBTAGMAbwBwAGUAMwBfAEEAcQB1AGEAYwB1AGwAdAB1AHIAZQBGAGUAZQBkAEEAbgBkAEIAYQBpAHQAXwBUAGkAdABsAGUAXABuAD0ATABBAE0AQgBEAEEAKAAoAFwAIgBBAHEAdQBhAGMAdQBsAHQAdQByAGUAIABGAGUAZQBkACAAYQBuAGQAIABCAGEAaQB0ACAAcwBjAG8AcABlACAAMwBcACIAKQApADsAXABuAFwAbgBTAGMAbwBwAGUAMwBfAEEAcQB1AGEAYwB1AGwAdAB1AHIAZQBGAGUAZQBkAEEAbgBkAEIAYQBpAH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QBxAHUAYQBjAHUAbAB0AHUAcgBlAEYAZQBlAGQAQQBuAGQAQgBhAGkAdABfAFYAYQByAGkAYQB0AGkAbwBuAFwAbgA9AEwAQQBNAEIARABBACgAKABcACIAXAAiACkAKQA7AFwAbgBcAG4AUwBjAG8AcABlADMAXwBBAHEAdQBhAGMAdQBsAHQAdQByAGUARgBlAGUAZABBAG4AZABCAGEAaQB0AF8ARABhAHQAYQBcAG4APQBMAEEATQBCAEQAQQAoAFwAbgAgACAATQBBAEsARQBBAFIAUgBBAFkAKAA5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HEAdQBhAGMAdQBsAHQAdQByAGUAIABGAGUAZQBkACAAYQBuAGQAIABCAGEAaQB0AFwAIgAsACAAXAAiAEwAbwB3ACAAQQBuAGkAbQBhAGwAIABQAHIAbwB0AGUAaQBuACAARgBvAHIAbQB1AGwAYQB0AGUAZAAgAEYAZQBlAGQAXAAiACwAIABcACIATABvAGMAYQB0AGkAbwBuACAAbgBvAHQAIABzAHAAZQBjAGkAZgBpAGUAZABcACIALAAgAFwAIgB0AFwAIgAsACAAMAA3ADAAMQAwADEALAAgAFwAIgB0AFwAIgAsACAAXAAiAHQAIABDAE8AMgAtAGUAIAAvACAAdABcACIAOwBcAG4AIAAgACAAIAAgACAAIAAgAFwAIgBBAHEAdQBhAGMAdQBsAHQAdQByAGUAIABGAGUAZQBkACAAYQBuAGQAIABCAGEAaQB0AFwAIgAsACAAXAAiAEgAaQBnAGgAIABBAG4AaQBtAGEAbAAgAFAAcgBvAHQAZQBpAG4AIABGAG8AcgBtAHUAbABhAHQAZQBkACAARgBlAGUAZABcACIALAAgAFwAIgBMAG8AYwBhAHQAaQBvAG4AIABuAG8AdAAgAHMAcABlAGMAaQBmAGkAZQBkAFwAIgAsACAAXAAiAHQAXAAiACwAIAAwADcAMAAxADAAMgAsACAAXAAiAHQAXAAiACwAIABcACIAdAAgAEMATwAyAC0AZQAgAC8AIAB0AFwAIgA7AFwAbgAgACAAIAAgACAAIAAgACAAXAAiAEEAcQB1AGEAYwB1AGwAdAB1AHIAZQAgAEYAZQBlAGQAIABhAG4AZAAgAEIAYQBpAHQAXAAiACwAIABcACIAQwBlAHIAZQBhAGwAIABnAHIAYQBpAG4AXAAiACwAIABcACIATABvAGMAYQB0AGkAbwBuACAAbgBvAHQAIABzAHAAZQBjAGkAZgBpAGUAZABcACIALAAgAFwAIgB0AFwAIgAsACAAMAA3ADAAMQAwADMALAAgAFwAIgB0AFwAIgAsACAAXAAiAHQAIABDAE8AMgAtAGUAIAAvACAAdABcACIAOwBcAG4AIAAgACAAIAAgACAAIAAgAFwAIgBBAHEAdQBhAGMAdQBsAHQAdQByAGUAIABGAGUAZQBkACAAYQBuAGQAIABCAGEAaQB0AFwAIgAsACAAXAAiAFMAcQB1AGkAZABcACIALAAgAFwAIgBMAG8AYwBhAHQAaQBvAG4AIABuAG8AdAAgAHMAcABlAGMAaQBmAGkAZQBkAFwAIgAsACAAXAAiAHQAXAAiACwAIAAwADcAMAAxADAANAAsACAAXAAiAHQAXAAiACwAIABcACIAdAAgAEMATwAyAC0AZQAgAC8AIAB0AFwAIgA7AFwAbgAgACAAIAAgACAAIAAgACAAXAAiAEEAcQB1AGEAYwB1AGwAdAB1AHIAZQAgAEYAZQBlAGQAIABhAG4AZAAgAEIAYQBpAHQAXAAiACwAIABcACIAVwBoAG8AbABlACAARgBpAHMAaABcACIALAAgAFwAIgBMAG8AYwBhAHQAaQBvAG4AIABuAG8AdAAgAHMAcABlAGMAaQBmAGkAZQBkAFwAIgAsACAAXAAiAHQAXAAiACwAIAAwADcAMAAxADAANQAsACAAXAAiAHQAXAAiACwAIABcACIAdAAgAEMATwAyAC0AZQAgAC8AIAB0AFwAIgA7AFwAbgAgACAAIAAgACAAIAAgACAAXAAiAEEAcQB1AGEAYwB1AGwAdAB1AHIAZQAgAEYAZQBlAGQAIABhAG4AZAAgAEIAYQBpAHQAXAAiACwAIABcACIAVwBoAG8AbABlACAAUwBhAHIAZABpAG4AZQBzAFwAIgAsACAAXAAiAEwAbwBjAGEAdABpAG8AbgAgAG4AbwB0ACAAcwBwAGUAYwBpAGYAaQBlAGQAXAAiACwAIABcACIAdABcACIALAAgADAANwAwADEAMAA2ACwAIABcACIAdABcACIALAAgAFwAIgB0ACAAQwBPADIALQBlACAALwAgAHQAXAAiADsAXABuACAAIAAgACAAIAAgACAAIABcACIAQQBxAHUAYQBjAHUAbAB0AHUAcgBlACAARgBlAGUAZAAgAGEAbgBkACAAQgBhAGkAdABcACIALAAgAFwAIgBGAGkAcwBoACAARgByAGEAbQBlAHMAXAAiACwAIABcACIATABvAGMAYQB0AGkAbwBuACAAbgBvAHQAIABzAHAAZQBjAGkAZgBpAGUAZABcACIALAAgAFwAIgB0AFwAIgAsACAAMAA3ADAAMQAwADcALAAgAFwAIgB0AFwAIgAsACAAXAAiAHQAIABDAE8AMgAtAGUAIAAvACAAdABcACIAOwBcAG4AIAAgACAAIAAgACAAIAAgAFwAIgBBAHEAdQBhAGMAdQBsAHQAdQByAGUAIABGAGUAZQBkACAAYQBuAGQAIABCAGEAaQB0AFwAIgAsACAAXAAiAEYAaQBzAGgAIABIAGUAYQBkAHMAXAAiACwAIABcACIATABvAGMAYQB0AGkAbwBuACAAbgBvAHQAIABzAHAAZQBjAGkAZgBpAGUAZABcACIALAAgAFwAIgB0AFwAIgAsACAAMAA3ADAAMQAwADg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ABpAHYAZQBzAHQAbwBjAGs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MAGkAdgBlAHMAdABvAGMAawBfAFYAYQByAGkAYQB0AGkAbwBuAFwAbgA9AEwAQQBNAEIARABBACgAKABcACIAXAAiACkAKQA7AFwAbgBcAG4AUwBjAG8AcABlADMAXwBMAGkAdgBlAHMAdABvAGMAawBfAEQAYQB0AGEAXABuAD0ATABBAE0AQgBEAEEAKABcAG4AIAAgAE0AQQBLAEUAQQBSAFIAQQBZACgAOA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ABpAHYAZQBzAHQAbwBjAGsAXAAiACwAIABcACIAQgBlAGUAZgAgAGMAYQB0AHQAbABlAFwAIgAsACAAXAAiAE4AbwByAHQAaABlAHIAbgAgAEEAdQBzAHQAcgBhAGwAaQBhAFwAIgAsACAAXAAiAHQAIABMAFcAXAAiACwAIAAwADgAMAAxADAAMQAsACAAXAAiAHQAXAAiACwAIABcACIAdAAgAEMATwAyAC0AZQAgAC8AIAB0ACAATABXAFwAIgA7AFwAbgAgACAAIAAgACAAIAAgACAAXAAiAEwAaQB2AGUAcwB0AG8AYwBrAFwAIgAsACAAXAAiAEIAZQBlAGYAIABjAGEAdAB0AGwAZQBcACIALAAgAFwAIgBTAG8AdQB0AGgAZQByAG4AIABBAHUAcwB0AHIAYQBsAGkAYQBcACIALAAgAFwAIgB0ACAATABXAFwAIgAsACAAMAA4ADAAMQAwADIALAAgAFwAIgB0AFwAIgAsACAAXAAiAHQAIABDAE8AMgAtAGUAIAAvACAAdAAgAEwAVwBcACIAOwBcAG4AIAAgACAAIAAgACAAIAAgAFwAIgBMAGkAdgBlAHMAdABvAGMAawBcACIALAAgAFwAIgBCAGUAZQBmACAAYwBhAHQAdABsAGUAXAAiACwAIABcACIARABhAGkAcgB5ACAATwByAGkAZwBpAG4AXAAiACwAIABcACIAdAAgAEwAVwBcACIALAAgADAAOAAwADEAMAAyACwAIABcACIAdABcACIALAAgAFwAIgB0ACAAQwBPADIALQBlACAALwAgAHQAIABMAFcAXAAiADsAXABuACAAIAAgACAAIAAgACAAIABcACIATABpAHYAZQBzAHQAbwBjAGsAXAAiACwAIABcACIARABhAGkAcgB5ACAAYwBhAHQAdABsAGUAXAAiACwAIABcACIATABvAGMAYQB0AGkAbwBuACAAbgBvAHQAIABzAHAAZQBjAGkAZgBpAGUAZABcACIALAAgAFwAIgB0ACAATABXAFwAIgAsACAAMAA4ADAAMQAwADMALAAgAFwAIgB0AFwAIgAsACAAXAAiAHQAIABDAE8AMgAtAGUAIAAvACAAdAAgAEwAVwBcACIAOwBcAG4AIAAgACAAIAAgACAAIAAgAFwAIgBMAGkAdgBlAHMAdABvAGMAawBcACIALAAgAFwAIgBTAGgAZQBlAHAAXAAiACwAIABcACIATABvAGMAYQB0AGkAbwBuACAAbgBvAHQAIABzAHAAZQBjAGkAZgBpAGUAZABcACIALAAgAFwAIgB0ACAATABXAFwAIgAsACAAMAA4ADAAMQAwADQALAAgAFwAIgB0AFwAIgAsACAAXAAiAHQAIABDAE8AMgAtAGUAIAAvACAAdAAgAEwAVwBcACIAOwBcAG4AIAAgACAAIAAgACAAIAAgAFwAIgBMAGkAdgBlAHMAdABvAGMAawBcACIALAAgAFwAIgBQAGkAZwBzAFwAIgAsACAAXAAiAEwAbwBjAGEAdABpAG8AbgAgAG4AbwB0ACAAcwBwAGUAYwBpAGYAaQBlAGQAXAAiACwAIABcACIAdAAgAEwAVwBcACIALAAgADAAOAAwADEAMAA1ACwAIABcACIAdABcACIALAAgAFwAIgB0ACAAQwBPADIALQBlACAALwAgAHQAIABMAFcAXAAiADsAXABuACAAIAAgACAAIAAgACAAIABcACIATABpAHYAZQBzAHQAbwBjAGsAXAAiACwAIABcACIAQwBoAGkAYwBrAGUAbgBzAFwAIgAsACAAXAAiAEwAbwBjAGEAdABpAG8AbgAgAG4AbwB0ACAAcwBwAGUAYwBpAGYAaQBlAGQAXAAiACwAIABcACIAdAAgAEwAVwBcACIALAAgADAAOAAwADEAMAA2ACwAIABcACIAdABcACIALAAgAFwAIgB0ACAAQwBPADIALQBlACAALwAgAHQAIABMAFc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UABhAGMAawBhAGcAaQBuAGcAXwBWAGEAcgBpAGEAdABpAG8AbgBcAG4APQBMAEEATQBCAEQAQQAoACgAXAAiAFwAIgApACkAOwBcAG4AXABuAFMAYwBvAHAAZQAzAF8AUABhAGMAawBhAGcAaQBuAGcAXwBEAGEAdABhAFwAbgA9AEwAQQBNAEIARABBACgAXABuACAAIABNAEEASwBFAEEAUgBSAEEAWQAo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AAYQBjAGsAYQBnAGkAbgBnAFwAIgAsACAAXAAiAFcAaQBuAGUAIABiAG8AdAB0AGwAZQBzADoAIABHAGwAYQBzAHMAIAAtACAAYwBvAG4AdgBlAG4AdABpAG8AbgBhAGwAXAAiACwAIABcACIATABvAGMAYQB0AGkAbwBuACAAbgBvAHQAIABzAHAAZQBjAGkAZgBpAGUAZABcACIALAAgAFwAIgBiAG8AdAB0AGwAZQBcACIALAAgADAAOQAwADEAMAAxACwAIABcACIAYgBvAHQAdABsAGUAXAAiACwAIABcACIAawBnACAAQwBPADIALQBlACAALwAgAGIAbwB0AHQAbABlAFwAIgA7AFwAbgAgACAAIAAgACAAIAAgACAAXAAiAFAAYQBjAGsAYQBnAGkAbgBnAFwAIgAsACAAXAAiAFcAaQBuAGUAIABiAG8AdAB0AGwAZQBzADoAIABHAGwAYQBzAHMAIAAtACAAbABpAGcAaAB0AFwAIgAsACAAXAAiAEwAbwBjAGEAdABpAG8AbgAgAG4AbwB0ACAAcwBwAGUAYwBpAGYAaQBlAGQAXAAiACwAIABcACIAYgBvAHQAdABsAGUAXAAiACwAIAAwADkAMAAxADAAMgAsACAAXAAiAGIAbwB0AHQAbABlAFwAIgAsACAAXAAiAGsAZwAgAEMATwAyAC0AZQAgAC8AIABiAG8AdAB0AGwAZQBcACIAOwBcAG4AIAAgACAAIAAgACAAIAAgAFwAIgBQAGEAYwBrAGEAZwBpAG4AZwBcACIALAAgAFwAIgBQAGwAYQBzAHQAaQBjACAAcABhAGMAawBhAGcAaQBuAGcAXAAiACwAIABcACIATABvAGMAYQB0AGkAbwBuACAAbgBvAHQAIABzAHAAZQBjAGkAZgBpAGUAZABcACIALAAgAFwAIgBrAGcAXAAiACwAIAAwADkAMAAyADAAMQAsACAAXAAiAGsAZwBcACIALAAgAFwAIgBrAGcAIABDAE8AMgAtAGUAIAAvACAAawBnAFwAIgA7AFwAbgAgACAAIAAgACAAIAAgACAAXAAiAFAAYQBjAGsAYQBnAGkAbgBnAFwAIgAsACAAXAAiAFAAbwBsAHkAZQB0AGgAeQBsAGUAbgBlACAAdABlAHIAZQBwAGgAdABoAGEAbABhAHQAZQAgACgAUABFAFQAKQBcACIALAAgAFwAIgBMAG8AYwBhAHQAaQBvAG4AIABuAG8AdAAgAHMAcABlAGMAaQBmAGkAZQBkAFwAIgAsACAAXAAiAGsAZwBcACIALAAgADAAOQAwADIAMAAyACwAIABcACIAawBnAFwAIgAsACAAXAAiAGsAZwAgAEMATwAyAC0AZQAgAC8AIABrAGcAXAAiADsAXABuACAAIAAgACAAIAAgACAAIABcACIAUABhAGMAawBhAGcAaQBuAGcAXAAiACwAIABcACIAUABvAGwAeQBwAHIAbwBwAHkAbABlAG4AZQAgACgAUABQACkAXAAiACwAIABcACIATABvAGMAYQB0AGkAbwBuACAAbgBvAHQAIABzAHAAZQBjAGkAZgBpAGUAZABcACIALAAgAFwAIgBrAGcAXAAiACwAIAAwADkAMAAyADAAMwAsACAAXAAiAGsAZwBcACIALAAgAFwAIgBrAGcAIABDAE8AMgAtAGUAIAAvACAAawBnAFwAIgA7AFwAbgAgACAAIAAgACAAIAAgACAAXAAiAFAAYQBjAGsAYQBnAGkAbgBnAFwAIgAsACAAXAAiAEMAYQByAGQAYgBvAGEAcgBkAFwAIgAsACAAXAAiAEwAbwBjAGEAdABpAG8AbgAgAG4AbwB0ACAAcwBwAGUAYwBpAGYAaQBlAGQAXAAiACwAIABcACIAawBnAFwAIgAsACAAMAA5ADAAMgAwADQALAAgAFwAIgBrAGcAXAAiACwAIABcACIAawBnACAAQwBPADIALQBlACAALwAgAGs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lAGUAZABzACAAYQBuAGQAIABTAGUAZQBkAGwAaQBuAGcAcwBcAG4APQA9AD0APQA9AD0APQA9AD0APQA9AD0APQA9AD0APQA9AD0APQA9AD0APQA9AD0APQA9AD0APQA9AD0APQA9AD0APQA9AD0APQA9AD0APQA9AD0APQA9AD0APQA9AD0APQA9AD0APQA9AD0APQA9AD0APQA9AD0APQA9AD0APQA9AD0APQA9AD0APQA9AD0APQA9AD0APQBcAG4AKgAvAFwAbgBcAG4AUwBjAG8AcABlADMAXwBTAGUAZQBkAHMAQQBuAGQAUwBlAGUAZABsAGkAbgBnAHMAXwBUAGkAdABsAGUAXABuAD0ATABBAE0AQgBEAEEAKAAoAFwAIgBTAGUAZQBkAHMAIABhAG4AZAAgAFMAZQBlAGQAbABpAG4AZwBzACAAcwBjAG8AcABlACAAMwBcACIAKQApADsAXABuAFwAbgBTAGMAbwBwAGUAMwBfAFMAZQBlAGQAcwBBAG4AZABTAGUAZQBkAGwAaQBuAGc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TAGUAZQBkAHMAQQBuAGQAUwBlAGUAZABsAGkAbgBnAHMAXwBWAGEAcgBpAGEAdABpAG8AbgBcAG4APQBMAEEATQBCAEQAQQAoACgAXAAiAFwAIgApACkAOwBcAG4AXABuAFMAYwBvAHAAZQAzAF8AUwBlAGUAZABzAEEAbgBkAFMAZQBlAGQAbABpAG4AZwBzAF8ARABhAHQAYQBcAG4APQBMAEEATQBCAEQAQQAoAFwAbgAgACAATQBBAEsARQBBAFIAUgBBAFkAKAAz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TAGUAZQBkAHMAIABhAG4AZAAgAFMAZQBlAGQAbABpAG4AZwBzAFwAIgAgACwAXAAiAFMAZQBlAGQAIAAoAGcAZQBuAGUAcgBhAGwAIABjAHIAbwBwACAAYQBuAGQAIABwAGEAcwB0AHUAcgBlACkAXAAiACwAIABcACIATABvAGMAYQB0AGkAbwBuACAAbgBvAHQAIABzAHAAZQBjAGkAZgBpAGUAZABcACIALAAgAFwAIgB0AFwAIgAsACAAMQAwADAAMQAwADEALAAgAFwAIgB0AFwAIgAsACAAXAAiAHQAIABDAE8AMgAtAGUAIAAvACAAdABcACIAOwBcAG4AIAAgACAAIAAgACAAIAAgAFwAIgBTAGUAZQBkAHMAIABhAG4AZAAgAFMAZQBlAGQAbABpAG4AZwBzAFwAIgAgACwAXAAiAFMAZQBlAGQAbABpAG4AZwBzACAAKABmAG8AcgBlAHMAdAByAHkALAAgAGgAbwByAHQAaQBjAHUAbAB0AHUAcgBlACwAIABlAG4AdgBpAHIAbwBuAG0AZQBuAHQAYQBsACkAXAAiACwAIABcACIATABvAGMAYQB0AGkAbwBuACAAbgBvAHQAIABzAHAAZQBjAGkAZgBpAGUAZABcACIALAAgAFwAIgBTAGUAZQBkAGwAaQBuAGcAXAAiACwAIAAxADAAMAAxADAAMgAsACAAXAAiAHQAXAAiACwAIABcACIAdAAgAEMATwAyAC0AZQAgAC8AIABTAGUAZQBkAGwAaQBuAGc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bABlAGEAbgBpAG4AZwAgAGMAaABlAG0AaQBjAGEAbABzAFwAbgA9AD0APQA9AD0APQA9AD0APQA9AD0APQA9AD0APQA9AD0APQA9AD0APQA9AD0APQA9AD0APQA9AD0APQA9AD0APQA9AD0APQA9AD0APQA9AD0APQA9AD0APQA9AD0APQA9AD0APQA9AD0APQA9AD0APQA9AD0APQA9AD0APQA9AD0APQA9AD0APQA9AD0APQA9AD0APQA9AFwAbgAqAC8AXABuAFwAbgBTAGMAbwBwAGUAMwBfAEMAbABlAGEAbgBpAG4AZwBDAGgAZQBtAGkAYwBhAGwAcwBfAFQAaQB0AGwAZQBcAG4APQBMAEEATQBCAEQAQQAoACgAXAAiAEMAbABlAGEAbgBpAG4AZwAgAGMAaABlAG0AaQBjAGEAbABzACAAcwBjAG8AcABlACAAMwBcACIAKQApADsAXABuAFwAbgBTAGMAbwBwAGUAMwBfAEMAbABlAGEAbgBpAG4AZwBDAGgAZQBtAGkAYwBhAGw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DAGwAZQBhAG4AaQBuAGcAQwBoAGUAbQBpAGMAYQBsAHMAXwBWAGEAcgBpAGEAdABpAG8AbgBcAG4APQBMAEEATQBCAEQAQQAoACgAXAAiAFwAIgApACkAOwBcAG4AXABuAFMAYwBvAHAAZQAzAF8AQwBsAGUAYQBuAGkAbgBnAEMAaABlAG0AaQBjAGEAbABzAF8ARABhAHQAYQBcAG4APQBMAEEATQBCAEQAQQAoAFwAbgAgACAATQBBAEsARQBBAFIAUgBBAFkAKAA0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DAGwAZQBhAG4AaQBuAGcAIABjAGgAZQBtAGkAYwBhAGwAcwBcACIALAAgAFwAIgBEAGUAdABlAHIAZwBlAG4AdABcACIALAAgAFwAIgBMAG8AYwBhAHQAaQBvAG4AIABuAG8AdAAgAHMAcABlAGMAaQBmAGkAZQBkAFwAIgAsACAAXAAiAHQAXAAiACwAIAAxADEAMAAxADAAMQAsACAAXAAiAHQAXAAiACwAIABcACIAdAAgAEMATwAyAC0AZQAgAC8AIAB0AFwAIgA7AFwAbgAgACAAIAAgACAAIAAgACAAXAAiAEMAbABlAGEAbgBpAG4AZwAgAGMAaABlAG0AaQBjAGEAbABzAFwAIgAsACAAXAAiAEEAYwBpAGQAXAAiACwAIABcACIATABvAGMAYQB0AGkAbwBuACAAbgBvAHQAIABzAHAAZQBjAGkAZgBpAGUAZABcACIALAAgAFwAIgB0AFwAIgAsACAAMQAxADAAMQAwADIALAAgAFwAIgB0AFwAIgAsACAAXAAiAHQAIABDAE8AMgAtAGUAIAAvACAAdABcACIAOwBcAG4AIAAgACAAIAAgACAAIAAgAFwAIgBDAGwAZQBhAG4AaQBuAGcAIABjAGgAZQBtAGkAYwBhAGwAcwBcACIALAAgAFwAIgBCAGwAZQBhAGMAaABcACIALAAgAFwAIgBMAG8AYwBhAHQAaQBvAG4AIABuAG8AdAAgAHMAcABlAGMAaQBmAGkAZQBkAFwAIgAsACAAXAAiAEwAXAAiACwAIAAxADEAMAAxADAAMwAsACAAXAAiAHQAXAAiACwAIABcACIAdAAgAEMATwAyAC0AZQAgAC8AIABMAFwAIgBcAG4AIAAgACAAIAAgACAAfQAsACAAcgAsACAAYwApAFwAbgApACkAKQA7AFwAbg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EEAZwByAGkAYwB1AGwAdAB1AHIAYQBsAEkAbgBwAHUAdABzAF8AVABpAHQAbABlAFwAbgA9AEwAQQBNAEIARABBACgAKABcACIATwB0AGgAZQByACAAYQBnAHIAaQBjAHUAbAB0AHUAcgBhAGwAIABpAG4AcAB1AHQAcwAgAHMAYwBvAHAAZQAgADMAXAAiACkAKQA7AFwAbgBcAG4AUwBjAG8AcABlADMAXwBPAHQAaABlAHIAQQBnAHIAaQBjAHUAbAB0AHUAcgBhAGwASQBuAHAAdQB0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wB0AGgAZQByAEEAZwByAGkAYwB1AGwAdAB1AHIAYQBsAEkAbgBwAHUAdABzAF8AVgBhAHIAaQBhAHQAaQBvAG4AXABuAD0ATABBAE0AQgBEAEEAKAAoAFwAIgBcACIAKQApADsAXABuAFwAbgBTAGMAbwBwAGUAMwBfAE8AdABoAGUAcgBBAGcAcgBpAGMAdQBsAHQAdQByAGEAbABJAG4AcAB1AHQAcwBfAEQAYQB0AGEAXABuAD0ATABBAE0AQgBEAEEAKABcAG4AIAAgAE0AQQBLAEUAQQBSAFIAQQBZACg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wB0AGgAZQByACAAQQBnAHIAaQBjAHUAbAB0AHUAcgBhAGwAIABJAG4AcAB1AHQAcwBcACIALAAgAFwAIgBDAE8AMgAgAGYAbwByACAAYwBhAHIAYgBvAG4AYQB0AGkAbwBuAFwAIgAsACAAXAAiAEwAbwBjAGEAdABpAG8AbgAgAG4AbwB0ACAAcwBwAGUAYwBpAGYAaQBlAGQAXAAiACwAIABcACIAdABcACIALAAgADEAMgAwADEAMAAxACwAIABcACIAdABcACIALAAgAFwAIgB0ACAAQwBPADIALQBlACAALwAgAHQAXAAiADsAXABuACAAIAAgACAAIAAgACAAIABcACIATwB0AGgAZQByACAAQQBnAHIAaQBjAHUAbAB0AHUAcgBhAGwAIABJAG4AcAB1AHQAcwBcACIALAAgAFwAIgBMAGkAdgBlAHMAdABvAGMAawAgAGEAbgB0AGkAYgBpAG8AdABpAGMAcwBcACIALAAgAFwAIgBMAG8AYwBhAHQAaQBvAG4AIABuAG8AdAAgAHMAcABlAGMAaQBmAGkAZQBkAFwAIgAsACAAXAAiAHQAXAAiACwAIAAxADEAMAAxADAAMgAsACAAXAAiAHQAXAAiACwAIABcACIAdAAgAEMATwAyAC0AZQAgAC8AIAB0AFwAIgA7AFwAbgAgACAAIAAgACAAIAAgACAAXAAiAE8AdABoAGUAcgAgAEEAZwByAGkAYwB1AGwAdAB1AHIAYQBsACAASQBuAHAAdQB0AHMAXAAiACwAIABcACIATgB5AGwAbwBuACAAbgBlAHQAdABpAG4AZwAgAGYAbwByACAAaABvAHIAdABpAGMAdQBsAHQAdQByAGUAXAAiACwAIABcACIATABvAGMAYQB0AGkAbwBuACAAbgBvAHQAIABzAHAAZQBjAGkAZgBpAGUAZABcACIALAAgAFwAIgB0AFwAIgAsACAAMQAxADAAMQAwADMALAAgAFwAIgB0AFwAIgAsACAAXAAiAHQAIABDAE8AMgAtAGUAIAAvACAAdABcACIAOwBcAG4AIAAgACAAIAAgACAAIAAgAFwAIgBPAHQAaABlAHIAIABBAGcAcgBpAGMAdQBsAHQAdQByAGEAbAAgAEkAbgBwAHUAdABzAFwAIgAsACAAXAAiAFAAYQBsAGwAZQB0AHMAIAAtACAAVwBvAG8AZABcACIALAAgAFwAIgBMAG8AYwBhAHQAaQBvAG4AIABuAG8AdAAgAHMAcABlAGMAaQBmAGkAZQBkAFwAIgAsACAAXAAiAHQAXAAiACwAIAAxADEAMAAxADAANAAsACAAXAAiAHQAXAAiACwAIABcACIAdAAgAEMATwAyAC0AZQAgAC8AIAB0AFwAIgA7AFwAbgAgACAAIAAgACAAIAAgACAAXAAiAE8AdABoAGUAcgAgAEEAZwByAGkAYwB1AGwAdAB1AHIAYQBsACAASQBuAHAAdQB0AHMAXAAiACwAIABcACIAUABhAGwAbABlAHQAcwAgAC0AIABQAGwAYQBzAHQAaQBjAFwAIgAsACAAXAAiAEwAbwBjAGEAdABpAG8AbgAgAG4AbwB0ACAAcwBwAGUAYwBpAGYAaQBlAGQAXAAiACwAIABcACIAdABcACIALAAgADEAMQAwADEAMAA1ACwAIABcACIAdABcACIALAAgAFwAIgB0ACAAQwBPADIALQBlACAALwAgAHQAXAAiADsAXABuACAAIAAgACAAIAAgACAAIABcACIATwB0AGgAZQByACAAQQBnAHIAaQBjAHUAbAB0AHUAcgBhAGwAIABJAG4AcAB1AHQAcwBcACIALAAgAFwAIgBMAGkAdgBlAHMAdABvAGMAawAgAHQAYQBnAHMAXAAiACwAIABcACIATABvAGMAYQB0AGkAbwBuACAAbgBvAHQAIABzAHAAZQBjAGkAZgBpAGUAZABcACIALAAgAFwAIgB0AFwAIgAsACAAMQAxADAAMQAwADY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1AGUAbAAgAC0AIABUAHIAYQBuAHMAcABvAHIAdABcAG4APQA9AD0APQA9AD0APQA9AD0APQA9AD0APQA9AD0APQA9AD0APQA9AD0APQA9AD0APQA9AD0APQA9AD0APQA9AD0APQA9AD0APQA9AD0APQA9AD0APQA9AD0APQA9AD0APQA9AD0APQA9AD0APQA9AD0APQA9AD0APQA9AD0APQA9AD0APQA9AD0APQA9AD0APQA9AD0APQBcAG4AKgAvAFwAbgBcAG4AUwBjAG8AcABlADMAXwBGAHUAZQBsAFQAcgBhAG4AcwBwAG8AcgB0AF8AVABpAHQAbABlAFwAbgA9AEwAQQBNAEIARABBACgAKABcACIARgB1AGUAbAAgAC0AIABUAHIAYQBuAHMAcABvAHIAdAAgAHMAYwBvAHAAZQAgADMAXAAiACkAKQA7AFwAbgBcAG4AUwBjAG8AcABlADMAXwBGAHUAZQBsAFQAcgBhAG4AcwBwAG8AcgB0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YAdQBlAGwAVAByAGEAbgBzAHAAbwByAH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QAcgBhAG4AcwBwAG8AcgB0AF8ARABhAHQAYQBcAG4APQBMAEEATQBCAEQAQQAoAFwAbgAgACAATQBBAEsARQBBAFIAUgBBAFkAKAAyADI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VAByAGEAbgBzAHAAbwByAHQAIAAtACAAQwBhAHIAcwAgAGEAbgBkACAAbABpAGcAaAB0ACAAYwBvAG0AbQBlAHIAYwBpAGEAbAAgAHYAZQBoAGkAYwBsAGUAcwBcACIALAAgAFwAIgBHAGEAcwBvAGwAaQBuAGU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ABpAGUAcw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MAGkAcQB1AGUAZgBpAGUAZAAgAHAAZQB0AHIAbwBsAGUAdQBtACAAZwBhAHMAIAAoAEwAUABHAC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gB1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UAdABoAGEAbgBv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QgBpAG8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UgBlAG4AZQB3AGEAYgBsAGUAIA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PAHQAaABlAHIAIABiAGkAbwBmAHUAZQBs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wAaQBnAGgAdA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TABpAGcAaAB0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IAGUAYQB2AHk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cAYQBzAG8AbABp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SwBlAHIAbwBzAGU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SAGUAbgBlAHcAYQBiAGwAZQAgAGEAdgBpAGEAdABpAG8AbgAgAGsAZQByAG8AcwBlAG4AZQBcACIALAAgAFwAIgBMAG8AYwBhAHQAaQBvAG4AIABuAG8AdAAgAHMAcABlAGMAaQBmAGkAZQBkAFwAIgAsACAAXAAiAGsAbABcACIALAAgAFwAIgBYAFgAWABYAFgAWABcACIALAAgAFwAIgB0AFwAIgAsACAAXAAiAHQAIABDAE8AMgAtAGUAIAAvACAAawBs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TABpAHEAdQBpAGQAXABuAD0APQA9AD0APQA9AD0APQA9AD0APQA9AD0APQA9AD0APQA9AD0APQA9AD0APQA9AD0APQA9AD0APQA9AD0APQA9AD0APQA9AD0APQA9AD0APQA9AD0APQA9AD0APQA9AD0APQA9AD0APQA9AD0APQA9AD0APQA9AD0APQA9AD0APQA9AD0APQA9AD0APQA9AD0APQA9AD0AXABuACoALwBcAG4AXABuAFMAYwBvAHAAZQAzAF8ARgB1AGUAbABTAHQAYQB0AGkAbwBuAGEAcgB5AEwAaQBxAHUAaQBkAF8AVABpAHQAbABlAFwAbgA9AEwAQQBNAEIARABBACgAKABcACIARgB1AGUAbAAgAC0AIABTAHQAYQB0AGkAbwBuAGEAcgB5ACAALQAgAEwAaQBxAHUAaQBkACAAcwBjAG8AcABlACAAMwBcACIAKQApADsAXABuAFwAbgBTAGMAbwBwAGUAMwBfAEYAdQBlAGwAUwB0AGEAdABpAG8AbgBhAHIAeQBMAGkAcQB1AGk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TABpAHEAdQBpAG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MAdABhAHQAaQBvAG4AYQByAHkATABpAHEAdQBpAGQAXwBEAGEAdABhAFwAbgA9AEwAQQBNAEIARABBACgAXABuACAAIABNAEEASwBFAEEAUgBSAEEAWQAoADIAN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wAaQBxAHUAaQBkAFwAIgAsACAAXAAiAFAAZQB0AHIAbwBsAGUAdQBtACAAYgBhAHMAZQBkACAAbwBpAGwAcwAgACgAbwB0AGgAZQByACAAdABoAGEAbgAgAHAAZQB0AHIAbwBsAGUAdQBtACAAYgBhAHMAZQBkACAAbwBpAGwAIAB1AHMAZQBkACAAYQBzACAAZgB1AGUAbAApACwAIABlAC4AZwAuACAAbAB1AGIAcgBpAGMAYQBuAHQAcwBcACIALAAgAFwAIgBMAG8AYwBhAHQAaQBvAG4AIABuAG8AdAAgAHMAcABlAGMAaQBmAGkAZQBkAFwAIgAsACAAXAAiAGsAbABcACIALAAgAFwAIgBYAFgAWABYAFgAWABcACIALAAgAFwAIgAgAHQAIABcACIALAAgAFwAIgB0ACAAQwBPADIAIAAtACAAZQAgAC8AIABrAGwAIABcACIAOwBcAG4AIAAgACAAIAAgACAAIAAgAFwAIgBGAHUAZQBsACAALQAgAFMAdABhAHQAaQBvAG4AYQByAHkAIAAtACAATABpAHEAdQBpAGQAXAAiACwAIABcACIAUABlAHQAcgBvAGwAZQB1AG0AIABiAGEAcwBlAGQAIABnAHIAZQBhAHMAZQBz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MAcgB1AGQAZQAgAG8AaQBsACAAaQBuAGMAbAB1AGQAaQBuAGcAIABjAHIAdQBkAGUAIABvAGkAbAAgAGMAbwBuAGQAZQBuAHMAYQB0AGU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8AdABoAGUAcgAgAG4AYQB0AHUAcgBhAGwAIABnAGEAcw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BAHUAdABvAG0AbwB0AGkAdgBlACAAZwBhAHMAbwBsAGkAbgBlACAALwAgAHAAZQB0AHIAbwBs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nAGEAcwBvAGw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wBlAHIAbwBzAGUAbgBl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0AHUAcgBiAGkAbgBlACAAZgB1AGUAbAAgAC8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ABlAGEAdABpAG4AZw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QAaQBlAHM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gB1AGUAbA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wAaQBxAHUAZQBmAGkAZQBkACAAYQByAG8AbQBhAHQAaQBjACAAaAB5AGQAcgBvAGMAYQByAGIAbwBu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wBvAGwAdgBlAG4AdABzADoAIABtAGkAbgBlAHIAYQBsACAAdAB1AHIAcABlAG4AdABpAG4AZQAgAG8AcgAgAHcAaABpAHQAZQAgAHMAcABpAHIAaQB0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wAGUAdAByAG8AbABlAHUAbQAgAGcAYQBzACAAKABMAFAARw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4AYQBwAGgAdABoAGE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ABlAHQAcgBvAGwAZQB1AG0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gBlAGYAaQBuAGUAcgB5ACAAZwBhAHMAIABhAG4AZA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ABlAHQAcgBvAGwAZQB1AG0AIABiAGEAcwBlAGQAIABwAHIAbwBkAHUAYwB0AHMAIABvAHQAaABlAHIAIAB0AGgAYQBuACAAbQBlAG4AdABpAG8AbgBlAGQAIABpAG4AIAB0AGgAZQAgAGkAdABlAG0AcwAgAGEAYgBvAHY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CAGkAbwBkAGkAZQBzAGU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FAHQAaABhAG4AbwBsACAAZgBvAHIAIAB1AHMAZQAgAGEAcwAgAGEAIABmAHUAZQBsACAAaQBuACAAYQBuACAAaQBuAHQAZQByAG4AYQBsACAAYwBvAG0AYgB1AHMAdABpAG8AbgAgAGUAbgBnAGkAb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YAdQBlAGwAcwAgAG8AdABoAGUAcgAgAHQAaABhAG4AIAB0AGgAbwBzAGUAIABtAGUAbgB0AGkAbwBuAGUAZAAgAGkAbgAgAHQAaABlACAAaQB0AGUAbQBzACAAYQBiAG8AdgBlACAAYQBuAGQAIABiAGUAbABvAHc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hAHYAaQBhAHQAaQBvAG4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kAGkAZQBzAGUAbABcACIALAAgAFwAIgBMAG8AYwBhAHQAaQBvAG4AIABuAG8AdAAgAHMAcABlAGMAaQBmAGkAZQBkAFwAIgAsACAAXAAiAGsAbABcACIALAAgAFwAIgBYAFgAWABYAFgAWABcACIALAAgAFwAIgB0AFwAIgAsACAAXAAiAHQAIABDAE8AMgAgAC0AIABlACAALwAgAGsAbAAg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RwBhAHMAZQBvAHUAcwBcAG4APQA9AD0APQA9AD0APQA9AD0APQA9AD0APQA9AD0APQA9AD0APQA9AD0APQA9AD0APQA9AD0APQA9AD0APQA9AD0APQA9AD0APQA9AD0APQA9AD0APQA9AD0APQA9AD0APQA9AD0APQA9AD0APQA9AD0APQA9AD0APQA9AD0APQA9AD0APQA9AD0APQA9AD0APQA9AD0APQBcAG4AKgAvAFwAbgBcAG4AUwBjAG8AcABlADMAXwBGAHUAZQBsAFMAdABhAHQAaQBvAG4AYQByAHkARwBhAHMAZQBvAHUAcwBUAGkAdABsAGUAXABuAD0ATABBAE0AQgBEAEEAKAAoAFwAIgBGAHUAZQBsACAALQAgAFMAdABhAHQAaQBvAG4AYQByAHkAIAAtACAARwBhAHMAZQBvAHUAcwAgAHMAYwBvAHAAZQAgADMAXAAiACkAKQA7AFwAbgBcAG4AUwBjAG8AcABlADMAXwBGAHUAZQBsAFMAdABhAHQAaQBvAG4AYQByAHkARwBhAHMAZQBvAHUAc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TAHQAYQB0AGkAbwBuAGEAcgB5AEcAYQBzAGUAbwB1AHM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CcARgB1AGUAbAAgAFMAbwB1AHIAYwBlACAARABhAHQAYQAnAFwAIgApACkAOwBcAG4AXABuAFMAYwBvAHAAZQAzAF8ARgB1AGUAbABTAHQAYQB0AGkAbwBuAGEAcgB5AEcAYQBzAGUAbwB1AHM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UwB0AGEAdABpAG8AbgBhAHIAeQAgAC0AIABHAGEAcwBlAG8AdQBzAFwAIgAsACAAXAAiAE4AYQB0AHUAcgBhAGwAIABnAGEAcwAgAGQAaQBzAHQAcgBpAGIAdQB0AGUAZAAgAGkAbgAgAGEAIABwAGkAcABlAGwAaQBuAGUAIAAtACAARwBpAGcAYQBqAG8AdQBsAGUAcwBcACIALAAgAFwAIgBOAGUAdwAgAFMAbwB1AHQAaAAgAFcAYQBsAGUAcw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EEAQwBU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UQB1AGUAZQBuAHMAbABhAG4AZA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MAbwB1AHQAaA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ABhAHMAbQBhAG4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TgBvAHIAdABoAGUAcgBuACAAVABlAHIAcgBpAHQAbwByAHk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ZQB3ACAAUwBvAHUAdABoACAAVwBhAGwAZQBz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BAEMAVA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RAHUAZQBlAG4AcwBsAGEAbgBk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TAG8AdQB0AGg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UAGEAcwBtAGEAbg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bwByAHQAaABlAHIAbgAgAFQAZQByAHIAaQB0AG8AcgB5AFwAIgAsACAAXAAiAEcAagBcACIALAAgAFwAIgBYAFgAWABYAFgAWABcACIALAAgAFwAIgB0AFwAIgAsACAAXAAiAHQAIABDAE8AMgAgAC0AIABlACAALwAgAEcAag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QBsAGUAYwB0AHIAaQBjAGkAdAB5ACAALQAgAFMAdABhAHQAZQAgAEcAcgBpAGQAXABuAD0APQA9AD0APQA9AD0APQA9AD0APQA9AD0APQA9AD0APQA9AD0APQA9AD0APQA9AD0APQA9AD0APQA9AD0APQA9AD0APQA9AD0APQA9AD0APQA9AD0APQA9AD0APQA9AD0APQA9AD0APQA9AD0APQA9AD0APQA9AD0APQA9AD0APQA9AD0APQA9AD0APQA9AD0APQA9AD0AXABuACoALwBcAG4AXABuAFMAYwBvAHAAZQAzAF8ARQBsAGUAYwB0AHIAaQBjAGkAdAB5AF8AVABpAHQAbABlAFwAbgA9AEwAQQBNAEIARABBACgAKABcACIARQBsAGUAYwB0AHIAaQBjAGkAdAB5ACAALQAgAFMAdABhAHQAZQAgAEcAcgBpAGQAIABzAGMAbwBwAGUAIAAzAFwAIgApACkAOwBcAG4AXABuAFMAYwBvAHAAZQAzAF8ARQBsAGUAYwB0AHIAaQBjAGkAdAB5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UAbABlAGMAdAByAGkAYwBpAHQAeQ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AnAEUAbABlAGMAdAByAGkAYwBpAHQAeQAgAFMAbwB1AHIAYwBlACAARABhAHQAYQAnAFwAIgApACkAOwBcAG4AXABuAFMAYwBvAHAAZQAzAF8ARQBsAGUAYwB0AHIAaQBjAGkAdAB5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UAbABlAGMAdAByAGkAYwBpAHQAeQBcACIALAAgAFwAIgBTAHQAYQB0AGUAIABHAHIAaQBkAFwAIgAsACAAXAAiAE4AZQB3ACAAUwBvAHUAdABoACAAVwBhAGwAZQBzAFwAIgAsACAAXAAiAGsAVwBoAFwAIgAsACAAXAAiAFgAWABYAFgAWABYAFwAIgAsACAAXAAiAHQAXAAiACwAIABcACIAdAAgAEMATwAyACAALQAgAGUAIAAvACAARwBqAFwAIgA7AFwAbgAgACAAIAAgACAAIAAgACAAXAAiAEUAbABlAGMAdAByAGkAYwBpAHQAeQBcACIALAAgAFwAIgBTAHQAYQB0AGUAIABHAHIAaQBkAFwAIgAsACAAXAAiAEEAQwBUAFwAIgAsACAAXAAiAGsAVwBoAFwAIgAsACAAXAAiAFgAWABYAFgAWABYAFwAIgAsACAAXAAiAHQAXAAiACwAIABcACIAdAAgAEMATwAyACAALQAgAGUAIAAvACAARwBqAFwAIgA7AFwAbgAgACAAIAAgACAAIAAgACAAXAAiAEUAbABlAGMAdAByAGkAYwBpAHQAeQBcACIALAAgAFwAIgBTAHQAYQB0AGUAIABHAHIAaQBkAFwAIgAsACAAXAAiAFYAaQBjAHQAbwByAGkAYQBcACIALAAgAFwAIgBrAFcAaABcACIALAAgAFwAIgBYAFgAWABYAFgAWABcACIALAAgAFwAIgB0AFwAIgAsACAAXAAiAHQAIABDAE8AMgAgAC0AIABlACAALwAgAEcAagBcACIAOwBcAG4AIAAgACAAIAAgACAAIAAgAFwAIgBFAGwAZQBjAHQAcgBpAGMAaQB0AHkAXAAiACwAIABcACIAUwB0AGEAdABlACAARwByAGkAZABcACIALAAgAFwAIgBRAHUAZQBlAG4AcwBsAGEAbgBkAFwAIgAsACAAXAAiAGsAVwBoAFwAIgAsACAAXAAiAFgAWABYAFgAWABYAFwAIgAsACAAXAAiAHQAXAAiACwAIABcACIAdAAgAEMATwAyACAALQAgAGUAIAAvACAARwBqAFwAIgA7AFwAbgAgACAAIAAgACAAIAAgACAAXAAiAEUAbABlAGMAdAByAGkAYwBpAHQAeQBcACIALAAgAFwAIgBTAHQAYQB0AGUAIABHAHIAaQBkAFwAIgAsACAAXAAiAFMAbwB1AHQAaAAgAEEAdQBzAHQAcgBhAGwAaQBh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TAG8AdQB0AGgAIABXAGUAcwB0ACAASQBuAHQAZQByAGMAbwBuAG4AZQBjAHQAZQBkACAAUwB5AHMAdABlAG0AIAAoAFMAVwBJAFMAK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TgBvAHIAdABoACAAVwBlAHMAdABlAHIAbgAgAEkAbgB0AGUAcgBjAG8AbgBuAGUAYwB0AGUAZAAgAFMAeQBzAHQAZQBtACAAKABOAFcASQBTACkAXAAiACwAIABcACIAawBXAGgAXAAiACwAIABcACIAWABYAFgAWABYAFgAXAAiACwAIABcACIAdABcACIALAAgAFwAIgB0ACAAQwBPADIAIAAtACAAZQAgAC8AIABHAGoAXAAiADsAXABuACAAIAAgACAAIAAgACAAIABcACIARQBsAGUAYwB0AHIAaQBjAGkAdAB5AFwAIgAsACAAXAAiAFMAdABhAHQAZQAgAEcAcgBpAGQAXAAiACwAIABcACIAVABhAHMAbQBhAG4AaQBhAFwAIgAsACAAXAAiAGsAVwBoAFwAIgAsACAAXAAiAFgAWABYAFgAWABYAFwAIgAsACAAXAAiAHQAXAAiACwAIABcACIAdAAgAEMATwAyACAALQAgAGUAIAAvACAARwBqAFwAIgA7AFwAbgAgACAAIAAgACAAIAAgACAAXAAiAEUAbABlAGMAdAByAGkAYwBpAHQAeQBcACIALAAgAFwAIgBTAHQAYQB0AGUAIABHAHIAaQBkAFwAIgAsACAAXAAiAE4AbwByAHQAaABlAHIAbgAgAFQAZQByAHIAaQB0AG8AcgB5ACAALQAgAEQAYQByAHcAaQBuACAASwBhAHQAaABlAHIAaQBuAGUAIABJAG4AdABlAHIAYwBvAG4AbgBlAGMAdABlAGQAIABTAHkAcwB0AGUAbQAgACgARABLAEkAUwApAFwAIgAsACAAXAAiAGsAVwBoAFwAIgAsACAAXAAiAFgAWABYAFgAWABYAFwAIgAsACAAXAAiAHQAXAAiACwAIABcACIAdAAgAEMATwAyACAALQAgAGUAIAAvACAARwBqAFwAIgA7AFwAbgAgACAAIAAgACAAIAAgACAAXAAiAEUAbABlAGMAdAByAGkAYwBpAHQAeQBcACIALAAgAFwAIgBTAHQAYQB0AGUAIABHAHIAaQBkAFwAIgAsACAAXAAiAE4AYQB0AGkAbwBuAGEAbABcACIALAAgAFwAIgBrAFcAaABcACIALAAgAFwAIgBYAFgAWABYAFgAWABcACIALAAgAFwAIgB0AFwAIgAsACAAXAAiAHQAIABDAE8AMgAgAC0AIABlACAALwAgAEcAagBcACIAXABuACAAIAAgACAAIAAgAH0ALAAgAHIALAAgAGMAKQBcAG4AKQApACkAOwAiAH0AXQAsACIAcAByAG8AagBlAGMAdABOAGEAbQBlAHMAIgA6AFs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UwBvAHUAcgBjAGUARABhAHQAYQAuAEMAbwBtAG0AbwBuAF8AUwBvAHUAcgBjAGUARABhAHQAYQBfAE0AQwBGAFQAZQBtAHAAZQByAGEAdAB1AHIAZQBaAG8AbgBl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yAGcAYQBuAGkAYwBGAGUAcgB0AGkAbABpAHMAZQByAHMAXwBUAGkAdABsAGUAIgAsACIAUwBjAG8AcABlADMAXwBTAG8AdQByAGMAZQBEAGEAdABhAC4AUwBjAG8AcABlADMAXwBPAHIAZwBhAG4AaQBjAEYAZQByAHQAaQBsAGkAcwBlAHIAcwBfAFMAbwB1AHIAYwBlACIALAAiAFMAYwBvAHAAZQAzAF8AUwBvAHUAcgBjAGUARABhAHQAYQAuAFMAYwBvAHAAZQAzAF8ATwByAGcAYQBuAGkAYwBGAGUAcgB0AGkAbABpAHMAZQByAHMAXwBWAGEAcgBpAGEAdABpAG8AbgAiACwAIgBTAGMAbwBwAGUAMwBfAFMAbwB1AHIAYwBlAEQAYQB0AGEALgBTAGMAbwBwAGUAMwBfAE8AcgBnAGEAbgBpAGMARgBlAHIAdABpAGwAaQBzAGUAcg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UwBvAHUAcgBjAGUARABhAHQAYQAuAFMAYwBvAHAAZQAzAF8AQQBnAHIAbwBjAGgAZQBtAGkAYwBhAGwAcwBfAFQAaQB0AGwAZQAiACwAIgBTAGMAbwBwAGUAMwBfAFMAbwB1AHIAYwBlAEQAYQB0AGEALgBTAGMAbwBwAGUAMwBfAEEAZwByAG8AYwBoAGUAbQBpAGMAYQBsAHMAXwBTAG8AdQByAGMAZQAiACwAIgBTAGMAbwBwAGUAMwBfAFMAbwB1AHIAYwBlAEQAYQB0AGEALgBTAGMAbwBwAGUAMwBfAEEAZwByAG8AYwBoAGUAbQBpAGMAYQBsAHMAXwBWAGEAcgBpAGEAdABpAG8AbgAiACwAIgBTAGMAbwBwAGUAMwBfAFMAbwB1AHIAYwBlAEQAYQB0AGEALgBTAGMAbwBwAGUAMwBfAEEAZwByAG8AYwBoAGUAbQBpAGMAYQBsAHMAXwBEAGEAdABhACIALAAiAFMAYwBvAHAAZQAzAF8AUwBvAHUAcgBjAGUARABhAHQAYQAuAFMAYwBvAHAAZQAzAF8ATABpAGMAawBCAGwAbwBjAGsAcwBfAFQAaQB0AGwAZQAiACwAIgBTAGMAbwBwAGUAMwBfAFMAbwB1AHIAYwBlAEQAYQB0AGEALgBTAGMAbwBwAGUAMwBfAEwAaQBjAGsAQgBsAG8AYwBrAHMAXwBTAG8AdQByAGMAZQAiACwAIgBTAGMAbwBwAGUAMwBfAFMAbwB1AHIAYwBlAEQAYQB0AGEALgBTAGMAbwBwAGUAMwBfAEwAaQBjAGsAQgBsAG8AYwBrAHMAXwBWAGEAcgBpAGEAdABpAG8AbgAiACwAIgBTAGMAbwBwAGUAMwBfAFMAbwB1AHIAYwBlAEQAYQB0AGEALgBTAGMAbwBwAGUAMwBfAEwAaQBjAGsAQgBsAG8AYwBrAHMAXwBEAGEAdABhACIALAAiAFMAYwBvAHAAZQAzAF8AUwBvAHUAcgBjAGUARABhAHQAYQAuAFMAYwBvAHAAZQAzAF8AQQBuAGkAbQBhAGwARgBlAGUAZABfAFQAaQB0AGwAZQAiACwAIgBTAGMAbwBwAGUAMwBfAFMAbwB1AHIAYwBlAEQAYQB0AGEALgBTAGMAbwBwAGUAMwBfAEEAbgBpAG0AYQBsAEYAZQBlAGQAXwBTAG8AdQByAGMAZQAiACwAIgBTAGMAbwBwAGUAMwBfAFMAbwB1AHIAYwBlAEQAYQB0AGEALgBTAGMAbwBwAGUAMwBfAEEAbgBpAG0AYQBsAEYAZQBlAGQAXwBWAGEAcgBpAGEAdABpAG8AbgAiACwAIgBTAGMAbwBwAGUAMwBfAFMAbwB1AHIAYwBlAEQAYQB0AGEALgBTAGMAbwBwAGUAMwBfAEEAbgBpAG0AYQBsAEYAZQBlAGQAXwBEAGEAdABhACIALAAiAFMAYwBvAHAAZQAzAF8AUwBvAHUAcgBjAGUARABhAHQAYQAuAFMAYwBvAHAAZQAzAF8AQQBxAHUAYQBjAHUAbAB0AHUAcgBlAEYAZQBlAGQAQQBuAGQAQgBhAGkAdABfAFQAaQB0AGwAZQAiACwAIgBTAGMAbwBwAGUAMwBfAFMAbwB1AHIAYwBlAEQAYQB0AGEALgBTAGMAbwBwAGUAMwBfAEEAcQB1AGEAYwB1AGwAdAB1AHIAZQBGAGUAZQBkAEEAbgBkAEIAYQBpAHQAXwBTAG8AdQByAGMAZQAiACwAIgBTAGMAbwBwAGUAMwBfAFMAbwB1AHIAYwBlAEQAYQB0AGEALgBTAGMAbwBwAGUAMwBfAEEAcQB1AGEAYwB1AGwAdAB1AHIAZQBGAGUAZQBkAEEAbgBkAEIAYQBpAHQAXwBWAGEAcgBpAGEAdABpAG8AbgAiACwAIgBTAGMAbwBwAGUAMwBfAFMAbwB1AHIAYwBlAEQAYQB0AGEALgBTAGMAbwBwAGUAMwBfAEEAcQB1AGEAYwB1AGwAdAB1AHIAZQBGAGUAZQBkAEEAbgBkAEIAYQBpAHQAXwBEAGEAdABh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FAAYQBjAGsAYQBnAGkAbgBnAF8AVABpAHQAbABlACIALAAiAFMAYwBvAHAAZQAzAF8AUwBvAHUAcgBjAGUARABhAHQAYQAuAFMAYwBvAHAAZQAzAF8AUABhAGMAawBhAGcAaQBuAGcAXwBTAG8AdQByAGMAZQAiACwAIgBTAGMAbwBwAGUAMwBfAFMAbwB1AHIAYwBlAEQAYQB0AGEALgBTAGMAbwBwAGUAMwBfAFAAYQBjAGsAYQBnAGkAbgBnAF8AVgBhAHIAaQBhAHQAaQBvAG4AIgAsACIAUwBjAG8AcABlADMAXwBTAG8AdQByAGMAZQBEAGEAdABhAC4AUwBjAG8AcABlADMAXwBQAGEAYwBrAGEAZwBpAG4AZwBfAEQAYQB0AGEAIgAsACIAUwBjAG8AcABlADMAXwBTAG8AdQByAGMAZQBEAGEAdABhAC4AUwBjAG8AcABlADMAXwBTAGUAZQBkAHMAQQBuAGQAUwBlAGUAZABsAGkAbgBnAHMAXwBUAGkAdABsAGUAIgAsACIAUwBjAG8AcABlADMAXwBTAG8AdQByAGMAZQBEAGEAdABhAC4AUwBjAG8AcABlADMAXwBTAGUAZQBkAHMAQQBuAGQAUwBlAGUAZABsAGkAbgBnAHMAXwBTAG8AdQByAGMAZQAiACwAIgBTAGMAbwBwAGUAMwBfAFMAbwB1AHIAYwBlAEQAYQB0AGEALgBTAGMAbwBwAGUAMwBfAFMAZQBlAGQAcwBBAG4AZABTAGUAZQBkAGwAaQBuAGcAcwBfAFYAYQByAGkAYQB0AGkAbwBuACIALAAiAFMAYwBvAHAAZQAzAF8AUwBvAHUAcgBjAGUARABhAHQAYQAuAFMAYwBvAHAAZQAzAF8AUwBlAGUAZABzAEEAbgBkAFMAZQBlAGQAbABpAG4AZwBzAF8ARABhAHQAYQAiACwAIgBTAGMAbwBwAGUAMwBfAFMAbwB1AHIAYwBlAEQAYQB0AGEALgBTAGMAbwBwAGUAMwBfAEMAbABlAGEAbgBpAG4AZwBDAGgAZQBtAGkAYwBhAGwAcwBfAFQAaQB0AGwAZQAiACwAIgBTAGMAbwBwAGUAMwBfAFMAbwB1AHIAYwBlAEQAYQB0AGEALgBTAGMAbwBwAGUAMwBfAEMAbABlAGEAbgBpAG4AZwBDAGgAZQBtAGkAYwBhAGwAcwBfAFMAbwB1AHIAYwBlACIALAAiAFMAYwBvAHAAZQAzAF8AUwBvAHUAcgBjAGUARABhAHQAYQAuAFMAYwBvAHAAZQAzAF8AQwBsAGUAYQBuAGkAbgBnAEMAaABlAG0AaQBjAGEAbABzAF8AVgBhAHIAaQBhAHQAaQBvAG4AIgAsACIAUwBjAG8AcABlADMAXwBTAG8AdQByAGMAZQBEAGEAdABhAC4AUwBjAG8AcABlADMAXwBDAGwAZQBhAG4AaQBuAGcAQwBoAGUAbQBpAGMAYQBsAHMAXwBEAGEAdABhACIALAAiAFMAYwBvAHAAZQAzAF8AUwBvAHUAcgBjAGUARABhAHQAYQAuAFMAYwBvAHAAZQAzAF8ATwB0AGgAZQByAEEAZwByAGkAYwB1AGwAdAB1AHIAYQBsAEkAbgBwAHUAdABzAF8AVABpAHQAbABlACIALAAiAFMAYwBvAHAAZQAzAF8AUwBvAHUAcgBjAGUARABhAHQAYQAuAFMAYwBvAHAAZQAzAF8ATwB0AGgAZQByAEEAZwByAGkAYwB1AGwAdAB1AHIAYQBsAEkAbgBwAHUAdABzAF8AUwBvAHUAcgBjAGUAIgAsACIAUwBjAG8AcABlADMAXwBTAG8AdQByAGMAZQBEAGEAdABhAC4AUwBjAG8AcABlADMAXwBPAHQAaABlAHIAQQBnAHIAaQBjAHUAbAB0AHUAcgBhAGwASQBuAHAAdQB0AHMAXwBWAGEAcgBpAGEAdABpAG8AbgAiACwAIgBTAGMAbwBwAGUAMwBfAFMAbwB1AHIAYwBlAEQAYQB0AGEALgBTAGMAbwBwAGUAMwBfAE8AdABoAGUAcgBBAGcAcgBpAGMAdQBsAHQAdQByAGEAbABJAG4AcAB1AHQAcwBfAEQAYQB0AGEAIgAsACIAUwBjAG8AcABlADMAXwBTAG8AdQByAGMAZQBEAGEAdABhAC4AUwBjAG8AcABlADMAXwBGAHUAZQBsAFQAcgBhAG4AcwBwAG8AcgB0AF8AVABpAHQAbABlACIALAAiAFMAYwBvAHAAZQAzAF8AUwBvAHUAcgBjAGUARABhAHQAYQAuAFMAYwBvAHAAZQAzAF8ARgB1AGUAbABUAHIAYQBuAHMAcABvAHIAdABfAFMAbwB1AHIAYwBlACIALAAiAFMAYwBvAHAAZQAzAF8AUwBvAHUAcgBjAGUARABhAHQAYQAuAFMAYwBvAHAAZQAzAF8ARgB1AGUAbABUAHIAYQBuAHMAcABvAHIAdABfAFYAYQByAGkAYQB0AGkAbwBuACIALAAiAFMAYwBvAHAAZQAzAF8AUwBvAHUAcgBjAGUARABhAHQAYQAuAFMAYwBvAHAAZQAzAF8ARgB1AGUAbABUAHIAYQBuAHMAcABvAHIAdABfAEQAYQB0AGEAIgAsACIAUwBjAG8AcABlADMAXwBTAG8AdQByAGMAZQBEAGEAdABhAC4AUwBjAG8AcABlADMAXwBGAHUAZQBsAFMAdABhAHQAaQBvAG4AYQByAHkATABpAHEAdQBpAGQAXwBUAGkAdABsAGUAIgAsACIAUwBjAG8AcABlADMAXwBTAG8AdQByAGMAZQBEAGEAdABhAC4AUwBjAG8AcABlADMAXwBGAHUAZQBsAFMAdABhAHQAaQBvAG4AYQByAHkATABpAHEAdQBpAGQAXwBTAG8AdQByAGMAZQAiACwAIgBTAGMAbwBwAGUAMwBfAFMAbwB1AHIAYwBlAEQAYQB0AGEALgBTAGMAbwBwAGUAMwBfAEYAdQBlAGwAUwB0AGEAdABpAG8AbgBhAHIAeQBMAGkAcQB1AGkAZABfAFYAYQByAGkAYQB0AGkAbwBuACIALAAiAFMAYwBvAHAAZQAzAF8AUwBvAHUAcgBjAGUARABhAHQAYQAuAFMAYwBvAHAAZQAzAF8ARgB1AGUAbABTAHQAYQB0AGkAbwBuAGEAcgB5AEwAaQBxAHUAaQBkAF8ARABhAHQAYQAiACwAIgBTAGMAbwBwAGUAMwBfAFMAbwB1AHIAYwBlAEQAYQB0AGEALgBTAGMAbwBwAGUAMwBfAEYAdQBlAGwAUwB0AGEAdABpAG8AbgBhAHIAeQBHAGEAcwBlAG8AdQBzAFQAaQB0AGwAZQAiACwAIgBTAGMAbwBwAGUAMwBfAFMAbwB1AHIAYwBlAEQAYQB0AGEALgBTAGMAbwBwAGUAMwBfAEYAdQBlAGwAUwB0AGEAdABpAG8AbgBhAHIAeQBHAGEAcwBlAG8AdQBzAFMAbwB1AHIAYwBlACIALAAiAFMAYwBvAHAAZQAzAF8AUwBvAHUAcgBjAGUARABhAHQAYQAuAFMAYwBvAHAAZQAzAF8ARgB1AGUAbABTAHQAYQB0AGkAbwBuAGEAcgB5AEcAYQBzAGUAbwB1AHMAVgBhAHIAaQBhAHQAaQBvAG4AIgAsACIAUwBjAG8AcABlADMAXwBTAG8AdQByAGMAZQBEAGEAdABhAC4AUwBjAG8AcABlADMAXwBGAHUAZQBsAFMAdABhAHQAaQBvAG4AYQByAHkARwBhAHMAZQBvAHUAcwBEAGEAdABhACIALAAiAFMAYwBvAHAAZQAzAF8AUwBvAHUAcgBjAGUARABhAHQAYQAuAFMAYwBvAHAAZQAzAF8ARQBsAGUAYwB0AHIAaQBjAGkAdAB5AF8AVABpAHQAbABlACIALAAiAFMAYwBvAHAAZQAzAF8AUwBvAHUAcgBjAGUARABhAHQAYQAuAFMAYwBvAHAAZQAzAF8ARQBsAGUAYwB0AHIAaQBjAGkAdAB5AF8AUwBvAHUAcgBjAGUAIgAsACIAUwBjAG8AcABlADMAXwBTAG8AdQByAGMAZQBEAGEAdABhAC4AUwBjAG8AcABlADMAXwBFAGwAZQBjAHQAcgBpAGMAaQB0AHkAXwBWAGEAcgBpAGEAdABpAG8AbgAiACwAIgBTAGMAbwBwAGUAMwBfAFMAbwB1AHIAYwBlAEQAYQB0AGEALgBTAGMAbwBwAGUAMwBfAEUAbABlAGMAdAByAGkAYwBpAHQAeQBfAEQAYQB0AGE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Input - Site</vt:lpstr>
      <vt:lpstr>Input - Fertiliser</vt:lpstr>
      <vt:lpstr>Input - Feed - Dairy</vt:lpstr>
      <vt:lpstr>Input - Other Farm Inputs</vt:lpstr>
      <vt:lpstr>Input - Fuel</vt:lpstr>
      <vt:lpstr>Input - Electricity</vt:lpstr>
      <vt:lpstr>Calcs - Scope 3</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2026-05-26T01:52:55Z</dcterms:modified>
</cp:coreProperties>
</file>