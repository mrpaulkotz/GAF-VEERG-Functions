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7C99CD8F-31EE-4028-98EC-9FC7D0BF1190}" xr6:coauthVersionLast="47" xr6:coauthVersionMax="47" xr10:uidLastSave="{00000000-0000-0000-0000-000000000000}"/>
  <bookViews>
    <workbookView xWindow="165" yWindow="105" windowWidth="37920" windowHeight="20700" activeTab="4" xr2:uid="{D37248E2-1193-4B5E-BE4F-D7532AB14CA0}"/>
  </bookViews>
  <sheets>
    <sheet name="Input - Site" sheetId="10" r:id="rId1"/>
    <sheet name="Input - Fertiliser" sheetId="7" r:id="rId2"/>
    <sheet name="Input - Fuel" sheetId="5" r:id="rId3"/>
    <sheet name="Input - Electricity" sheetId="9" r:id="rId4"/>
    <sheet name="Sheet1" sheetId="1" r:id="rId5"/>
    <sheet name="Constants - Fertiliser" sheetId="6" r:id="rId6"/>
    <sheet name="Constants - Fuel" sheetId="4" r:id="rId7"/>
    <sheet name="Constants - Electricity" sheetId="8" r:id="rId8"/>
    <sheet name="Constants - Common" sheetId="3"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_xlfn.LAMBDA(_xlfn.MAKEARRAY(19,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Source">_xlfn.LAMBDA((""))</definedName>
    <definedName name="Fertiliser_SourceData.Fertiliser_Products_Title">_xlfn.LAMBDA(("Branded fertiliser products and their chemical composition"))</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Equations.VEERG_8_X_FuelCombustionGeneric">_xlfn.LAMBDA(_xlpm.Q_GCq,_xlpm.EC_GCq,_xlpm.EF_GC1qg, Fuel_Equations.VEERG_8_FuelCombustion(_xlpm.Q_GCq, _xlpm.EC_GCq, _xlpm.EF_GC1qg))</definedName>
    <definedName name="Fuel_Equations.VEERG_8_X_FuelCombustionGeneric_Arguments">_xlfn.LAMBDA(_xlfn.MAKEARRAY(7, 4, _xlfn.LAMBDA(_xlpm.r,_xlpm.c, INDEX({"Q_GCq","Amount of fuel type q used for generic combustion operations","Varies based on fuel type: kL, m3, GJ","Input";"EC_GCq","Energy content factor for generic combustion operations","GJ / unit of fuel","Constant";"EF_GC1qg","Scope 1 emission factor for generic combustion for each greenhouse gas","kg CO2e / GJ","Constant";"q","Fuel type","","Constant";"GC","Generic combustion","","Constant";"g","Greenhouse gas","","Constant";"1","Scope 1","","Constant"}, _xlpm.r, _xlpm.c))))</definedName>
    <definedName name="Fuel_Equations.VEERG_8_X_FuelCombustionGeneric_LatexEquation">_xlfn.LAMBDA("E_g=\sum\nolimits_t \sum\nolimits_q\left(Q_{GC,q}\times EC_{GC,q}\times EF_{GC,1,qg}\right)\times 10^{-3}")</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_xlfn.LAMBDA("E_g")</definedName>
    <definedName name="Fuel_Equations.VEERG_8_X_FuelCombustionGeneric_Variation">_xlfn.LAMBDA("VARIATION ON SOURCE: This calculation uses averages of transport and stationary emission factors for fuel combustion where the usage is not known.")</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E46" i="1" l="1"/>
  <c r="E45" i="1"/>
  <c r="E26" i="9"/>
  <c r="I33" i="9" s="1"/>
  <c r="E25" i="9"/>
  <c r="I44" i="9" s="1"/>
  <c r="E12" i="9"/>
  <c r="A15" i="10"/>
  <c r="A14" i="10"/>
  <c r="E13" i="10"/>
  <c r="A11" i="10"/>
  <c r="A8" i="10"/>
  <c r="A5" i="10"/>
  <c r="A4" i="10"/>
  <c r="A3" i="10"/>
  <c r="H44" i="9"/>
  <c r="E44" i="9"/>
  <c r="H43" i="9"/>
  <c r="E43" i="9"/>
  <c r="H42" i="9"/>
  <c r="E42" i="9"/>
  <c r="H35" i="9"/>
  <c r="H34" i="9"/>
  <c r="H33" i="9"/>
  <c r="A15" i="9"/>
  <c r="A14" i="9"/>
  <c r="E18" i="9"/>
  <c r="A11" i="9"/>
  <c r="A8" i="9"/>
  <c r="A5" i="9"/>
  <c r="A4" i="9"/>
  <c r="A3" i="9"/>
  <c r="H25" i="8" a="1"/>
  <c r="H25" i="8" s="1"/>
  <c r="G25" i="8" a="1"/>
  <c r="G25" i="8" s="1"/>
  <c r="F25" i="8" a="1"/>
  <c r="F25" i="8" s="1"/>
  <c r="E25" i="8" a="1"/>
  <c r="E25" i="8" s="1"/>
  <c r="D25" i="8" a="1"/>
  <c r="D25" i="8" s="1"/>
  <c r="D22" i="8" a="1"/>
  <c r="D22" i="8" s="1"/>
  <c r="D21" i="8" a="1"/>
  <c r="D21" i="8" s="1"/>
  <c r="F19" i="8" a="1"/>
  <c r="F19" i="8" s="1"/>
  <c r="E19" i="8" a="1"/>
  <c r="E19" i="8" s="1"/>
  <c r="D19" i="8" a="1"/>
  <c r="D19" i="8" s="1"/>
  <c r="F18" i="8" a="1"/>
  <c r="F18" i="8" s="1"/>
  <c r="E18" i="8" a="1"/>
  <c r="E18" i="8" s="1"/>
  <c r="D18" i="8" a="1"/>
  <c r="D18" i="8" s="1"/>
  <c r="F17" i="8" a="1"/>
  <c r="F17" i="8" s="1"/>
  <c r="E17" i="8" a="1"/>
  <c r="E17" i="8" s="1"/>
  <c r="D17" i="8" a="1"/>
  <c r="D17" i="8" s="1"/>
  <c r="F16" i="8" a="1"/>
  <c r="F16" i="8" s="1"/>
  <c r="E16" i="8" a="1"/>
  <c r="E16" i="8" s="1"/>
  <c r="D16" i="8" a="1"/>
  <c r="D16" i="8" s="1"/>
  <c r="F15" i="8" a="1"/>
  <c r="F15" i="8" s="1"/>
  <c r="E15" i="8" a="1"/>
  <c r="E15" i="8" s="1"/>
  <c r="D15" i="8" a="1"/>
  <c r="D15" i="8" s="1"/>
  <c r="A15" i="8"/>
  <c r="F14" i="8" a="1"/>
  <c r="F14" i="8" s="1"/>
  <c r="E14" i="8" a="1"/>
  <c r="E14" i="8" s="1"/>
  <c r="D14" i="8" a="1"/>
  <c r="D14" i="8" s="1"/>
  <c r="A14" i="8"/>
  <c r="F13" i="8" a="1"/>
  <c r="F13" i="8" s="1"/>
  <c r="E13" i="8" a="1"/>
  <c r="E13" i="8" s="1"/>
  <c r="D13" i="8" a="1"/>
  <c r="D13" i="8" s="1"/>
  <c r="F12" i="8" a="1"/>
  <c r="F12" i="8" s="1"/>
  <c r="E12" i="8" a="1"/>
  <c r="E12" i="8" s="1"/>
  <c r="D12" i="8" a="1"/>
  <c r="D12" i="8" s="1"/>
  <c r="F11" i="8" a="1"/>
  <c r="F11" i="8" s="1"/>
  <c r="E11" i="8" a="1"/>
  <c r="E11" i="8" s="1"/>
  <c r="D11" i="8" a="1"/>
  <c r="D11" i="8" s="1"/>
  <c r="A11" i="8"/>
  <c r="F10" i="8" a="1"/>
  <c r="F10" i="8" s="1"/>
  <c r="E10" i="8" a="1"/>
  <c r="E10" i="8" s="1"/>
  <c r="D10" i="8" a="1"/>
  <c r="D10" i="8" s="1"/>
  <c r="A8" i="8"/>
  <c r="D7" i="8" a="1"/>
  <c r="D7" i="8" s="1"/>
  <c r="D6" i="8" a="1"/>
  <c r="D6" i="8" s="1"/>
  <c r="D5" i="8" a="1"/>
  <c r="D5" i="8" s="1"/>
  <c r="A5" i="8"/>
  <c r="A4" i="8"/>
  <c r="A3" i="8"/>
  <c r="I42" i="9" l="1"/>
  <c r="E46" i="9" s="1"/>
  <c r="I34" i="9"/>
  <c r="E37" i="9" s="1"/>
  <c r="I35" i="9"/>
  <c r="I43" i="9"/>
  <c r="J45" i="7" l="1"/>
  <c r="I45" i="7"/>
  <c r="H45" i="7"/>
  <c r="G45" i="7"/>
  <c r="I44" i="7"/>
  <c r="H44" i="7"/>
  <c r="J44" i="7" s="1"/>
  <c r="G44" i="7"/>
  <c r="A44" i="7"/>
  <c r="L35" i="7"/>
  <c r="F35" i="7"/>
  <c r="G35" i="7" s="1"/>
  <c r="L34" i="7"/>
  <c r="D32" i="7" s="1"/>
  <c r="G34" i="7"/>
  <c r="F34" i="7"/>
  <c r="F25" i="7"/>
  <c r="G25" i="7" s="1"/>
  <c r="G24" i="7"/>
  <c r="F24" i="7"/>
  <c r="A21" i="7"/>
  <c r="F20" i="7"/>
  <c r="G20" i="7" s="1"/>
  <c r="A20" i="7"/>
  <c r="F19" i="7"/>
  <c r="G19" i="7" s="1"/>
  <c r="F18" i="7"/>
  <c r="G18" i="7" s="1"/>
  <c r="A17" i="7"/>
  <c r="A16" i="7"/>
  <c r="A15" i="7"/>
  <c r="A14" i="7"/>
  <c r="A13" i="7"/>
  <c r="A12" i="7"/>
  <c r="A9" i="7"/>
  <c r="A8" i="7"/>
  <c r="A5" i="7"/>
  <c r="A4" i="7"/>
  <c r="A3" i="7"/>
  <c r="AE153" i="6" a="1"/>
  <c r="AE153" i="6" s="1"/>
  <c r="AD153" i="6" a="1"/>
  <c r="AD153" i="6" s="1"/>
  <c r="AC153" i="6" a="1"/>
  <c r="AC153" i="6" s="1"/>
  <c r="AB153" i="6" a="1"/>
  <c r="AB153" i="6" s="1"/>
  <c r="AA153" i="6" a="1"/>
  <c r="AA153" i="6" s="1"/>
  <c r="Z153" i="6" a="1"/>
  <c r="Z153" i="6" s="1"/>
  <c r="Y153" i="6" a="1"/>
  <c r="Y153" i="6" s="1"/>
  <c r="X153" i="6" a="1"/>
  <c r="X153" i="6" s="1"/>
  <c r="W153" i="6" a="1"/>
  <c r="W153" i="6" s="1"/>
  <c r="V153" i="6" a="1"/>
  <c r="V153" i="6" s="1"/>
  <c r="U153" i="6" a="1"/>
  <c r="U153" i="6" s="1"/>
  <c r="T153" i="6" a="1"/>
  <c r="T153" i="6" s="1"/>
  <c r="S153" i="6" a="1"/>
  <c r="S153" i="6" s="1"/>
  <c r="R153" i="6" a="1"/>
  <c r="R153" i="6" s="1"/>
  <c r="Q153" i="6" a="1"/>
  <c r="Q153" i="6" s="1"/>
  <c r="P153" i="6" a="1"/>
  <c r="P153" i="6" s="1"/>
  <c r="O153" i="6" a="1"/>
  <c r="O153" i="6" s="1"/>
  <c r="N153" i="6" a="1"/>
  <c r="N153" i="6" s="1"/>
  <c r="M153" i="6" a="1"/>
  <c r="M153" i="6" s="1"/>
  <c r="L153" i="6" a="1"/>
  <c r="L153" i="6" s="1"/>
  <c r="K153" i="6" a="1"/>
  <c r="K153" i="6" s="1"/>
  <c r="J153" i="6" a="1"/>
  <c r="J153" i="6" s="1"/>
  <c r="I153" i="6" a="1"/>
  <c r="I153" i="6" s="1"/>
  <c r="H153" i="6" a="1"/>
  <c r="H153" i="6" s="1"/>
  <c r="G153" i="6" a="1"/>
  <c r="G153" i="6" s="1"/>
  <c r="F153" i="6" a="1"/>
  <c r="F153" i="6" s="1"/>
  <c r="E153" i="6" a="1"/>
  <c r="E153" i="6" s="1"/>
  <c r="D153" i="6" a="1"/>
  <c r="D153" i="6" s="1"/>
  <c r="AE152" i="6" a="1"/>
  <c r="AE152" i="6" s="1"/>
  <c r="AD152" i="6" a="1"/>
  <c r="AD152" i="6" s="1"/>
  <c r="AC152" i="6" a="1"/>
  <c r="AC152" i="6" s="1"/>
  <c r="AB152" i="6" a="1"/>
  <c r="AB152" i="6" s="1"/>
  <c r="AA152" i="6" a="1"/>
  <c r="AA152" i="6" s="1"/>
  <c r="Z152" i="6" a="1"/>
  <c r="Z152" i="6" s="1"/>
  <c r="Y152" i="6" a="1"/>
  <c r="Y152" i="6" s="1"/>
  <c r="X152" i="6" a="1"/>
  <c r="X152" i="6" s="1"/>
  <c r="W152" i="6" a="1"/>
  <c r="W152" i="6" s="1"/>
  <c r="V152" i="6" a="1"/>
  <c r="V152" i="6" s="1"/>
  <c r="U152" i="6" a="1"/>
  <c r="U152" i="6" s="1"/>
  <c r="T152" i="6" a="1"/>
  <c r="T152" i="6" s="1"/>
  <c r="S152" i="6" a="1"/>
  <c r="S152" i="6" s="1"/>
  <c r="R152" i="6" a="1"/>
  <c r="R152" i="6" s="1"/>
  <c r="Q152" i="6" a="1"/>
  <c r="Q152" i="6" s="1"/>
  <c r="P152" i="6" a="1"/>
  <c r="P152" i="6" s="1"/>
  <c r="O152" i="6" a="1"/>
  <c r="O152" i="6" s="1"/>
  <c r="N152" i="6" a="1"/>
  <c r="N152" i="6" s="1"/>
  <c r="M152" i="6" a="1"/>
  <c r="M152" i="6" s="1"/>
  <c r="L152" i="6" a="1"/>
  <c r="L152" i="6" s="1"/>
  <c r="K152" i="6" a="1"/>
  <c r="K152" i="6" s="1"/>
  <c r="J152" i="6" a="1"/>
  <c r="J152" i="6" s="1"/>
  <c r="I152" i="6" a="1"/>
  <c r="I152" i="6" s="1"/>
  <c r="H152" i="6" a="1"/>
  <c r="H152" i="6" s="1"/>
  <c r="G152" i="6" a="1"/>
  <c r="G152" i="6" s="1"/>
  <c r="F152" i="6" a="1"/>
  <c r="F152" i="6" s="1"/>
  <c r="E152" i="6" a="1"/>
  <c r="E152" i="6" s="1"/>
  <c r="D152" i="6" a="1"/>
  <c r="D152" i="6" s="1"/>
  <c r="AE151" i="6" a="1"/>
  <c r="AE151" i="6" s="1"/>
  <c r="AD151" i="6" a="1"/>
  <c r="AD151" i="6" s="1"/>
  <c r="AC151" i="6" a="1"/>
  <c r="AC151" i="6" s="1"/>
  <c r="AB151" i="6" a="1"/>
  <c r="AB151" i="6" s="1"/>
  <c r="AA151" i="6" a="1"/>
  <c r="AA151" i="6" s="1"/>
  <c r="Z151" i="6" a="1"/>
  <c r="Z151" i="6" s="1"/>
  <c r="Y151" i="6" a="1"/>
  <c r="Y151" i="6" s="1"/>
  <c r="X151" i="6" a="1"/>
  <c r="X151" i="6" s="1"/>
  <c r="W151" i="6" a="1"/>
  <c r="W151" i="6" s="1"/>
  <c r="V151" i="6" a="1"/>
  <c r="V151" i="6" s="1"/>
  <c r="U151" i="6" a="1"/>
  <c r="U151" i="6" s="1"/>
  <c r="T151" i="6" a="1"/>
  <c r="T151" i="6" s="1"/>
  <c r="S151" i="6" a="1"/>
  <c r="S151" i="6" s="1"/>
  <c r="R151" i="6" a="1"/>
  <c r="R151" i="6" s="1"/>
  <c r="Q151" i="6" a="1"/>
  <c r="Q151" i="6" s="1"/>
  <c r="P151" i="6" a="1"/>
  <c r="P151" i="6" s="1"/>
  <c r="O151" i="6" a="1"/>
  <c r="O151" i="6" s="1"/>
  <c r="N151" i="6" a="1"/>
  <c r="N151" i="6" s="1"/>
  <c r="M151" i="6" a="1"/>
  <c r="M151" i="6" s="1"/>
  <c r="L151" i="6" a="1"/>
  <c r="L151" i="6" s="1"/>
  <c r="K151" i="6" a="1"/>
  <c r="K151" i="6" s="1"/>
  <c r="J151" i="6" a="1"/>
  <c r="J151" i="6" s="1"/>
  <c r="I151" i="6" a="1"/>
  <c r="I151" i="6" s="1"/>
  <c r="H151" i="6" a="1"/>
  <c r="H151" i="6" s="1"/>
  <c r="G151" i="6" a="1"/>
  <c r="G151" i="6" s="1"/>
  <c r="F151" i="6" a="1"/>
  <c r="F151" i="6" s="1"/>
  <c r="E151" i="6" a="1"/>
  <c r="E151" i="6" s="1"/>
  <c r="D151" i="6" a="1"/>
  <c r="D151" i="6" s="1"/>
  <c r="AE150" i="6" a="1"/>
  <c r="AE150" i="6" s="1"/>
  <c r="AD150" i="6" a="1"/>
  <c r="AD150" i="6" s="1"/>
  <c r="AC150" i="6" a="1"/>
  <c r="AC150" i="6" s="1"/>
  <c r="AB150" i="6" a="1"/>
  <c r="AB150" i="6" s="1"/>
  <c r="AA150" i="6" a="1"/>
  <c r="AA150" i="6" s="1"/>
  <c r="Z150" i="6" a="1"/>
  <c r="Z150" i="6" s="1"/>
  <c r="Y150" i="6" a="1"/>
  <c r="Y150" i="6" s="1"/>
  <c r="X150" i="6" a="1"/>
  <c r="X150" i="6" s="1"/>
  <c r="W150" i="6" a="1"/>
  <c r="W150" i="6" s="1"/>
  <c r="V150" i="6" a="1"/>
  <c r="V150" i="6" s="1"/>
  <c r="U150" i="6" a="1"/>
  <c r="U150" i="6" s="1"/>
  <c r="T150" i="6" a="1"/>
  <c r="T150" i="6" s="1"/>
  <c r="S150" i="6" a="1"/>
  <c r="S150" i="6" s="1"/>
  <c r="R150" i="6" a="1"/>
  <c r="R150" i="6" s="1"/>
  <c r="Q150" i="6" a="1"/>
  <c r="Q150" i="6" s="1"/>
  <c r="P150" i="6" a="1"/>
  <c r="P150" i="6" s="1"/>
  <c r="O150" i="6" a="1"/>
  <c r="O150" i="6" s="1"/>
  <c r="N150" i="6" a="1"/>
  <c r="N150" i="6" s="1"/>
  <c r="M150" i="6" a="1"/>
  <c r="M150" i="6" s="1"/>
  <c r="L150" i="6" a="1"/>
  <c r="L150" i="6" s="1"/>
  <c r="K150" i="6" a="1"/>
  <c r="K150" i="6" s="1"/>
  <c r="J150" i="6" a="1"/>
  <c r="J150" i="6" s="1"/>
  <c r="I150" i="6" a="1"/>
  <c r="I150" i="6" s="1"/>
  <c r="H150" i="6" a="1"/>
  <c r="H150" i="6" s="1"/>
  <c r="G150" i="6" a="1"/>
  <c r="G150" i="6" s="1"/>
  <c r="F150" i="6" a="1"/>
  <c r="F150" i="6" s="1"/>
  <c r="E150" i="6" a="1"/>
  <c r="E150" i="6" s="1"/>
  <c r="D150" i="6" a="1"/>
  <c r="D150" i="6" s="1"/>
  <c r="AE149" i="6" a="1"/>
  <c r="AE149" i="6" s="1"/>
  <c r="AD149" i="6" a="1"/>
  <c r="AD149" i="6" s="1"/>
  <c r="AC149" i="6" a="1"/>
  <c r="AC149" i="6" s="1"/>
  <c r="AB149" i="6" a="1"/>
  <c r="AB149" i="6" s="1"/>
  <c r="AA149" i="6" a="1"/>
  <c r="AA149" i="6" s="1"/>
  <c r="Z149" i="6" a="1"/>
  <c r="Z149" i="6" s="1"/>
  <c r="Y149" i="6" a="1"/>
  <c r="Y149" i="6" s="1"/>
  <c r="X149" i="6" a="1"/>
  <c r="X149" i="6" s="1"/>
  <c r="W149" i="6" a="1"/>
  <c r="W149" i="6" s="1"/>
  <c r="V149" i="6" a="1"/>
  <c r="V149" i="6" s="1"/>
  <c r="U149" i="6" a="1"/>
  <c r="U149" i="6" s="1"/>
  <c r="T149" i="6" a="1"/>
  <c r="T149" i="6" s="1"/>
  <c r="S149" i="6" a="1"/>
  <c r="S149" i="6" s="1"/>
  <c r="R149" i="6" a="1"/>
  <c r="R149" i="6" s="1"/>
  <c r="Q149" i="6" a="1"/>
  <c r="Q149" i="6" s="1"/>
  <c r="P149" i="6" a="1"/>
  <c r="P149" i="6" s="1"/>
  <c r="O149" i="6" a="1"/>
  <c r="O149" i="6" s="1"/>
  <c r="N149" i="6" a="1"/>
  <c r="N149" i="6" s="1"/>
  <c r="M149" i="6" a="1"/>
  <c r="M149" i="6" s="1"/>
  <c r="L149" i="6" a="1"/>
  <c r="L149" i="6" s="1"/>
  <c r="K149" i="6" a="1"/>
  <c r="K149" i="6" s="1"/>
  <c r="J149" i="6" a="1"/>
  <c r="J149" i="6" s="1"/>
  <c r="I149" i="6" a="1"/>
  <c r="I149" i="6" s="1"/>
  <c r="H149" i="6" a="1"/>
  <c r="H149" i="6" s="1"/>
  <c r="G149" i="6" a="1"/>
  <c r="G149" i="6" s="1"/>
  <c r="F149" i="6" a="1"/>
  <c r="F149" i="6" s="1"/>
  <c r="E149" i="6" a="1"/>
  <c r="E149" i="6" s="1"/>
  <c r="D149" i="6" a="1"/>
  <c r="D149" i="6" s="1"/>
  <c r="AE148" i="6" a="1"/>
  <c r="AE148" i="6" s="1"/>
  <c r="AD148" i="6" a="1"/>
  <c r="AD148" i="6" s="1"/>
  <c r="AC148" i="6" a="1"/>
  <c r="AC148" i="6" s="1"/>
  <c r="AB148" i="6" a="1"/>
  <c r="AB148" i="6" s="1"/>
  <c r="AA148" i="6" a="1"/>
  <c r="AA148" i="6" s="1"/>
  <c r="Z148" i="6" a="1"/>
  <c r="Z148" i="6" s="1"/>
  <c r="Y148" i="6" a="1"/>
  <c r="Y148" i="6" s="1"/>
  <c r="X148" i="6" a="1"/>
  <c r="X148" i="6" s="1"/>
  <c r="W148" i="6" a="1"/>
  <c r="W148" i="6" s="1"/>
  <c r="V148" i="6" a="1"/>
  <c r="V148" i="6" s="1"/>
  <c r="U148" i="6" a="1"/>
  <c r="U148" i="6" s="1"/>
  <c r="T148" i="6" a="1"/>
  <c r="T148" i="6" s="1"/>
  <c r="S148" i="6" a="1"/>
  <c r="S148" i="6" s="1"/>
  <c r="R148" i="6" a="1"/>
  <c r="R148" i="6" s="1"/>
  <c r="Q148" i="6" a="1"/>
  <c r="Q148" i="6" s="1"/>
  <c r="P148" i="6" a="1"/>
  <c r="P148" i="6" s="1"/>
  <c r="O148" i="6" a="1"/>
  <c r="O148" i="6" s="1"/>
  <c r="N148" i="6" a="1"/>
  <c r="N148" i="6" s="1"/>
  <c r="M148" i="6" a="1"/>
  <c r="M148" i="6" s="1"/>
  <c r="L148" i="6" a="1"/>
  <c r="L148" i="6" s="1"/>
  <c r="K148" i="6" a="1"/>
  <c r="K148" i="6" s="1"/>
  <c r="J148" i="6" a="1"/>
  <c r="J148" i="6" s="1"/>
  <c r="I148" i="6" a="1"/>
  <c r="I148" i="6" s="1"/>
  <c r="H148" i="6" a="1"/>
  <c r="H148" i="6" s="1"/>
  <c r="G148" i="6" a="1"/>
  <c r="G148" i="6" s="1"/>
  <c r="F148" i="6" a="1"/>
  <c r="F148" i="6" s="1"/>
  <c r="E148" i="6" a="1"/>
  <c r="E148" i="6" s="1"/>
  <c r="D148" i="6" a="1"/>
  <c r="D148" i="6" s="1"/>
  <c r="AE147" i="6" a="1"/>
  <c r="AE147" i="6" s="1"/>
  <c r="AD147" i="6" a="1"/>
  <c r="AD147" i="6" s="1"/>
  <c r="AC147" i="6" a="1"/>
  <c r="AC147" i="6" s="1"/>
  <c r="AB147" i="6" a="1"/>
  <c r="AB147" i="6" s="1"/>
  <c r="AA147" i="6" a="1"/>
  <c r="AA147" i="6" s="1"/>
  <c r="Z147" i="6" a="1"/>
  <c r="Z147" i="6" s="1"/>
  <c r="Y147" i="6" a="1"/>
  <c r="Y147" i="6" s="1"/>
  <c r="X147" i="6" a="1"/>
  <c r="X147" i="6" s="1"/>
  <c r="W147" i="6" a="1"/>
  <c r="W147" i="6" s="1"/>
  <c r="V147" i="6" a="1"/>
  <c r="V147" i="6" s="1"/>
  <c r="U147" i="6" a="1"/>
  <c r="U147" i="6" s="1"/>
  <c r="T147" i="6" a="1"/>
  <c r="T147" i="6" s="1"/>
  <c r="S147" i="6" a="1"/>
  <c r="S147" i="6" s="1"/>
  <c r="R147" i="6" a="1"/>
  <c r="R147" i="6" s="1"/>
  <c r="Q147" i="6" a="1"/>
  <c r="Q147" i="6" s="1"/>
  <c r="P147" i="6" a="1"/>
  <c r="P147" i="6" s="1"/>
  <c r="O147" i="6" a="1"/>
  <c r="O147" i="6" s="1"/>
  <c r="N147" i="6" a="1"/>
  <c r="N147" i="6" s="1"/>
  <c r="M147" i="6" a="1"/>
  <c r="M147" i="6" s="1"/>
  <c r="L147" i="6" a="1"/>
  <c r="L147" i="6" s="1"/>
  <c r="K147" i="6" a="1"/>
  <c r="K147" i="6" s="1"/>
  <c r="J147" i="6" a="1"/>
  <c r="J147" i="6" s="1"/>
  <c r="I147" i="6" a="1"/>
  <c r="I147" i="6" s="1"/>
  <c r="H147" i="6" a="1"/>
  <c r="H147" i="6" s="1"/>
  <c r="G147" i="6" a="1"/>
  <c r="G147" i="6" s="1"/>
  <c r="F147" i="6" a="1"/>
  <c r="F147" i="6" s="1"/>
  <c r="E147" i="6" a="1"/>
  <c r="E147" i="6" s="1"/>
  <c r="D147" i="6" a="1"/>
  <c r="D147" i="6" s="1"/>
  <c r="AE146" i="6" a="1"/>
  <c r="AE146" i="6" s="1"/>
  <c r="AD146" i="6" a="1"/>
  <c r="AD146" i="6" s="1"/>
  <c r="AC146" i="6" a="1"/>
  <c r="AC146" i="6" s="1"/>
  <c r="AB146" i="6" a="1"/>
  <c r="AB146" i="6" s="1"/>
  <c r="AA146" i="6" a="1"/>
  <c r="AA146" i="6" s="1"/>
  <c r="Z146" i="6" a="1"/>
  <c r="Z146" i="6" s="1"/>
  <c r="Y146" i="6" a="1"/>
  <c r="Y146" i="6" s="1"/>
  <c r="X146" i="6" a="1"/>
  <c r="X146" i="6" s="1"/>
  <c r="W146" i="6" a="1"/>
  <c r="W146" i="6" s="1"/>
  <c r="V146" i="6" a="1"/>
  <c r="V146" i="6" s="1"/>
  <c r="U146" i="6" a="1"/>
  <c r="U146" i="6" s="1"/>
  <c r="T146" i="6" a="1"/>
  <c r="T146" i="6" s="1"/>
  <c r="S146" i="6" a="1"/>
  <c r="S146" i="6" s="1"/>
  <c r="R146" i="6" a="1"/>
  <c r="R146" i="6" s="1"/>
  <c r="Q146" i="6" a="1"/>
  <c r="Q146" i="6" s="1"/>
  <c r="P146" i="6" a="1"/>
  <c r="P146" i="6" s="1"/>
  <c r="O146" i="6" a="1"/>
  <c r="O146" i="6" s="1"/>
  <c r="N146" i="6" a="1"/>
  <c r="N146" i="6" s="1"/>
  <c r="M146" i="6" a="1"/>
  <c r="M146" i="6" s="1"/>
  <c r="L146" i="6" a="1"/>
  <c r="L146" i="6" s="1"/>
  <c r="K146" i="6" a="1"/>
  <c r="K146" i="6" s="1"/>
  <c r="J146" i="6" a="1"/>
  <c r="J146" i="6" s="1"/>
  <c r="I146" i="6" a="1"/>
  <c r="I146" i="6" s="1"/>
  <c r="H146" i="6" a="1"/>
  <c r="H146" i="6" s="1"/>
  <c r="G146" i="6" a="1"/>
  <c r="G146" i="6" s="1"/>
  <c r="F146" i="6" a="1"/>
  <c r="F146" i="6" s="1"/>
  <c r="E146" i="6" a="1"/>
  <c r="E146" i="6" s="1"/>
  <c r="D146" i="6" a="1"/>
  <c r="D146" i="6" s="1"/>
  <c r="AE145" i="6" a="1"/>
  <c r="AE145" i="6" s="1"/>
  <c r="AD145" i="6" a="1"/>
  <c r="AD145" i="6" s="1"/>
  <c r="AC145" i="6" a="1"/>
  <c r="AC145" i="6" s="1"/>
  <c r="AB145" i="6" a="1"/>
  <c r="AB145" i="6" s="1"/>
  <c r="AA145" i="6" a="1"/>
  <c r="AA145" i="6" s="1"/>
  <c r="Z145" i="6" a="1"/>
  <c r="Z145" i="6" s="1"/>
  <c r="Y145" i="6" a="1"/>
  <c r="Y145" i="6" s="1"/>
  <c r="X145" i="6" a="1"/>
  <c r="X145" i="6" s="1"/>
  <c r="W145" i="6" a="1"/>
  <c r="W145" i="6" s="1"/>
  <c r="V145" i="6" a="1"/>
  <c r="V145" i="6" s="1"/>
  <c r="U145" i="6" a="1"/>
  <c r="U145" i="6" s="1"/>
  <c r="T145" i="6" a="1"/>
  <c r="T145" i="6" s="1"/>
  <c r="S145" i="6" a="1"/>
  <c r="S145" i="6" s="1"/>
  <c r="R145" i="6" a="1"/>
  <c r="R145" i="6" s="1"/>
  <c r="Q145" i="6" a="1"/>
  <c r="Q145" i="6" s="1"/>
  <c r="P145" i="6" a="1"/>
  <c r="P145" i="6" s="1"/>
  <c r="O145" i="6" a="1"/>
  <c r="O145" i="6" s="1"/>
  <c r="N145" i="6" a="1"/>
  <c r="N145" i="6" s="1"/>
  <c r="M145" i="6" a="1"/>
  <c r="M145" i="6" s="1"/>
  <c r="L145" i="6" a="1"/>
  <c r="L145" i="6" s="1"/>
  <c r="K145" i="6" a="1"/>
  <c r="K145" i="6" s="1"/>
  <c r="J145" i="6" a="1"/>
  <c r="J145" i="6" s="1"/>
  <c r="I145" i="6" a="1"/>
  <c r="I145" i="6" s="1"/>
  <c r="H145" i="6" a="1"/>
  <c r="H145" i="6" s="1"/>
  <c r="G145" i="6" a="1"/>
  <c r="G145" i="6" s="1"/>
  <c r="F145" i="6" a="1"/>
  <c r="F145" i="6" s="1"/>
  <c r="E145" i="6" a="1"/>
  <c r="E145" i="6" s="1"/>
  <c r="D145" i="6" a="1"/>
  <c r="D145" i="6" s="1"/>
  <c r="AE144" i="6" a="1"/>
  <c r="AE144" i="6" s="1"/>
  <c r="AD144" i="6" a="1"/>
  <c r="AD144" i="6" s="1"/>
  <c r="AC144" i="6" a="1"/>
  <c r="AC144" i="6" s="1"/>
  <c r="AB144" i="6" a="1"/>
  <c r="AB144" i="6" s="1"/>
  <c r="AA144" i="6" a="1"/>
  <c r="AA144" i="6" s="1"/>
  <c r="Z144" i="6" a="1"/>
  <c r="Z144" i="6" s="1"/>
  <c r="Y144" i="6" a="1"/>
  <c r="Y144" i="6" s="1"/>
  <c r="X144" i="6" a="1"/>
  <c r="X144" i="6" s="1"/>
  <c r="W144" i="6" a="1"/>
  <c r="W144" i="6" s="1"/>
  <c r="V144" i="6" a="1"/>
  <c r="V144" i="6" s="1"/>
  <c r="U144" i="6" a="1"/>
  <c r="U144" i="6" s="1"/>
  <c r="T144" i="6" a="1"/>
  <c r="T144" i="6" s="1"/>
  <c r="S144" i="6" a="1"/>
  <c r="S144" i="6" s="1"/>
  <c r="R144" i="6" a="1"/>
  <c r="R144" i="6" s="1"/>
  <c r="Q144" i="6" a="1"/>
  <c r="Q144" i="6" s="1"/>
  <c r="P144" i="6" a="1"/>
  <c r="P144" i="6" s="1"/>
  <c r="O144" i="6" a="1"/>
  <c r="O144" i="6" s="1"/>
  <c r="N144" i="6" a="1"/>
  <c r="N144" i="6" s="1"/>
  <c r="M144" i="6" a="1"/>
  <c r="M144" i="6" s="1"/>
  <c r="L144" i="6" a="1"/>
  <c r="L144" i="6" s="1"/>
  <c r="K144" i="6" a="1"/>
  <c r="K144" i="6" s="1"/>
  <c r="J144" i="6" a="1"/>
  <c r="J144" i="6" s="1"/>
  <c r="I144" i="6" a="1"/>
  <c r="I144" i="6" s="1"/>
  <c r="H144" i="6" a="1"/>
  <c r="H144" i="6" s="1"/>
  <c r="G144" i="6" a="1"/>
  <c r="G144" i="6" s="1"/>
  <c r="F144" i="6" a="1"/>
  <c r="F144" i="6" s="1"/>
  <c r="E144" i="6" a="1"/>
  <c r="E144" i="6" s="1"/>
  <c r="D144" i="6" a="1"/>
  <c r="D144" i="6" s="1"/>
  <c r="AE143" i="6" a="1"/>
  <c r="AE143" i="6" s="1"/>
  <c r="AD143" i="6" a="1"/>
  <c r="AD143" i="6" s="1"/>
  <c r="AC143" i="6" a="1"/>
  <c r="AC143" i="6" s="1"/>
  <c r="AB143" i="6" a="1"/>
  <c r="AB143" i="6" s="1"/>
  <c r="AA143" i="6" a="1"/>
  <c r="AA143" i="6" s="1"/>
  <c r="Z143" i="6" a="1"/>
  <c r="Z143" i="6" s="1"/>
  <c r="Y143" i="6" a="1"/>
  <c r="Y143" i="6" s="1"/>
  <c r="X143" i="6" a="1"/>
  <c r="X143" i="6" s="1"/>
  <c r="W143" i="6" a="1"/>
  <c r="W143" i="6" s="1"/>
  <c r="V143" i="6" a="1"/>
  <c r="V143" i="6" s="1"/>
  <c r="U143" i="6" a="1"/>
  <c r="U143" i="6" s="1"/>
  <c r="T143" i="6" a="1"/>
  <c r="T143" i="6" s="1"/>
  <c r="S143" i="6" a="1"/>
  <c r="S143" i="6" s="1"/>
  <c r="R143" i="6" a="1"/>
  <c r="R143" i="6" s="1"/>
  <c r="Q143" i="6" a="1"/>
  <c r="Q143" i="6" s="1"/>
  <c r="P143" i="6" a="1"/>
  <c r="P143" i="6" s="1"/>
  <c r="O143" i="6" a="1"/>
  <c r="O143" i="6" s="1"/>
  <c r="N143" i="6" a="1"/>
  <c r="N143" i="6" s="1"/>
  <c r="M143" i="6" a="1"/>
  <c r="M143" i="6" s="1"/>
  <c r="L143" i="6" a="1"/>
  <c r="L143" i="6" s="1"/>
  <c r="K143" i="6" a="1"/>
  <c r="K143" i="6" s="1"/>
  <c r="J143" i="6" a="1"/>
  <c r="J143" i="6" s="1"/>
  <c r="I143" i="6" a="1"/>
  <c r="I143" i="6" s="1"/>
  <c r="H143" i="6" a="1"/>
  <c r="H143" i="6" s="1"/>
  <c r="G143" i="6" a="1"/>
  <c r="G143" i="6" s="1"/>
  <c r="F143" i="6" a="1"/>
  <c r="F143" i="6" s="1"/>
  <c r="E143" i="6" a="1"/>
  <c r="E143" i="6" s="1"/>
  <c r="D143" i="6" a="1"/>
  <c r="D143" i="6" s="1"/>
  <c r="AE142" i="6" a="1"/>
  <c r="AE142" i="6" s="1"/>
  <c r="AD142" i="6" a="1"/>
  <c r="AD142" i="6" s="1"/>
  <c r="AC142" i="6" a="1"/>
  <c r="AC142" i="6" s="1"/>
  <c r="AB142" i="6" a="1"/>
  <c r="AB142" i="6" s="1"/>
  <c r="AA142" i="6" a="1"/>
  <c r="AA142" i="6" s="1"/>
  <c r="Z142" i="6" a="1"/>
  <c r="Z142" i="6" s="1"/>
  <c r="Y142" i="6" a="1"/>
  <c r="Y142" i="6" s="1"/>
  <c r="X142" i="6" a="1"/>
  <c r="X142" i="6" s="1"/>
  <c r="W142" i="6" a="1"/>
  <c r="W142" i="6" s="1"/>
  <c r="V142" i="6" a="1"/>
  <c r="V142" i="6" s="1"/>
  <c r="U142" i="6" a="1"/>
  <c r="U142" i="6" s="1"/>
  <c r="T142" i="6" a="1"/>
  <c r="T142" i="6" s="1"/>
  <c r="S142" i="6" a="1"/>
  <c r="S142" i="6" s="1"/>
  <c r="R142" i="6" a="1"/>
  <c r="R142" i="6" s="1"/>
  <c r="Q142" i="6" a="1"/>
  <c r="Q142" i="6" s="1"/>
  <c r="P142" i="6" a="1"/>
  <c r="P142" i="6" s="1"/>
  <c r="O142" i="6" a="1"/>
  <c r="O142" i="6" s="1"/>
  <c r="N142" i="6" a="1"/>
  <c r="N142" i="6" s="1"/>
  <c r="M142" i="6" a="1"/>
  <c r="M142" i="6" s="1"/>
  <c r="L142" i="6" a="1"/>
  <c r="L142" i="6" s="1"/>
  <c r="K142" i="6" a="1"/>
  <c r="K142" i="6" s="1"/>
  <c r="J142" i="6" a="1"/>
  <c r="J142" i="6" s="1"/>
  <c r="I142" i="6" a="1"/>
  <c r="I142" i="6" s="1"/>
  <c r="H142" i="6" a="1"/>
  <c r="H142" i="6" s="1"/>
  <c r="G142" i="6" a="1"/>
  <c r="G142" i="6" s="1"/>
  <c r="F142" i="6" a="1"/>
  <c r="F142" i="6" s="1"/>
  <c r="E142" i="6" a="1"/>
  <c r="E142" i="6" s="1"/>
  <c r="D142" i="6" a="1"/>
  <c r="D142" i="6" s="1"/>
  <c r="AE141" i="6" a="1"/>
  <c r="AE141" i="6" s="1"/>
  <c r="AD141" i="6" a="1"/>
  <c r="AD141" i="6" s="1"/>
  <c r="AC141" i="6" a="1"/>
  <c r="AC141" i="6" s="1"/>
  <c r="AB141" i="6" a="1"/>
  <c r="AB141" i="6" s="1"/>
  <c r="AA141" i="6" a="1"/>
  <c r="AA141" i="6" s="1"/>
  <c r="Z141" i="6" a="1"/>
  <c r="Z141" i="6" s="1"/>
  <c r="Y141" i="6" a="1"/>
  <c r="Y141" i="6" s="1"/>
  <c r="X141" i="6" a="1"/>
  <c r="X141" i="6" s="1"/>
  <c r="W141" i="6" a="1"/>
  <c r="W141" i="6" s="1"/>
  <c r="V141" i="6" a="1"/>
  <c r="V141" i="6" s="1"/>
  <c r="U141" i="6" a="1"/>
  <c r="U141" i="6" s="1"/>
  <c r="T141" i="6" a="1"/>
  <c r="T141" i="6" s="1"/>
  <c r="S141" i="6" a="1"/>
  <c r="S141" i="6" s="1"/>
  <c r="R141" i="6" a="1"/>
  <c r="R141" i="6" s="1"/>
  <c r="Q141" i="6" a="1"/>
  <c r="Q141" i="6" s="1"/>
  <c r="P141" i="6" a="1"/>
  <c r="P141" i="6" s="1"/>
  <c r="O141" i="6" a="1"/>
  <c r="O141" i="6" s="1"/>
  <c r="N141" i="6" a="1"/>
  <c r="N141" i="6" s="1"/>
  <c r="M141" i="6" a="1"/>
  <c r="M141" i="6" s="1"/>
  <c r="L141" i="6" a="1"/>
  <c r="L141" i="6" s="1"/>
  <c r="K141" i="6" a="1"/>
  <c r="K141" i="6" s="1"/>
  <c r="J141" i="6" a="1"/>
  <c r="J141" i="6" s="1"/>
  <c r="I141" i="6" a="1"/>
  <c r="I141" i="6" s="1"/>
  <c r="H141" i="6" a="1"/>
  <c r="H141" i="6" s="1"/>
  <c r="G141" i="6" a="1"/>
  <c r="G141" i="6" s="1"/>
  <c r="F141" i="6" a="1"/>
  <c r="F141" i="6" s="1"/>
  <c r="E141" i="6" a="1"/>
  <c r="E141" i="6" s="1"/>
  <c r="D141" i="6" a="1"/>
  <c r="D141" i="6" s="1"/>
  <c r="AE140" i="6" a="1"/>
  <c r="AE140" i="6" s="1"/>
  <c r="AD140" i="6" a="1"/>
  <c r="AD140" i="6" s="1"/>
  <c r="AC140" i="6" a="1"/>
  <c r="AC140" i="6" s="1"/>
  <c r="AB140" i="6" a="1"/>
  <c r="AB140" i="6" s="1"/>
  <c r="AA140" i="6" a="1"/>
  <c r="AA140" i="6" s="1"/>
  <c r="Z140" i="6" a="1"/>
  <c r="Z140" i="6" s="1"/>
  <c r="Y140" i="6" a="1"/>
  <c r="Y140" i="6" s="1"/>
  <c r="X140" i="6" a="1"/>
  <c r="X140" i="6" s="1"/>
  <c r="W140" i="6" a="1"/>
  <c r="W140" i="6" s="1"/>
  <c r="V140" i="6" a="1"/>
  <c r="V140" i="6" s="1"/>
  <c r="U140" i="6" a="1"/>
  <c r="U140" i="6" s="1"/>
  <c r="T140" i="6" a="1"/>
  <c r="T140" i="6" s="1"/>
  <c r="S140" i="6" a="1"/>
  <c r="S140" i="6" s="1"/>
  <c r="R140" i="6" a="1"/>
  <c r="R140" i="6" s="1"/>
  <c r="Q140" i="6" a="1"/>
  <c r="Q140" i="6" s="1"/>
  <c r="P140" i="6" a="1"/>
  <c r="P140" i="6" s="1"/>
  <c r="O140" i="6" a="1"/>
  <c r="O140" i="6" s="1"/>
  <c r="N140" i="6" a="1"/>
  <c r="N140" i="6" s="1"/>
  <c r="M140" i="6" a="1"/>
  <c r="M140" i="6" s="1"/>
  <c r="L140" i="6" a="1"/>
  <c r="L140" i="6" s="1"/>
  <c r="K140" i="6" a="1"/>
  <c r="K140" i="6" s="1"/>
  <c r="J140" i="6" a="1"/>
  <c r="J140" i="6" s="1"/>
  <c r="I140" i="6" a="1"/>
  <c r="I140" i="6" s="1"/>
  <c r="H140" i="6" a="1"/>
  <c r="H140" i="6" s="1"/>
  <c r="G140" i="6" a="1"/>
  <c r="G140" i="6" s="1"/>
  <c r="F140" i="6" a="1"/>
  <c r="F140" i="6" s="1"/>
  <c r="E140" i="6" a="1"/>
  <c r="E140" i="6" s="1"/>
  <c r="D140" i="6" a="1"/>
  <c r="D140" i="6" s="1"/>
  <c r="AE139" i="6" a="1"/>
  <c r="AE139" i="6" s="1"/>
  <c r="AD139" i="6" a="1"/>
  <c r="AD139" i="6" s="1"/>
  <c r="AC139" i="6" a="1"/>
  <c r="AC139" i="6" s="1"/>
  <c r="AB139" i="6" a="1"/>
  <c r="AB139" i="6" s="1"/>
  <c r="AA139" i="6" a="1"/>
  <c r="AA139" i="6" s="1"/>
  <c r="Z139" i="6" a="1"/>
  <c r="Z139" i="6" s="1"/>
  <c r="Y139" i="6" a="1"/>
  <c r="Y139" i="6" s="1"/>
  <c r="X139" i="6" a="1"/>
  <c r="X139" i="6" s="1"/>
  <c r="W139" i="6" a="1"/>
  <c r="W139" i="6" s="1"/>
  <c r="V139" i="6" a="1"/>
  <c r="V139" i="6" s="1"/>
  <c r="U139" i="6" a="1"/>
  <c r="U139" i="6" s="1"/>
  <c r="T139" i="6" a="1"/>
  <c r="T139" i="6" s="1"/>
  <c r="S139" i="6" a="1"/>
  <c r="S139" i="6" s="1"/>
  <c r="R139" i="6" a="1"/>
  <c r="R139" i="6" s="1"/>
  <c r="Q139" i="6" a="1"/>
  <c r="Q139" i="6" s="1"/>
  <c r="P139" i="6" a="1"/>
  <c r="P139" i="6" s="1"/>
  <c r="O139" i="6" a="1"/>
  <c r="O139" i="6" s="1"/>
  <c r="N139" i="6" a="1"/>
  <c r="N139" i="6" s="1"/>
  <c r="M139" i="6" a="1"/>
  <c r="M139" i="6" s="1"/>
  <c r="L139" i="6" a="1"/>
  <c r="L139" i="6" s="1"/>
  <c r="K139" i="6" a="1"/>
  <c r="K139" i="6" s="1"/>
  <c r="J139" i="6" a="1"/>
  <c r="J139" i="6" s="1"/>
  <c r="I139" i="6" a="1"/>
  <c r="I139" i="6" s="1"/>
  <c r="H139" i="6" a="1"/>
  <c r="H139" i="6" s="1"/>
  <c r="G139" i="6" a="1"/>
  <c r="G139" i="6" s="1"/>
  <c r="F139" i="6" a="1"/>
  <c r="F139" i="6" s="1"/>
  <c r="E139" i="6" a="1"/>
  <c r="E139" i="6" s="1"/>
  <c r="D139" i="6" a="1"/>
  <c r="D139" i="6" s="1"/>
  <c r="AE138" i="6" a="1"/>
  <c r="AE138" i="6" s="1"/>
  <c r="AD138" i="6" a="1"/>
  <c r="AD138" i="6" s="1"/>
  <c r="AC138" i="6" a="1"/>
  <c r="AC138" i="6" s="1"/>
  <c r="AB138" i="6" a="1"/>
  <c r="AB138" i="6" s="1"/>
  <c r="AA138" i="6" a="1"/>
  <c r="AA138" i="6" s="1"/>
  <c r="Z138" i="6" a="1"/>
  <c r="Z138" i="6" s="1"/>
  <c r="Y138" i="6" a="1"/>
  <c r="Y138" i="6" s="1"/>
  <c r="X138" i="6" a="1"/>
  <c r="X138" i="6" s="1"/>
  <c r="W138" i="6" a="1"/>
  <c r="W138" i="6" s="1"/>
  <c r="V138" i="6" a="1"/>
  <c r="V138" i="6" s="1"/>
  <c r="U138" i="6" a="1"/>
  <c r="U138" i="6" s="1"/>
  <c r="T138" i="6" a="1"/>
  <c r="T138" i="6" s="1"/>
  <c r="S138" i="6" a="1"/>
  <c r="S138" i="6" s="1"/>
  <c r="R138" i="6" a="1"/>
  <c r="R138" i="6" s="1"/>
  <c r="Q138" i="6" a="1"/>
  <c r="Q138" i="6" s="1"/>
  <c r="P138" i="6" a="1"/>
  <c r="P138" i="6" s="1"/>
  <c r="O138" i="6" a="1"/>
  <c r="O138" i="6" s="1"/>
  <c r="N138" i="6" a="1"/>
  <c r="N138" i="6" s="1"/>
  <c r="M138" i="6" a="1"/>
  <c r="M138" i="6" s="1"/>
  <c r="L138" i="6" a="1"/>
  <c r="L138" i="6" s="1"/>
  <c r="K138" i="6" a="1"/>
  <c r="K138" i="6" s="1"/>
  <c r="J138" i="6" a="1"/>
  <c r="J138" i="6" s="1"/>
  <c r="I138" i="6" a="1"/>
  <c r="I138" i="6" s="1"/>
  <c r="H138" i="6" a="1"/>
  <c r="H138" i="6" s="1"/>
  <c r="G138" i="6" a="1"/>
  <c r="G138" i="6" s="1"/>
  <c r="F138" i="6" a="1"/>
  <c r="F138" i="6" s="1"/>
  <c r="E138" i="6" a="1"/>
  <c r="E138" i="6" s="1"/>
  <c r="D138" i="6" a="1"/>
  <c r="D138" i="6" s="1"/>
  <c r="AE137" i="6" a="1"/>
  <c r="AE137" i="6" s="1"/>
  <c r="AD137" i="6" a="1"/>
  <c r="AD137" i="6" s="1"/>
  <c r="AC137" i="6" a="1"/>
  <c r="AC137" i="6" s="1"/>
  <c r="AB137" i="6" a="1"/>
  <c r="AB137" i="6" s="1"/>
  <c r="AA137" i="6" a="1"/>
  <c r="AA137" i="6" s="1"/>
  <c r="Z137" i="6" a="1"/>
  <c r="Z137" i="6" s="1"/>
  <c r="Y137" i="6" a="1"/>
  <c r="Y137" i="6" s="1"/>
  <c r="X137" i="6" a="1"/>
  <c r="X137" i="6" s="1"/>
  <c r="W137" i="6" a="1"/>
  <c r="W137" i="6" s="1"/>
  <c r="V137" i="6" a="1"/>
  <c r="V137" i="6" s="1"/>
  <c r="U137" i="6" a="1"/>
  <c r="U137" i="6" s="1"/>
  <c r="T137" i="6" a="1"/>
  <c r="T137" i="6" s="1"/>
  <c r="S137" i="6" a="1"/>
  <c r="S137" i="6" s="1"/>
  <c r="R137" i="6" a="1"/>
  <c r="R137" i="6" s="1"/>
  <c r="Q137" i="6" a="1"/>
  <c r="Q137" i="6" s="1"/>
  <c r="P137" i="6" a="1"/>
  <c r="P137" i="6" s="1"/>
  <c r="O137" i="6" a="1"/>
  <c r="O137" i="6" s="1"/>
  <c r="N137" i="6" a="1"/>
  <c r="N137" i="6" s="1"/>
  <c r="M137" i="6" a="1"/>
  <c r="M137" i="6" s="1"/>
  <c r="L137" i="6" a="1"/>
  <c r="L137" i="6" s="1"/>
  <c r="K137" i="6" a="1"/>
  <c r="K137" i="6" s="1"/>
  <c r="J137" i="6" a="1"/>
  <c r="J137" i="6" s="1"/>
  <c r="I137" i="6" a="1"/>
  <c r="I137" i="6" s="1"/>
  <c r="H137" i="6" a="1"/>
  <c r="H137" i="6" s="1"/>
  <c r="G137" i="6" a="1"/>
  <c r="G137" i="6" s="1"/>
  <c r="F137" i="6" a="1"/>
  <c r="F137" i="6" s="1"/>
  <c r="E137" i="6" a="1"/>
  <c r="E137" i="6" s="1"/>
  <c r="D137" i="6" a="1"/>
  <c r="D137" i="6" s="1"/>
  <c r="AE136" i="6" a="1"/>
  <c r="AE136" i="6" s="1"/>
  <c r="AD136" i="6" a="1"/>
  <c r="AD136" i="6" s="1"/>
  <c r="AC136" i="6" a="1"/>
  <c r="AC136" i="6" s="1"/>
  <c r="AB136" i="6" a="1"/>
  <c r="AB136" i="6" s="1"/>
  <c r="AA136" i="6" a="1"/>
  <c r="AA136" i="6" s="1"/>
  <c r="Z136" i="6" a="1"/>
  <c r="Z136" i="6" s="1"/>
  <c r="Y136" i="6" a="1"/>
  <c r="Y136" i="6" s="1"/>
  <c r="X136" i="6" a="1"/>
  <c r="X136" i="6" s="1"/>
  <c r="W136" i="6" a="1"/>
  <c r="W136" i="6" s="1"/>
  <c r="V136" i="6" a="1"/>
  <c r="V136" i="6" s="1"/>
  <c r="U136" i="6" a="1"/>
  <c r="U136" i="6" s="1"/>
  <c r="T136" i="6" a="1"/>
  <c r="T136" i="6" s="1"/>
  <c r="S136" i="6" a="1"/>
  <c r="S136" i="6" s="1"/>
  <c r="R136" i="6" a="1"/>
  <c r="R136" i="6" s="1"/>
  <c r="Q136" i="6" a="1"/>
  <c r="Q136" i="6" s="1"/>
  <c r="P136" i="6" a="1"/>
  <c r="P136" i="6" s="1"/>
  <c r="O136" i="6" a="1"/>
  <c r="O136" i="6" s="1"/>
  <c r="N136" i="6" a="1"/>
  <c r="N136" i="6" s="1"/>
  <c r="M136" i="6" a="1"/>
  <c r="M136" i="6" s="1"/>
  <c r="L136" i="6" a="1"/>
  <c r="L136" i="6" s="1"/>
  <c r="K136" i="6" a="1"/>
  <c r="K136" i="6" s="1"/>
  <c r="J136" i="6" a="1"/>
  <c r="J136" i="6" s="1"/>
  <c r="I136" i="6" a="1"/>
  <c r="I136" i="6" s="1"/>
  <c r="H136" i="6" a="1"/>
  <c r="H136" i="6" s="1"/>
  <c r="G136" i="6" a="1"/>
  <c r="G136" i="6" s="1"/>
  <c r="F136" i="6" a="1"/>
  <c r="F136" i="6" s="1"/>
  <c r="E136" i="6" a="1"/>
  <c r="E136" i="6" s="1"/>
  <c r="D136" i="6" a="1"/>
  <c r="D136" i="6" s="1"/>
  <c r="AE135" i="6" a="1"/>
  <c r="AE135" i="6" s="1"/>
  <c r="AD135" i="6" a="1"/>
  <c r="AD135" i="6" s="1"/>
  <c r="AC135" i="6" a="1"/>
  <c r="AC135" i="6" s="1"/>
  <c r="AB135" i="6" a="1"/>
  <c r="AB135" i="6" s="1"/>
  <c r="AA135" i="6" a="1"/>
  <c r="AA135" i="6" s="1"/>
  <c r="Z135" i="6" a="1"/>
  <c r="Z135" i="6" s="1"/>
  <c r="Y135" i="6" a="1"/>
  <c r="Y135" i="6" s="1"/>
  <c r="X135" i="6" a="1"/>
  <c r="X135" i="6" s="1"/>
  <c r="W135" i="6" a="1"/>
  <c r="W135" i="6" s="1"/>
  <c r="V135" i="6" a="1"/>
  <c r="V135" i="6" s="1"/>
  <c r="U135" i="6" a="1"/>
  <c r="U135" i="6" s="1"/>
  <c r="T135" i="6" a="1"/>
  <c r="T135" i="6" s="1"/>
  <c r="S135" i="6" a="1"/>
  <c r="S135" i="6" s="1"/>
  <c r="R135" i="6" a="1"/>
  <c r="R135" i="6" s="1"/>
  <c r="Q135" i="6" a="1"/>
  <c r="Q135" i="6" s="1"/>
  <c r="P135" i="6" a="1"/>
  <c r="P135" i="6" s="1"/>
  <c r="O135" i="6" a="1"/>
  <c r="O135" i="6" s="1"/>
  <c r="N135" i="6" a="1"/>
  <c r="N135" i="6" s="1"/>
  <c r="M135" i="6" a="1"/>
  <c r="M135" i="6" s="1"/>
  <c r="L135" i="6" a="1"/>
  <c r="L135" i="6" s="1"/>
  <c r="K135" i="6" a="1"/>
  <c r="K135" i="6" s="1"/>
  <c r="J135" i="6" a="1"/>
  <c r="J135" i="6" s="1"/>
  <c r="I135" i="6" a="1"/>
  <c r="I135" i="6" s="1"/>
  <c r="H135" i="6" a="1"/>
  <c r="H135" i="6" s="1"/>
  <c r="G135" i="6" a="1"/>
  <c r="G135" i="6" s="1"/>
  <c r="F135" i="6" a="1"/>
  <c r="F135" i="6" s="1"/>
  <c r="E135" i="6" a="1"/>
  <c r="E135" i="6" s="1"/>
  <c r="D135" i="6" a="1"/>
  <c r="D135" i="6" s="1"/>
  <c r="AE134" i="6" a="1"/>
  <c r="AE134" i="6" s="1"/>
  <c r="AD134" i="6" a="1"/>
  <c r="AD134" i="6" s="1"/>
  <c r="AC134" i="6" a="1"/>
  <c r="AC134" i="6" s="1"/>
  <c r="AB134" i="6" a="1"/>
  <c r="AB134" i="6" s="1"/>
  <c r="AA134" i="6" a="1"/>
  <c r="AA134" i="6" s="1"/>
  <c r="Z134" i="6" a="1"/>
  <c r="Z134" i="6" s="1"/>
  <c r="Y134" i="6" a="1"/>
  <c r="Y134" i="6" s="1"/>
  <c r="X134" i="6" a="1"/>
  <c r="X134" i="6" s="1"/>
  <c r="W134" i="6" a="1"/>
  <c r="W134" i="6" s="1"/>
  <c r="V134" i="6" a="1"/>
  <c r="V134" i="6" s="1"/>
  <c r="U134" i="6" a="1"/>
  <c r="U134" i="6" s="1"/>
  <c r="T134" i="6" a="1"/>
  <c r="T134" i="6" s="1"/>
  <c r="S134" i="6" a="1"/>
  <c r="S134" i="6" s="1"/>
  <c r="R134" i="6" a="1"/>
  <c r="R134" i="6" s="1"/>
  <c r="Q134" i="6" a="1"/>
  <c r="Q134" i="6" s="1"/>
  <c r="P134" i="6" a="1"/>
  <c r="P134" i="6" s="1"/>
  <c r="O134" i="6" a="1"/>
  <c r="O134" i="6" s="1"/>
  <c r="N134" i="6" a="1"/>
  <c r="N134" i="6" s="1"/>
  <c r="M134" i="6" a="1"/>
  <c r="M134" i="6" s="1"/>
  <c r="L134" i="6" a="1"/>
  <c r="L134" i="6" s="1"/>
  <c r="K134" i="6" a="1"/>
  <c r="K134" i="6" s="1"/>
  <c r="J134" i="6" a="1"/>
  <c r="J134" i="6" s="1"/>
  <c r="I134" i="6" a="1"/>
  <c r="I134" i="6" s="1"/>
  <c r="H134" i="6" a="1"/>
  <c r="H134" i="6" s="1"/>
  <c r="G134" i="6" a="1"/>
  <c r="G134" i="6" s="1"/>
  <c r="F134" i="6" a="1"/>
  <c r="F134" i="6" s="1"/>
  <c r="E134" i="6" a="1"/>
  <c r="E134" i="6" s="1"/>
  <c r="D134" i="6" a="1"/>
  <c r="D134" i="6" s="1"/>
  <c r="AE133" i="6" a="1"/>
  <c r="AE133" i="6" s="1"/>
  <c r="AD133" i="6" a="1"/>
  <c r="AD133" i="6" s="1"/>
  <c r="AC133" i="6" a="1"/>
  <c r="AC133" i="6" s="1"/>
  <c r="AB133" i="6" a="1"/>
  <c r="AB133" i="6" s="1"/>
  <c r="AA133" i="6" a="1"/>
  <c r="AA133" i="6" s="1"/>
  <c r="Z133" i="6" a="1"/>
  <c r="Z133" i="6" s="1"/>
  <c r="Y133" i="6" a="1"/>
  <c r="Y133" i="6" s="1"/>
  <c r="X133" i="6" a="1"/>
  <c r="X133" i="6" s="1"/>
  <c r="W133" i="6" a="1"/>
  <c r="W133" i="6" s="1"/>
  <c r="V133" i="6" a="1"/>
  <c r="V133" i="6" s="1"/>
  <c r="U133" i="6" a="1"/>
  <c r="U133" i="6" s="1"/>
  <c r="T133" i="6" a="1"/>
  <c r="T133" i="6" s="1"/>
  <c r="S133" i="6" a="1"/>
  <c r="S133" i="6" s="1"/>
  <c r="R133" i="6" a="1"/>
  <c r="R133" i="6" s="1"/>
  <c r="Q133" i="6" a="1"/>
  <c r="Q133" i="6" s="1"/>
  <c r="P133" i="6" a="1"/>
  <c r="P133" i="6" s="1"/>
  <c r="O133" i="6" a="1"/>
  <c r="O133" i="6" s="1"/>
  <c r="N133" i="6" a="1"/>
  <c r="N133" i="6" s="1"/>
  <c r="M133" i="6" a="1"/>
  <c r="M133" i="6" s="1"/>
  <c r="L133" i="6" a="1"/>
  <c r="L133" i="6" s="1"/>
  <c r="K133" i="6" a="1"/>
  <c r="K133" i="6" s="1"/>
  <c r="J133" i="6" a="1"/>
  <c r="J133" i="6" s="1"/>
  <c r="I133" i="6" a="1"/>
  <c r="I133" i="6" s="1"/>
  <c r="H133" i="6" a="1"/>
  <c r="H133" i="6" s="1"/>
  <c r="G133" i="6" a="1"/>
  <c r="G133" i="6" s="1"/>
  <c r="F133" i="6" a="1"/>
  <c r="F133" i="6" s="1"/>
  <c r="E133" i="6" a="1"/>
  <c r="E133" i="6" s="1"/>
  <c r="D133" i="6" a="1"/>
  <c r="D133" i="6" s="1"/>
  <c r="AE132" i="6" a="1"/>
  <c r="AE132" i="6" s="1"/>
  <c r="AD132" i="6" a="1"/>
  <c r="AD132" i="6" s="1"/>
  <c r="AC132" i="6" a="1"/>
  <c r="AC132" i="6" s="1"/>
  <c r="AB132" i="6" a="1"/>
  <c r="AB132" i="6" s="1"/>
  <c r="AA132" i="6" a="1"/>
  <c r="AA132" i="6" s="1"/>
  <c r="Z132" i="6" a="1"/>
  <c r="Z132" i="6" s="1"/>
  <c r="Y132" i="6" a="1"/>
  <c r="Y132" i="6" s="1"/>
  <c r="X132" i="6" a="1"/>
  <c r="X132" i="6" s="1"/>
  <c r="W132" i="6" a="1"/>
  <c r="W132" i="6" s="1"/>
  <c r="V132" i="6" a="1"/>
  <c r="V132" i="6" s="1"/>
  <c r="U132" i="6" a="1"/>
  <c r="U132" i="6" s="1"/>
  <c r="T132" i="6" a="1"/>
  <c r="T132" i="6" s="1"/>
  <c r="S132" i="6" a="1"/>
  <c r="S132" i="6" s="1"/>
  <c r="R132" i="6" a="1"/>
  <c r="R132" i="6" s="1"/>
  <c r="Q132" i="6" a="1"/>
  <c r="Q132" i="6" s="1"/>
  <c r="P132" i="6" a="1"/>
  <c r="P132" i="6" s="1"/>
  <c r="O132" i="6" a="1"/>
  <c r="O132" i="6" s="1"/>
  <c r="N132" i="6" a="1"/>
  <c r="N132" i="6" s="1"/>
  <c r="M132" i="6" a="1"/>
  <c r="M132" i="6" s="1"/>
  <c r="L132" i="6" a="1"/>
  <c r="L132" i="6" s="1"/>
  <c r="K132" i="6" a="1"/>
  <c r="K132" i="6" s="1"/>
  <c r="J132" i="6" a="1"/>
  <c r="J132" i="6" s="1"/>
  <c r="I132" i="6" a="1"/>
  <c r="I132" i="6" s="1"/>
  <c r="H132" i="6" a="1"/>
  <c r="H132" i="6" s="1"/>
  <c r="G132" i="6" a="1"/>
  <c r="G132" i="6" s="1"/>
  <c r="F132" i="6" a="1"/>
  <c r="F132" i="6" s="1"/>
  <c r="E132" i="6" a="1"/>
  <c r="E132" i="6" s="1"/>
  <c r="D132" i="6" a="1"/>
  <c r="D132" i="6" s="1"/>
  <c r="AE131" i="6" a="1"/>
  <c r="AE131" i="6" s="1"/>
  <c r="AD131" i="6" a="1"/>
  <c r="AD131" i="6" s="1"/>
  <c r="AC131" i="6" a="1"/>
  <c r="AC131" i="6" s="1"/>
  <c r="AB131" i="6" a="1"/>
  <c r="AB131" i="6" s="1"/>
  <c r="AA131" i="6" a="1"/>
  <c r="AA131" i="6" s="1"/>
  <c r="Z131" i="6" a="1"/>
  <c r="Z131" i="6" s="1"/>
  <c r="Y131" i="6" a="1"/>
  <c r="Y131" i="6" s="1"/>
  <c r="X131" i="6" a="1"/>
  <c r="X131" i="6" s="1"/>
  <c r="W131" i="6" a="1"/>
  <c r="W131" i="6" s="1"/>
  <c r="V131" i="6" a="1"/>
  <c r="V131" i="6" s="1"/>
  <c r="U131" i="6" a="1"/>
  <c r="U131" i="6" s="1"/>
  <c r="T131" i="6" a="1"/>
  <c r="T131" i="6" s="1"/>
  <c r="S131" i="6" a="1"/>
  <c r="S131" i="6" s="1"/>
  <c r="R131" i="6" a="1"/>
  <c r="R131" i="6" s="1"/>
  <c r="Q131" i="6" a="1"/>
  <c r="Q131" i="6" s="1"/>
  <c r="P131" i="6" a="1"/>
  <c r="P131" i="6" s="1"/>
  <c r="O131" i="6" a="1"/>
  <c r="O131" i="6" s="1"/>
  <c r="N131" i="6" a="1"/>
  <c r="N131" i="6" s="1"/>
  <c r="M131" i="6" a="1"/>
  <c r="M131" i="6" s="1"/>
  <c r="L131" i="6" a="1"/>
  <c r="L131" i="6" s="1"/>
  <c r="K131" i="6" a="1"/>
  <c r="K131" i="6" s="1"/>
  <c r="J131" i="6" a="1"/>
  <c r="J131" i="6" s="1"/>
  <c r="I131" i="6" a="1"/>
  <c r="I131" i="6" s="1"/>
  <c r="H131" i="6" a="1"/>
  <c r="H131" i="6" s="1"/>
  <c r="G131" i="6" a="1"/>
  <c r="G131" i="6" s="1"/>
  <c r="F131" i="6" a="1"/>
  <c r="F131" i="6" s="1"/>
  <c r="E131" i="6" a="1"/>
  <c r="E131" i="6" s="1"/>
  <c r="D131" i="6" a="1"/>
  <c r="D131" i="6" s="1"/>
  <c r="AE130" i="6" a="1"/>
  <c r="AE130" i="6" s="1"/>
  <c r="AD130" i="6" a="1"/>
  <c r="AD130" i="6" s="1"/>
  <c r="AC130" i="6" a="1"/>
  <c r="AC130" i="6" s="1"/>
  <c r="AB130" i="6" a="1"/>
  <c r="AB130" i="6" s="1"/>
  <c r="AA130" i="6" a="1"/>
  <c r="AA130" i="6" s="1"/>
  <c r="Z130" i="6" a="1"/>
  <c r="Z130" i="6" s="1"/>
  <c r="Y130" i="6" a="1"/>
  <c r="Y130" i="6" s="1"/>
  <c r="X130" i="6" a="1"/>
  <c r="X130" i="6" s="1"/>
  <c r="W130" i="6" a="1"/>
  <c r="W130" i="6" s="1"/>
  <c r="V130" i="6" a="1"/>
  <c r="V130" i="6" s="1"/>
  <c r="U130" i="6" a="1"/>
  <c r="U130" i="6" s="1"/>
  <c r="T130" i="6" a="1"/>
  <c r="T130" i="6" s="1"/>
  <c r="S130" i="6" a="1"/>
  <c r="S130" i="6" s="1"/>
  <c r="R130" i="6" a="1"/>
  <c r="R130" i="6" s="1"/>
  <c r="Q130" i="6" a="1"/>
  <c r="Q130" i="6" s="1"/>
  <c r="P130" i="6" a="1"/>
  <c r="P130" i="6" s="1"/>
  <c r="O130" i="6" a="1"/>
  <c r="O130" i="6" s="1"/>
  <c r="N130" i="6" a="1"/>
  <c r="N130" i="6" s="1"/>
  <c r="M130" i="6" a="1"/>
  <c r="M130" i="6" s="1"/>
  <c r="L130" i="6" a="1"/>
  <c r="L130" i="6" s="1"/>
  <c r="K130" i="6" a="1"/>
  <c r="K130" i="6" s="1"/>
  <c r="J130" i="6" a="1"/>
  <c r="J130" i="6" s="1"/>
  <c r="I130" i="6" a="1"/>
  <c r="I130" i="6" s="1"/>
  <c r="H130" i="6" a="1"/>
  <c r="H130" i="6" s="1"/>
  <c r="G130" i="6" a="1"/>
  <c r="G130" i="6" s="1"/>
  <c r="F130" i="6" a="1"/>
  <c r="F130" i="6" s="1"/>
  <c r="E130" i="6" a="1"/>
  <c r="E130" i="6" s="1"/>
  <c r="D130" i="6" a="1"/>
  <c r="D130" i="6" s="1"/>
  <c r="AE129" i="6" a="1"/>
  <c r="AE129" i="6" s="1"/>
  <c r="AD129" i="6" a="1"/>
  <c r="AD129" i="6" s="1"/>
  <c r="AC129" i="6" a="1"/>
  <c r="AC129" i="6" s="1"/>
  <c r="AB129" i="6" a="1"/>
  <c r="AB129" i="6" s="1"/>
  <c r="AA129" i="6" a="1"/>
  <c r="AA129" i="6" s="1"/>
  <c r="Z129" i="6" a="1"/>
  <c r="Z129" i="6" s="1"/>
  <c r="Y129" i="6" a="1"/>
  <c r="Y129" i="6" s="1"/>
  <c r="X129" i="6" a="1"/>
  <c r="X129" i="6" s="1"/>
  <c r="W129" i="6" a="1"/>
  <c r="W129" i="6" s="1"/>
  <c r="V129" i="6" a="1"/>
  <c r="V129" i="6" s="1"/>
  <c r="U129" i="6" a="1"/>
  <c r="U129" i="6" s="1"/>
  <c r="T129" i="6" a="1"/>
  <c r="T129" i="6" s="1"/>
  <c r="S129" i="6" a="1"/>
  <c r="S129" i="6" s="1"/>
  <c r="R129" i="6" a="1"/>
  <c r="R129" i="6" s="1"/>
  <c r="Q129" i="6" a="1"/>
  <c r="Q129" i="6" s="1"/>
  <c r="P129" i="6" a="1"/>
  <c r="P129" i="6" s="1"/>
  <c r="O129" i="6" a="1"/>
  <c r="O129" i="6" s="1"/>
  <c r="N129" i="6" a="1"/>
  <c r="N129" i="6" s="1"/>
  <c r="M129" i="6" a="1"/>
  <c r="M129" i="6" s="1"/>
  <c r="L129" i="6" a="1"/>
  <c r="L129" i="6" s="1"/>
  <c r="K129" i="6" a="1"/>
  <c r="K129" i="6" s="1"/>
  <c r="J129" i="6" a="1"/>
  <c r="J129" i="6" s="1"/>
  <c r="I129" i="6" a="1"/>
  <c r="I129" i="6" s="1"/>
  <c r="H129" i="6" a="1"/>
  <c r="H129" i="6" s="1"/>
  <c r="G129" i="6" a="1"/>
  <c r="G129" i="6" s="1"/>
  <c r="F129" i="6" a="1"/>
  <c r="F129" i="6" s="1"/>
  <c r="E129" i="6" a="1"/>
  <c r="E129" i="6" s="1"/>
  <c r="D129" i="6" a="1"/>
  <c r="D129" i="6" s="1"/>
  <c r="AE128" i="6" a="1"/>
  <c r="AE128" i="6" s="1"/>
  <c r="AD128" i="6" a="1"/>
  <c r="AD128" i="6" s="1"/>
  <c r="AC128" i="6" a="1"/>
  <c r="AC128" i="6" s="1"/>
  <c r="AB128" i="6" a="1"/>
  <c r="AB128" i="6" s="1"/>
  <c r="AA128" i="6" a="1"/>
  <c r="AA128" i="6" s="1"/>
  <c r="Z128" i="6" a="1"/>
  <c r="Z128" i="6" s="1"/>
  <c r="Y128" i="6" a="1"/>
  <c r="Y128" i="6" s="1"/>
  <c r="X128" i="6" a="1"/>
  <c r="X128" i="6" s="1"/>
  <c r="W128" i="6" a="1"/>
  <c r="W128" i="6" s="1"/>
  <c r="V128" i="6" a="1"/>
  <c r="V128" i="6" s="1"/>
  <c r="U128" i="6" a="1"/>
  <c r="U128" i="6" s="1"/>
  <c r="T128" i="6" a="1"/>
  <c r="T128" i="6" s="1"/>
  <c r="S128" i="6" a="1"/>
  <c r="S128" i="6" s="1"/>
  <c r="R128" i="6" a="1"/>
  <c r="R128" i="6" s="1"/>
  <c r="Q128" i="6" a="1"/>
  <c r="Q128" i="6" s="1"/>
  <c r="P128" i="6" a="1"/>
  <c r="P128" i="6" s="1"/>
  <c r="O128" i="6" a="1"/>
  <c r="O128" i="6" s="1"/>
  <c r="N128" i="6" a="1"/>
  <c r="N128" i="6" s="1"/>
  <c r="M128" i="6" a="1"/>
  <c r="M128" i="6" s="1"/>
  <c r="L128" i="6" a="1"/>
  <c r="L128" i="6" s="1"/>
  <c r="K128" i="6" a="1"/>
  <c r="K128" i="6" s="1"/>
  <c r="J128" i="6" a="1"/>
  <c r="J128" i="6" s="1"/>
  <c r="I128" i="6" a="1"/>
  <c r="I128" i="6" s="1"/>
  <c r="H128" i="6" a="1"/>
  <c r="H128" i="6" s="1"/>
  <c r="G128" i="6" a="1"/>
  <c r="G128" i="6" s="1"/>
  <c r="F128" i="6" a="1"/>
  <c r="F128" i="6" s="1"/>
  <c r="E128" i="6" a="1"/>
  <c r="E128" i="6" s="1"/>
  <c r="D128" i="6" a="1"/>
  <c r="D128" i="6" s="1"/>
  <c r="AE127" i="6" a="1"/>
  <c r="AE127" i="6" s="1"/>
  <c r="AD127" i="6" a="1"/>
  <c r="AD127" i="6" s="1"/>
  <c r="AC127" i="6" a="1"/>
  <c r="AC127" i="6" s="1"/>
  <c r="AB127" i="6" a="1"/>
  <c r="AB127" i="6" s="1"/>
  <c r="AA127" i="6" a="1"/>
  <c r="AA127" i="6" s="1"/>
  <c r="Z127" i="6" a="1"/>
  <c r="Z127" i="6" s="1"/>
  <c r="Y127" i="6" a="1"/>
  <c r="Y127" i="6" s="1"/>
  <c r="X127" i="6" a="1"/>
  <c r="X127" i="6" s="1"/>
  <c r="W127" i="6" a="1"/>
  <c r="W127" i="6" s="1"/>
  <c r="V127" i="6" a="1"/>
  <c r="V127" i="6" s="1"/>
  <c r="U127" i="6" a="1"/>
  <c r="U127" i="6" s="1"/>
  <c r="T127" i="6" a="1"/>
  <c r="T127" i="6" s="1"/>
  <c r="S127" i="6" a="1"/>
  <c r="S127" i="6" s="1"/>
  <c r="R127" i="6" a="1"/>
  <c r="R127" i="6" s="1"/>
  <c r="Q127" i="6" a="1"/>
  <c r="Q127" i="6" s="1"/>
  <c r="P127" i="6" a="1"/>
  <c r="P127" i="6" s="1"/>
  <c r="O127" i="6" a="1"/>
  <c r="O127" i="6" s="1"/>
  <c r="N127" i="6" a="1"/>
  <c r="N127" i="6" s="1"/>
  <c r="M127" i="6" a="1"/>
  <c r="M127" i="6" s="1"/>
  <c r="L127" i="6" a="1"/>
  <c r="L127" i="6" s="1"/>
  <c r="K127" i="6" a="1"/>
  <c r="K127" i="6" s="1"/>
  <c r="J127" i="6" a="1"/>
  <c r="J127" i="6" s="1"/>
  <c r="I127" i="6" a="1"/>
  <c r="I127" i="6" s="1"/>
  <c r="H127" i="6" a="1"/>
  <c r="H127" i="6" s="1"/>
  <c r="G127" i="6" a="1"/>
  <c r="G127" i="6" s="1"/>
  <c r="F127" i="6" a="1"/>
  <c r="F127" i="6" s="1"/>
  <c r="E127" i="6" a="1"/>
  <c r="E127" i="6" s="1"/>
  <c r="D127" i="6" a="1"/>
  <c r="D127" i="6" s="1"/>
  <c r="AE126" i="6" a="1"/>
  <c r="AE126" i="6" s="1"/>
  <c r="AD126" i="6" a="1"/>
  <c r="AD126" i="6" s="1"/>
  <c r="AC126" i="6" a="1"/>
  <c r="AC126" i="6" s="1"/>
  <c r="AB126" i="6" a="1"/>
  <c r="AB126" i="6" s="1"/>
  <c r="AA126" i="6" a="1"/>
  <c r="AA126" i="6" s="1"/>
  <c r="Z126" i="6" a="1"/>
  <c r="Z126" i="6" s="1"/>
  <c r="Y126" i="6" a="1"/>
  <c r="Y126" i="6" s="1"/>
  <c r="X126" i="6" a="1"/>
  <c r="X126" i="6" s="1"/>
  <c r="W126" i="6" a="1"/>
  <c r="W126" i="6" s="1"/>
  <c r="V126" i="6" a="1"/>
  <c r="V126" i="6" s="1"/>
  <c r="U126" i="6" a="1"/>
  <c r="U126" i="6" s="1"/>
  <c r="T126" i="6" a="1"/>
  <c r="T126" i="6" s="1"/>
  <c r="S126" i="6" a="1"/>
  <c r="S126" i="6" s="1"/>
  <c r="R126" i="6" a="1"/>
  <c r="R126" i="6" s="1"/>
  <c r="Q126" i="6" a="1"/>
  <c r="Q126" i="6" s="1"/>
  <c r="P126" i="6" a="1"/>
  <c r="P126" i="6" s="1"/>
  <c r="O126" i="6" a="1"/>
  <c r="O126" i="6" s="1"/>
  <c r="N126" i="6" a="1"/>
  <c r="N126" i="6" s="1"/>
  <c r="M126" i="6" a="1"/>
  <c r="M126" i="6" s="1"/>
  <c r="L126" i="6" a="1"/>
  <c r="L126" i="6" s="1"/>
  <c r="K126" i="6" a="1"/>
  <c r="K126" i="6" s="1"/>
  <c r="J126" i="6" a="1"/>
  <c r="J126" i="6" s="1"/>
  <c r="I126" i="6" a="1"/>
  <c r="I126" i="6" s="1"/>
  <c r="H126" i="6" a="1"/>
  <c r="H126" i="6" s="1"/>
  <c r="G126" i="6" a="1"/>
  <c r="G126" i="6" s="1"/>
  <c r="F126" i="6" a="1"/>
  <c r="F126" i="6" s="1"/>
  <c r="E126" i="6" a="1"/>
  <c r="E126" i="6" s="1"/>
  <c r="D126" i="6" a="1"/>
  <c r="D126" i="6" s="1"/>
  <c r="AE125" i="6" a="1"/>
  <c r="AE125" i="6" s="1"/>
  <c r="AD125" i="6" a="1"/>
  <c r="AD125" i="6" s="1"/>
  <c r="AC125" i="6" a="1"/>
  <c r="AC125" i="6" s="1"/>
  <c r="AB125" i="6" a="1"/>
  <c r="AB125" i="6" s="1"/>
  <c r="AA125" i="6" a="1"/>
  <c r="AA125" i="6" s="1"/>
  <c r="Z125" i="6" a="1"/>
  <c r="Z125" i="6" s="1"/>
  <c r="Y125" i="6" a="1"/>
  <c r="Y125" i="6" s="1"/>
  <c r="X125" i="6" a="1"/>
  <c r="X125" i="6" s="1"/>
  <c r="W125" i="6" a="1"/>
  <c r="W125" i="6" s="1"/>
  <c r="V125" i="6" a="1"/>
  <c r="V125" i="6" s="1"/>
  <c r="U125" i="6" a="1"/>
  <c r="U125" i="6" s="1"/>
  <c r="T125" i="6" a="1"/>
  <c r="T125" i="6" s="1"/>
  <c r="S125" i="6" a="1"/>
  <c r="S125" i="6" s="1"/>
  <c r="R125" i="6" a="1"/>
  <c r="R125" i="6" s="1"/>
  <c r="Q125" i="6" a="1"/>
  <c r="Q125" i="6" s="1"/>
  <c r="P125" i="6" a="1"/>
  <c r="P125" i="6" s="1"/>
  <c r="O125" i="6" a="1"/>
  <c r="O125" i="6" s="1"/>
  <c r="N125" i="6" a="1"/>
  <c r="N125" i="6" s="1"/>
  <c r="M125" i="6" a="1"/>
  <c r="M125" i="6" s="1"/>
  <c r="L125" i="6" a="1"/>
  <c r="L125" i="6" s="1"/>
  <c r="K125" i="6" a="1"/>
  <c r="K125" i="6" s="1"/>
  <c r="J125" i="6" a="1"/>
  <c r="J125" i="6" s="1"/>
  <c r="I125" i="6" a="1"/>
  <c r="I125" i="6" s="1"/>
  <c r="H125" i="6" a="1"/>
  <c r="H125" i="6" s="1"/>
  <c r="G125" i="6" a="1"/>
  <c r="G125" i="6" s="1"/>
  <c r="F125" i="6" a="1"/>
  <c r="F125" i="6" s="1"/>
  <c r="E125" i="6" a="1"/>
  <c r="E125" i="6" s="1"/>
  <c r="D125" i="6" a="1"/>
  <c r="D125" i="6" s="1"/>
  <c r="AE124" i="6" a="1"/>
  <c r="AE124" i="6" s="1"/>
  <c r="AD124" i="6" a="1"/>
  <c r="AD124" i="6" s="1"/>
  <c r="AC124" i="6" a="1"/>
  <c r="AC124" i="6" s="1"/>
  <c r="AB124" i="6" a="1"/>
  <c r="AB124" i="6" s="1"/>
  <c r="AA124" i="6" a="1"/>
  <c r="AA124" i="6" s="1"/>
  <c r="Z124" i="6" a="1"/>
  <c r="Z124" i="6" s="1"/>
  <c r="Y124" i="6" a="1"/>
  <c r="Y124" i="6" s="1"/>
  <c r="X124" i="6" a="1"/>
  <c r="X124" i="6" s="1"/>
  <c r="W124" i="6" a="1"/>
  <c r="W124" i="6" s="1"/>
  <c r="V124" i="6" a="1"/>
  <c r="V124" i="6" s="1"/>
  <c r="U124" i="6" a="1"/>
  <c r="U124" i="6" s="1"/>
  <c r="T124" i="6" a="1"/>
  <c r="T124" i="6" s="1"/>
  <c r="S124" i="6" a="1"/>
  <c r="S124" i="6" s="1"/>
  <c r="R124" i="6" a="1"/>
  <c r="R124" i="6" s="1"/>
  <c r="Q124" i="6" a="1"/>
  <c r="Q124" i="6" s="1"/>
  <c r="P124" i="6" a="1"/>
  <c r="P124" i="6" s="1"/>
  <c r="O124" i="6" a="1"/>
  <c r="O124" i="6" s="1"/>
  <c r="N124" i="6" a="1"/>
  <c r="N124" i="6" s="1"/>
  <c r="M124" i="6" a="1"/>
  <c r="M124" i="6" s="1"/>
  <c r="L124" i="6" a="1"/>
  <c r="L124" i="6" s="1"/>
  <c r="K124" i="6" a="1"/>
  <c r="K124" i="6" s="1"/>
  <c r="J124" i="6" a="1"/>
  <c r="J124" i="6" s="1"/>
  <c r="I124" i="6" a="1"/>
  <c r="I124" i="6" s="1"/>
  <c r="H124" i="6" a="1"/>
  <c r="H124" i="6" s="1"/>
  <c r="G124" i="6" a="1"/>
  <c r="G124" i="6" s="1"/>
  <c r="F124" i="6" a="1"/>
  <c r="F124" i="6" s="1"/>
  <c r="E124" i="6" a="1"/>
  <c r="E124" i="6" s="1"/>
  <c r="D124" i="6" a="1"/>
  <c r="D124" i="6" s="1"/>
  <c r="AE123" i="6" a="1"/>
  <c r="AE123" i="6" s="1"/>
  <c r="AD123" i="6" a="1"/>
  <c r="AD123" i="6" s="1"/>
  <c r="AC123" i="6" a="1"/>
  <c r="AC123" i="6" s="1"/>
  <c r="AB123" i="6" a="1"/>
  <c r="AB123" i="6" s="1"/>
  <c r="AA123" i="6" a="1"/>
  <c r="AA123" i="6" s="1"/>
  <c r="Z123" i="6" a="1"/>
  <c r="Z123" i="6" s="1"/>
  <c r="Y123" i="6" a="1"/>
  <c r="Y123" i="6" s="1"/>
  <c r="X123" i="6" a="1"/>
  <c r="X123" i="6" s="1"/>
  <c r="W123" i="6" a="1"/>
  <c r="W123" i="6" s="1"/>
  <c r="V123" i="6" a="1"/>
  <c r="V123" i="6" s="1"/>
  <c r="U123" i="6" a="1"/>
  <c r="U123" i="6" s="1"/>
  <c r="T123" i="6" a="1"/>
  <c r="T123" i="6" s="1"/>
  <c r="S123" i="6" a="1"/>
  <c r="S123" i="6" s="1"/>
  <c r="R123" i="6" a="1"/>
  <c r="R123" i="6" s="1"/>
  <c r="Q123" i="6" a="1"/>
  <c r="Q123" i="6" s="1"/>
  <c r="P123" i="6" a="1"/>
  <c r="P123" i="6" s="1"/>
  <c r="O123" i="6" a="1"/>
  <c r="O123" i="6" s="1"/>
  <c r="N123" i="6" a="1"/>
  <c r="N123" i="6" s="1"/>
  <c r="M123" i="6" a="1"/>
  <c r="M123" i="6" s="1"/>
  <c r="L123" i="6" a="1"/>
  <c r="L123" i="6" s="1"/>
  <c r="K123" i="6" a="1"/>
  <c r="K123" i="6" s="1"/>
  <c r="J123" i="6" a="1"/>
  <c r="J123" i="6" s="1"/>
  <c r="I123" i="6" a="1"/>
  <c r="I123" i="6" s="1"/>
  <c r="H123" i="6" a="1"/>
  <c r="H123" i="6" s="1"/>
  <c r="G123" i="6" a="1"/>
  <c r="G123" i="6" s="1"/>
  <c r="F123" i="6" a="1"/>
  <c r="F123" i="6" s="1"/>
  <c r="E123" i="6" a="1"/>
  <c r="E123" i="6" s="1"/>
  <c r="D123" i="6" a="1"/>
  <c r="D123" i="6" s="1"/>
  <c r="AE122" i="6" a="1"/>
  <c r="AE122" i="6" s="1"/>
  <c r="AD122" i="6" a="1"/>
  <c r="AD122" i="6" s="1"/>
  <c r="AC122" i="6" a="1"/>
  <c r="AC122" i="6" s="1"/>
  <c r="AB122" i="6" a="1"/>
  <c r="AB122" i="6" s="1"/>
  <c r="AA122" i="6" a="1"/>
  <c r="AA122" i="6" s="1"/>
  <c r="Z122" i="6" a="1"/>
  <c r="Z122" i="6" s="1"/>
  <c r="Y122" i="6" a="1"/>
  <c r="Y122" i="6" s="1"/>
  <c r="X122" i="6" a="1"/>
  <c r="X122" i="6" s="1"/>
  <c r="W122" i="6" a="1"/>
  <c r="W122" i="6" s="1"/>
  <c r="V122" i="6" a="1"/>
  <c r="V122" i="6" s="1"/>
  <c r="U122" i="6" a="1"/>
  <c r="U122" i="6" s="1"/>
  <c r="T122" i="6" a="1"/>
  <c r="T122" i="6" s="1"/>
  <c r="S122" i="6" a="1"/>
  <c r="S122" i="6" s="1"/>
  <c r="R122" i="6" a="1"/>
  <c r="R122" i="6" s="1"/>
  <c r="Q122" i="6" a="1"/>
  <c r="Q122" i="6" s="1"/>
  <c r="P122" i="6" a="1"/>
  <c r="P122" i="6" s="1"/>
  <c r="O122" i="6" a="1"/>
  <c r="O122" i="6" s="1"/>
  <c r="N122" i="6" a="1"/>
  <c r="N122" i="6" s="1"/>
  <c r="M122" i="6" a="1"/>
  <c r="M122" i="6" s="1"/>
  <c r="L122" i="6" a="1"/>
  <c r="L122" i="6" s="1"/>
  <c r="K122" i="6" a="1"/>
  <c r="K122" i="6" s="1"/>
  <c r="J122" i="6" a="1"/>
  <c r="J122" i="6" s="1"/>
  <c r="I122" i="6" a="1"/>
  <c r="I122" i="6" s="1"/>
  <c r="H122" i="6" a="1"/>
  <c r="H122" i="6" s="1"/>
  <c r="G122" i="6" a="1"/>
  <c r="G122" i="6" s="1"/>
  <c r="F122" i="6" a="1"/>
  <c r="F122" i="6" s="1"/>
  <c r="E122" i="6" a="1"/>
  <c r="E122" i="6" s="1"/>
  <c r="D122" i="6" a="1"/>
  <c r="D122" i="6" s="1"/>
  <c r="AE121" i="6" a="1"/>
  <c r="AE121" i="6" s="1"/>
  <c r="AD121" i="6" a="1"/>
  <c r="AD121" i="6" s="1"/>
  <c r="AC121" i="6" a="1"/>
  <c r="AC121" i="6" s="1"/>
  <c r="AB121" i="6" a="1"/>
  <c r="AB121" i="6" s="1"/>
  <c r="AA121" i="6" a="1"/>
  <c r="AA121" i="6" s="1"/>
  <c r="Z121" i="6" a="1"/>
  <c r="Z121" i="6" s="1"/>
  <c r="Y121" i="6" a="1"/>
  <c r="Y121" i="6" s="1"/>
  <c r="X121" i="6" a="1"/>
  <c r="X121" i="6" s="1"/>
  <c r="W121" i="6" a="1"/>
  <c r="W121" i="6" s="1"/>
  <c r="V121" i="6" a="1"/>
  <c r="V121" i="6" s="1"/>
  <c r="U121" i="6" a="1"/>
  <c r="U121" i="6" s="1"/>
  <c r="T121" i="6" a="1"/>
  <c r="T121" i="6" s="1"/>
  <c r="S121" i="6" a="1"/>
  <c r="S121" i="6" s="1"/>
  <c r="R121" i="6" a="1"/>
  <c r="R121" i="6" s="1"/>
  <c r="Q121" i="6" a="1"/>
  <c r="Q121" i="6" s="1"/>
  <c r="P121" i="6" a="1"/>
  <c r="P121" i="6" s="1"/>
  <c r="O121" i="6" a="1"/>
  <c r="O121" i="6" s="1"/>
  <c r="N121" i="6" a="1"/>
  <c r="N121" i="6" s="1"/>
  <c r="M121" i="6" a="1"/>
  <c r="M121" i="6" s="1"/>
  <c r="L121" i="6" a="1"/>
  <c r="L121" i="6" s="1"/>
  <c r="K121" i="6" a="1"/>
  <c r="K121" i="6" s="1"/>
  <c r="J121" i="6" a="1"/>
  <c r="J121" i="6" s="1"/>
  <c r="I121" i="6" a="1"/>
  <c r="I121" i="6" s="1"/>
  <c r="H121" i="6" a="1"/>
  <c r="H121" i="6" s="1"/>
  <c r="G121" i="6" a="1"/>
  <c r="G121" i="6" s="1"/>
  <c r="F121" i="6" a="1"/>
  <c r="F121" i="6" s="1"/>
  <c r="E121" i="6" a="1"/>
  <c r="E121" i="6" s="1"/>
  <c r="D121" i="6" a="1"/>
  <c r="D121" i="6" s="1"/>
  <c r="AE120" i="6" a="1"/>
  <c r="AE120" i="6" s="1"/>
  <c r="AD120" i="6" a="1"/>
  <c r="AD120" i="6" s="1"/>
  <c r="AC120" i="6" a="1"/>
  <c r="AC120" i="6" s="1"/>
  <c r="AB120" i="6" a="1"/>
  <c r="AB120" i="6" s="1"/>
  <c r="AA120" i="6" a="1"/>
  <c r="AA120" i="6" s="1"/>
  <c r="Z120" i="6" a="1"/>
  <c r="Z120" i="6" s="1"/>
  <c r="Y120" i="6" a="1"/>
  <c r="Y120" i="6" s="1"/>
  <c r="X120" i="6" a="1"/>
  <c r="X120" i="6" s="1"/>
  <c r="W120" i="6" a="1"/>
  <c r="W120" i="6" s="1"/>
  <c r="V120" i="6" a="1"/>
  <c r="V120" i="6" s="1"/>
  <c r="U120" i="6" a="1"/>
  <c r="U120" i="6" s="1"/>
  <c r="T120" i="6" a="1"/>
  <c r="T120" i="6" s="1"/>
  <c r="S120" i="6" a="1"/>
  <c r="S120" i="6" s="1"/>
  <c r="R120" i="6" a="1"/>
  <c r="R120" i="6" s="1"/>
  <c r="Q120" i="6" a="1"/>
  <c r="Q120" i="6" s="1"/>
  <c r="P120" i="6" a="1"/>
  <c r="P120" i="6" s="1"/>
  <c r="O120" i="6" a="1"/>
  <c r="O120" i="6" s="1"/>
  <c r="N120" i="6" a="1"/>
  <c r="N120" i="6" s="1"/>
  <c r="M120" i="6" a="1"/>
  <c r="M120" i="6" s="1"/>
  <c r="L120" i="6" a="1"/>
  <c r="L120" i="6" s="1"/>
  <c r="K120" i="6" a="1"/>
  <c r="K120" i="6" s="1"/>
  <c r="J120" i="6" a="1"/>
  <c r="J120" i="6" s="1"/>
  <c r="I120" i="6" a="1"/>
  <c r="I120" i="6" s="1"/>
  <c r="H120" i="6" a="1"/>
  <c r="H120" i="6" s="1"/>
  <c r="G120" i="6" a="1"/>
  <c r="G120" i="6" s="1"/>
  <c r="F120" i="6" a="1"/>
  <c r="F120" i="6" s="1"/>
  <c r="E120" i="6" a="1"/>
  <c r="E120" i="6" s="1"/>
  <c r="D120" i="6" a="1"/>
  <c r="D120" i="6" s="1"/>
  <c r="AE119" i="6" a="1"/>
  <c r="AE119" i="6" s="1"/>
  <c r="AD119" i="6" a="1"/>
  <c r="AD119" i="6" s="1"/>
  <c r="AC119" i="6" a="1"/>
  <c r="AC119" i="6" s="1"/>
  <c r="AB119" i="6" a="1"/>
  <c r="AB119" i="6" s="1"/>
  <c r="AA119" i="6" a="1"/>
  <c r="AA119" i="6" s="1"/>
  <c r="Z119" i="6" a="1"/>
  <c r="Z119" i="6" s="1"/>
  <c r="Y119" i="6" a="1"/>
  <c r="Y119" i="6" s="1"/>
  <c r="X119" i="6" a="1"/>
  <c r="X119" i="6" s="1"/>
  <c r="W119" i="6" a="1"/>
  <c r="W119" i="6" s="1"/>
  <c r="V119" i="6" a="1"/>
  <c r="V119" i="6" s="1"/>
  <c r="U119" i="6" a="1"/>
  <c r="U119" i="6" s="1"/>
  <c r="T119" i="6" a="1"/>
  <c r="T119" i="6" s="1"/>
  <c r="S119" i="6" a="1"/>
  <c r="S119" i="6" s="1"/>
  <c r="R119" i="6" a="1"/>
  <c r="R119" i="6" s="1"/>
  <c r="Q119" i="6" a="1"/>
  <c r="Q119" i="6" s="1"/>
  <c r="P119" i="6" a="1"/>
  <c r="P119" i="6" s="1"/>
  <c r="O119" i="6" a="1"/>
  <c r="O119" i="6" s="1"/>
  <c r="N119" i="6" a="1"/>
  <c r="N119" i="6" s="1"/>
  <c r="M119" i="6" a="1"/>
  <c r="M119" i="6" s="1"/>
  <c r="L119" i="6" a="1"/>
  <c r="L119" i="6" s="1"/>
  <c r="K119" i="6" a="1"/>
  <c r="K119" i="6" s="1"/>
  <c r="J119" i="6" a="1"/>
  <c r="J119" i="6" s="1"/>
  <c r="I119" i="6" a="1"/>
  <c r="I119" i="6" s="1"/>
  <c r="H119" i="6" a="1"/>
  <c r="H119" i="6" s="1"/>
  <c r="G119" i="6" a="1"/>
  <c r="G119" i="6" s="1"/>
  <c r="F119" i="6" a="1"/>
  <c r="F119" i="6" s="1"/>
  <c r="E119" i="6" a="1"/>
  <c r="E119" i="6" s="1"/>
  <c r="D119" i="6" a="1"/>
  <c r="D119" i="6" s="1"/>
  <c r="AE118" i="6" a="1"/>
  <c r="AE118" i="6" s="1"/>
  <c r="AD118" i="6" a="1"/>
  <c r="AD118" i="6" s="1"/>
  <c r="AC118" i="6" a="1"/>
  <c r="AC118" i="6" s="1"/>
  <c r="AB118" i="6" a="1"/>
  <c r="AB118" i="6" s="1"/>
  <c r="AA118" i="6" a="1"/>
  <c r="AA118" i="6" s="1"/>
  <c r="Z118" i="6" a="1"/>
  <c r="Z118" i="6" s="1"/>
  <c r="Y118" i="6" a="1"/>
  <c r="Y118" i="6" s="1"/>
  <c r="X118" i="6" a="1"/>
  <c r="X118" i="6" s="1"/>
  <c r="W118" i="6" a="1"/>
  <c r="W118" i="6" s="1"/>
  <c r="V118" i="6" a="1"/>
  <c r="V118" i="6" s="1"/>
  <c r="U118" i="6" a="1"/>
  <c r="U118" i="6" s="1"/>
  <c r="T118" i="6" a="1"/>
  <c r="T118" i="6" s="1"/>
  <c r="S118" i="6" a="1"/>
  <c r="S118" i="6" s="1"/>
  <c r="R118" i="6" a="1"/>
  <c r="R118" i="6" s="1"/>
  <c r="Q118" i="6" a="1"/>
  <c r="Q118" i="6" s="1"/>
  <c r="P118" i="6" a="1"/>
  <c r="P118" i="6" s="1"/>
  <c r="O118" i="6" a="1"/>
  <c r="O118" i="6" s="1"/>
  <c r="N118" i="6" a="1"/>
  <c r="N118" i="6" s="1"/>
  <c r="M118" i="6" a="1"/>
  <c r="M118" i="6" s="1"/>
  <c r="L118" i="6" a="1"/>
  <c r="L118" i="6" s="1"/>
  <c r="K118" i="6" a="1"/>
  <c r="K118" i="6" s="1"/>
  <c r="J118" i="6" a="1"/>
  <c r="J118" i="6" s="1"/>
  <c r="I118" i="6" a="1"/>
  <c r="I118" i="6" s="1"/>
  <c r="H118" i="6" a="1"/>
  <c r="H118" i="6" s="1"/>
  <c r="G118" i="6" a="1"/>
  <c r="G118" i="6" s="1"/>
  <c r="F118" i="6" a="1"/>
  <c r="F118" i="6" s="1"/>
  <c r="E118" i="6" a="1"/>
  <c r="E118" i="6" s="1"/>
  <c r="D118" i="6" a="1"/>
  <c r="D118" i="6" s="1"/>
  <c r="AE117" i="6" a="1"/>
  <c r="AE117" i="6" s="1"/>
  <c r="AD117" i="6" a="1"/>
  <c r="AD117" i="6" s="1"/>
  <c r="AC117" i="6" a="1"/>
  <c r="AC117" i="6" s="1"/>
  <c r="AB117" i="6" a="1"/>
  <c r="AB117" i="6" s="1"/>
  <c r="AA117" i="6" a="1"/>
  <c r="AA117" i="6" s="1"/>
  <c r="Z117" i="6" a="1"/>
  <c r="Z117" i="6" s="1"/>
  <c r="Y117" i="6" a="1"/>
  <c r="Y117" i="6" s="1"/>
  <c r="X117" i="6" a="1"/>
  <c r="X117" i="6" s="1"/>
  <c r="W117" i="6" a="1"/>
  <c r="W117" i="6" s="1"/>
  <c r="V117" i="6" a="1"/>
  <c r="V117" i="6" s="1"/>
  <c r="U117" i="6" a="1"/>
  <c r="U117" i="6" s="1"/>
  <c r="T117" i="6" a="1"/>
  <c r="T117" i="6" s="1"/>
  <c r="S117" i="6" a="1"/>
  <c r="S117" i="6" s="1"/>
  <c r="R117" i="6" a="1"/>
  <c r="R117" i="6" s="1"/>
  <c r="Q117" i="6" a="1"/>
  <c r="Q117" i="6" s="1"/>
  <c r="P117" i="6" a="1"/>
  <c r="P117" i="6" s="1"/>
  <c r="O117" i="6" a="1"/>
  <c r="O117" i="6" s="1"/>
  <c r="N117" i="6" a="1"/>
  <c r="N117" i="6" s="1"/>
  <c r="M117" i="6" a="1"/>
  <c r="M117" i="6" s="1"/>
  <c r="L117" i="6" a="1"/>
  <c r="L117" i="6" s="1"/>
  <c r="K117" i="6" a="1"/>
  <c r="K117" i="6" s="1"/>
  <c r="J117" i="6" a="1"/>
  <c r="J117" i="6" s="1"/>
  <c r="I117" i="6" a="1"/>
  <c r="I117" i="6" s="1"/>
  <c r="H117" i="6" a="1"/>
  <c r="H117" i="6" s="1"/>
  <c r="G117" i="6" a="1"/>
  <c r="G117" i="6" s="1"/>
  <c r="F117" i="6" a="1"/>
  <c r="F117" i="6" s="1"/>
  <c r="E117" i="6" a="1"/>
  <c r="E117" i="6" s="1"/>
  <c r="D117" i="6" a="1"/>
  <c r="D117" i="6" s="1"/>
  <c r="AE116" i="6" a="1"/>
  <c r="AE116" i="6" s="1"/>
  <c r="AD116" i="6" a="1"/>
  <c r="AD116" i="6" s="1"/>
  <c r="AC116" i="6" a="1"/>
  <c r="AC116" i="6" s="1"/>
  <c r="AB116" i="6" a="1"/>
  <c r="AB116" i="6" s="1"/>
  <c r="AA116" i="6" a="1"/>
  <c r="AA116" i="6" s="1"/>
  <c r="Z116" i="6" a="1"/>
  <c r="Z116" i="6" s="1"/>
  <c r="Y116" i="6" a="1"/>
  <c r="Y116" i="6" s="1"/>
  <c r="X116" i="6" a="1"/>
  <c r="X116" i="6" s="1"/>
  <c r="W116" i="6" a="1"/>
  <c r="W116" i="6" s="1"/>
  <c r="V116" i="6" a="1"/>
  <c r="V116" i="6" s="1"/>
  <c r="U116" i="6" a="1"/>
  <c r="U116" i="6" s="1"/>
  <c r="T116" i="6" a="1"/>
  <c r="T116" i="6" s="1"/>
  <c r="S116" i="6" a="1"/>
  <c r="S116" i="6" s="1"/>
  <c r="R116" i="6" a="1"/>
  <c r="R116" i="6" s="1"/>
  <c r="Q116" i="6" a="1"/>
  <c r="Q116" i="6" s="1"/>
  <c r="P116" i="6" a="1"/>
  <c r="P116" i="6" s="1"/>
  <c r="O116" i="6" a="1"/>
  <c r="O116" i="6" s="1"/>
  <c r="N116" i="6" a="1"/>
  <c r="N116" i="6" s="1"/>
  <c r="M116" i="6" a="1"/>
  <c r="M116" i="6" s="1"/>
  <c r="L116" i="6" a="1"/>
  <c r="L116" i="6" s="1"/>
  <c r="K116" i="6" a="1"/>
  <c r="K116" i="6" s="1"/>
  <c r="J116" i="6" a="1"/>
  <c r="J116" i="6" s="1"/>
  <c r="I116" i="6" a="1"/>
  <c r="I116" i="6" s="1"/>
  <c r="H116" i="6" a="1"/>
  <c r="H116" i="6" s="1"/>
  <c r="G116" i="6" a="1"/>
  <c r="G116" i="6" s="1"/>
  <c r="F116" i="6" a="1"/>
  <c r="F116" i="6" s="1"/>
  <c r="E116" i="6" a="1"/>
  <c r="E116" i="6" s="1"/>
  <c r="D116" i="6" a="1"/>
  <c r="D116" i="6" s="1"/>
  <c r="AE115" i="6" a="1"/>
  <c r="AE115" i="6" s="1"/>
  <c r="AD115" i="6" a="1"/>
  <c r="AD115" i="6" s="1"/>
  <c r="AC115" i="6" a="1"/>
  <c r="AC115" i="6" s="1"/>
  <c r="AB115" i="6" a="1"/>
  <c r="AB115" i="6" s="1"/>
  <c r="AA115" i="6" a="1"/>
  <c r="AA115" i="6" s="1"/>
  <c r="Z115" i="6" a="1"/>
  <c r="Z115" i="6" s="1"/>
  <c r="Y115" i="6" a="1"/>
  <c r="Y115" i="6" s="1"/>
  <c r="X115" i="6" a="1"/>
  <c r="X115" i="6" s="1"/>
  <c r="W115" i="6" a="1"/>
  <c r="W115" i="6" s="1"/>
  <c r="V115" i="6" a="1"/>
  <c r="V115" i="6" s="1"/>
  <c r="U115" i="6" a="1"/>
  <c r="U115" i="6" s="1"/>
  <c r="T115" i="6" a="1"/>
  <c r="T115" i="6" s="1"/>
  <c r="S115" i="6" a="1"/>
  <c r="S115" i="6" s="1"/>
  <c r="R115" i="6" a="1"/>
  <c r="R115" i="6" s="1"/>
  <c r="Q115" i="6" a="1"/>
  <c r="Q115" i="6" s="1"/>
  <c r="P115" i="6" a="1"/>
  <c r="P115" i="6" s="1"/>
  <c r="O115" i="6" a="1"/>
  <c r="O115" i="6" s="1"/>
  <c r="N115" i="6" a="1"/>
  <c r="N115" i="6" s="1"/>
  <c r="M115" i="6" a="1"/>
  <c r="M115" i="6" s="1"/>
  <c r="L115" i="6" a="1"/>
  <c r="L115" i="6" s="1"/>
  <c r="K115" i="6" a="1"/>
  <c r="K115" i="6" s="1"/>
  <c r="J115" i="6" a="1"/>
  <c r="J115" i="6" s="1"/>
  <c r="I115" i="6" a="1"/>
  <c r="I115" i="6" s="1"/>
  <c r="H115" i="6" a="1"/>
  <c r="H115" i="6" s="1"/>
  <c r="G115" i="6" a="1"/>
  <c r="G115" i="6" s="1"/>
  <c r="F115" i="6" a="1"/>
  <c r="F115" i="6" s="1"/>
  <c r="E115" i="6" a="1"/>
  <c r="E115" i="6" s="1"/>
  <c r="D115" i="6" a="1"/>
  <c r="D115" i="6" s="1"/>
  <c r="AE114" i="6" a="1"/>
  <c r="AE114" i="6" s="1"/>
  <c r="AD114" i="6" a="1"/>
  <c r="AD114" i="6" s="1"/>
  <c r="AC114" i="6" a="1"/>
  <c r="AC114" i="6" s="1"/>
  <c r="AB114" i="6" a="1"/>
  <c r="AB114" i="6" s="1"/>
  <c r="AA114" i="6" a="1"/>
  <c r="AA114" i="6" s="1"/>
  <c r="Z114" i="6" a="1"/>
  <c r="Z114" i="6" s="1"/>
  <c r="Y114" i="6" a="1"/>
  <c r="Y114" i="6" s="1"/>
  <c r="X114" i="6" a="1"/>
  <c r="X114" i="6" s="1"/>
  <c r="W114" i="6" a="1"/>
  <c r="W114" i="6" s="1"/>
  <c r="V114" i="6" a="1"/>
  <c r="V114" i="6" s="1"/>
  <c r="U114" i="6" a="1"/>
  <c r="U114" i="6" s="1"/>
  <c r="T114" i="6" a="1"/>
  <c r="T114" i="6" s="1"/>
  <c r="S114" i="6" a="1"/>
  <c r="S114" i="6" s="1"/>
  <c r="R114" i="6" a="1"/>
  <c r="R114" i="6" s="1"/>
  <c r="Q114" i="6" a="1"/>
  <c r="Q114" i="6" s="1"/>
  <c r="P114" i="6" a="1"/>
  <c r="P114" i="6" s="1"/>
  <c r="O114" i="6" a="1"/>
  <c r="O114" i="6" s="1"/>
  <c r="N114" i="6" a="1"/>
  <c r="N114" i="6" s="1"/>
  <c r="M114" i="6" a="1"/>
  <c r="M114" i="6" s="1"/>
  <c r="L114" i="6" a="1"/>
  <c r="L114" i="6" s="1"/>
  <c r="K114" i="6" a="1"/>
  <c r="K114" i="6" s="1"/>
  <c r="J114" i="6" a="1"/>
  <c r="J114" i="6" s="1"/>
  <c r="I114" i="6" a="1"/>
  <c r="I114" i="6" s="1"/>
  <c r="H114" i="6" a="1"/>
  <c r="H114" i="6" s="1"/>
  <c r="G114" i="6" a="1"/>
  <c r="G114" i="6" s="1"/>
  <c r="F114" i="6" a="1"/>
  <c r="F114" i="6" s="1"/>
  <c r="E114" i="6" a="1"/>
  <c r="E114" i="6" s="1"/>
  <c r="D114" i="6" a="1"/>
  <c r="D114" i="6" s="1"/>
  <c r="AE113" i="6" a="1"/>
  <c r="AE113" i="6" s="1"/>
  <c r="AD113" i="6" a="1"/>
  <c r="AD113" i="6" s="1"/>
  <c r="AC113" i="6" a="1"/>
  <c r="AC113" i="6" s="1"/>
  <c r="AB113" i="6" a="1"/>
  <c r="AB113" i="6" s="1"/>
  <c r="AA113" i="6" a="1"/>
  <c r="AA113" i="6" s="1"/>
  <c r="Z113" i="6" a="1"/>
  <c r="Z113" i="6" s="1"/>
  <c r="Y113" i="6" a="1"/>
  <c r="Y113" i="6" s="1"/>
  <c r="X113" i="6" a="1"/>
  <c r="X113" i="6" s="1"/>
  <c r="W113" i="6" a="1"/>
  <c r="W113" i="6" s="1"/>
  <c r="V113" i="6" a="1"/>
  <c r="V113" i="6" s="1"/>
  <c r="U113" i="6" a="1"/>
  <c r="U113" i="6" s="1"/>
  <c r="T113" i="6" a="1"/>
  <c r="T113" i="6" s="1"/>
  <c r="S113" i="6" a="1"/>
  <c r="S113" i="6" s="1"/>
  <c r="R113" i="6" a="1"/>
  <c r="R113" i="6" s="1"/>
  <c r="Q113" i="6" a="1"/>
  <c r="Q113" i="6" s="1"/>
  <c r="P113" i="6" a="1"/>
  <c r="P113" i="6" s="1"/>
  <c r="O113" i="6" a="1"/>
  <c r="O113" i="6" s="1"/>
  <c r="N113" i="6" a="1"/>
  <c r="N113" i="6" s="1"/>
  <c r="M113" i="6" a="1"/>
  <c r="M113" i="6" s="1"/>
  <c r="L113" i="6" a="1"/>
  <c r="L113" i="6" s="1"/>
  <c r="K113" i="6" a="1"/>
  <c r="K113" i="6" s="1"/>
  <c r="J113" i="6" a="1"/>
  <c r="J113" i="6" s="1"/>
  <c r="I113" i="6" a="1"/>
  <c r="I113" i="6" s="1"/>
  <c r="H113" i="6" a="1"/>
  <c r="H113" i="6" s="1"/>
  <c r="G113" i="6" a="1"/>
  <c r="G113" i="6" s="1"/>
  <c r="F113" i="6" a="1"/>
  <c r="F113" i="6" s="1"/>
  <c r="E113" i="6" a="1"/>
  <c r="E113" i="6" s="1"/>
  <c r="D113" i="6" a="1"/>
  <c r="D113" i="6" s="1"/>
  <c r="AE112" i="6" a="1"/>
  <c r="AE112" i="6" s="1"/>
  <c r="AD112" i="6" a="1"/>
  <c r="AD112" i="6" s="1"/>
  <c r="AC112" i="6" a="1"/>
  <c r="AC112" i="6" s="1"/>
  <c r="AB112" i="6" a="1"/>
  <c r="AB112" i="6" s="1"/>
  <c r="AA112" i="6" a="1"/>
  <c r="AA112" i="6" s="1"/>
  <c r="Z112" i="6" a="1"/>
  <c r="Z112" i="6" s="1"/>
  <c r="Y112" i="6" a="1"/>
  <c r="Y112" i="6" s="1"/>
  <c r="X112" i="6" a="1"/>
  <c r="X112" i="6" s="1"/>
  <c r="W112" i="6" a="1"/>
  <c r="W112" i="6" s="1"/>
  <c r="V112" i="6" a="1"/>
  <c r="V112" i="6" s="1"/>
  <c r="U112" i="6" a="1"/>
  <c r="U112" i="6" s="1"/>
  <c r="T112" i="6" a="1"/>
  <c r="T112" i="6" s="1"/>
  <c r="S112" i="6" a="1"/>
  <c r="S112" i="6" s="1"/>
  <c r="R112" i="6" a="1"/>
  <c r="R112" i="6" s="1"/>
  <c r="Q112" i="6" a="1"/>
  <c r="Q112" i="6" s="1"/>
  <c r="P112" i="6" a="1"/>
  <c r="P112" i="6" s="1"/>
  <c r="O112" i="6" a="1"/>
  <c r="O112" i="6" s="1"/>
  <c r="N112" i="6" a="1"/>
  <c r="N112" i="6" s="1"/>
  <c r="M112" i="6" a="1"/>
  <c r="M112" i="6" s="1"/>
  <c r="L112" i="6" a="1"/>
  <c r="L112" i="6" s="1"/>
  <c r="K112" i="6" a="1"/>
  <c r="K112" i="6" s="1"/>
  <c r="J112" i="6" a="1"/>
  <c r="J112" i="6" s="1"/>
  <c r="I112" i="6" a="1"/>
  <c r="I112" i="6" s="1"/>
  <c r="H112" i="6" a="1"/>
  <c r="H112" i="6" s="1"/>
  <c r="G112" i="6" a="1"/>
  <c r="G112" i="6" s="1"/>
  <c r="F112" i="6" a="1"/>
  <c r="F112" i="6" s="1"/>
  <c r="E112" i="6" a="1"/>
  <c r="E112" i="6" s="1"/>
  <c r="D112" i="6" a="1"/>
  <c r="D112" i="6" s="1"/>
  <c r="AE111" i="6" a="1"/>
  <c r="AE111" i="6" s="1"/>
  <c r="AD111" i="6" a="1"/>
  <c r="AD111" i="6" s="1"/>
  <c r="AC111" i="6" a="1"/>
  <c r="AC111" i="6" s="1"/>
  <c r="AB111" i="6" a="1"/>
  <c r="AB111" i="6" s="1"/>
  <c r="AA111" i="6" a="1"/>
  <c r="AA111" i="6" s="1"/>
  <c r="Z111" i="6" a="1"/>
  <c r="Z111" i="6" s="1"/>
  <c r="Y111" i="6" a="1"/>
  <c r="Y111" i="6" s="1"/>
  <c r="X111" i="6" a="1"/>
  <c r="X111" i="6" s="1"/>
  <c r="W111" i="6" a="1"/>
  <c r="W111" i="6" s="1"/>
  <c r="V111" i="6" a="1"/>
  <c r="V111" i="6" s="1"/>
  <c r="U111" i="6" a="1"/>
  <c r="U111" i="6" s="1"/>
  <c r="T111" i="6" a="1"/>
  <c r="T111" i="6" s="1"/>
  <c r="S111" i="6" a="1"/>
  <c r="S111" i="6" s="1"/>
  <c r="R111" i="6" a="1"/>
  <c r="R111" i="6" s="1"/>
  <c r="Q111" i="6" a="1"/>
  <c r="Q111" i="6" s="1"/>
  <c r="P111" i="6" a="1"/>
  <c r="P111" i="6" s="1"/>
  <c r="O111" i="6" a="1"/>
  <c r="O111" i="6" s="1"/>
  <c r="N111" i="6" a="1"/>
  <c r="N111" i="6" s="1"/>
  <c r="M111" i="6" a="1"/>
  <c r="M111" i="6" s="1"/>
  <c r="L111" i="6" a="1"/>
  <c r="L111" i="6" s="1"/>
  <c r="K111" i="6" a="1"/>
  <c r="K111" i="6" s="1"/>
  <c r="J111" i="6" a="1"/>
  <c r="J111" i="6" s="1"/>
  <c r="I111" i="6" a="1"/>
  <c r="I111" i="6" s="1"/>
  <c r="H111" i="6" a="1"/>
  <c r="H111" i="6" s="1"/>
  <c r="G111" i="6" a="1"/>
  <c r="G111" i="6" s="1"/>
  <c r="F111" i="6" a="1"/>
  <c r="F111" i="6" s="1"/>
  <c r="E111" i="6" a="1"/>
  <c r="E111" i="6" s="1"/>
  <c r="D111" i="6" a="1"/>
  <c r="D111" i="6" s="1"/>
  <c r="AE110" i="6" a="1"/>
  <c r="AE110" i="6" s="1"/>
  <c r="AD110" i="6" a="1"/>
  <c r="AD110" i="6" s="1"/>
  <c r="AC110" i="6" a="1"/>
  <c r="AC110" i="6" s="1"/>
  <c r="AB110" i="6" a="1"/>
  <c r="AB110" i="6" s="1"/>
  <c r="AA110" i="6" a="1"/>
  <c r="AA110" i="6" s="1"/>
  <c r="Z110" i="6" a="1"/>
  <c r="Z110" i="6" s="1"/>
  <c r="Y110" i="6" a="1"/>
  <c r="Y110" i="6" s="1"/>
  <c r="X110" i="6" a="1"/>
  <c r="X110" i="6" s="1"/>
  <c r="W110" i="6" a="1"/>
  <c r="W110" i="6" s="1"/>
  <c r="V110" i="6" a="1"/>
  <c r="V110" i="6" s="1"/>
  <c r="U110" i="6" a="1"/>
  <c r="U110" i="6" s="1"/>
  <c r="T110" i="6" a="1"/>
  <c r="T110" i="6" s="1"/>
  <c r="S110" i="6" a="1"/>
  <c r="S110" i="6" s="1"/>
  <c r="R110" i="6" a="1"/>
  <c r="R110" i="6" s="1"/>
  <c r="Q110" i="6" a="1"/>
  <c r="Q110" i="6" s="1"/>
  <c r="P110" i="6" a="1"/>
  <c r="P110" i="6" s="1"/>
  <c r="O110" i="6" a="1"/>
  <c r="O110" i="6" s="1"/>
  <c r="N110" i="6" a="1"/>
  <c r="N110" i="6" s="1"/>
  <c r="M110" i="6" a="1"/>
  <c r="M110" i="6" s="1"/>
  <c r="L110" i="6" a="1"/>
  <c r="L110" i="6" s="1"/>
  <c r="K110" i="6" a="1"/>
  <c r="K110" i="6" s="1"/>
  <c r="J110" i="6" a="1"/>
  <c r="J110" i="6" s="1"/>
  <c r="I110" i="6" a="1"/>
  <c r="I110" i="6" s="1"/>
  <c r="H110" i="6" a="1"/>
  <c r="H110" i="6" s="1"/>
  <c r="G110" i="6" a="1"/>
  <c r="G110" i="6" s="1"/>
  <c r="F110" i="6" a="1"/>
  <c r="F110" i="6" s="1"/>
  <c r="E110" i="6" a="1"/>
  <c r="E110" i="6" s="1"/>
  <c r="D110" i="6" a="1"/>
  <c r="D110" i="6" s="1"/>
  <c r="AE109" i="6" a="1"/>
  <c r="AE109" i="6" s="1"/>
  <c r="AD109" i="6" a="1"/>
  <c r="AD109" i="6" s="1"/>
  <c r="AC109" i="6" a="1"/>
  <c r="AC109" i="6" s="1"/>
  <c r="AB109" i="6" a="1"/>
  <c r="AB109" i="6" s="1"/>
  <c r="AA109" i="6" a="1"/>
  <c r="AA109" i="6" s="1"/>
  <c r="Z109" i="6" a="1"/>
  <c r="Z109" i="6" s="1"/>
  <c r="Y109" i="6" a="1"/>
  <c r="Y109" i="6" s="1"/>
  <c r="X109" i="6" a="1"/>
  <c r="X109" i="6" s="1"/>
  <c r="W109" i="6" a="1"/>
  <c r="W109" i="6" s="1"/>
  <c r="V109" i="6" a="1"/>
  <c r="V109" i="6" s="1"/>
  <c r="U109" i="6" a="1"/>
  <c r="U109" i="6" s="1"/>
  <c r="T109" i="6" a="1"/>
  <c r="T109" i="6" s="1"/>
  <c r="S109" i="6" a="1"/>
  <c r="S109" i="6" s="1"/>
  <c r="R109" i="6" a="1"/>
  <c r="R109" i="6" s="1"/>
  <c r="Q109" i="6" a="1"/>
  <c r="Q109" i="6" s="1"/>
  <c r="P109" i="6" a="1"/>
  <c r="P109" i="6" s="1"/>
  <c r="O109" i="6" a="1"/>
  <c r="O109" i="6" s="1"/>
  <c r="N109" i="6" a="1"/>
  <c r="N109" i="6" s="1"/>
  <c r="M109" i="6" a="1"/>
  <c r="M109" i="6" s="1"/>
  <c r="L109" i="6" a="1"/>
  <c r="L109" i="6" s="1"/>
  <c r="K109" i="6" a="1"/>
  <c r="K109" i="6" s="1"/>
  <c r="J109" i="6" a="1"/>
  <c r="J109" i="6" s="1"/>
  <c r="I109" i="6" a="1"/>
  <c r="I109" i="6" s="1"/>
  <c r="H109" i="6" a="1"/>
  <c r="H109" i="6" s="1"/>
  <c r="G109" i="6" a="1"/>
  <c r="G109" i="6" s="1"/>
  <c r="F109" i="6" a="1"/>
  <c r="F109" i="6" s="1"/>
  <c r="E109" i="6" a="1"/>
  <c r="E109" i="6" s="1"/>
  <c r="D109" i="6" a="1"/>
  <c r="D109" i="6" s="1"/>
  <c r="AE108" i="6" a="1"/>
  <c r="AE108" i="6" s="1"/>
  <c r="AD108" i="6" a="1"/>
  <c r="AD108" i="6" s="1"/>
  <c r="AC108" i="6" a="1"/>
  <c r="AC108" i="6" s="1"/>
  <c r="AB108" i="6" a="1"/>
  <c r="AB108" i="6" s="1"/>
  <c r="AA108" i="6" a="1"/>
  <c r="AA108" i="6" s="1"/>
  <c r="Z108" i="6" a="1"/>
  <c r="Z108" i="6" s="1"/>
  <c r="Y108" i="6" a="1"/>
  <c r="Y108" i="6" s="1"/>
  <c r="X108" i="6" a="1"/>
  <c r="X108" i="6" s="1"/>
  <c r="W108" i="6" a="1"/>
  <c r="W108" i="6" s="1"/>
  <c r="V108" i="6" a="1"/>
  <c r="V108" i="6" s="1"/>
  <c r="U108" i="6" a="1"/>
  <c r="U108" i="6" s="1"/>
  <c r="T108" i="6" a="1"/>
  <c r="T108" i="6" s="1"/>
  <c r="S108" i="6" a="1"/>
  <c r="S108" i="6" s="1"/>
  <c r="R108" i="6" a="1"/>
  <c r="R108" i="6" s="1"/>
  <c r="Q108" i="6" a="1"/>
  <c r="Q108" i="6" s="1"/>
  <c r="P108" i="6" a="1"/>
  <c r="P108" i="6" s="1"/>
  <c r="O108" i="6" a="1"/>
  <c r="O108" i="6" s="1"/>
  <c r="N108" i="6" a="1"/>
  <c r="N108" i="6" s="1"/>
  <c r="M108" i="6" a="1"/>
  <c r="M108" i="6" s="1"/>
  <c r="L108" i="6" a="1"/>
  <c r="L108" i="6" s="1"/>
  <c r="K108" i="6" a="1"/>
  <c r="K108" i="6" s="1"/>
  <c r="J108" i="6" a="1"/>
  <c r="J108" i="6" s="1"/>
  <c r="I108" i="6" a="1"/>
  <c r="I108" i="6" s="1"/>
  <c r="H108" i="6" a="1"/>
  <c r="H108" i="6" s="1"/>
  <c r="G108" i="6" a="1"/>
  <c r="G108" i="6" s="1"/>
  <c r="F108" i="6" a="1"/>
  <c r="F108" i="6" s="1"/>
  <c r="E108" i="6" a="1"/>
  <c r="E108" i="6" s="1"/>
  <c r="D108" i="6" a="1"/>
  <c r="D108" i="6" s="1"/>
  <c r="AE107" i="6" a="1"/>
  <c r="AE107" i="6" s="1"/>
  <c r="AD107" i="6" a="1"/>
  <c r="AD107" i="6" s="1"/>
  <c r="AC107" i="6" a="1"/>
  <c r="AC107" i="6" s="1"/>
  <c r="AB107" i="6" a="1"/>
  <c r="AB107" i="6" s="1"/>
  <c r="AA107" i="6" a="1"/>
  <c r="AA107" i="6" s="1"/>
  <c r="Z107" i="6" a="1"/>
  <c r="Z107" i="6" s="1"/>
  <c r="Y107" i="6" a="1"/>
  <c r="Y107" i="6" s="1"/>
  <c r="X107" i="6" a="1"/>
  <c r="X107" i="6" s="1"/>
  <c r="W107" i="6" a="1"/>
  <c r="W107" i="6" s="1"/>
  <c r="V107" i="6" a="1"/>
  <c r="V107" i="6" s="1"/>
  <c r="U107" i="6" a="1"/>
  <c r="U107" i="6" s="1"/>
  <c r="T107" i="6" a="1"/>
  <c r="T107" i="6" s="1"/>
  <c r="S107" i="6" a="1"/>
  <c r="S107" i="6" s="1"/>
  <c r="R107" i="6" a="1"/>
  <c r="R107" i="6" s="1"/>
  <c r="Q107" i="6" a="1"/>
  <c r="Q107" i="6" s="1"/>
  <c r="P107" i="6" a="1"/>
  <c r="P107" i="6" s="1"/>
  <c r="O107" i="6" a="1"/>
  <c r="O107" i="6" s="1"/>
  <c r="N107" i="6" a="1"/>
  <c r="N107" i="6" s="1"/>
  <c r="M107" i="6" a="1"/>
  <c r="M107" i="6" s="1"/>
  <c r="L107" i="6" a="1"/>
  <c r="L107" i="6" s="1"/>
  <c r="K107" i="6" a="1"/>
  <c r="K107" i="6" s="1"/>
  <c r="J107" i="6" a="1"/>
  <c r="J107" i="6" s="1"/>
  <c r="I107" i="6" a="1"/>
  <c r="I107" i="6" s="1"/>
  <c r="H107" i="6" a="1"/>
  <c r="H107" i="6" s="1"/>
  <c r="G107" i="6" a="1"/>
  <c r="G107" i="6" s="1"/>
  <c r="F107" i="6" a="1"/>
  <c r="F107" i="6" s="1"/>
  <c r="E107" i="6" a="1"/>
  <c r="E107" i="6" s="1"/>
  <c r="D107" i="6" a="1"/>
  <c r="D107" i="6" s="1"/>
  <c r="AE106" i="6" a="1"/>
  <c r="AE106" i="6" s="1"/>
  <c r="AD106" i="6" a="1"/>
  <c r="AD106" i="6" s="1"/>
  <c r="AC106" i="6" a="1"/>
  <c r="AC106" i="6" s="1"/>
  <c r="AB106" i="6" a="1"/>
  <c r="AB106" i="6" s="1"/>
  <c r="AA106" i="6" a="1"/>
  <c r="AA106" i="6" s="1"/>
  <c r="Z106" i="6" a="1"/>
  <c r="Z106" i="6" s="1"/>
  <c r="Y106" i="6" a="1"/>
  <c r="Y106" i="6" s="1"/>
  <c r="X106" i="6" a="1"/>
  <c r="X106" i="6" s="1"/>
  <c r="W106" i="6" a="1"/>
  <c r="W106" i="6" s="1"/>
  <c r="V106" i="6" a="1"/>
  <c r="V106" i="6" s="1"/>
  <c r="U106" i="6" a="1"/>
  <c r="U106" i="6" s="1"/>
  <c r="T106" i="6" a="1"/>
  <c r="T106" i="6" s="1"/>
  <c r="S106" i="6" a="1"/>
  <c r="S106" i="6" s="1"/>
  <c r="R106" i="6" a="1"/>
  <c r="R106" i="6" s="1"/>
  <c r="Q106" i="6" a="1"/>
  <c r="Q106" i="6" s="1"/>
  <c r="P106" i="6" a="1"/>
  <c r="P106" i="6" s="1"/>
  <c r="O106" i="6" a="1"/>
  <c r="O106" i="6" s="1"/>
  <c r="N106" i="6" a="1"/>
  <c r="N106" i="6" s="1"/>
  <c r="M106" i="6" a="1"/>
  <c r="M106" i="6" s="1"/>
  <c r="L106" i="6" a="1"/>
  <c r="L106" i="6" s="1"/>
  <c r="K106" i="6" a="1"/>
  <c r="K106" i="6" s="1"/>
  <c r="J106" i="6" a="1"/>
  <c r="J106" i="6" s="1"/>
  <c r="I106" i="6" a="1"/>
  <c r="I106" i="6" s="1"/>
  <c r="H106" i="6" a="1"/>
  <c r="H106" i="6" s="1"/>
  <c r="G106" i="6" a="1"/>
  <c r="G106" i="6" s="1"/>
  <c r="F106" i="6" a="1"/>
  <c r="F106" i="6" s="1"/>
  <c r="E106" i="6" a="1"/>
  <c r="E106" i="6" s="1"/>
  <c r="D106" i="6" a="1"/>
  <c r="D106" i="6" s="1"/>
  <c r="AE105" i="6" a="1"/>
  <c r="AE105" i="6" s="1"/>
  <c r="AD105" i="6" a="1"/>
  <c r="AD105" i="6" s="1"/>
  <c r="AC105" i="6" a="1"/>
  <c r="AC105" i="6" s="1"/>
  <c r="AB105" i="6" a="1"/>
  <c r="AB105" i="6" s="1"/>
  <c r="AA105" i="6" a="1"/>
  <c r="AA105" i="6" s="1"/>
  <c r="Z105" i="6" a="1"/>
  <c r="Z105" i="6" s="1"/>
  <c r="Y105" i="6" a="1"/>
  <c r="Y105" i="6" s="1"/>
  <c r="X105" i="6" a="1"/>
  <c r="X105" i="6" s="1"/>
  <c r="W105" i="6" a="1"/>
  <c r="W105" i="6" s="1"/>
  <c r="V105" i="6" a="1"/>
  <c r="V105" i="6" s="1"/>
  <c r="U105" i="6" a="1"/>
  <c r="U105" i="6" s="1"/>
  <c r="T105" i="6" a="1"/>
  <c r="T105" i="6" s="1"/>
  <c r="S105" i="6" a="1"/>
  <c r="S105" i="6" s="1"/>
  <c r="R105" i="6" a="1"/>
  <c r="R105" i="6" s="1"/>
  <c r="Q105" i="6" a="1"/>
  <c r="Q105" i="6" s="1"/>
  <c r="P105" i="6" a="1"/>
  <c r="P105" i="6" s="1"/>
  <c r="O105" i="6" a="1"/>
  <c r="O105" i="6" s="1"/>
  <c r="N105" i="6" a="1"/>
  <c r="N105" i="6" s="1"/>
  <c r="M105" i="6" a="1"/>
  <c r="M105" i="6" s="1"/>
  <c r="L105" i="6" a="1"/>
  <c r="L105" i="6" s="1"/>
  <c r="K105" i="6" a="1"/>
  <c r="K105" i="6" s="1"/>
  <c r="J105" i="6" a="1"/>
  <c r="J105" i="6" s="1"/>
  <c r="I105" i="6" a="1"/>
  <c r="I105" i="6" s="1"/>
  <c r="H105" i="6" a="1"/>
  <c r="H105" i="6" s="1"/>
  <c r="G105" i="6" a="1"/>
  <c r="G105" i="6" s="1"/>
  <c r="F105" i="6" a="1"/>
  <c r="F105" i="6" s="1"/>
  <c r="E105" i="6" a="1"/>
  <c r="E105" i="6" s="1"/>
  <c r="D105" i="6" a="1"/>
  <c r="D105" i="6" s="1"/>
  <c r="AE104" i="6" a="1"/>
  <c r="AE104" i="6" s="1"/>
  <c r="AD104" i="6" a="1"/>
  <c r="AD104" i="6" s="1"/>
  <c r="AC104" i="6" a="1"/>
  <c r="AC104" i="6" s="1"/>
  <c r="AB104" i="6" a="1"/>
  <c r="AB104" i="6" s="1"/>
  <c r="AA104" i="6" a="1"/>
  <c r="AA104" i="6" s="1"/>
  <c r="Z104" i="6" a="1"/>
  <c r="Z104" i="6" s="1"/>
  <c r="Y104" i="6" a="1"/>
  <c r="Y104" i="6" s="1"/>
  <c r="X104" i="6" a="1"/>
  <c r="X104" i="6" s="1"/>
  <c r="W104" i="6" a="1"/>
  <c r="W104" i="6" s="1"/>
  <c r="V104" i="6" a="1"/>
  <c r="V104" i="6" s="1"/>
  <c r="U104" i="6" a="1"/>
  <c r="U104" i="6" s="1"/>
  <c r="T104" i="6" a="1"/>
  <c r="T104" i="6" s="1"/>
  <c r="S104" i="6" a="1"/>
  <c r="S104" i="6" s="1"/>
  <c r="R104" i="6" a="1"/>
  <c r="R104" i="6" s="1"/>
  <c r="Q104" i="6" a="1"/>
  <c r="Q104" i="6" s="1"/>
  <c r="P104" i="6" a="1"/>
  <c r="P104" i="6" s="1"/>
  <c r="O104" i="6" a="1"/>
  <c r="O104" i="6" s="1"/>
  <c r="N104" i="6" a="1"/>
  <c r="N104" i="6" s="1"/>
  <c r="M104" i="6" a="1"/>
  <c r="M104" i="6" s="1"/>
  <c r="L104" i="6" a="1"/>
  <c r="L104" i="6" s="1"/>
  <c r="K104" i="6" a="1"/>
  <c r="K104" i="6" s="1"/>
  <c r="J104" i="6" a="1"/>
  <c r="J104" i="6" s="1"/>
  <c r="I104" i="6" a="1"/>
  <c r="I104" i="6" s="1"/>
  <c r="H104" i="6" a="1"/>
  <c r="H104" i="6" s="1"/>
  <c r="G104" i="6" a="1"/>
  <c r="G104" i="6" s="1"/>
  <c r="F104" i="6" a="1"/>
  <c r="F104" i="6" s="1"/>
  <c r="E104" i="6" a="1"/>
  <c r="E104" i="6" s="1"/>
  <c r="D104" i="6" a="1"/>
  <c r="D104" i="6" s="1"/>
  <c r="AE103" i="6" a="1"/>
  <c r="AE103" i="6" s="1"/>
  <c r="AD103" i="6" a="1"/>
  <c r="AD103" i="6" s="1"/>
  <c r="AC103" i="6" a="1"/>
  <c r="AC103" i="6" s="1"/>
  <c r="AB103" i="6" a="1"/>
  <c r="AB103" i="6" s="1"/>
  <c r="AA103" i="6" a="1"/>
  <c r="AA103" i="6" s="1"/>
  <c r="Z103" i="6" a="1"/>
  <c r="Z103" i="6" s="1"/>
  <c r="Y103" i="6" a="1"/>
  <c r="Y103" i="6" s="1"/>
  <c r="X103" i="6" a="1"/>
  <c r="X103" i="6" s="1"/>
  <c r="W103" i="6" a="1"/>
  <c r="W103" i="6" s="1"/>
  <c r="V103" i="6" a="1"/>
  <c r="V103" i="6" s="1"/>
  <c r="U103" i="6" a="1"/>
  <c r="U103" i="6" s="1"/>
  <c r="T103" i="6" a="1"/>
  <c r="T103" i="6" s="1"/>
  <c r="S103" i="6" a="1"/>
  <c r="S103" i="6" s="1"/>
  <c r="R103" i="6" a="1"/>
  <c r="R103" i="6" s="1"/>
  <c r="Q103" i="6" a="1"/>
  <c r="Q103" i="6" s="1"/>
  <c r="P103" i="6" a="1"/>
  <c r="P103" i="6" s="1"/>
  <c r="O103" i="6" a="1"/>
  <c r="O103" i="6" s="1"/>
  <c r="N103" i="6" a="1"/>
  <c r="N103" i="6" s="1"/>
  <c r="M103" i="6" a="1"/>
  <c r="M103" i="6" s="1"/>
  <c r="L103" i="6" a="1"/>
  <c r="L103" i="6" s="1"/>
  <c r="K103" i="6" a="1"/>
  <c r="K103" i="6" s="1"/>
  <c r="J103" i="6" a="1"/>
  <c r="J103" i="6" s="1"/>
  <c r="I103" i="6" a="1"/>
  <c r="I103" i="6" s="1"/>
  <c r="H103" i="6" a="1"/>
  <c r="H103" i="6" s="1"/>
  <c r="G103" i="6" a="1"/>
  <c r="G103" i="6" s="1"/>
  <c r="F103" i="6" a="1"/>
  <c r="F103" i="6" s="1"/>
  <c r="E103" i="6" a="1"/>
  <c r="E103" i="6" s="1"/>
  <c r="D103" i="6" a="1"/>
  <c r="D103" i="6" s="1"/>
  <c r="AE102" i="6" a="1"/>
  <c r="AE102" i="6" s="1"/>
  <c r="AD102" i="6" a="1"/>
  <c r="AD102" i="6" s="1"/>
  <c r="AC102" i="6" a="1"/>
  <c r="AC102" i="6" s="1"/>
  <c r="AB102" i="6" a="1"/>
  <c r="AB102" i="6" s="1"/>
  <c r="AA102" i="6" a="1"/>
  <c r="AA102" i="6" s="1"/>
  <c r="Z102" i="6" a="1"/>
  <c r="Z102" i="6" s="1"/>
  <c r="Y102" i="6" a="1"/>
  <c r="Y102" i="6" s="1"/>
  <c r="X102" i="6" a="1"/>
  <c r="X102" i="6" s="1"/>
  <c r="W102" i="6" a="1"/>
  <c r="W102" i="6" s="1"/>
  <c r="V102" i="6" a="1"/>
  <c r="V102" i="6" s="1"/>
  <c r="U102" i="6" a="1"/>
  <c r="U102" i="6" s="1"/>
  <c r="T102" i="6" a="1"/>
  <c r="T102" i="6" s="1"/>
  <c r="S102" i="6" a="1"/>
  <c r="S102" i="6" s="1"/>
  <c r="R102" i="6" a="1"/>
  <c r="R102" i="6" s="1"/>
  <c r="Q102" i="6" a="1"/>
  <c r="Q102" i="6" s="1"/>
  <c r="P102" i="6" a="1"/>
  <c r="P102" i="6" s="1"/>
  <c r="O102" i="6" a="1"/>
  <c r="O102" i="6" s="1"/>
  <c r="N102" i="6" a="1"/>
  <c r="N102" i="6" s="1"/>
  <c r="M102" i="6" a="1"/>
  <c r="M102" i="6" s="1"/>
  <c r="L102" i="6" a="1"/>
  <c r="L102" i="6" s="1"/>
  <c r="K102" i="6" a="1"/>
  <c r="K102" i="6" s="1"/>
  <c r="J102" i="6" a="1"/>
  <c r="J102" i="6" s="1"/>
  <c r="I102" i="6" a="1"/>
  <c r="I102" i="6" s="1"/>
  <c r="H102" i="6" a="1"/>
  <c r="H102" i="6" s="1"/>
  <c r="G102" i="6" a="1"/>
  <c r="G102" i="6" s="1"/>
  <c r="F102" i="6" a="1"/>
  <c r="F102" i="6" s="1"/>
  <c r="E102" i="6" a="1"/>
  <c r="E102" i="6" s="1"/>
  <c r="D102" i="6" a="1"/>
  <c r="D102" i="6" s="1"/>
  <c r="AE101" i="6" a="1"/>
  <c r="AE101" i="6" s="1"/>
  <c r="AD101" i="6" a="1"/>
  <c r="AD101" i="6" s="1"/>
  <c r="AC101" i="6" a="1"/>
  <c r="AC101" i="6" s="1"/>
  <c r="AB101" i="6" a="1"/>
  <c r="AB101" i="6" s="1"/>
  <c r="AA101" i="6" a="1"/>
  <c r="AA101" i="6" s="1"/>
  <c r="Z101" i="6" a="1"/>
  <c r="Z101" i="6" s="1"/>
  <c r="Y101" i="6" a="1"/>
  <c r="Y101" i="6" s="1"/>
  <c r="X101" i="6" a="1"/>
  <c r="X101" i="6" s="1"/>
  <c r="W101" i="6" a="1"/>
  <c r="W101" i="6" s="1"/>
  <c r="V101" i="6" a="1"/>
  <c r="V101" i="6" s="1"/>
  <c r="U101" i="6" a="1"/>
  <c r="U101" i="6" s="1"/>
  <c r="T101" i="6" a="1"/>
  <c r="T101" i="6" s="1"/>
  <c r="S101" i="6" a="1"/>
  <c r="S101" i="6" s="1"/>
  <c r="R101" i="6" a="1"/>
  <c r="R101" i="6" s="1"/>
  <c r="Q101" i="6" a="1"/>
  <c r="Q101" i="6" s="1"/>
  <c r="P101" i="6" a="1"/>
  <c r="P101" i="6" s="1"/>
  <c r="O101" i="6" a="1"/>
  <c r="O101" i="6" s="1"/>
  <c r="N101" i="6" a="1"/>
  <c r="N101" i="6" s="1"/>
  <c r="M101" i="6" a="1"/>
  <c r="M101" i="6" s="1"/>
  <c r="L101" i="6" a="1"/>
  <c r="L101" i="6" s="1"/>
  <c r="K101" i="6" a="1"/>
  <c r="K101" i="6" s="1"/>
  <c r="J101" i="6" a="1"/>
  <c r="J101" i="6" s="1"/>
  <c r="I101" i="6" a="1"/>
  <c r="I101" i="6" s="1"/>
  <c r="H101" i="6" a="1"/>
  <c r="H101" i="6" s="1"/>
  <c r="G101" i="6" a="1"/>
  <c r="G101" i="6" s="1"/>
  <c r="F101" i="6" a="1"/>
  <c r="F101" i="6" s="1"/>
  <c r="E101" i="6" a="1"/>
  <c r="E101" i="6" s="1"/>
  <c r="D101" i="6" a="1"/>
  <c r="D101" i="6" s="1"/>
  <c r="AE100" i="6" a="1"/>
  <c r="AE100" i="6" s="1"/>
  <c r="AD100" i="6" a="1"/>
  <c r="AD100" i="6" s="1"/>
  <c r="AC100" i="6" a="1"/>
  <c r="AC100" i="6" s="1"/>
  <c r="AB100" i="6" a="1"/>
  <c r="AB100" i="6" s="1"/>
  <c r="AA100" i="6" a="1"/>
  <c r="AA100" i="6" s="1"/>
  <c r="Z100" i="6" a="1"/>
  <c r="Z100" i="6" s="1"/>
  <c r="Y100" i="6" a="1"/>
  <c r="Y100" i="6" s="1"/>
  <c r="X100" i="6" a="1"/>
  <c r="X100" i="6" s="1"/>
  <c r="W100" i="6" a="1"/>
  <c r="W100" i="6" s="1"/>
  <c r="V100" i="6" a="1"/>
  <c r="V100" i="6" s="1"/>
  <c r="U100" i="6" a="1"/>
  <c r="U100" i="6" s="1"/>
  <c r="T100" i="6" a="1"/>
  <c r="T100" i="6" s="1"/>
  <c r="S100" i="6" a="1"/>
  <c r="S100" i="6" s="1"/>
  <c r="R100" i="6" a="1"/>
  <c r="R100" i="6" s="1"/>
  <c r="Q100" i="6" a="1"/>
  <c r="Q100" i="6" s="1"/>
  <c r="P100" i="6" a="1"/>
  <c r="P100" i="6" s="1"/>
  <c r="O100" i="6" a="1"/>
  <c r="O100" i="6" s="1"/>
  <c r="N100" i="6" a="1"/>
  <c r="N100" i="6" s="1"/>
  <c r="M100" i="6" a="1"/>
  <c r="M100" i="6" s="1"/>
  <c r="L100" i="6" a="1"/>
  <c r="L100" i="6" s="1"/>
  <c r="K100" i="6" a="1"/>
  <c r="K100" i="6" s="1"/>
  <c r="J100" i="6" a="1"/>
  <c r="J100" i="6" s="1"/>
  <c r="I100" i="6" a="1"/>
  <c r="I100" i="6" s="1"/>
  <c r="H100" i="6" a="1"/>
  <c r="H100" i="6" s="1"/>
  <c r="G100" i="6" a="1"/>
  <c r="G100" i="6" s="1"/>
  <c r="F100" i="6" a="1"/>
  <c r="F100" i="6" s="1"/>
  <c r="E100" i="6" a="1"/>
  <c r="E100" i="6" s="1"/>
  <c r="D100" i="6" a="1"/>
  <c r="D100" i="6" s="1"/>
  <c r="AE99" i="6" a="1"/>
  <c r="AE99" i="6" s="1"/>
  <c r="AD99" i="6" a="1"/>
  <c r="AD99" i="6" s="1"/>
  <c r="AC99" i="6" a="1"/>
  <c r="AC99" i="6" s="1"/>
  <c r="AB99" i="6" a="1"/>
  <c r="AB99" i="6" s="1"/>
  <c r="AA99" i="6" a="1"/>
  <c r="AA99" i="6" s="1"/>
  <c r="Z99" i="6" a="1"/>
  <c r="Z99" i="6" s="1"/>
  <c r="Y99" i="6" a="1"/>
  <c r="Y99" i="6" s="1"/>
  <c r="X99" i="6" a="1"/>
  <c r="X99" i="6" s="1"/>
  <c r="W99" i="6" a="1"/>
  <c r="W99" i="6" s="1"/>
  <c r="V99" i="6" a="1"/>
  <c r="V99" i="6" s="1"/>
  <c r="U99" i="6" a="1"/>
  <c r="U99" i="6" s="1"/>
  <c r="T99" i="6" a="1"/>
  <c r="T99" i="6" s="1"/>
  <c r="S99" i="6" a="1"/>
  <c r="S99" i="6" s="1"/>
  <c r="R99" i="6" a="1"/>
  <c r="R99" i="6" s="1"/>
  <c r="Q99" i="6" a="1"/>
  <c r="Q99" i="6" s="1"/>
  <c r="P99" i="6" a="1"/>
  <c r="P99" i="6" s="1"/>
  <c r="O99" i="6" a="1"/>
  <c r="O99" i="6" s="1"/>
  <c r="N99" i="6" a="1"/>
  <c r="N99" i="6" s="1"/>
  <c r="M99" i="6" a="1"/>
  <c r="M99" i="6" s="1"/>
  <c r="L99" i="6" a="1"/>
  <c r="L99" i="6" s="1"/>
  <c r="K99" i="6" a="1"/>
  <c r="K99" i="6" s="1"/>
  <c r="J99" i="6" a="1"/>
  <c r="J99" i="6" s="1"/>
  <c r="I99" i="6" a="1"/>
  <c r="I99" i="6" s="1"/>
  <c r="H99" i="6" a="1"/>
  <c r="H99" i="6" s="1"/>
  <c r="G99" i="6" a="1"/>
  <c r="G99" i="6" s="1"/>
  <c r="F99" i="6" a="1"/>
  <c r="F99" i="6" s="1"/>
  <c r="E99" i="6" a="1"/>
  <c r="E99" i="6" s="1"/>
  <c r="D99" i="6" a="1"/>
  <c r="D99" i="6" s="1"/>
  <c r="AE98" i="6" a="1"/>
  <c r="AE98" i="6" s="1"/>
  <c r="AD98" i="6" a="1"/>
  <c r="AD98" i="6" s="1"/>
  <c r="AC98" i="6" a="1"/>
  <c r="AC98" i="6" s="1"/>
  <c r="AB98" i="6" a="1"/>
  <c r="AB98" i="6" s="1"/>
  <c r="AA98" i="6" a="1"/>
  <c r="AA98" i="6" s="1"/>
  <c r="Z98" i="6" a="1"/>
  <c r="Z98" i="6" s="1"/>
  <c r="Y98" i="6" a="1"/>
  <c r="Y98" i="6" s="1"/>
  <c r="X98" i="6" a="1"/>
  <c r="X98" i="6" s="1"/>
  <c r="W98" i="6" a="1"/>
  <c r="W98" i="6" s="1"/>
  <c r="V98" i="6" a="1"/>
  <c r="V98" i="6" s="1"/>
  <c r="U98" i="6" a="1"/>
  <c r="U98" i="6" s="1"/>
  <c r="T98" i="6" a="1"/>
  <c r="T98" i="6" s="1"/>
  <c r="S98" i="6" a="1"/>
  <c r="S98" i="6" s="1"/>
  <c r="R98" i="6" a="1"/>
  <c r="R98" i="6" s="1"/>
  <c r="Q98" i="6" a="1"/>
  <c r="Q98" i="6" s="1"/>
  <c r="P98" i="6" a="1"/>
  <c r="P98" i="6" s="1"/>
  <c r="O98" i="6" a="1"/>
  <c r="O98" i="6" s="1"/>
  <c r="N98" i="6" a="1"/>
  <c r="N98" i="6" s="1"/>
  <c r="M98" i="6" a="1"/>
  <c r="M98" i="6" s="1"/>
  <c r="L98" i="6" a="1"/>
  <c r="L98" i="6" s="1"/>
  <c r="K98" i="6" a="1"/>
  <c r="K98" i="6" s="1"/>
  <c r="J98" i="6" a="1"/>
  <c r="J98" i="6" s="1"/>
  <c r="I98" i="6" a="1"/>
  <c r="I98" i="6" s="1"/>
  <c r="H98" i="6" a="1"/>
  <c r="H98" i="6" s="1"/>
  <c r="G98" i="6" a="1"/>
  <c r="G98" i="6" s="1"/>
  <c r="F98" i="6" a="1"/>
  <c r="F98" i="6" s="1"/>
  <c r="E98" i="6" a="1"/>
  <c r="E98" i="6" s="1"/>
  <c r="D98" i="6" a="1"/>
  <c r="D98" i="6" s="1"/>
  <c r="AE97" i="6" a="1"/>
  <c r="AE97" i="6" s="1"/>
  <c r="AD97" i="6" a="1"/>
  <c r="AD97" i="6" s="1"/>
  <c r="AC97" i="6" a="1"/>
  <c r="AC97" i="6" s="1"/>
  <c r="AB97" i="6" a="1"/>
  <c r="AB97" i="6" s="1"/>
  <c r="AA97" i="6" a="1"/>
  <c r="AA97" i="6" s="1"/>
  <c r="Z97" i="6" a="1"/>
  <c r="Z97" i="6" s="1"/>
  <c r="Y97" i="6" a="1"/>
  <c r="Y97" i="6" s="1"/>
  <c r="X97" i="6" a="1"/>
  <c r="X97" i="6" s="1"/>
  <c r="W97" i="6" a="1"/>
  <c r="W97" i="6" s="1"/>
  <c r="V97" i="6" a="1"/>
  <c r="V97" i="6" s="1"/>
  <c r="U97" i="6" a="1"/>
  <c r="U97" i="6" s="1"/>
  <c r="T97" i="6" a="1"/>
  <c r="T97"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AE96" i="6" a="1"/>
  <c r="AE96" i="6" s="1"/>
  <c r="AD96" i="6" a="1"/>
  <c r="AD96" i="6" s="1"/>
  <c r="AC96" i="6" a="1"/>
  <c r="AC96" i="6" s="1"/>
  <c r="AB96" i="6" a="1"/>
  <c r="AB96" i="6" s="1"/>
  <c r="AA96" i="6" a="1"/>
  <c r="AA96" i="6" s="1"/>
  <c r="Z96" i="6" a="1"/>
  <c r="Z96" i="6" s="1"/>
  <c r="Y96" i="6" a="1"/>
  <c r="Y96" i="6" s="1"/>
  <c r="X96" i="6" a="1"/>
  <c r="X96" i="6" s="1"/>
  <c r="W96" i="6" a="1"/>
  <c r="W96" i="6" s="1"/>
  <c r="V96" i="6" a="1"/>
  <c r="V96" i="6" s="1"/>
  <c r="U96" i="6" a="1"/>
  <c r="U96" i="6" s="1"/>
  <c r="T96" i="6" a="1"/>
  <c r="T96"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AE95" i="6" a="1"/>
  <c r="AE95" i="6" s="1"/>
  <c r="AD95" i="6" a="1"/>
  <c r="AD95" i="6" s="1"/>
  <c r="AC95" i="6" a="1"/>
  <c r="AC95" i="6" s="1"/>
  <c r="AB95" i="6" a="1"/>
  <c r="AB95" i="6" s="1"/>
  <c r="AA95" i="6" a="1"/>
  <c r="AA95" i="6" s="1"/>
  <c r="Z95" i="6" a="1"/>
  <c r="Z95" i="6" s="1"/>
  <c r="Y95" i="6" a="1"/>
  <c r="Y95" i="6" s="1"/>
  <c r="X95" i="6" a="1"/>
  <c r="X95" i="6" s="1"/>
  <c r="W95" i="6" a="1"/>
  <c r="W95" i="6" s="1"/>
  <c r="V95" i="6" a="1"/>
  <c r="V95" i="6" s="1"/>
  <c r="U95" i="6" a="1"/>
  <c r="U95" i="6" s="1"/>
  <c r="T95" i="6" a="1"/>
  <c r="T95"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AE94" i="6" a="1"/>
  <c r="AE94" i="6" s="1"/>
  <c r="AD94" i="6" a="1"/>
  <c r="AD94" i="6" s="1"/>
  <c r="AC94" i="6" a="1"/>
  <c r="AC94" i="6" s="1"/>
  <c r="AB94" i="6" a="1"/>
  <c r="AB94" i="6" s="1"/>
  <c r="AA94" i="6" a="1"/>
  <c r="AA94" i="6" s="1"/>
  <c r="Z94" i="6" a="1"/>
  <c r="Z94" i="6" s="1"/>
  <c r="Y94" i="6" a="1"/>
  <c r="Y94" i="6" s="1"/>
  <c r="X94" i="6" a="1"/>
  <c r="X94" i="6" s="1"/>
  <c r="W94" i="6" a="1"/>
  <c r="W94" i="6" s="1"/>
  <c r="V94" i="6" a="1"/>
  <c r="V94" i="6" s="1"/>
  <c r="U94" i="6" a="1"/>
  <c r="U94" i="6" s="1"/>
  <c r="T94" i="6" a="1"/>
  <c r="T94"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AE93" i="6" a="1"/>
  <c r="AE93" i="6" s="1"/>
  <c r="AD93" i="6" a="1"/>
  <c r="AD93" i="6" s="1"/>
  <c r="AC93" i="6" a="1"/>
  <c r="AC93" i="6" s="1"/>
  <c r="AB93" i="6" a="1"/>
  <c r="AB93" i="6" s="1"/>
  <c r="AA93" i="6" a="1"/>
  <c r="AA93" i="6" s="1"/>
  <c r="Z93" i="6" a="1"/>
  <c r="Z93" i="6" s="1"/>
  <c r="Y93" i="6" a="1"/>
  <c r="Y93" i="6" s="1"/>
  <c r="X93" i="6" a="1"/>
  <c r="X93" i="6" s="1"/>
  <c r="W93" i="6" a="1"/>
  <c r="W93" i="6" s="1"/>
  <c r="V93" i="6" a="1"/>
  <c r="V93" i="6" s="1"/>
  <c r="U93" i="6" a="1"/>
  <c r="U93" i="6" s="1"/>
  <c r="T93" i="6" a="1"/>
  <c r="T93"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AE92" i="6" a="1"/>
  <c r="AE92" i="6" s="1"/>
  <c r="AD92" i="6" a="1"/>
  <c r="AD92" i="6" s="1"/>
  <c r="AC92" i="6" a="1"/>
  <c r="AC92" i="6" s="1"/>
  <c r="AB92" i="6" a="1"/>
  <c r="AB92" i="6" s="1"/>
  <c r="AA92" i="6" a="1"/>
  <c r="AA92" i="6" s="1"/>
  <c r="Z92" i="6" a="1"/>
  <c r="Z92" i="6" s="1"/>
  <c r="Y92" i="6" a="1"/>
  <c r="Y92" i="6" s="1"/>
  <c r="X92" i="6" a="1"/>
  <c r="X92" i="6" s="1"/>
  <c r="W92" i="6" a="1"/>
  <c r="W92" i="6" s="1"/>
  <c r="V92" i="6" a="1"/>
  <c r="V92" i="6" s="1"/>
  <c r="U92" i="6" a="1"/>
  <c r="U92" i="6" s="1"/>
  <c r="T92" i="6" a="1"/>
  <c r="T92"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AE91" i="6" a="1"/>
  <c r="AE91" i="6" s="1"/>
  <c r="AD91" i="6" a="1"/>
  <c r="AD91" i="6" s="1"/>
  <c r="AC91" i="6" a="1"/>
  <c r="AC91" i="6" s="1"/>
  <c r="AB91" i="6" a="1"/>
  <c r="AB91" i="6" s="1"/>
  <c r="AA91" i="6" a="1"/>
  <c r="AA91" i="6" s="1"/>
  <c r="Z91" i="6" a="1"/>
  <c r="Z91" i="6" s="1"/>
  <c r="Y91" i="6" a="1"/>
  <c r="Y91" i="6" s="1"/>
  <c r="X91" i="6" a="1"/>
  <c r="X91" i="6" s="1"/>
  <c r="W91" i="6" a="1"/>
  <c r="W91" i="6" s="1"/>
  <c r="V91" i="6" a="1"/>
  <c r="V91" i="6" s="1"/>
  <c r="U91" i="6" a="1"/>
  <c r="U91" i="6" s="1"/>
  <c r="T91" i="6" a="1"/>
  <c r="T91"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AE90" i="6" a="1"/>
  <c r="AE90" i="6" s="1"/>
  <c r="AD90" i="6" a="1"/>
  <c r="AD90" i="6" s="1"/>
  <c r="AC90" i="6" a="1"/>
  <c r="AC90" i="6" s="1"/>
  <c r="AB90" i="6" a="1"/>
  <c r="AB90" i="6" s="1"/>
  <c r="AA90" i="6" a="1"/>
  <c r="AA90" i="6" s="1"/>
  <c r="Z90" i="6" a="1"/>
  <c r="Z90" i="6" s="1"/>
  <c r="Y90" i="6" a="1"/>
  <c r="Y90" i="6" s="1"/>
  <c r="X90" i="6" a="1"/>
  <c r="X90" i="6" s="1"/>
  <c r="W90" i="6" a="1"/>
  <c r="W90" i="6" s="1"/>
  <c r="V90" i="6" a="1"/>
  <c r="V90" i="6" s="1"/>
  <c r="U90" i="6" a="1"/>
  <c r="U90" i="6" s="1"/>
  <c r="T90" i="6" a="1"/>
  <c r="T90"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O18" i="7" s="1" a="1"/>
  <c r="O18" i="7" s="1"/>
  <c r="F90" i="6" a="1"/>
  <c r="F90" i="6" s="1"/>
  <c r="E90" i="6" a="1"/>
  <c r="E90" i="6" s="1"/>
  <c r="D90" i="6" a="1"/>
  <c r="D90" i="6" s="1"/>
  <c r="F83" i="6" a="1"/>
  <c r="F83" i="6" s="1"/>
  <c r="E83" i="6" a="1"/>
  <c r="E83" i="6" s="1"/>
  <c r="D83" i="6" a="1"/>
  <c r="D83" i="6" s="1"/>
  <c r="D82" i="6" a="1"/>
  <c r="D82" i="6" s="1"/>
  <c r="D81" i="6" a="1"/>
  <c r="D81" i="6" s="1"/>
  <c r="F78" i="6" a="1"/>
  <c r="F78" i="6" s="1"/>
  <c r="E78" i="6" a="1"/>
  <c r="E78" i="6" s="1"/>
  <c r="D78" i="6" a="1"/>
  <c r="D78" i="6" s="1"/>
  <c r="D77" i="6" a="1"/>
  <c r="D77" i="6" s="1"/>
  <c r="D76" i="6" a="1"/>
  <c r="D76" i="6" s="1"/>
  <c r="F73" i="6" a="1"/>
  <c r="F73" i="6" s="1"/>
  <c r="E73" i="6" a="1"/>
  <c r="E73" i="6" s="1"/>
  <c r="D73" i="6" a="1"/>
  <c r="D73" i="6" s="1"/>
  <c r="D72" i="6" a="1"/>
  <c r="D72" i="6" s="1"/>
  <c r="D71" i="6" a="1"/>
  <c r="D71" i="6" s="1"/>
  <c r="F68" i="6" a="1"/>
  <c r="F68" i="6" s="1"/>
  <c r="E68" i="6" a="1"/>
  <c r="E68" i="6" s="1"/>
  <c r="D68" i="6" a="1"/>
  <c r="D68" i="6" s="1"/>
  <c r="F67" i="6" a="1"/>
  <c r="F67" i="6" s="1"/>
  <c r="E67" i="6" a="1"/>
  <c r="E67" i="6" s="1"/>
  <c r="D67" i="6" a="1"/>
  <c r="D67" i="6" s="1"/>
  <c r="F66" i="6" a="1"/>
  <c r="F66" i="6" s="1"/>
  <c r="E66" i="6" a="1"/>
  <c r="E66" i="6" s="1"/>
  <c r="D66" i="6" a="1"/>
  <c r="D66" i="6" s="1"/>
  <c r="D64" i="6" a="1"/>
  <c r="D64" i="6" s="1"/>
  <c r="D63" i="6" a="1"/>
  <c r="D63" i="6" s="1"/>
  <c r="F60" i="6" a="1"/>
  <c r="F60" i="6" s="1"/>
  <c r="E60" i="6" a="1"/>
  <c r="E60" i="6" s="1"/>
  <c r="D60" i="6" a="1"/>
  <c r="D60" i="6" s="1"/>
  <c r="D59" i="6" a="1"/>
  <c r="D59" i="6" s="1"/>
  <c r="D58" i="6" a="1"/>
  <c r="D58" i="6" s="1"/>
  <c r="E55" i="6" a="1"/>
  <c r="E55" i="6" s="1"/>
  <c r="D55" i="6" a="1"/>
  <c r="D55" i="6" s="1"/>
  <c r="E54" i="6" a="1"/>
  <c r="E54" i="6" s="1"/>
  <c r="D54" i="6" a="1"/>
  <c r="D54" i="6" s="1"/>
  <c r="E53" i="6" a="1"/>
  <c r="E53" i="6" s="1"/>
  <c r="D53" i="6" a="1"/>
  <c r="D53" i="6" s="1"/>
  <c r="E52" i="6" a="1"/>
  <c r="E52" i="6" s="1"/>
  <c r="D52" i="6" a="1"/>
  <c r="D52" i="6" s="1"/>
  <c r="E51" i="6" a="1"/>
  <c r="E51" i="6" s="1"/>
  <c r="D51" i="6" a="1"/>
  <c r="D51" i="6" s="1"/>
  <c r="D49" i="6" a="1"/>
  <c r="D49" i="6" s="1"/>
  <c r="D48" i="6" a="1"/>
  <c r="D48" i="6" s="1"/>
  <c r="I37" i="6" a="1"/>
  <c r="I37" i="6" s="1"/>
  <c r="H37" i="6" a="1"/>
  <c r="H37" i="6" s="1"/>
  <c r="G37" i="6" a="1"/>
  <c r="G37" i="6" s="1"/>
  <c r="F37" i="6" a="1"/>
  <c r="F37" i="6" s="1"/>
  <c r="E37" i="6" a="1"/>
  <c r="E37" i="6" s="1"/>
  <c r="D37" i="6" a="1"/>
  <c r="D37" i="6" s="1"/>
  <c r="I36" i="6" a="1"/>
  <c r="I36" i="6" s="1"/>
  <c r="H36" i="6" a="1"/>
  <c r="H36" i="6" s="1"/>
  <c r="G36" i="6" a="1"/>
  <c r="G36" i="6" s="1"/>
  <c r="F36" i="6" a="1"/>
  <c r="F36" i="6" s="1"/>
  <c r="E36" i="6" a="1"/>
  <c r="E36" i="6" s="1"/>
  <c r="D36" i="6" a="1"/>
  <c r="D36" i="6" s="1"/>
  <c r="I35" i="6" a="1"/>
  <c r="I35" i="6" s="1"/>
  <c r="H35" i="6" a="1"/>
  <c r="H35" i="6" s="1"/>
  <c r="G35" i="6" a="1"/>
  <c r="G35" i="6" s="1"/>
  <c r="F35" i="6" a="1"/>
  <c r="F35" i="6" s="1"/>
  <c r="E35" i="6" a="1"/>
  <c r="E35" i="6" s="1"/>
  <c r="D35" i="6" a="1"/>
  <c r="D35" i="6" s="1"/>
  <c r="I34" i="6" a="1"/>
  <c r="I34" i="6" s="1"/>
  <c r="H34" i="6" a="1"/>
  <c r="H34" i="6" s="1"/>
  <c r="G34" i="6" a="1"/>
  <c r="G34" i="6" s="1"/>
  <c r="F34" i="6" a="1"/>
  <c r="F34" i="6" s="1"/>
  <c r="E34" i="6" a="1"/>
  <c r="E34" i="6" s="1"/>
  <c r="D34" i="6" a="1"/>
  <c r="D34" i="6" s="1"/>
  <c r="I33" i="6" a="1"/>
  <c r="I33" i="6" s="1"/>
  <c r="H33" i="6" a="1"/>
  <c r="H33" i="6" s="1"/>
  <c r="G33" i="6" a="1"/>
  <c r="G33" i="6" s="1"/>
  <c r="F33" i="6" a="1"/>
  <c r="F33" i="6" s="1"/>
  <c r="E33" i="6" a="1"/>
  <c r="E33" i="6" s="1"/>
  <c r="D33" i="6" a="1"/>
  <c r="D33" i="6" s="1"/>
  <c r="I32" i="6" a="1"/>
  <c r="I32" i="6" s="1"/>
  <c r="H32" i="6" a="1"/>
  <c r="H32" i="6" s="1"/>
  <c r="G32" i="6" a="1"/>
  <c r="G32" i="6" s="1"/>
  <c r="F32" i="6" a="1"/>
  <c r="F32" i="6" s="1"/>
  <c r="E32" i="6" a="1"/>
  <c r="E32" i="6" s="1"/>
  <c r="D32" i="6" a="1"/>
  <c r="D32" i="6" s="1"/>
  <c r="I31" i="6" a="1"/>
  <c r="I31" i="6" s="1"/>
  <c r="H31" i="6" a="1"/>
  <c r="H31" i="6" s="1"/>
  <c r="G31" i="6" a="1"/>
  <c r="G31" i="6" s="1"/>
  <c r="F31" i="6" a="1"/>
  <c r="F31" i="6" s="1"/>
  <c r="E31" i="6" a="1"/>
  <c r="E31" i="6" s="1"/>
  <c r="D31" i="6" a="1"/>
  <c r="D31" i="6" s="1"/>
  <c r="I30" i="6" a="1"/>
  <c r="I30" i="6" s="1"/>
  <c r="H30" i="6" a="1"/>
  <c r="H30" i="6" s="1"/>
  <c r="G30" i="6" a="1"/>
  <c r="G30" i="6" s="1"/>
  <c r="F30" i="6" a="1"/>
  <c r="F30" i="6" s="1"/>
  <c r="E30" i="6" a="1"/>
  <c r="E30" i="6" s="1"/>
  <c r="D30" i="6" a="1"/>
  <c r="D30" i="6" s="1"/>
  <c r="I29" i="6" a="1"/>
  <c r="I29" i="6" s="1"/>
  <c r="H29" i="6" a="1"/>
  <c r="H29" i="6" s="1"/>
  <c r="G29" i="6" a="1"/>
  <c r="G29" i="6" s="1"/>
  <c r="F29" i="6" a="1"/>
  <c r="F29" i="6" s="1"/>
  <c r="E29" i="6" a="1"/>
  <c r="E29" i="6" s="1"/>
  <c r="D29" i="6" a="1"/>
  <c r="D29" i="6" s="1"/>
  <c r="R28" i="6" a="1"/>
  <c r="R28" i="6" s="1"/>
  <c r="Q28" i="6" a="1"/>
  <c r="Q28" i="6" s="1"/>
  <c r="L28" i="6" a="1"/>
  <c r="L28" i="6" s="1"/>
  <c r="K28" i="6" a="1"/>
  <c r="K28" i="6" s="1"/>
  <c r="I28" i="6" a="1"/>
  <c r="I28" i="6" s="1"/>
  <c r="H28" i="6" a="1"/>
  <c r="H28" i="6" s="1"/>
  <c r="G28" i="6" a="1"/>
  <c r="G28" i="6" s="1"/>
  <c r="F28" i="6" a="1"/>
  <c r="F28" i="6" s="1"/>
  <c r="E28" i="6" a="1"/>
  <c r="E28" i="6" s="1"/>
  <c r="D28" i="6" a="1"/>
  <c r="D28" i="6" s="1"/>
  <c r="R27" i="6" a="1"/>
  <c r="R27" i="6" s="1"/>
  <c r="Q27" i="6" a="1"/>
  <c r="Q27" i="6" s="1"/>
  <c r="L27" i="6" a="1"/>
  <c r="L27" i="6" s="1"/>
  <c r="K27" i="6" a="1"/>
  <c r="K27" i="6" s="1"/>
  <c r="I27" i="6" a="1"/>
  <c r="I27" i="6" s="1"/>
  <c r="H27" i="6" a="1"/>
  <c r="H27" i="6" s="1"/>
  <c r="G27" i="6" a="1"/>
  <c r="G27" i="6" s="1"/>
  <c r="F27" i="6" a="1"/>
  <c r="F27" i="6" s="1"/>
  <c r="E27" i="6" a="1"/>
  <c r="E27" i="6" s="1"/>
  <c r="D27" i="6" a="1"/>
  <c r="D27" i="6" s="1"/>
  <c r="R26" i="6" a="1"/>
  <c r="R26" i="6" s="1"/>
  <c r="Q26" i="6" a="1"/>
  <c r="Q26" i="6" s="1"/>
  <c r="L26" i="6" a="1"/>
  <c r="L26" i="6" s="1"/>
  <c r="K26" i="6" a="1"/>
  <c r="K26" i="6" s="1"/>
  <c r="I26" i="6" a="1"/>
  <c r="I26" i="6" s="1"/>
  <c r="H26" i="6" a="1"/>
  <c r="H26" i="6" s="1"/>
  <c r="G26" i="6" a="1"/>
  <c r="G26" i="6" s="1"/>
  <c r="F26" i="6" a="1"/>
  <c r="F26" i="6" s="1"/>
  <c r="E26" i="6" a="1"/>
  <c r="E26" i="6" s="1"/>
  <c r="D26" i="6" a="1"/>
  <c r="D26" i="6" s="1"/>
  <c r="R25" i="6" a="1"/>
  <c r="R25" i="6" s="1"/>
  <c r="Q25" i="6" a="1"/>
  <c r="Q25" i="6" s="1"/>
  <c r="L25" i="6" a="1"/>
  <c r="L25" i="6" s="1"/>
  <c r="K25" i="6" a="1"/>
  <c r="K25" i="6" s="1"/>
  <c r="I25" i="6" a="1"/>
  <c r="I25" i="6" s="1"/>
  <c r="H25" i="6" a="1"/>
  <c r="H25" i="6" s="1"/>
  <c r="G25" i="6" a="1"/>
  <c r="G25" i="6" s="1"/>
  <c r="F25" i="6" a="1"/>
  <c r="F25" i="6" s="1"/>
  <c r="E25" i="6" a="1"/>
  <c r="E25" i="6" s="1"/>
  <c r="D25" i="6" a="1"/>
  <c r="D25" i="6" s="1"/>
  <c r="R24" i="6" a="1"/>
  <c r="R24" i="6" s="1"/>
  <c r="Q24" i="6" a="1"/>
  <c r="Q24" i="6" s="1"/>
  <c r="L24" i="6" a="1"/>
  <c r="L24" i="6" s="1"/>
  <c r="K24" i="6" a="1"/>
  <c r="K24" i="6" s="1"/>
  <c r="I24" i="6" a="1"/>
  <c r="I24" i="6" s="1"/>
  <c r="H24" i="6" a="1"/>
  <c r="H24" i="6" s="1"/>
  <c r="G24" i="6" a="1"/>
  <c r="G24" i="6" s="1"/>
  <c r="F24" i="6" a="1"/>
  <c r="F24" i="6" s="1"/>
  <c r="E24" i="6" a="1"/>
  <c r="E24" i="6" s="1"/>
  <c r="D24" i="6" a="1"/>
  <c r="D24" i="6" s="1"/>
  <c r="R23" i="6" a="1"/>
  <c r="R23" i="6" s="1"/>
  <c r="Q23" i="6" a="1"/>
  <c r="Q23" i="6" s="1"/>
  <c r="L23" i="6" a="1"/>
  <c r="L23" i="6" s="1"/>
  <c r="K23" i="6" a="1"/>
  <c r="K23" i="6" s="1"/>
  <c r="I23" i="6" a="1"/>
  <c r="I23" i="6" s="1"/>
  <c r="H23" i="6" a="1"/>
  <c r="H23" i="6" s="1"/>
  <c r="G23" i="6" a="1"/>
  <c r="G23" i="6" s="1"/>
  <c r="F23" i="6" a="1"/>
  <c r="F23" i="6" s="1"/>
  <c r="E23" i="6" a="1"/>
  <c r="E23" i="6" s="1"/>
  <c r="D23" i="6" a="1"/>
  <c r="D23" i="6" s="1"/>
  <c r="R22" i="6" a="1"/>
  <c r="R22" i="6" s="1"/>
  <c r="Q22" i="6" a="1"/>
  <c r="Q22" i="6" s="1"/>
  <c r="L22" i="6" a="1"/>
  <c r="L22" i="6" s="1"/>
  <c r="K22" i="6" a="1"/>
  <c r="K22" i="6" s="1"/>
  <c r="I22" i="6" a="1"/>
  <c r="I22" i="6" s="1"/>
  <c r="H22" i="6" a="1"/>
  <c r="H22" i="6" s="1"/>
  <c r="G22" i="6" a="1"/>
  <c r="G22" i="6" s="1"/>
  <c r="F22" i="6" a="1"/>
  <c r="F22" i="6" s="1"/>
  <c r="E22" i="6" a="1"/>
  <c r="E22" i="6" s="1"/>
  <c r="D22" i="6" a="1"/>
  <c r="D22" i="6" s="1"/>
  <c r="R21" i="6" a="1"/>
  <c r="R21" i="6" s="1"/>
  <c r="Q21" i="6" a="1"/>
  <c r="Q21" i="6" s="1"/>
  <c r="L21" i="6" a="1"/>
  <c r="L21" i="6" s="1"/>
  <c r="K21" i="6" a="1"/>
  <c r="K21" i="6" s="1"/>
  <c r="I21" i="6" a="1"/>
  <c r="I21" i="6" s="1"/>
  <c r="H21" i="6" a="1"/>
  <c r="H21" i="6" s="1"/>
  <c r="G21" i="6" a="1"/>
  <c r="G21" i="6" s="1"/>
  <c r="F21" i="6" a="1"/>
  <c r="F21" i="6" s="1"/>
  <c r="E21" i="6" a="1"/>
  <c r="E21" i="6" s="1"/>
  <c r="D21" i="6" a="1"/>
  <c r="D21" i="6" s="1"/>
  <c r="A21" i="6"/>
  <c r="R20" i="6" a="1"/>
  <c r="R20" i="6" s="1"/>
  <c r="Q20" i="6" a="1"/>
  <c r="Q20" i="6" s="1"/>
  <c r="L20" i="6" a="1"/>
  <c r="L20" i="6" s="1"/>
  <c r="K20" i="6" a="1"/>
  <c r="K20" i="6" s="1"/>
  <c r="I20" i="6" a="1"/>
  <c r="I20" i="6" s="1"/>
  <c r="H20" i="6" a="1"/>
  <c r="H20" i="6" s="1"/>
  <c r="G20" i="6" a="1"/>
  <c r="G20" i="6" s="1"/>
  <c r="F20" i="6" a="1"/>
  <c r="F20" i="6" s="1"/>
  <c r="E20" i="6" a="1"/>
  <c r="E20" i="6" s="1"/>
  <c r="D20" i="6" a="1"/>
  <c r="D20" i="6" s="1"/>
  <c r="A20" i="6"/>
  <c r="Q18" i="6" a="1"/>
  <c r="Q18" i="6" s="1"/>
  <c r="K18" i="6" a="1"/>
  <c r="K18" i="6" s="1"/>
  <c r="Q17" i="6" a="1"/>
  <c r="Q17" i="6" s="1"/>
  <c r="K17" i="6" a="1"/>
  <c r="K17" i="6" s="1"/>
  <c r="A17" i="6"/>
  <c r="A16" i="6"/>
  <c r="A15" i="6"/>
  <c r="A14" i="6"/>
  <c r="A13" i="6"/>
  <c r="A12" i="6"/>
  <c r="A9" i="6"/>
  <c r="A8" i="6"/>
  <c r="D7" i="6" a="1"/>
  <c r="D7" i="6" s="1"/>
  <c r="D6" i="6" a="1"/>
  <c r="D6" i="6" s="1"/>
  <c r="D5" i="6" a="1"/>
  <c r="D5" i="6" s="1"/>
  <c r="A5" i="6"/>
  <c r="A4" i="6"/>
  <c r="A3" i="6"/>
  <c r="P25" i="7" l="1"/>
  <c r="H18" i="7" a="1"/>
  <c r="H18" i="7" s="1"/>
  <c r="S20" i="7" a="1"/>
  <c r="S20" i="7" s="1"/>
  <c r="N19" i="7" a="1"/>
  <c r="N19" i="7" s="1"/>
  <c r="S18" i="7" a="1"/>
  <c r="S18" i="7" s="1"/>
  <c r="M18" i="7" a="1"/>
  <c r="M18" i="7" s="1"/>
  <c r="Q18" i="7" a="1"/>
  <c r="Q18" i="7" s="1"/>
  <c r="P19" i="7" a="1"/>
  <c r="P19" i="7" s="1"/>
  <c r="P18" i="7" a="1"/>
  <c r="P18" i="7" s="1"/>
  <c r="N20" i="7" a="1"/>
  <c r="N20" i="7" s="1"/>
  <c r="J18" i="7" a="1"/>
  <c r="J18" i="7" s="1"/>
  <c r="P20" i="7" a="1"/>
  <c r="P20" i="7" s="1"/>
  <c r="R20" i="7" a="1"/>
  <c r="R20" i="7" s="1"/>
  <c r="K18" i="7" a="1"/>
  <c r="K18" i="7" s="1"/>
  <c r="R18" i="7" a="1"/>
  <c r="R18" i="7" s="1"/>
  <c r="J19" i="7" a="1"/>
  <c r="J19" i="7" s="1"/>
  <c r="L19" i="7" a="1"/>
  <c r="L19" i="7" s="1"/>
  <c r="H20" i="7" a="1"/>
  <c r="H20" i="7" s="1"/>
  <c r="I18" i="7" a="1"/>
  <c r="I18" i="7" s="1"/>
  <c r="N18" i="7" a="1"/>
  <c r="N18" i="7" s="1"/>
  <c r="D25" i="1" a="1"/>
  <c r="D25" i="1" s="1"/>
  <c r="Q19" i="7" a="1"/>
  <c r="Q19" i="7" s="1"/>
  <c r="M20" i="7" a="1"/>
  <c r="M20" i="7" s="1"/>
  <c r="P24" i="7"/>
  <c r="Q20" i="7" a="1"/>
  <c r="Q20" i="7" s="1"/>
  <c r="K20" i="7" a="1"/>
  <c r="K20" i="7" s="1"/>
  <c r="K19" i="7" a="1"/>
  <c r="K19" i="7" s="1"/>
  <c r="S19" i="7" a="1"/>
  <c r="S19" i="7" s="1"/>
  <c r="O19" i="7" a="1"/>
  <c r="O19" i="7" s="1"/>
  <c r="O20" i="7" a="1"/>
  <c r="O20" i="7" s="1"/>
  <c r="L18" i="7" a="1"/>
  <c r="L18" i="7" s="1"/>
  <c r="I20" i="7" a="1"/>
  <c r="I20" i="7" s="1"/>
  <c r="I19" i="7" a="1"/>
  <c r="I19" i="7" s="1"/>
  <c r="M19" i="7" a="1"/>
  <c r="M19" i="7" s="1"/>
  <c r="H19" i="7" a="1"/>
  <c r="H19" i="7" s="1"/>
  <c r="J20" i="7" a="1"/>
  <c r="J20" i="7" s="1"/>
  <c r="L20" i="7" a="1"/>
  <c r="L20" i="7" s="1"/>
  <c r="R19" i="7" a="1"/>
  <c r="R19" i="7" s="1"/>
  <c r="E30" i="1" l="1" a="1"/>
  <c r="E30" i="1" s="1"/>
  <c r="E35" i="1" a="1"/>
  <c r="E35" i="1" s="1"/>
  <c r="E25" i="1" a="1"/>
  <c r="E25" i="1" s="1"/>
  <c r="T20" i="7"/>
  <c r="T19" i="7"/>
  <c r="T18" i="7"/>
  <c r="E28" i="1" a="1"/>
  <c r="E28" i="1" s="1"/>
  <c r="E34" i="1" a="1"/>
  <c r="E34" i="1" s="1"/>
  <c r="E29" i="1" a="1"/>
  <c r="E29" i="1" s="1"/>
  <c r="E38" i="1" a="1"/>
  <c r="E38" i="1" s="1"/>
  <c r="E40" i="1" a="1"/>
  <c r="E40" i="1" s="1"/>
  <c r="E39" i="1" a="1"/>
  <c r="E39" i="1" s="1"/>
  <c r="E42" i="1" a="1"/>
  <c r="E42" i="1" s="1"/>
  <c r="E32" i="1" a="1"/>
  <c r="E32" i="1" s="1"/>
  <c r="E27" i="1" a="1"/>
  <c r="E27" i="1" s="1"/>
  <c r="E31" i="1" a="1"/>
  <c r="E31" i="1" s="1"/>
  <c r="E37" i="1" a="1"/>
  <c r="E37" i="1" s="1"/>
  <c r="E33" i="1" a="1"/>
  <c r="E33" i="1" s="1"/>
  <c r="E26" i="1" a="1"/>
  <c r="E26" i="1" s="1"/>
  <c r="E41" i="1" a="1"/>
  <c r="E41" i="1" s="1"/>
  <c r="E36" i="1" a="1"/>
  <c r="E36" i="1" s="1"/>
  <c r="G12" i="5" a="1"/>
  <c r="G12" i="5" s="1"/>
  <c r="H12" i="5"/>
  <c r="I12" i="5"/>
  <c r="H20" i="1" a="1"/>
  <c r="H20" i="1" s="1"/>
  <c r="H19" i="1" a="1"/>
  <c r="H19" i="1" s="1"/>
  <c r="H18" i="1" a="1"/>
  <c r="H18" i="1" s="1"/>
  <c r="H17" i="1" a="1"/>
  <c r="H17" i="1" s="1"/>
  <c r="H16" i="1" a="1"/>
  <c r="H16" i="1" s="1"/>
  <c r="H15" i="1" a="1"/>
  <c r="H15" i="1" s="1"/>
  <c r="H14" i="1" a="1"/>
  <c r="H14" i="1" s="1"/>
  <c r="H13" i="1" a="1"/>
  <c r="H13" i="1" s="1"/>
  <c r="H12" i="1" a="1"/>
  <c r="H12" i="1" s="1"/>
  <c r="H11" i="1" a="1"/>
  <c r="H11" i="1" s="1"/>
  <c r="H10" i="1" a="1"/>
  <c r="H10" i="1" s="1"/>
  <c r="H9" i="1" a="1"/>
  <c r="H9" i="1" s="1"/>
  <c r="H8" i="1" a="1"/>
  <c r="H8" i="1" s="1"/>
  <c r="H7" i="1" a="1"/>
  <c r="H7" i="1" s="1"/>
  <c r="F14" i="1"/>
  <c r="F13" i="1"/>
  <c r="F12" i="1"/>
  <c r="F11" i="1"/>
  <c r="F10" i="1"/>
  <c r="F9" i="1"/>
  <c r="F8" i="1"/>
  <c r="F7" i="1"/>
  <c r="F6" i="1"/>
  <c r="F20" i="1" l="1"/>
  <c r="F19" i="1"/>
  <c r="F18" i="1"/>
  <c r="F17" i="1"/>
  <c r="F16" i="1"/>
  <c r="F15" i="1"/>
  <c r="D20" i="1"/>
  <c r="D19" i="1"/>
  <c r="D18" i="1"/>
  <c r="D17" i="1"/>
  <c r="D16" i="1"/>
  <c r="D15" i="1"/>
  <c r="D14" i="1"/>
  <c r="D13" i="1"/>
  <c r="D12" i="1"/>
  <c r="D11" i="1"/>
  <c r="D10" i="1"/>
  <c r="D9" i="1"/>
  <c r="D8" i="1"/>
  <c r="D7" i="1"/>
  <c r="D6" i="1"/>
  <c r="I11" i="5" l="1"/>
  <c r="H6" i="1" s="1" a="1"/>
  <c r="H6" i="1" s="1"/>
  <c r="H11" i="5"/>
  <c r="G11" i="5" a="1"/>
  <c r="G11" i="5" s="1"/>
  <c r="A17" i="5"/>
  <c r="A16" i="5"/>
  <c r="A13" i="5"/>
  <c r="A12" i="5"/>
  <c r="A11" i="5"/>
  <c r="A8" i="5"/>
  <c r="A5" i="5"/>
  <c r="A4" i="5"/>
  <c r="A3" i="5"/>
  <c r="J139" i="4"/>
  <c r="E139" i="4"/>
  <c r="J138" i="4"/>
  <c r="G138" i="4"/>
  <c r="E138" i="4"/>
  <c r="J137" i="4"/>
  <c r="G137" i="4"/>
  <c r="E137" i="4"/>
  <c r="D137" i="4"/>
  <c r="J136" i="4"/>
  <c r="G136" i="4"/>
  <c r="E136" i="4"/>
  <c r="D136" i="4"/>
  <c r="J135" i="4"/>
  <c r="G135" i="4"/>
  <c r="E135" i="4"/>
  <c r="D135" i="4"/>
  <c r="J134" i="4"/>
  <c r="G134" i="4"/>
  <c r="E134" i="4"/>
  <c r="D134" i="4"/>
  <c r="J133" i="4"/>
  <c r="G133" i="4"/>
  <c r="F133" i="4"/>
  <c r="E133" i="4"/>
  <c r="D133" i="4"/>
  <c r="J132" i="4"/>
  <c r="I132" i="4"/>
  <c r="G132" i="4"/>
  <c r="F132" i="4"/>
  <c r="E132" i="4"/>
  <c r="D132" i="4"/>
  <c r="J131" i="4"/>
  <c r="I131" i="4"/>
  <c r="H131" i="4"/>
  <c r="G131" i="4"/>
  <c r="F131" i="4"/>
  <c r="E131" i="4"/>
  <c r="D131" i="4"/>
  <c r="F120" i="4" a="1"/>
  <c r="F120" i="4" s="1"/>
  <c r="E120" i="4" a="1"/>
  <c r="E120" i="4" s="1"/>
  <c r="D120" i="4" a="1"/>
  <c r="D120" i="4" s="1"/>
  <c r="F119" i="4" a="1"/>
  <c r="F119" i="4" s="1"/>
  <c r="E119" i="4" a="1"/>
  <c r="E119" i="4" s="1"/>
  <c r="D119" i="4" a="1"/>
  <c r="D119" i="4" s="1"/>
  <c r="F118" i="4" a="1"/>
  <c r="F118" i="4" s="1"/>
  <c r="E118" i="4" a="1"/>
  <c r="E118" i="4" s="1"/>
  <c r="D118" i="4" a="1"/>
  <c r="D118" i="4" s="1"/>
  <c r="F117" i="4" a="1"/>
  <c r="F117" i="4" s="1"/>
  <c r="E117" i="4" a="1"/>
  <c r="E117" i="4" s="1"/>
  <c r="D117" i="4" a="1"/>
  <c r="D117" i="4" s="1"/>
  <c r="F116" i="4" a="1"/>
  <c r="F116" i="4" s="1"/>
  <c r="E116" i="4" a="1"/>
  <c r="E116" i="4" s="1"/>
  <c r="D116" i="4" a="1"/>
  <c r="D116" i="4" s="1"/>
  <c r="F115" i="4" a="1"/>
  <c r="F115" i="4" s="1"/>
  <c r="E115" i="4" a="1"/>
  <c r="E115" i="4" s="1"/>
  <c r="D115" i="4" a="1"/>
  <c r="D115" i="4" s="1"/>
  <c r="F114" i="4" a="1"/>
  <c r="F114" i="4" s="1"/>
  <c r="E114" i="4" a="1"/>
  <c r="E114" i="4" s="1"/>
  <c r="D114" i="4" a="1"/>
  <c r="D114" i="4" s="1"/>
  <c r="G113" i="4" a="1"/>
  <c r="G113" i="4" s="1"/>
  <c r="F113" i="4" a="1"/>
  <c r="F113" i="4" s="1"/>
  <c r="E113" i="4" a="1"/>
  <c r="E113" i="4" s="1"/>
  <c r="D113" i="4" a="1"/>
  <c r="D113" i="4" s="1"/>
  <c r="D110" i="4" a="1"/>
  <c r="D110" i="4" s="1"/>
  <c r="D109" i="4" a="1"/>
  <c r="D109" i="4" s="1"/>
  <c r="D108" i="4" a="1"/>
  <c r="D108" i="4" s="1"/>
  <c r="D107" i="4" a="1"/>
  <c r="D107" i="4" s="1"/>
  <c r="J104" i="4" a="1"/>
  <c r="J104" i="4" s="1"/>
  <c r="I104" i="4" a="1"/>
  <c r="I104" i="4" s="1"/>
  <c r="H104" i="4" a="1"/>
  <c r="H104" i="4" s="1"/>
  <c r="G104" i="4" a="1"/>
  <c r="G104" i="4" s="1"/>
  <c r="F104" i="4" a="1"/>
  <c r="F104" i="4" s="1"/>
  <c r="E104" i="4" a="1"/>
  <c r="E104" i="4" s="1"/>
  <c r="D104" i="4" a="1"/>
  <c r="D104" i="4" s="1"/>
  <c r="J103" i="4" a="1"/>
  <c r="J103" i="4" s="1"/>
  <c r="I103" i="4" a="1"/>
  <c r="I103" i="4" s="1"/>
  <c r="H103" i="4" a="1"/>
  <c r="H103" i="4" s="1"/>
  <c r="G103" i="4" a="1"/>
  <c r="G103" i="4" s="1"/>
  <c r="F103" i="4" a="1"/>
  <c r="F103" i="4" s="1"/>
  <c r="E103" i="4" a="1"/>
  <c r="E103" i="4" s="1"/>
  <c r="D103" i="4" a="1"/>
  <c r="D103" i="4" s="1"/>
  <c r="J102" i="4" a="1"/>
  <c r="J102" i="4" s="1"/>
  <c r="I102" i="4" a="1"/>
  <c r="I102" i="4" s="1"/>
  <c r="H102" i="4" a="1"/>
  <c r="H102" i="4" s="1"/>
  <c r="G102" i="4" a="1"/>
  <c r="G102" i="4" s="1"/>
  <c r="F102" i="4" a="1"/>
  <c r="F102" i="4" s="1"/>
  <c r="E102" i="4" a="1"/>
  <c r="E102" i="4" s="1"/>
  <c r="D102" i="4" a="1"/>
  <c r="D102" i="4" s="1"/>
  <c r="J101" i="4" a="1"/>
  <c r="J101" i="4" s="1"/>
  <c r="I101" i="4" a="1"/>
  <c r="I101" i="4" s="1"/>
  <c r="H101" i="4" a="1"/>
  <c r="H101" i="4" s="1"/>
  <c r="G101" i="4" a="1"/>
  <c r="G101" i="4" s="1"/>
  <c r="F101" i="4" a="1"/>
  <c r="F101" i="4" s="1"/>
  <c r="E101" i="4" a="1"/>
  <c r="E101" i="4" s="1"/>
  <c r="D101" i="4" a="1"/>
  <c r="D101" i="4" s="1"/>
  <c r="J100" i="4" a="1"/>
  <c r="J100" i="4" s="1"/>
  <c r="I100" i="4" a="1"/>
  <c r="I100" i="4" s="1"/>
  <c r="H100" i="4" a="1"/>
  <c r="H100" i="4" s="1"/>
  <c r="G100" i="4" a="1"/>
  <c r="G100" i="4" s="1"/>
  <c r="F100" i="4" a="1"/>
  <c r="F100" i="4" s="1"/>
  <c r="E100" i="4" a="1"/>
  <c r="E100" i="4" s="1"/>
  <c r="D100" i="4" a="1"/>
  <c r="D100" i="4" s="1"/>
  <c r="J99" i="4" a="1"/>
  <c r="J99" i="4" s="1"/>
  <c r="I99" i="4" a="1"/>
  <c r="I99" i="4" s="1"/>
  <c r="H99" i="4" a="1"/>
  <c r="H99" i="4" s="1"/>
  <c r="G99" i="4" a="1"/>
  <c r="G99" i="4" s="1"/>
  <c r="F99" i="4" a="1"/>
  <c r="F99" i="4" s="1"/>
  <c r="E99" i="4" a="1"/>
  <c r="E99" i="4" s="1"/>
  <c r="D99" i="4" a="1"/>
  <c r="D99" i="4" s="1"/>
  <c r="J98" i="4" a="1"/>
  <c r="J98" i="4" s="1"/>
  <c r="I98" i="4" a="1"/>
  <c r="I98" i="4" s="1"/>
  <c r="H98" i="4" a="1"/>
  <c r="H98" i="4" s="1"/>
  <c r="G98" i="4" a="1"/>
  <c r="G98" i="4" s="1"/>
  <c r="F98" i="4" a="1"/>
  <c r="F98" i="4" s="1"/>
  <c r="E98" i="4" a="1"/>
  <c r="E98" i="4" s="1"/>
  <c r="D98" i="4" a="1"/>
  <c r="D98" i="4" s="1"/>
  <c r="J97" i="4" a="1"/>
  <c r="J97" i="4" s="1"/>
  <c r="I97" i="4" a="1"/>
  <c r="I97" i="4" s="1"/>
  <c r="H97" i="4" a="1"/>
  <c r="H97" i="4" s="1"/>
  <c r="G97" i="4" a="1"/>
  <c r="G97" i="4" s="1"/>
  <c r="F97" i="4" a="1"/>
  <c r="F97" i="4" s="1"/>
  <c r="E97" i="4" a="1"/>
  <c r="E97" i="4" s="1"/>
  <c r="D97" i="4" a="1"/>
  <c r="D97" i="4" s="1"/>
  <c r="J96" i="4" a="1"/>
  <c r="J96" i="4" s="1"/>
  <c r="I96" i="4" a="1"/>
  <c r="I96" i="4" s="1"/>
  <c r="H96" i="4" a="1"/>
  <c r="H96" i="4" s="1"/>
  <c r="G96" i="4" a="1"/>
  <c r="G96" i="4" s="1"/>
  <c r="F96" i="4" a="1"/>
  <c r="F96" i="4" s="1"/>
  <c r="E96" i="4" a="1"/>
  <c r="E96" i="4" s="1"/>
  <c r="D96" i="4" a="1"/>
  <c r="D96" i="4" s="1"/>
  <c r="J95" i="4" a="1"/>
  <c r="J95" i="4" s="1"/>
  <c r="I95" i="4" a="1"/>
  <c r="I95" i="4" s="1"/>
  <c r="H95" i="4" a="1"/>
  <c r="H95" i="4" s="1"/>
  <c r="G95" i="4" a="1"/>
  <c r="G95" i="4" s="1"/>
  <c r="F95" i="4" a="1"/>
  <c r="F95" i="4" s="1"/>
  <c r="E95" i="4" a="1"/>
  <c r="E95" i="4" s="1"/>
  <c r="D95" i="4" a="1"/>
  <c r="D95" i="4" s="1"/>
  <c r="J94" i="4" a="1"/>
  <c r="J94" i="4" s="1"/>
  <c r="I94" i="4" a="1"/>
  <c r="I94" i="4" s="1"/>
  <c r="H94" i="4" a="1"/>
  <c r="H94" i="4" s="1"/>
  <c r="G94" i="4" a="1"/>
  <c r="G94" i="4" s="1"/>
  <c r="F94" i="4" a="1"/>
  <c r="F94" i="4" s="1"/>
  <c r="E94" i="4" a="1"/>
  <c r="E94" i="4" s="1"/>
  <c r="D94" i="4" a="1"/>
  <c r="D94" i="4" s="1"/>
  <c r="J93" i="4" a="1"/>
  <c r="J93" i="4" s="1"/>
  <c r="I93" i="4" a="1"/>
  <c r="I93" i="4" s="1"/>
  <c r="H93" i="4" a="1"/>
  <c r="H93" i="4" s="1"/>
  <c r="G93" i="4" a="1"/>
  <c r="G93" i="4" s="1"/>
  <c r="F93" i="4" a="1"/>
  <c r="F93" i="4" s="1"/>
  <c r="E93" i="4" a="1"/>
  <c r="E93" i="4" s="1"/>
  <c r="D93" i="4" a="1"/>
  <c r="D93" i="4" s="1"/>
  <c r="J92" i="4" a="1"/>
  <c r="J92" i="4" s="1"/>
  <c r="I92" i="4" a="1"/>
  <c r="I92" i="4" s="1"/>
  <c r="H92" i="4" a="1"/>
  <c r="H92" i="4" s="1"/>
  <c r="G92" i="4" a="1"/>
  <c r="G92" i="4" s="1"/>
  <c r="F92" i="4" a="1"/>
  <c r="F92" i="4" s="1"/>
  <c r="E92" i="4" a="1"/>
  <c r="E92" i="4" s="1"/>
  <c r="D92" i="4" a="1"/>
  <c r="D92" i="4" s="1"/>
  <c r="J91" i="4" a="1"/>
  <c r="J91" i="4" s="1"/>
  <c r="I91" i="4" a="1"/>
  <c r="I91" i="4" s="1"/>
  <c r="H91" i="4" a="1"/>
  <c r="H91" i="4" s="1"/>
  <c r="G91" i="4" a="1"/>
  <c r="G91" i="4" s="1"/>
  <c r="F91" i="4" a="1"/>
  <c r="F91" i="4" s="1"/>
  <c r="E91" i="4" a="1"/>
  <c r="E91" i="4" s="1"/>
  <c r="D91" i="4" a="1"/>
  <c r="D91" i="4" s="1"/>
  <c r="J90" i="4" a="1"/>
  <c r="J90" i="4" s="1"/>
  <c r="I90" i="4" a="1"/>
  <c r="I90" i="4" s="1"/>
  <c r="H90" i="4" a="1"/>
  <c r="H90" i="4" s="1"/>
  <c r="G90" i="4" a="1"/>
  <c r="G90" i="4" s="1"/>
  <c r="F90" i="4" a="1"/>
  <c r="F90" i="4" s="1"/>
  <c r="E90" i="4" a="1"/>
  <c r="E90" i="4" s="1"/>
  <c r="D90" i="4" a="1"/>
  <c r="D90" i="4" s="1"/>
  <c r="J89" i="4" a="1"/>
  <c r="J89" i="4" s="1"/>
  <c r="I89" i="4" a="1"/>
  <c r="I89" i="4" s="1"/>
  <c r="H89" i="4" a="1"/>
  <c r="H89" i="4" s="1"/>
  <c r="G89" i="4" a="1"/>
  <c r="G89" i="4" s="1"/>
  <c r="F89" i="4" a="1"/>
  <c r="F89" i="4" s="1"/>
  <c r="E89" i="4" a="1"/>
  <c r="E89" i="4" s="1"/>
  <c r="D89" i="4" a="1"/>
  <c r="D89" i="4" s="1"/>
  <c r="J88" i="4" a="1"/>
  <c r="J88" i="4" s="1"/>
  <c r="I88" i="4" a="1"/>
  <c r="I88" i="4" s="1"/>
  <c r="H88" i="4" a="1"/>
  <c r="H88" i="4" s="1"/>
  <c r="G88" i="4" a="1"/>
  <c r="G88" i="4" s="1"/>
  <c r="F88" i="4" a="1"/>
  <c r="F88" i="4" s="1"/>
  <c r="E88" i="4" a="1"/>
  <c r="E88" i="4" s="1"/>
  <c r="D88" i="4" a="1"/>
  <c r="D88" i="4" s="1"/>
  <c r="J87" i="4" a="1"/>
  <c r="J87" i="4" s="1"/>
  <c r="I87" i="4" a="1"/>
  <c r="I87" i="4" s="1"/>
  <c r="H87" i="4" a="1"/>
  <c r="H87" i="4" s="1"/>
  <c r="G87" i="4" a="1"/>
  <c r="G87" i="4" s="1"/>
  <c r="F87" i="4" a="1"/>
  <c r="F87" i="4" s="1"/>
  <c r="E87" i="4" a="1"/>
  <c r="E87" i="4" s="1"/>
  <c r="D87" i="4" a="1"/>
  <c r="D87" i="4" s="1"/>
  <c r="D84" i="4" a="1"/>
  <c r="D84" i="4" s="1"/>
  <c r="D83" i="4" a="1"/>
  <c r="D83" i="4" s="1"/>
  <c r="D82" i="4" a="1"/>
  <c r="D82" i="4" s="1"/>
  <c r="D81" i="4" a="1"/>
  <c r="D81" i="4" s="1"/>
  <c r="K77" i="4" a="1"/>
  <c r="K77" i="4" s="1"/>
  <c r="J77" i="4" a="1"/>
  <c r="J77" i="4" s="1"/>
  <c r="I77" i="4" a="1"/>
  <c r="I77" i="4" s="1"/>
  <c r="H77" i="4" a="1"/>
  <c r="H77" i="4" s="1"/>
  <c r="G77" i="4" a="1"/>
  <c r="G77" i="4" s="1"/>
  <c r="F77" i="4" a="1"/>
  <c r="F77" i="4" s="1"/>
  <c r="E77" i="4" a="1"/>
  <c r="E77" i="4" s="1"/>
  <c r="D77" i="4" a="1"/>
  <c r="D77" i="4" s="1"/>
  <c r="K76" i="4" a="1"/>
  <c r="K76" i="4" s="1"/>
  <c r="J76" i="4" a="1"/>
  <c r="J76" i="4" s="1"/>
  <c r="I76" i="4" a="1"/>
  <c r="I76" i="4" s="1"/>
  <c r="H76" i="4" a="1"/>
  <c r="H76" i="4" s="1"/>
  <c r="G76" i="4" a="1"/>
  <c r="G76" i="4" s="1"/>
  <c r="F76" i="4" a="1"/>
  <c r="F76" i="4" s="1"/>
  <c r="E76" i="4" a="1"/>
  <c r="E76" i="4" s="1"/>
  <c r="D76" i="4" a="1"/>
  <c r="D76" i="4" s="1"/>
  <c r="K75" i="4" a="1"/>
  <c r="K75" i="4" s="1"/>
  <c r="J75" i="4" a="1"/>
  <c r="J75" i="4" s="1"/>
  <c r="I75" i="4" a="1"/>
  <c r="I75" i="4" s="1"/>
  <c r="H75" i="4" a="1"/>
  <c r="H75" i="4" s="1"/>
  <c r="G75" i="4" a="1"/>
  <c r="G75" i="4" s="1"/>
  <c r="F75" i="4" a="1"/>
  <c r="F75" i="4" s="1"/>
  <c r="E75" i="4" a="1"/>
  <c r="E75" i="4" s="1"/>
  <c r="D75" i="4" a="1"/>
  <c r="D75" i="4" s="1"/>
  <c r="K74" i="4" a="1"/>
  <c r="K74" i="4" s="1"/>
  <c r="J74" i="4" a="1"/>
  <c r="J74" i="4" s="1"/>
  <c r="I74" i="4" a="1"/>
  <c r="I74" i="4" s="1"/>
  <c r="H74" i="4" a="1"/>
  <c r="H74" i="4" s="1"/>
  <c r="G74" i="4" a="1"/>
  <c r="G74" i="4" s="1"/>
  <c r="F74" i="4" a="1"/>
  <c r="F74" i="4" s="1"/>
  <c r="E74" i="4" a="1"/>
  <c r="E74" i="4" s="1"/>
  <c r="D74" i="4" a="1"/>
  <c r="D74" i="4" s="1"/>
  <c r="K73" i="4" a="1"/>
  <c r="K73" i="4" s="1"/>
  <c r="J73" i="4" a="1"/>
  <c r="J73" i="4" s="1"/>
  <c r="I73" i="4" a="1"/>
  <c r="I73" i="4" s="1"/>
  <c r="H73" i="4" a="1"/>
  <c r="H73" i="4" s="1"/>
  <c r="G73" i="4" a="1"/>
  <c r="G73" i="4" s="1"/>
  <c r="F73" i="4" a="1"/>
  <c r="F73" i="4" s="1"/>
  <c r="E73" i="4" a="1"/>
  <c r="E73" i="4" s="1"/>
  <c r="D73" i="4" a="1"/>
  <c r="D73" i="4" s="1"/>
  <c r="K72" i="4" a="1"/>
  <c r="K72" i="4" s="1"/>
  <c r="J72" i="4" a="1"/>
  <c r="J72" i="4" s="1"/>
  <c r="I72" i="4" a="1"/>
  <c r="I72" i="4" s="1"/>
  <c r="H72" i="4" a="1"/>
  <c r="H72" i="4" s="1"/>
  <c r="G72" i="4" a="1"/>
  <c r="G72" i="4" s="1"/>
  <c r="F72" i="4" a="1"/>
  <c r="F72" i="4" s="1"/>
  <c r="E72" i="4" a="1"/>
  <c r="E72" i="4" s="1"/>
  <c r="D72" i="4" a="1"/>
  <c r="D72" i="4" s="1"/>
  <c r="K71" i="4" a="1"/>
  <c r="K71" i="4" s="1"/>
  <c r="J71" i="4" a="1"/>
  <c r="J71" i="4" s="1"/>
  <c r="I71" i="4" a="1"/>
  <c r="I71" i="4" s="1"/>
  <c r="H71" i="4" a="1"/>
  <c r="H71" i="4" s="1"/>
  <c r="G71" i="4" a="1"/>
  <c r="G71" i="4" s="1"/>
  <c r="F71" i="4" a="1"/>
  <c r="F71" i="4" s="1"/>
  <c r="E71" i="4" a="1"/>
  <c r="E71" i="4" s="1"/>
  <c r="D71" i="4" a="1"/>
  <c r="D71" i="4" s="1"/>
  <c r="K70" i="4" a="1"/>
  <c r="K70" i="4" s="1"/>
  <c r="J70" i="4" a="1"/>
  <c r="J70" i="4" s="1"/>
  <c r="I70" i="4" a="1"/>
  <c r="I70" i="4" s="1"/>
  <c r="H70" i="4" a="1"/>
  <c r="H70" i="4" s="1"/>
  <c r="G70" i="4" a="1"/>
  <c r="G70" i="4" s="1"/>
  <c r="F70" i="4" a="1"/>
  <c r="F70" i="4" s="1"/>
  <c r="E70" i="4" a="1"/>
  <c r="E70" i="4" s="1"/>
  <c r="D70" i="4" a="1"/>
  <c r="D70" i="4" s="1"/>
  <c r="K69" i="4" a="1"/>
  <c r="K69" i="4" s="1"/>
  <c r="J69" i="4" a="1"/>
  <c r="J69" i="4" s="1"/>
  <c r="I69" i="4" a="1"/>
  <c r="I69" i="4" s="1"/>
  <c r="H69" i="4" a="1"/>
  <c r="H69" i="4" s="1"/>
  <c r="G69" i="4" a="1"/>
  <c r="G69" i="4" s="1"/>
  <c r="F69" i="4" a="1"/>
  <c r="F69" i="4" s="1"/>
  <c r="E69" i="4" a="1"/>
  <c r="E69" i="4" s="1"/>
  <c r="D69" i="4" a="1"/>
  <c r="D69" i="4" s="1"/>
  <c r="K68" i="4" a="1"/>
  <c r="K68" i="4" s="1"/>
  <c r="J68" i="4" a="1"/>
  <c r="J68" i="4" s="1"/>
  <c r="I68" i="4" a="1"/>
  <c r="I68" i="4" s="1"/>
  <c r="H68" i="4" a="1"/>
  <c r="H68" i="4" s="1"/>
  <c r="G68" i="4" a="1"/>
  <c r="G68" i="4" s="1"/>
  <c r="F68" i="4" a="1"/>
  <c r="F68" i="4" s="1"/>
  <c r="E68" i="4" a="1"/>
  <c r="E68" i="4" s="1"/>
  <c r="D68" i="4" a="1"/>
  <c r="D68" i="4" s="1"/>
  <c r="K67" i="4" a="1"/>
  <c r="K67" i="4" s="1"/>
  <c r="J67" i="4" a="1"/>
  <c r="J67" i="4" s="1"/>
  <c r="I67" i="4" a="1"/>
  <c r="I67" i="4" s="1"/>
  <c r="H67" i="4" a="1"/>
  <c r="H67" i="4" s="1"/>
  <c r="G67" i="4" a="1"/>
  <c r="G67" i="4" s="1"/>
  <c r="F67" i="4" a="1"/>
  <c r="F67" i="4" s="1"/>
  <c r="E67" i="4" a="1"/>
  <c r="E67" i="4" s="1"/>
  <c r="D67" i="4" a="1"/>
  <c r="D67" i="4" s="1"/>
  <c r="K66" i="4" a="1"/>
  <c r="K66" i="4" s="1"/>
  <c r="J66" i="4" a="1"/>
  <c r="J66" i="4" s="1"/>
  <c r="I66" i="4" a="1"/>
  <c r="I66" i="4" s="1"/>
  <c r="H66" i="4" a="1"/>
  <c r="H66" i="4" s="1"/>
  <c r="G66" i="4" a="1"/>
  <c r="G66" i="4" s="1"/>
  <c r="F66" i="4" a="1"/>
  <c r="F66" i="4" s="1"/>
  <c r="E66" i="4" a="1"/>
  <c r="E66" i="4" s="1"/>
  <c r="D66" i="4" a="1"/>
  <c r="D66" i="4" s="1"/>
  <c r="K65" i="4" a="1"/>
  <c r="K65" i="4" s="1"/>
  <c r="J65" i="4" a="1"/>
  <c r="J65" i="4" s="1"/>
  <c r="I65" i="4" a="1"/>
  <c r="I65" i="4" s="1"/>
  <c r="H65" i="4" a="1"/>
  <c r="H65" i="4" s="1"/>
  <c r="G65" i="4" a="1"/>
  <c r="G65" i="4" s="1"/>
  <c r="F65" i="4" a="1"/>
  <c r="F65" i="4" s="1"/>
  <c r="E65" i="4" a="1"/>
  <c r="E65" i="4" s="1"/>
  <c r="D65" i="4" a="1"/>
  <c r="D65" i="4" s="1"/>
  <c r="K64" i="4" a="1"/>
  <c r="K64" i="4" s="1"/>
  <c r="J64" i="4" a="1"/>
  <c r="J64" i="4" s="1"/>
  <c r="I64" i="4" a="1"/>
  <c r="I64" i="4" s="1"/>
  <c r="H64" i="4" a="1"/>
  <c r="H64" i="4" s="1"/>
  <c r="G64" i="4" a="1"/>
  <c r="G64" i="4" s="1"/>
  <c r="F64" i="4" a="1"/>
  <c r="F64" i="4" s="1"/>
  <c r="E64" i="4" a="1"/>
  <c r="E64" i="4" s="1"/>
  <c r="D64" i="4" a="1"/>
  <c r="D64" i="4" s="1"/>
  <c r="K63" i="4" a="1"/>
  <c r="K63" i="4" s="1"/>
  <c r="J63" i="4" a="1"/>
  <c r="J63" i="4" s="1"/>
  <c r="I63" i="4" a="1"/>
  <c r="I63" i="4" s="1"/>
  <c r="H63" i="4" a="1"/>
  <c r="H63" i="4" s="1"/>
  <c r="G63" i="4" a="1"/>
  <c r="G63" i="4" s="1"/>
  <c r="F63" i="4" a="1"/>
  <c r="F63" i="4" s="1"/>
  <c r="E63" i="4" a="1"/>
  <c r="E63" i="4" s="1"/>
  <c r="D63" i="4" a="1"/>
  <c r="D63" i="4" s="1"/>
  <c r="K62" i="4" a="1"/>
  <c r="K62" i="4" s="1"/>
  <c r="J62" i="4" a="1"/>
  <c r="J62" i="4" s="1"/>
  <c r="I62" i="4" a="1"/>
  <c r="I62" i="4" s="1"/>
  <c r="H62" i="4" a="1"/>
  <c r="H62" i="4" s="1"/>
  <c r="G62" i="4" a="1"/>
  <c r="G62" i="4" s="1"/>
  <c r="F62" i="4" a="1"/>
  <c r="F62" i="4" s="1"/>
  <c r="E62" i="4" a="1"/>
  <c r="E62" i="4" s="1"/>
  <c r="D62" i="4" a="1"/>
  <c r="D62" i="4" s="1"/>
  <c r="K61" i="4" a="1"/>
  <c r="K61" i="4" s="1"/>
  <c r="J61" i="4" a="1"/>
  <c r="J61" i="4" s="1"/>
  <c r="I61" i="4" a="1"/>
  <c r="I61" i="4" s="1"/>
  <c r="H61" i="4" a="1"/>
  <c r="H61" i="4" s="1"/>
  <c r="G61" i="4" a="1"/>
  <c r="G61" i="4" s="1"/>
  <c r="F61" i="4" a="1"/>
  <c r="F61" i="4" s="1"/>
  <c r="E61" i="4" a="1"/>
  <c r="E61" i="4" s="1"/>
  <c r="D61" i="4" a="1"/>
  <c r="D61" i="4" s="1"/>
  <c r="K60" i="4" a="1"/>
  <c r="K60" i="4" s="1"/>
  <c r="J60" i="4" a="1"/>
  <c r="J60" i="4" s="1"/>
  <c r="I60" i="4" a="1"/>
  <c r="I60" i="4" s="1"/>
  <c r="H60" i="4" a="1"/>
  <c r="H60" i="4" s="1"/>
  <c r="G60" i="4" a="1"/>
  <c r="G60" i="4" s="1"/>
  <c r="F60" i="4" a="1"/>
  <c r="F60" i="4" s="1"/>
  <c r="E60" i="4" a="1"/>
  <c r="E60" i="4" s="1"/>
  <c r="D60" i="4" a="1"/>
  <c r="D60" i="4" s="1"/>
  <c r="K59" i="4" a="1"/>
  <c r="K59" i="4" s="1"/>
  <c r="J59" i="4" a="1"/>
  <c r="J59" i="4" s="1"/>
  <c r="I59" i="4" a="1"/>
  <c r="I59" i="4" s="1"/>
  <c r="H59" i="4" a="1"/>
  <c r="H59" i="4" s="1"/>
  <c r="G59" i="4" a="1"/>
  <c r="G59" i="4" s="1"/>
  <c r="F59" i="4" a="1"/>
  <c r="F59" i="4" s="1"/>
  <c r="E59" i="4" a="1"/>
  <c r="E59" i="4" s="1"/>
  <c r="D59" i="4" a="1"/>
  <c r="D59" i="4" s="1"/>
  <c r="K58" i="4" a="1"/>
  <c r="K58" i="4" s="1"/>
  <c r="J58" i="4" a="1"/>
  <c r="J58" i="4" s="1"/>
  <c r="I58" i="4" a="1"/>
  <c r="I58" i="4" s="1"/>
  <c r="H58" i="4" a="1"/>
  <c r="H58" i="4" s="1"/>
  <c r="G58" i="4" a="1"/>
  <c r="G58" i="4" s="1"/>
  <c r="F58" i="4" a="1"/>
  <c r="F58" i="4" s="1"/>
  <c r="E58" i="4" a="1"/>
  <c r="E58" i="4" s="1"/>
  <c r="D58" i="4" a="1"/>
  <c r="D58" i="4" s="1"/>
  <c r="K57" i="4" a="1"/>
  <c r="K57" i="4" s="1"/>
  <c r="J57" i="4" a="1"/>
  <c r="J57" i="4" s="1"/>
  <c r="I57" i="4" a="1"/>
  <c r="I57" i="4" s="1"/>
  <c r="H57" i="4" a="1"/>
  <c r="H57" i="4" s="1"/>
  <c r="G57" i="4" a="1"/>
  <c r="G57" i="4" s="1"/>
  <c r="F57" i="4" a="1"/>
  <c r="F57" i="4" s="1"/>
  <c r="E57" i="4" a="1"/>
  <c r="E57" i="4" s="1"/>
  <c r="D57" i="4" a="1"/>
  <c r="D57" i="4" s="1"/>
  <c r="K56" i="4" a="1"/>
  <c r="K56" i="4" s="1"/>
  <c r="J56" i="4" a="1"/>
  <c r="J56" i="4" s="1"/>
  <c r="I56" i="4" a="1"/>
  <c r="I56" i="4" s="1"/>
  <c r="H56" i="4" a="1"/>
  <c r="H56" i="4" s="1"/>
  <c r="G56" i="4" a="1"/>
  <c r="G56" i="4" s="1"/>
  <c r="F56" i="4" a="1"/>
  <c r="F56" i="4" s="1"/>
  <c r="E56" i="4" a="1"/>
  <c r="E56" i="4" s="1"/>
  <c r="D56" i="4" a="1"/>
  <c r="D56" i="4" s="1"/>
  <c r="K55" i="4" a="1"/>
  <c r="K55" i="4" s="1"/>
  <c r="J55" i="4" a="1"/>
  <c r="J55" i="4" s="1"/>
  <c r="I55" i="4" a="1"/>
  <c r="I55" i="4" s="1"/>
  <c r="H55" i="4" a="1"/>
  <c r="H55" i="4" s="1"/>
  <c r="G55" i="4" a="1"/>
  <c r="G55" i="4" s="1"/>
  <c r="F55" i="4" a="1"/>
  <c r="F55" i="4" s="1"/>
  <c r="E55" i="4" a="1"/>
  <c r="E55" i="4" s="1"/>
  <c r="D55" i="4" a="1"/>
  <c r="D55" i="4" s="1"/>
  <c r="K54" i="4" a="1"/>
  <c r="K54" i="4" s="1"/>
  <c r="J54" i="4" a="1"/>
  <c r="J54" i="4" s="1"/>
  <c r="I54" i="4" a="1"/>
  <c r="I54" i="4" s="1"/>
  <c r="H54" i="4" a="1"/>
  <c r="H54" i="4" s="1"/>
  <c r="G54" i="4" a="1"/>
  <c r="G54" i="4" s="1"/>
  <c r="F54" i="4" a="1"/>
  <c r="F54" i="4" s="1"/>
  <c r="E54" i="4" a="1"/>
  <c r="E54" i="4" s="1"/>
  <c r="D54" i="4" a="1"/>
  <c r="D54" i="4" s="1"/>
  <c r="D52" i="4" a="1"/>
  <c r="D52" i="4" s="1"/>
  <c r="D51" i="4" a="1"/>
  <c r="D51" i="4" s="1"/>
  <c r="D50" i="4" a="1"/>
  <c r="D50" i="4" s="1"/>
  <c r="D49" i="4" a="1"/>
  <c r="D49" i="4" s="1"/>
  <c r="J43" i="4" a="1"/>
  <c r="J43" i="4" s="1"/>
  <c r="I43" i="4" a="1"/>
  <c r="I43" i="4" s="1"/>
  <c r="H43" i="4" a="1"/>
  <c r="H43" i="4" s="1"/>
  <c r="G43" i="4" a="1"/>
  <c r="G43" i="4" s="1"/>
  <c r="F43" i="4" a="1"/>
  <c r="F43" i="4" s="1"/>
  <c r="E43" i="4" a="1"/>
  <c r="E43" i="4" s="1"/>
  <c r="D43" i="4" a="1"/>
  <c r="D43" i="4" s="1"/>
  <c r="J42" i="4" a="1"/>
  <c r="J42" i="4" s="1"/>
  <c r="I42" i="4" a="1"/>
  <c r="I42" i="4" s="1"/>
  <c r="H42" i="4" a="1"/>
  <c r="H42" i="4" s="1"/>
  <c r="G42" i="4" a="1"/>
  <c r="G42" i="4" s="1"/>
  <c r="F42" i="4" a="1"/>
  <c r="F42" i="4" s="1"/>
  <c r="E42" i="4" a="1"/>
  <c r="E42" i="4" s="1"/>
  <c r="D42" i="4" a="1"/>
  <c r="D42" i="4" s="1"/>
  <c r="J41" i="4" a="1"/>
  <c r="J41" i="4" s="1"/>
  <c r="I41" i="4" a="1"/>
  <c r="I41" i="4" s="1"/>
  <c r="H41" i="4" a="1"/>
  <c r="H41" i="4" s="1"/>
  <c r="G41" i="4" a="1"/>
  <c r="G41" i="4" s="1"/>
  <c r="F41" i="4" a="1"/>
  <c r="F41" i="4" s="1"/>
  <c r="E41" i="4" a="1"/>
  <c r="E41" i="4" s="1"/>
  <c r="D41" i="4" a="1"/>
  <c r="D41" i="4" s="1"/>
  <c r="J40" i="4" a="1"/>
  <c r="J40" i="4" s="1"/>
  <c r="I40" i="4" a="1"/>
  <c r="I40" i="4" s="1"/>
  <c r="H40" i="4" a="1"/>
  <c r="H40" i="4" s="1"/>
  <c r="G40" i="4" a="1"/>
  <c r="G40" i="4" s="1"/>
  <c r="F40" i="4" a="1"/>
  <c r="F40" i="4" s="1"/>
  <c r="E40" i="4" a="1"/>
  <c r="E40" i="4" s="1"/>
  <c r="D40" i="4" a="1"/>
  <c r="D40" i="4" s="1"/>
  <c r="D38" i="4" a="1"/>
  <c r="D38" i="4" s="1"/>
  <c r="D37" i="4" a="1"/>
  <c r="D37" i="4" s="1"/>
  <c r="L34" i="4" a="1"/>
  <c r="L34" i="4" s="1"/>
  <c r="K34" i="4" a="1"/>
  <c r="K34" i="4" s="1"/>
  <c r="J34" i="4" a="1"/>
  <c r="J34" i="4" s="1"/>
  <c r="I34" i="4" a="1"/>
  <c r="I34" i="4" s="1"/>
  <c r="H34" i="4" a="1"/>
  <c r="H34" i="4" s="1"/>
  <c r="G34" i="4" a="1"/>
  <c r="G34" i="4" s="1"/>
  <c r="F34" i="4" a="1"/>
  <c r="F34" i="4" s="1"/>
  <c r="E34" i="4" a="1"/>
  <c r="E34" i="4" s="1"/>
  <c r="D34" i="4" a="1"/>
  <c r="D34" i="4" s="1"/>
  <c r="L33" i="4" a="1"/>
  <c r="L33" i="4" s="1"/>
  <c r="K33" i="4" a="1"/>
  <c r="K33" i="4" s="1"/>
  <c r="J33" i="4" a="1"/>
  <c r="J33" i="4" s="1"/>
  <c r="I33" i="4" a="1"/>
  <c r="I33" i="4" s="1"/>
  <c r="H33" i="4" a="1"/>
  <c r="H33" i="4" s="1"/>
  <c r="G33" i="4" a="1"/>
  <c r="G33" i="4" s="1"/>
  <c r="F33" i="4" a="1"/>
  <c r="F33" i="4" s="1"/>
  <c r="E33" i="4" a="1"/>
  <c r="E33" i="4" s="1"/>
  <c r="E20" i="1" s="1"/>
  <c r="D33" i="4" a="1"/>
  <c r="D33" i="4" s="1"/>
  <c r="L32" i="4" a="1"/>
  <c r="L32" i="4" s="1"/>
  <c r="K32" i="4" a="1"/>
  <c r="K32" i="4" s="1"/>
  <c r="J32" i="4" a="1"/>
  <c r="J32" i="4" s="1"/>
  <c r="I32" i="4" a="1"/>
  <c r="I32" i="4" s="1"/>
  <c r="H32" i="4" a="1"/>
  <c r="H32" i="4" s="1"/>
  <c r="G32" i="4" a="1"/>
  <c r="G32" i="4" s="1"/>
  <c r="F32" i="4" a="1"/>
  <c r="F32" i="4" s="1"/>
  <c r="E32" i="4" a="1"/>
  <c r="E32" i="4" s="1"/>
  <c r="D32" i="4" a="1"/>
  <c r="D32" i="4" s="1"/>
  <c r="L31" i="4" a="1"/>
  <c r="L31" i="4" s="1"/>
  <c r="K31" i="4" a="1"/>
  <c r="K31" i="4" s="1"/>
  <c r="J31" i="4" a="1"/>
  <c r="J31" i="4" s="1"/>
  <c r="I31" i="4" a="1"/>
  <c r="I31" i="4" s="1"/>
  <c r="H31" i="4" a="1"/>
  <c r="H31" i="4" s="1"/>
  <c r="G31" i="4" a="1"/>
  <c r="G31" i="4" s="1"/>
  <c r="F31" i="4" a="1"/>
  <c r="F31" i="4" s="1"/>
  <c r="E31" i="4" a="1"/>
  <c r="E31" i="4" s="1"/>
  <c r="D31" i="4" a="1"/>
  <c r="D31" i="4" s="1"/>
  <c r="L30" i="4" a="1"/>
  <c r="L30" i="4" s="1"/>
  <c r="K30" i="4" a="1"/>
  <c r="K30" i="4" s="1"/>
  <c r="J30" i="4" a="1"/>
  <c r="J30" i="4" s="1"/>
  <c r="I30" i="4" a="1"/>
  <c r="I30" i="4" s="1"/>
  <c r="H30" i="4" a="1"/>
  <c r="H30" i="4" s="1"/>
  <c r="G30" i="4" a="1"/>
  <c r="G30" i="4" s="1"/>
  <c r="F30" i="4" a="1"/>
  <c r="F30" i="4" s="1"/>
  <c r="E30" i="4" a="1"/>
  <c r="E30" i="4" s="1"/>
  <c r="E17" i="1" s="1"/>
  <c r="D30" i="4" a="1"/>
  <c r="D30" i="4" s="1"/>
  <c r="L29" i="4" a="1"/>
  <c r="L29" i="4" s="1"/>
  <c r="K29" i="4" a="1"/>
  <c r="K29" i="4" s="1"/>
  <c r="J29" i="4" a="1"/>
  <c r="J29" i="4" s="1"/>
  <c r="I29" i="4" a="1"/>
  <c r="I29" i="4" s="1"/>
  <c r="H29" i="4" a="1"/>
  <c r="H29" i="4" s="1"/>
  <c r="G29" i="4" a="1"/>
  <c r="G29" i="4" s="1"/>
  <c r="F29" i="4" a="1"/>
  <c r="F29" i="4" s="1"/>
  <c r="E29" i="4" a="1"/>
  <c r="E29" i="4" s="1"/>
  <c r="E16" i="1" s="1"/>
  <c r="D29" i="4" a="1"/>
  <c r="D29" i="4" s="1"/>
  <c r="L28" i="4" a="1"/>
  <c r="L28" i="4" s="1"/>
  <c r="K28" i="4" a="1"/>
  <c r="K28" i="4" s="1"/>
  <c r="J28" i="4" a="1"/>
  <c r="J28" i="4" s="1"/>
  <c r="I28" i="4" a="1"/>
  <c r="I28" i="4" s="1"/>
  <c r="H28" i="4" a="1"/>
  <c r="H28" i="4" s="1"/>
  <c r="G28" i="4" a="1"/>
  <c r="G28" i="4" s="1"/>
  <c r="F28" i="4" a="1"/>
  <c r="F28" i="4" s="1"/>
  <c r="E28" i="4" a="1"/>
  <c r="E28" i="4" s="1"/>
  <c r="E15" i="1" s="1"/>
  <c r="D28" i="4" a="1"/>
  <c r="D28" i="4" s="1"/>
  <c r="L27" i="4" a="1"/>
  <c r="L27" i="4" s="1"/>
  <c r="K27" i="4" a="1"/>
  <c r="K27" i="4" s="1"/>
  <c r="J27" i="4" a="1"/>
  <c r="J27" i="4" s="1"/>
  <c r="I27" i="4" a="1"/>
  <c r="I27" i="4" s="1"/>
  <c r="H27" i="4" a="1"/>
  <c r="H27" i="4" s="1"/>
  <c r="G27" i="4" a="1"/>
  <c r="G27" i="4" s="1"/>
  <c r="F27" i="4" a="1"/>
  <c r="F27" i="4" s="1"/>
  <c r="E27" i="4" a="1"/>
  <c r="E27" i="4" s="1"/>
  <c r="D27" i="4" a="1"/>
  <c r="D27" i="4" s="1"/>
  <c r="L26" i="4" a="1"/>
  <c r="L26" i="4" s="1"/>
  <c r="K26" i="4" a="1"/>
  <c r="K26" i="4" s="1"/>
  <c r="J26" i="4" a="1"/>
  <c r="J26" i="4" s="1"/>
  <c r="I26" i="4" a="1"/>
  <c r="I26" i="4" s="1"/>
  <c r="H26" i="4" a="1"/>
  <c r="H26" i="4" s="1"/>
  <c r="G26" i="4" a="1"/>
  <c r="G26" i="4" s="1"/>
  <c r="F26" i="4" a="1"/>
  <c r="F26" i="4" s="1"/>
  <c r="E26" i="4" a="1"/>
  <c r="E26" i="4" s="1"/>
  <c r="D26" i="4" a="1"/>
  <c r="D26" i="4" s="1"/>
  <c r="L25" i="4" a="1"/>
  <c r="L25" i="4" s="1"/>
  <c r="K25" i="4" a="1"/>
  <c r="K25" i="4" s="1"/>
  <c r="J25" i="4" a="1"/>
  <c r="J25" i="4" s="1"/>
  <c r="I25" i="4" a="1"/>
  <c r="I25" i="4" s="1"/>
  <c r="H25" i="4" a="1"/>
  <c r="H25" i="4" s="1"/>
  <c r="G25" i="4" a="1"/>
  <c r="G25" i="4" s="1"/>
  <c r="F25" i="4" a="1"/>
  <c r="F25" i="4" s="1"/>
  <c r="E25" i="4" a="1"/>
  <c r="E25" i="4" s="1"/>
  <c r="D25" i="4" a="1"/>
  <c r="D25" i="4" s="1"/>
  <c r="L24" i="4" a="1"/>
  <c r="L24" i="4" s="1"/>
  <c r="K24" i="4" a="1"/>
  <c r="K24" i="4" s="1"/>
  <c r="J24" i="4" a="1"/>
  <c r="J24" i="4" s="1"/>
  <c r="I24" i="4" a="1"/>
  <c r="I24" i="4" s="1"/>
  <c r="H24" i="4" a="1"/>
  <c r="H24" i="4" s="1"/>
  <c r="G24" i="4" a="1"/>
  <c r="G24" i="4" s="1"/>
  <c r="F24" i="4" a="1"/>
  <c r="F24" i="4" s="1"/>
  <c r="E24" i="4" a="1"/>
  <c r="E24" i="4" s="1"/>
  <c r="D24" i="4" a="1"/>
  <c r="D24" i="4" s="1"/>
  <c r="L23" i="4" a="1"/>
  <c r="L23" i="4" s="1"/>
  <c r="K23" i="4" a="1"/>
  <c r="K23" i="4" s="1"/>
  <c r="J23" i="4" a="1"/>
  <c r="J23" i="4" s="1"/>
  <c r="I23" i="4" a="1"/>
  <c r="I23" i="4" s="1"/>
  <c r="H23" i="4" a="1"/>
  <c r="H23" i="4" s="1"/>
  <c r="G23" i="4" a="1"/>
  <c r="G23" i="4" s="1"/>
  <c r="F23" i="4" a="1"/>
  <c r="F23" i="4" s="1"/>
  <c r="E23" i="4" a="1"/>
  <c r="E23" i="4" s="1"/>
  <c r="D23" i="4" a="1"/>
  <c r="D23" i="4" s="1"/>
  <c r="L22" i="4" a="1"/>
  <c r="L22" i="4" s="1"/>
  <c r="K22" i="4" a="1"/>
  <c r="K22" i="4" s="1"/>
  <c r="J22" i="4" a="1"/>
  <c r="J22" i="4" s="1"/>
  <c r="I22" i="4" a="1"/>
  <c r="I22" i="4" s="1"/>
  <c r="H22" i="4" a="1"/>
  <c r="H22" i="4" s="1"/>
  <c r="G22" i="4" a="1"/>
  <c r="G22" i="4" s="1"/>
  <c r="F22" i="4" a="1"/>
  <c r="F22" i="4" s="1"/>
  <c r="E22" i="4" a="1"/>
  <c r="E22" i="4" s="1"/>
  <c r="D22" i="4" a="1"/>
  <c r="D22" i="4" s="1"/>
  <c r="L21" i="4" a="1"/>
  <c r="L21" i="4" s="1"/>
  <c r="K21" i="4" a="1"/>
  <c r="K21" i="4" s="1"/>
  <c r="J21" i="4" a="1"/>
  <c r="J21" i="4" s="1"/>
  <c r="I21" i="4" a="1"/>
  <c r="I21" i="4" s="1"/>
  <c r="H21" i="4" a="1"/>
  <c r="H21" i="4" s="1"/>
  <c r="G21" i="4" a="1"/>
  <c r="G21" i="4" s="1"/>
  <c r="F21" i="4" a="1"/>
  <c r="F21" i="4" s="1"/>
  <c r="E21" i="4" a="1"/>
  <c r="E21" i="4" s="1"/>
  <c r="D21" i="4" a="1"/>
  <c r="D21" i="4" s="1"/>
  <c r="L20" i="4" a="1"/>
  <c r="L20" i="4" s="1"/>
  <c r="K20" i="4" a="1"/>
  <c r="K20" i="4" s="1"/>
  <c r="J20" i="4" a="1"/>
  <c r="J20" i="4" s="1"/>
  <c r="I20" i="4" a="1"/>
  <c r="I20" i="4" s="1"/>
  <c r="H20" i="4" a="1"/>
  <c r="H20" i="4" s="1"/>
  <c r="G20" i="4" a="1"/>
  <c r="G20" i="4" s="1"/>
  <c r="F20" i="4" a="1"/>
  <c r="F20" i="4" s="1"/>
  <c r="E20" i="4" a="1"/>
  <c r="E20" i="4" s="1"/>
  <c r="D20" i="4" a="1"/>
  <c r="D20" i="4" s="1"/>
  <c r="L19" i="4" a="1"/>
  <c r="L19" i="4" s="1"/>
  <c r="K19" i="4" a="1"/>
  <c r="K19" i="4" s="1"/>
  <c r="J19" i="4" a="1"/>
  <c r="J19" i="4" s="1"/>
  <c r="I19" i="4" a="1"/>
  <c r="I19" i="4" s="1"/>
  <c r="H19" i="4" a="1"/>
  <c r="H19" i="4" s="1"/>
  <c r="G19" i="4" a="1"/>
  <c r="G19" i="4" s="1"/>
  <c r="F19" i="4" a="1"/>
  <c r="F19" i="4" s="1"/>
  <c r="E19" i="4" a="1"/>
  <c r="E19" i="4" s="1"/>
  <c r="D19" i="4" a="1"/>
  <c r="D19" i="4" s="1"/>
  <c r="L18" i="4" a="1"/>
  <c r="L18" i="4" s="1"/>
  <c r="K18" i="4" a="1"/>
  <c r="K18" i="4" s="1"/>
  <c r="J18" i="4" a="1"/>
  <c r="J18" i="4" s="1"/>
  <c r="I18" i="4" a="1"/>
  <c r="I18" i="4" s="1"/>
  <c r="H18" i="4" a="1"/>
  <c r="H18" i="4" s="1"/>
  <c r="G18" i="4" a="1"/>
  <c r="G18" i="4" s="1"/>
  <c r="F18" i="4" a="1"/>
  <c r="F18" i="4" s="1"/>
  <c r="E18" i="4" a="1"/>
  <c r="E18" i="4" s="1"/>
  <c r="D18" i="4" a="1"/>
  <c r="D18" i="4" s="1"/>
  <c r="L17" i="4" a="1"/>
  <c r="L17" i="4" s="1"/>
  <c r="K17" i="4" a="1"/>
  <c r="K17" i="4" s="1"/>
  <c r="J17" i="4" a="1"/>
  <c r="J17" i="4" s="1"/>
  <c r="I17" i="4" a="1"/>
  <c r="I17" i="4" s="1"/>
  <c r="H17" i="4" a="1"/>
  <c r="H17" i="4" s="1"/>
  <c r="G17" i="4" a="1"/>
  <c r="G17" i="4" s="1"/>
  <c r="F17" i="4" a="1"/>
  <c r="F17" i="4" s="1"/>
  <c r="E17" i="4" a="1"/>
  <c r="E17" i="4" s="1"/>
  <c r="E13" i="1" s="1"/>
  <c r="D17" i="4" a="1"/>
  <c r="D17" i="4" s="1"/>
  <c r="A17" i="4"/>
  <c r="L16" i="4" a="1"/>
  <c r="L16" i="4" s="1"/>
  <c r="K16" i="4" a="1"/>
  <c r="K16" i="4" s="1"/>
  <c r="J16" i="4" a="1"/>
  <c r="J16" i="4" s="1"/>
  <c r="I16" i="4" a="1"/>
  <c r="I16" i="4" s="1"/>
  <c r="H16" i="4" a="1"/>
  <c r="H16" i="4" s="1"/>
  <c r="G16" i="4" a="1"/>
  <c r="G16" i="4" s="1"/>
  <c r="F16" i="4" a="1"/>
  <c r="F16" i="4" s="1"/>
  <c r="E16" i="4" a="1"/>
  <c r="E16" i="4" s="1"/>
  <c r="E12" i="1" s="1"/>
  <c r="D16" i="4" a="1"/>
  <c r="D16" i="4" s="1"/>
  <c r="A16" i="4"/>
  <c r="L15" i="4" a="1"/>
  <c r="L15" i="4" s="1"/>
  <c r="K15" i="4" a="1"/>
  <c r="K15" i="4" s="1"/>
  <c r="J15" i="4" a="1"/>
  <c r="J15" i="4" s="1"/>
  <c r="I15" i="4" a="1"/>
  <c r="I15" i="4" s="1"/>
  <c r="H15" i="4" a="1"/>
  <c r="H15" i="4" s="1"/>
  <c r="G15" i="4" a="1"/>
  <c r="G15" i="4" s="1"/>
  <c r="F15" i="4" a="1"/>
  <c r="F15" i="4" s="1"/>
  <c r="E15" i="4" a="1"/>
  <c r="E15" i="4" s="1"/>
  <c r="E11" i="1" s="1"/>
  <c r="D15" i="4" a="1"/>
  <c r="D15" i="4" s="1"/>
  <c r="L14" i="4" a="1"/>
  <c r="L14" i="4" s="1"/>
  <c r="K14" i="4" a="1"/>
  <c r="K14" i="4" s="1"/>
  <c r="J14" i="4" a="1"/>
  <c r="J14" i="4" s="1"/>
  <c r="I14" i="4" a="1"/>
  <c r="I14" i="4" s="1"/>
  <c r="H14" i="4" a="1"/>
  <c r="H14" i="4" s="1"/>
  <c r="G14" i="4" a="1"/>
  <c r="G14" i="4" s="1"/>
  <c r="F14" i="4" a="1"/>
  <c r="F14" i="4" s="1"/>
  <c r="E14" i="4" a="1"/>
  <c r="E14" i="4" s="1"/>
  <c r="E10" i="1" s="1"/>
  <c r="D14" i="4" a="1"/>
  <c r="D14" i="4" s="1"/>
  <c r="L13" i="4" a="1"/>
  <c r="L13" i="4" s="1"/>
  <c r="K13" i="4" a="1"/>
  <c r="K13" i="4" s="1"/>
  <c r="J13" i="4" a="1"/>
  <c r="J13" i="4" s="1"/>
  <c r="I13" i="4" a="1"/>
  <c r="I13" i="4" s="1"/>
  <c r="H13" i="4" a="1"/>
  <c r="H13" i="4" s="1"/>
  <c r="G13" i="4" a="1"/>
  <c r="G13" i="4" s="1"/>
  <c r="F13" i="4" a="1"/>
  <c r="F13" i="4" s="1"/>
  <c r="E13" i="4" a="1"/>
  <c r="E13" i="4" s="1"/>
  <c r="E9" i="1" s="1"/>
  <c r="D13" i="4" a="1"/>
  <c r="D13" i="4" s="1"/>
  <c r="A13" i="4"/>
  <c r="L12" i="4" a="1"/>
  <c r="L12" i="4" s="1"/>
  <c r="K12" i="4" a="1"/>
  <c r="K12" i="4" s="1"/>
  <c r="J12" i="4" a="1"/>
  <c r="J12" i="4" s="1"/>
  <c r="I12" i="4" a="1"/>
  <c r="I12" i="4" s="1"/>
  <c r="H12" i="4" a="1"/>
  <c r="H12" i="4" s="1"/>
  <c r="G12" i="4" a="1"/>
  <c r="G12" i="4" s="1"/>
  <c r="F12" i="4" a="1"/>
  <c r="F12" i="4" s="1"/>
  <c r="E12" i="4" a="1"/>
  <c r="E12" i="4" s="1"/>
  <c r="E8" i="1" s="1"/>
  <c r="D12" i="4" a="1"/>
  <c r="D12" i="4" s="1"/>
  <c r="A12" i="4"/>
  <c r="L11" i="4" a="1"/>
  <c r="L11" i="4" s="1"/>
  <c r="K11" i="4" a="1"/>
  <c r="K11" i="4" s="1"/>
  <c r="J11" i="4" a="1"/>
  <c r="J11" i="4" s="1"/>
  <c r="I11" i="4" a="1"/>
  <c r="I11" i="4" s="1"/>
  <c r="H11" i="4" a="1"/>
  <c r="H11" i="4" s="1"/>
  <c r="G11" i="4" a="1"/>
  <c r="G11" i="4" s="1"/>
  <c r="F11" i="4" a="1"/>
  <c r="F11" i="4" s="1"/>
  <c r="E11" i="4" a="1"/>
  <c r="E11" i="4" s="1"/>
  <c r="D11" i="4" a="1"/>
  <c r="D11" i="4" s="1"/>
  <c r="A11" i="4"/>
  <c r="L10" i="4" a="1"/>
  <c r="L10" i="4" s="1"/>
  <c r="K10" i="4" a="1"/>
  <c r="K10" i="4" s="1"/>
  <c r="J10" i="4" a="1"/>
  <c r="J10" i="4" s="1"/>
  <c r="I10" i="4" a="1"/>
  <c r="I10" i="4" s="1"/>
  <c r="H10" i="4" a="1"/>
  <c r="H10" i="4" s="1"/>
  <c r="G10" i="4" a="1"/>
  <c r="G10" i="4" s="1"/>
  <c r="F10" i="4" a="1"/>
  <c r="F10" i="4" s="1"/>
  <c r="E10" i="4" a="1"/>
  <c r="E10" i="4" s="1"/>
  <c r="D10" i="4" a="1"/>
  <c r="D10" i="4" s="1"/>
  <c r="D8" i="4" a="1"/>
  <c r="D8" i="4" s="1"/>
  <c r="A8" i="4"/>
  <c r="D7" i="4" a="1"/>
  <c r="D7" i="4" s="1"/>
  <c r="D6" i="4" a="1"/>
  <c r="D6" i="4" s="1"/>
  <c r="D5" i="4" a="1"/>
  <c r="D5" i="4" s="1"/>
  <c r="A5" i="4"/>
  <c r="A4" i="4"/>
  <c r="A3" i="4"/>
  <c r="E259" i="3" a="1"/>
  <c r="E259" i="3" s="1"/>
  <c r="D259" i="3" a="1"/>
  <c r="D259" i="3" s="1"/>
  <c r="E258" i="3" a="1"/>
  <c r="E258" i="3" s="1"/>
  <c r="D258" i="3" a="1"/>
  <c r="D258" i="3" s="1"/>
  <c r="D256" i="3" a="1"/>
  <c r="D256" i="3" s="1"/>
  <c r="D255" i="3" a="1"/>
  <c r="D255" i="3" s="1"/>
  <c r="D254" i="3" a="1"/>
  <c r="D254" i="3" s="1"/>
  <c r="D253" i="3" a="1"/>
  <c r="D253" i="3" s="1"/>
  <c r="S250" i="3" a="1"/>
  <c r="S250" i="3" s="1"/>
  <c r="R250" i="3" a="1"/>
  <c r="R250" i="3" s="1"/>
  <c r="Q250" i="3" a="1"/>
  <c r="Q250" i="3" s="1"/>
  <c r="P250" i="3" a="1"/>
  <c r="P250" i="3" s="1"/>
  <c r="O250" i="3" a="1"/>
  <c r="O250" i="3" s="1"/>
  <c r="N250" i="3" a="1"/>
  <c r="N250" i="3" s="1"/>
  <c r="M250" i="3" a="1"/>
  <c r="M250" i="3" s="1"/>
  <c r="L250" i="3" a="1"/>
  <c r="L250" i="3" s="1"/>
  <c r="K250" i="3" a="1"/>
  <c r="K250" i="3" s="1"/>
  <c r="J250" i="3" a="1"/>
  <c r="J250" i="3" s="1"/>
  <c r="I250" i="3" a="1"/>
  <c r="I250" i="3" s="1"/>
  <c r="H250" i="3" a="1"/>
  <c r="H250" i="3" s="1"/>
  <c r="G250" i="3" a="1"/>
  <c r="G250" i="3" s="1"/>
  <c r="F250" i="3" a="1"/>
  <c r="F250" i="3" s="1"/>
  <c r="E250" i="3" a="1"/>
  <c r="E250" i="3" s="1"/>
  <c r="D250" i="3" a="1"/>
  <c r="D250" i="3" s="1"/>
  <c r="S249" i="3" a="1"/>
  <c r="S249" i="3" s="1"/>
  <c r="R249" i="3" a="1"/>
  <c r="R249" i="3" s="1"/>
  <c r="Q249" i="3" a="1"/>
  <c r="Q249" i="3" s="1"/>
  <c r="P249" i="3" a="1"/>
  <c r="P249" i="3" s="1"/>
  <c r="O249" i="3" a="1"/>
  <c r="O249" i="3" s="1"/>
  <c r="N249" i="3" a="1"/>
  <c r="N249" i="3" s="1"/>
  <c r="M249" i="3" a="1"/>
  <c r="M249" i="3" s="1"/>
  <c r="L249" i="3" a="1"/>
  <c r="L249" i="3" s="1"/>
  <c r="K249" i="3" a="1"/>
  <c r="K249" i="3" s="1"/>
  <c r="J249" i="3" a="1"/>
  <c r="J249" i="3" s="1"/>
  <c r="I249" i="3" a="1"/>
  <c r="I249" i="3" s="1"/>
  <c r="H249" i="3" a="1"/>
  <c r="H249" i="3" s="1"/>
  <c r="G249" i="3" a="1"/>
  <c r="G249" i="3" s="1"/>
  <c r="F249" i="3" a="1"/>
  <c r="F249" i="3" s="1"/>
  <c r="E249" i="3" a="1"/>
  <c r="E249" i="3" s="1"/>
  <c r="D249" i="3" a="1"/>
  <c r="D249" i="3" s="1"/>
  <c r="S248" i="3" a="1"/>
  <c r="S248" i="3" s="1"/>
  <c r="R248" i="3" a="1"/>
  <c r="R248" i="3" s="1"/>
  <c r="Q248" i="3" a="1"/>
  <c r="Q248" i="3" s="1"/>
  <c r="P248" i="3" a="1"/>
  <c r="P248" i="3" s="1"/>
  <c r="O248" i="3" a="1"/>
  <c r="O248" i="3" s="1"/>
  <c r="N248" i="3" a="1"/>
  <c r="N248" i="3" s="1"/>
  <c r="M248" i="3" a="1"/>
  <c r="M248" i="3" s="1"/>
  <c r="L248" i="3" a="1"/>
  <c r="L248" i="3" s="1"/>
  <c r="K248" i="3" a="1"/>
  <c r="K248" i="3" s="1"/>
  <c r="J248" i="3" a="1"/>
  <c r="J248" i="3" s="1"/>
  <c r="I248" i="3" a="1"/>
  <c r="I248" i="3" s="1"/>
  <c r="H248" i="3" a="1"/>
  <c r="H248" i="3" s="1"/>
  <c r="G248" i="3" a="1"/>
  <c r="G248" i="3" s="1"/>
  <c r="F248" i="3" a="1"/>
  <c r="F248" i="3" s="1"/>
  <c r="E248" i="3" a="1"/>
  <c r="E248" i="3" s="1"/>
  <c r="D248" i="3" a="1"/>
  <c r="D248" i="3" s="1"/>
  <c r="S247" i="3" a="1"/>
  <c r="S247" i="3" s="1"/>
  <c r="R247" i="3" a="1"/>
  <c r="R247" i="3" s="1"/>
  <c r="Q247" i="3" a="1"/>
  <c r="Q247" i="3" s="1"/>
  <c r="P247" i="3" a="1"/>
  <c r="P247" i="3" s="1"/>
  <c r="O247" i="3" a="1"/>
  <c r="O247" i="3" s="1"/>
  <c r="N247" i="3" a="1"/>
  <c r="N247" i="3" s="1"/>
  <c r="M247" i="3" a="1"/>
  <c r="M247" i="3" s="1"/>
  <c r="L247" i="3" a="1"/>
  <c r="L247" i="3" s="1"/>
  <c r="K247" i="3" a="1"/>
  <c r="K247" i="3" s="1"/>
  <c r="J247" i="3" a="1"/>
  <c r="J247" i="3" s="1"/>
  <c r="I247" i="3" a="1"/>
  <c r="I247" i="3" s="1"/>
  <c r="H247" i="3" a="1"/>
  <c r="H247" i="3" s="1"/>
  <c r="G247" i="3" a="1"/>
  <c r="G247" i="3" s="1"/>
  <c r="F247" i="3" a="1"/>
  <c r="F247" i="3" s="1"/>
  <c r="E247" i="3" a="1"/>
  <c r="E247" i="3" s="1"/>
  <c r="D247" i="3" a="1"/>
  <c r="D247" i="3" s="1"/>
  <c r="S246" i="3" a="1"/>
  <c r="S246" i="3" s="1"/>
  <c r="R246" i="3" a="1"/>
  <c r="R246" i="3" s="1"/>
  <c r="Q246" i="3" a="1"/>
  <c r="Q246" i="3" s="1"/>
  <c r="P246" i="3" a="1"/>
  <c r="P246" i="3" s="1"/>
  <c r="O246" i="3" a="1"/>
  <c r="O246" i="3" s="1"/>
  <c r="N246" i="3" a="1"/>
  <c r="N246" i="3" s="1"/>
  <c r="M246" i="3" a="1"/>
  <c r="M246" i="3" s="1"/>
  <c r="L246" i="3" a="1"/>
  <c r="L246" i="3" s="1"/>
  <c r="K246" i="3" a="1"/>
  <c r="K246" i="3" s="1"/>
  <c r="J246" i="3" a="1"/>
  <c r="J246" i="3" s="1"/>
  <c r="I246" i="3" a="1"/>
  <c r="I246" i="3" s="1"/>
  <c r="H246" i="3" a="1"/>
  <c r="H246" i="3" s="1"/>
  <c r="G246" i="3" a="1"/>
  <c r="G246" i="3" s="1"/>
  <c r="F246" i="3" a="1"/>
  <c r="F246" i="3" s="1"/>
  <c r="E246" i="3" a="1"/>
  <c r="E246" i="3" s="1"/>
  <c r="D246" i="3" a="1"/>
  <c r="D246" i="3" s="1"/>
  <c r="S245" i="3" a="1"/>
  <c r="S245" i="3" s="1"/>
  <c r="R245" i="3" a="1"/>
  <c r="R245" i="3" s="1"/>
  <c r="Q245" i="3" a="1"/>
  <c r="Q245" i="3" s="1"/>
  <c r="P245" i="3" a="1"/>
  <c r="P245" i="3" s="1"/>
  <c r="O245" i="3" a="1"/>
  <c r="O245" i="3" s="1"/>
  <c r="N245" i="3" a="1"/>
  <c r="N245" i="3" s="1"/>
  <c r="M245" i="3" a="1"/>
  <c r="M245" i="3" s="1"/>
  <c r="L245" i="3" a="1"/>
  <c r="L245" i="3" s="1"/>
  <c r="K245" i="3" a="1"/>
  <c r="K245" i="3" s="1"/>
  <c r="J245" i="3" a="1"/>
  <c r="J245" i="3" s="1"/>
  <c r="I245" i="3" a="1"/>
  <c r="I245" i="3" s="1"/>
  <c r="H245" i="3" a="1"/>
  <c r="H245" i="3" s="1"/>
  <c r="G245" i="3" a="1"/>
  <c r="G245" i="3" s="1"/>
  <c r="F245" i="3" a="1"/>
  <c r="F245" i="3" s="1"/>
  <c r="E245" i="3" a="1"/>
  <c r="E245" i="3" s="1"/>
  <c r="D245" i="3" a="1"/>
  <c r="D245" i="3" s="1"/>
  <c r="S244" i="3" a="1"/>
  <c r="S244" i="3" s="1"/>
  <c r="R244" i="3" a="1"/>
  <c r="R244" i="3" s="1"/>
  <c r="Q244" i="3" a="1"/>
  <c r="Q244" i="3" s="1"/>
  <c r="P244" i="3" a="1"/>
  <c r="P244" i="3" s="1"/>
  <c r="O244" i="3" a="1"/>
  <c r="O244" i="3" s="1"/>
  <c r="N244" i="3" a="1"/>
  <c r="N244" i="3" s="1"/>
  <c r="M244" i="3" a="1"/>
  <c r="M244" i="3" s="1"/>
  <c r="L244" i="3" a="1"/>
  <c r="L244" i="3" s="1"/>
  <c r="K244" i="3" a="1"/>
  <c r="K244" i="3" s="1"/>
  <c r="J244" i="3" a="1"/>
  <c r="J244" i="3" s="1"/>
  <c r="I244" i="3" a="1"/>
  <c r="I244" i="3" s="1"/>
  <c r="H244" i="3" a="1"/>
  <c r="H244" i="3" s="1"/>
  <c r="G244" i="3" a="1"/>
  <c r="G244" i="3" s="1"/>
  <c r="F244" i="3" a="1"/>
  <c r="F244" i="3" s="1"/>
  <c r="E244" i="3" a="1"/>
  <c r="E244" i="3" s="1"/>
  <c r="D244" i="3" a="1"/>
  <c r="D244" i="3" s="1"/>
  <c r="S243" i="3" a="1"/>
  <c r="S243" i="3" s="1"/>
  <c r="R243" i="3" a="1"/>
  <c r="R243" i="3" s="1"/>
  <c r="Q243" i="3" a="1"/>
  <c r="Q243" i="3" s="1"/>
  <c r="P243" i="3" a="1"/>
  <c r="P243" i="3" s="1"/>
  <c r="O243" i="3" a="1"/>
  <c r="O243" i="3" s="1"/>
  <c r="N243" i="3" a="1"/>
  <c r="N243" i="3" s="1"/>
  <c r="M243" i="3" a="1"/>
  <c r="M243" i="3" s="1"/>
  <c r="L243" i="3" a="1"/>
  <c r="L243" i="3" s="1"/>
  <c r="K243" i="3" a="1"/>
  <c r="K243" i="3" s="1"/>
  <c r="J243" i="3" a="1"/>
  <c r="J243" i="3" s="1"/>
  <c r="I243" i="3" a="1"/>
  <c r="I243" i="3" s="1"/>
  <c r="H243" i="3" a="1"/>
  <c r="H243" i="3" s="1"/>
  <c r="G243" i="3" a="1"/>
  <c r="G243" i="3" s="1"/>
  <c r="F243" i="3" a="1"/>
  <c r="F243" i="3" s="1"/>
  <c r="E243" i="3" a="1"/>
  <c r="E243" i="3" s="1"/>
  <c r="D243" i="3" a="1"/>
  <c r="D243" i="3" s="1"/>
  <c r="S242" i="3" a="1"/>
  <c r="S242" i="3" s="1"/>
  <c r="R242" i="3" a="1"/>
  <c r="R242" i="3" s="1"/>
  <c r="Q242" i="3" a="1"/>
  <c r="Q242" i="3" s="1"/>
  <c r="P242" i="3" a="1"/>
  <c r="P242" i="3" s="1"/>
  <c r="O242" i="3" a="1"/>
  <c r="O242" i="3" s="1"/>
  <c r="N242" i="3" a="1"/>
  <c r="N242" i="3" s="1"/>
  <c r="M242" i="3" a="1"/>
  <c r="M242" i="3" s="1"/>
  <c r="L242" i="3" a="1"/>
  <c r="L242" i="3" s="1"/>
  <c r="K242" i="3" a="1"/>
  <c r="K242" i="3" s="1"/>
  <c r="J242" i="3" a="1"/>
  <c r="J242" i="3" s="1"/>
  <c r="I242" i="3" a="1"/>
  <c r="I242" i="3" s="1"/>
  <c r="H242" i="3" a="1"/>
  <c r="H242" i="3" s="1"/>
  <c r="G242" i="3" a="1"/>
  <c r="G242" i="3" s="1"/>
  <c r="F242" i="3" a="1"/>
  <c r="F242" i="3" s="1"/>
  <c r="E242" i="3" a="1"/>
  <c r="E242" i="3" s="1"/>
  <c r="D242" i="3" a="1"/>
  <c r="D242" i="3" s="1"/>
  <c r="S241" i="3" a="1"/>
  <c r="S241" i="3" s="1"/>
  <c r="R241" i="3" a="1"/>
  <c r="R241" i="3" s="1"/>
  <c r="Q241" i="3" a="1"/>
  <c r="Q241" i="3" s="1"/>
  <c r="P241" i="3" a="1"/>
  <c r="P241" i="3" s="1"/>
  <c r="O241" i="3" a="1"/>
  <c r="O241" i="3" s="1"/>
  <c r="N241" i="3" a="1"/>
  <c r="N241" i="3" s="1"/>
  <c r="M241" i="3" a="1"/>
  <c r="M241" i="3" s="1"/>
  <c r="L241" i="3" a="1"/>
  <c r="L241" i="3" s="1"/>
  <c r="K241" i="3" a="1"/>
  <c r="K241" i="3" s="1"/>
  <c r="J241" i="3" a="1"/>
  <c r="J241" i="3" s="1"/>
  <c r="I241" i="3" a="1"/>
  <c r="I241" i="3" s="1"/>
  <c r="H241" i="3" a="1"/>
  <c r="H241" i="3" s="1"/>
  <c r="G241" i="3" a="1"/>
  <c r="G241" i="3" s="1"/>
  <c r="F241" i="3" a="1"/>
  <c r="F241" i="3" s="1"/>
  <c r="E241" i="3" a="1"/>
  <c r="E241" i="3" s="1"/>
  <c r="D241" i="3" a="1"/>
  <c r="D241" i="3" s="1"/>
  <c r="S240" i="3" a="1"/>
  <c r="S240" i="3" s="1"/>
  <c r="R240" i="3" a="1"/>
  <c r="R240" i="3" s="1"/>
  <c r="Q240" i="3" a="1"/>
  <c r="Q240" i="3" s="1"/>
  <c r="P240" i="3" a="1"/>
  <c r="P240" i="3" s="1"/>
  <c r="O240" i="3" a="1"/>
  <c r="O240" i="3" s="1"/>
  <c r="N240" i="3" a="1"/>
  <c r="N240" i="3" s="1"/>
  <c r="M240" i="3" a="1"/>
  <c r="M240" i="3" s="1"/>
  <c r="L240" i="3" a="1"/>
  <c r="L240" i="3" s="1"/>
  <c r="K240" i="3" a="1"/>
  <c r="K240" i="3" s="1"/>
  <c r="J240" i="3" a="1"/>
  <c r="J240" i="3" s="1"/>
  <c r="I240" i="3" a="1"/>
  <c r="I240" i="3" s="1"/>
  <c r="H240" i="3" a="1"/>
  <c r="H240" i="3" s="1"/>
  <c r="G240" i="3" a="1"/>
  <c r="G240" i="3" s="1"/>
  <c r="F240" i="3" a="1"/>
  <c r="F240" i="3" s="1"/>
  <c r="E240" i="3" a="1"/>
  <c r="E240" i="3" s="1"/>
  <c r="D240" i="3" a="1"/>
  <c r="D240" i="3" s="1"/>
  <c r="S239" i="3" a="1"/>
  <c r="S239" i="3" s="1"/>
  <c r="R239" i="3" a="1"/>
  <c r="R239" i="3" s="1"/>
  <c r="Q239" i="3" a="1"/>
  <c r="Q239" i="3" s="1"/>
  <c r="P239" i="3" a="1"/>
  <c r="P239" i="3" s="1"/>
  <c r="O239" i="3" a="1"/>
  <c r="O239" i="3" s="1"/>
  <c r="N239" i="3" a="1"/>
  <c r="N239" i="3" s="1"/>
  <c r="M239" i="3" a="1"/>
  <c r="M239" i="3" s="1"/>
  <c r="L239" i="3" a="1"/>
  <c r="L239" i="3" s="1"/>
  <c r="K239" i="3" a="1"/>
  <c r="K239" i="3" s="1"/>
  <c r="J239" i="3" a="1"/>
  <c r="J239" i="3" s="1"/>
  <c r="I239" i="3" a="1"/>
  <c r="I239" i="3" s="1"/>
  <c r="H239" i="3" a="1"/>
  <c r="H239" i="3" s="1"/>
  <c r="G239" i="3" a="1"/>
  <c r="G239" i="3" s="1"/>
  <c r="F239" i="3" a="1"/>
  <c r="F239" i="3" s="1"/>
  <c r="E239" i="3" a="1"/>
  <c r="E239" i="3" s="1"/>
  <c r="D239" i="3" a="1"/>
  <c r="D239" i="3" s="1"/>
  <c r="S238" i="3" a="1"/>
  <c r="S238" i="3" s="1"/>
  <c r="R238" i="3" a="1"/>
  <c r="R238" i="3" s="1"/>
  <c r="Q238" i="3" a="1"/>
  <c r="Q238" i="3" s="1"/>
  <c r="P238" i="3" a="1"/>
  <c r="P238" i="3" s="1"/>
  <c r="O238" i="3" a="1"/>
  <c r="O238" i="3" s="1"/>
  <c r="N238" i="3" a="1"/>
  <c r="N238" i="3" s="1"/>
  <c r="M238" i="3" a="1"/>
  <c r="M238" i="3" s="1"/>
  <c r="L238" i="3" a="1"/>
  <c r="L238" i="3" s="1"/>
  <c r="K238" i="3" a="1"/>
  <c r="K238" i="3" s="1"/>
  <c r="J238" i="3" a="1"/>
  <c r="J238" i="3" s="1"/>
  <c r="I238" i="3" a="1"/>
  <c r="I238" i="3" s="1"/>
  <c r="H238" i="3" a="1"/>
  <c r="H238" i="3" s="1"/>
  <c r="G238" i="3" a="1"/>
  <c r="G238" i="3" s="1"/>
  <c r="F238" i="3" a="1"/>
  <c r="F238" i="3" s="1"/>
  <c r="E238" i="3" a="1"/>
  <c r="E238" i="3" s="1"/>
  <c r="D238" i="3" a="1"/>
  <c r="D238" i="3" s="1"/>
  <c r="S237" i="3" a="1"/>
  <c r="S237" i="3" s="1"/>
  <c r="R237" i="3" a="1"/>
  <c r="R237" i="3" s="1"/>
  <c r="Q237" i="3" a="1"/>
  <c r="Q237" i="3" s="1"/>
  <c r="P237" i="3" a="1"/>
  <c r="P237" i="3" s="1"/>
  <c r="O237" i="3" a="1"/>
  <c r="O237" i="3" s="1"/>
  <c r="N237" i="3" a="1"/>
  <c r="N237" i="3" s="1"/>
  <c r="M237" i="3" a="1"/>
  <c r="M237" i="3" s="1"/>
  <c r="L237" i="3" a="1"/>
  <c r="L237" i="3" s="1"/>
  <c r="K237" i="3" a="1"/>
  <c r="K237" i="3" s="1"/>
  <c r="J237" i="3" a="1"/>
  <c r="J237" i="3" s="1"/>
  <c r="I237" i="3" a="1"/>
  <c r="I237" i="3" s="1"/>
  <c r="H237" i="3" a="1"/>
  <c r="H237" i="3" s="1"/>
  <c r="G237" i="3" a="1"/>
  <c r="G237" i="3" s="1"/>
  <c r="F237" i="3" a="1"/>
  <c r="F237" i="3" s="1"/>
  <c r="E237" i="3" a="1"/>
  <c r="E237" i="3" s="1"/>
  <c r="D237" i="3" a="1"/>
  <c r="D237" i="3" s="1"/>
  <c r="S236" i="3" a="1"/>
  <c r="S236" i="3" s="1"/>
  <c r="R236" i="3" a="1"/>
  <c r="R236" i="3" s="1"/>
  <c r="Q236" i="3" a="1"/>
  <c r="Q236" i="3" s="1"/>
  <c r="P236" i="3" a="1"/>
  <c r="P236" i="3" s="1"/>
  <c r="O236" i="3" a="1"/>
  <c r="O236" i="3" s="1"/>
  <c r="N236" i="3" a="1"/>
  <c r="N236" i="3" s="1"/>
  <c r="M236" i="3" a="1"/>
  <c r="M236" i="3" s="1"/>
  <c r="L236" i="3" a="1"/>
  <c r="L236" i="3" s="1"/>
  <c r="K236" i="3" a="1"/>
  <c r="K236" i="3" s="1"/>
  <c r="J236" i="3" a="1"/>
  <c r="J236" i="3" s="1"/>
  <c r="I236" i="3" a="1"/>
  <c r="I236" i="3" s="1"/>
  <c r="H236" i="3" a="1"/>
  <c r="H236" i="3" s="1"/>
  <c r="G236" i="3" a="1"/>
  <c r="G236" i="3" s="1"/>
  <c r="F236" i="3" a="1"/>
  <c r="F236" i="3" s="1"/>
  <c r="E236" i="3" a="1"/>
  <c r="E236" i="3" s="1"/>
  <c r="D236" i="3" a="1"/>
  <c r="D236" i="3" s="1"/>
  <c r="S235" i="3" a="1"/>
  <c r="S235" i="3" s="1"/>
  <c r="R235" i="3" a="1"/>
  <c r="R235" i="3" s="1"/>
  <c r="Q235" i="3" a="1"/>
  <c r="Q235" i="3" s="1"/>
  <c r="P235" i="3" a="1"/>
  <c r="P235" i="3" s="1"/>
  <c r="O235" i="3" a="1"/>
  <c r="O235" i="3" s="1"/>
  <c r="N235" i="3" a="1"/>
  <c r="N235" i="3" s="1"/>
  <c r="M235" i="3" a="1"/>
  <c r="M235" i="3" s="1"/>
  <c r="L235" i="3" a="1"/>
  <c r="L235" i="3" s="1"/>
  <c r="K235" i="3" a="1"/>
  <c r="K235" i="3" s="1"/>
  <c r="J235" i="3" a="1"/>
  <c r="J235" i="3" s="1"/>
  <c r="I235" i="3" a="1"/>
  <c r="I235" i="3" s="1"/>
  <c r="H235" i="3" a="1"/>
  <c r="H235" i="3" s="1"/>
  <c r="G235" i="3" a="1"/>
  <c r="G235" i="3" s="1"/>
  <c r="F235" i="3" a="1"/>
  <c r="F235" i="3" s="1"/>
  <c r="E235" i="3" a="1"/>
  <c r="E235" i="3" s="1"/>
  <c r="D235" i="3" a="1"/>
  <c r="D235" i="3" s="1"/>
  <c r="S234" i="3" a="1"/>
  <c r="S234" i="3" s="1"/>
  <c r="R234" i="3" a="1"/>
  <c r="R234" i="3" s="1"/>
  <c r="Q234" i="3" a="1"/>
  <c r="Q234" i="3" s="1"/>
  <c r="P234" i="3" a="1"/>
  <c r="P234" i="3" s="1"/>
  <c r="O234" i="3" a="1"/>
  <c r="O234" i="3" s="1"/>
  <c r="N234" i="3" a="1"/>
  <c r="N234" i="3" s="1"/>
  <c r="M234" i="3" a="1"/>
  <c r="M234" i="3" s="1"/>
  <c r="L234" i="3" a="1"/>
  <c r="L234" i="3" s="1"/>
  <c r="K234" i="3" a="1"/>
  <c r="K234" i="3" s="1"/>
  <c r="J234" i="3" a="1"/>
  <c r="J234" i="3" s="1"/>
  <c r="I234" i="3" a="1"/>
  <c r="I234" i="3" s="1"/>
  <c r="H234" i="3" a="1"/>
  <c r="H234" i="3" s="1"/>
  <c r="G234" i="3" a="1"/>
  <c r="G234" i="3" s="1"/>
  <c r="F234" i="3" a="1"/>
  <c r="F234" i="3" s="1"/>
  <c r="E234" i="3" a="1"/>
  <c r="E234" i="3" s="1"/>
  <c r="D234" i="3" a="1"/>
  <c r="D234" i="3" s="1"/>
  <c r="S233" i="3" a="1"/>
  <c r="S233" i="3" s="1"/>
  <c r="R233" i="3" a="1"/>
  <c r="R233" i="3" s="1"/>
  <c r="Q233" i="3" a="1"/>
  <c r="Q233" i="3" s="1"/>
  <c r="P233" i="3" a="1"/>
  <c r="P233" i="3" s="1"/>
  <c r="O233" i="3" a="1"/>
  <c r="O233" i="3" s="1"/>
  <c r="N233" i="3" a="1"/>
  <c r="N233" i="3" s="1"/>
  <c r="M233" i="3" a="1"/>
  <c r="M233" i="3" s="1"/>
  <c r="L233" i="3" a="1"/>
  <c r="L233" i="3" s="1"/>
  <c r="K233" i="3" a="1"/>
  <c r="K233" i="3" s="1"/>
  <c r="J233" i="3" a="1"/>
  <c r="J233" i="3" s="1"/>
  <c r="I233" i="3" a="1"/>
  <c r="I233" i="3" s="1"/>
  <c r="H233" i="3" a="1"/>
  <c r="H233" i="3" s="1"/>
  <c r="G233" i="3" a="1"/>
  <c r="G233" i="3" s="1"/>
  <c r="F233" i="3" a="1"/>
  <c r="F233" i="3" s="1"/>
  <c r="E233" i="3" a="1"/>
  <c r="E233" i="3" s="1"/>
  <c r="D233" i="3" a="1"/>
  <c r="D233" i="3" s="1"/>
  <c r="S232" i="3" a="1"/>
  <c r="S232" i="3" s="1"/>
  <c r="R232" i="3" a="1"/>
  <c r="R232" i="3" s="1"/>
  <c r="Q232" i="3" a="1"/>
  <c r="Q232" i="3" s="1"/>
  <c r="P232" i="3" a="1"/>
  <c r="P232" i="3" s="1"/>
  <c r="O232" i="3" a="1"/>
  <c r="O232" i="3" s="1"/>
  <c r="N232" i="3" a="1"/>
  <c r="N232" i="3" s="1"/>
  <c r="M232" i="3" a="1"/>
  <c r="M232" i="3" s="1"/>
  <c r="L232" i="3" a="1"/>
  <c r="L232" i="3" s="1"/>
  <c r="K232" i="3" a="1"/>
  <c r="K232" i="3" s="1"/>
  <c r="J232" i="3" a="1"/>
  <c r="J232" i="3" s="1"/>
  <c r="I232" i="3" a="1"/>
  <c r="I232" i="3" s="1"/>
  <c r="H232" i="3" a="1"/>
  <c r="H232" i="3" s="1"/>
  <c r="G232" i="3" a="1"/>
  <c r="G232" i="3" s="1"/>
  <c r="F232" i="3" a="1"/>
  <c r="F232" i="3" s="1"/>
  <c r="E232" i="3" a="1"/>
  <c r="E232" i="3" s="1"/>
  <c r="D232" i="3" a="1"/>
  <c r="D232" i="3" s="1"/>
  <c r="D229" i="3" a="1"/>
  <c r="D229" i="3" s="1"/>
  <c r="D228" i="3" a="1"/>
  <c r="D228" i="3" s="1"/>
  <c r="D227" i="3" a="1"/>
  <c r="D227" i="3" s="1"/>
  <c r="E224" i="3" a="1"/>
  <c r="E224" i="3" s="1"/>
  <c r="D224" i="3" a="1"/>
  <c r="D224" i="3" s="1"/>
  <c r="E223" i="3" a="1"/>
  <c r="E223" i="3" s="1"/>
  <c r="D223" i="3" a="1"/>
  <c r="D223" i="3" s="1"/>
  <c r="E222" i="3" a="1"/>
  <c r="E222" i="3" s="1"/>
  <c r="D222" i="3" a="1"/>
  <c r="D222" i="3" s="1"/>
  <c r="E221" i="3" a="1"/>
  <c r="E221" i="3" s="1"/>
  <c r="D221" i="3" a="1"/>
  <c r="D221" i="3" s="1"/>
  <c r="E220" i="3" a="1"/>
  <c r="E220" i="3" s="1"/>
  <c r="D220" i="3" a="1"/>
  <c r="D220" i="3" s="1"/>
  <c r="E219" i="3" a="1"/>
  <c r="E219" i="3" s="1"/>
  <c r="D219" i="3" a="1"/>
  <c r="D219" i="3" s="1"/>
  <c r="E218" i="3" a="1"/>
  <c r="E218" i="3" s="1"/>
  <c r="D218" i="3" a="1"/>
  <c r="D218" i="3" s="1"/>
  <c r="E217" i="3" a="1"/>
  <c r="E217" i="3" s="1"/>
  <c r="D217" i="3" a="1"/>
  <c r="D217" i="3" s="1"/>
  <c r="E216" i="3" a="1"/>
  <c r="E216" i="3" s="1"/>
  <c r="D216" i="3" a="1"/>
  <c r="D216" i="3" s="1"/>
  <c r="E215" i="3" a="1"/>
  <c r="E215" i="3" s="1"/>
  <c r="D215" i="3" a="1"/>
  <c r="D215" i="3" s="1"/>
  <c r="E214" i="3" a="1"/>
  <c r="E214" i="3" s="1"/>
  <c r="D214" i="3" a="1"/>
  <c r="D214" i="3" s="1"/>
  <c r="E213" i="3" a="1"/>
  <c r="E213" i="3" s="1"/>
  <c r="D213" i="3" a="1"/>
  <c r="D213" i="3" s="1"/>
  <c r="D211" i="3" a="1"/>
  <c r="D211" i="3" s="1"/>
  <c r="E208" i="3" a="1"/>
  <c r="E208" i="3" s="1"/>
  <c r="D208" i="3" a="1"/>
  <c r="D208" i="3" s="1"/>
  <c r="E207" i="3" a="1"/>
  <c r="E207" i="3" s="1"/>
  <c r="D207" i="3" a="1"/>
  <c r="D207" i="3" s="1"/>
  <c r="D205" i="3" a="1"/>
  <c r="D205" i="3" s="1"/>
  <c r="D204" i="3" a="1"/>
  <c r="D204" i="3" s="1"/>
  <c r="D203" i="3" a="1"/>
  <c r="D203" i="3" s="1"/>
  <c r="D202" i="3" a="1"/>
  <c r="D202" i="3" s="1"/>
  <c r="H199" i="3" a="1"/>
  <c r="H199" i="3" s="1"/>
  <c r="G199" i="3" a="1"/>
  <c r="G199" i="3" s="1"/>
  <c r="F199" i="3" a="1"/>
  <c r="F199" i="3" s="1"/>
  <c r="E199" i="3" a="1"/>
  <c r="E199" i="3" s="1"/>
  <c r="D199" i="3" a="1"/>
  <c r="D199" i="3" s="1"/>
  <c r="H198" i="3" a="1"/>
  <c r="H198" i="3" s="1"/>
  <c r="G198" i="3" a="1"/>
  <c r="G198" i="3" s="1"/>
  <c r="F198" i="3" a="1"/>
  <c r="F198" i="3" s="1"/>
  <c r="E198" i="3" a="1"/>
  <c r="E198" i="3" s="1"/>
  <c r="D198" i="3" a="1"/>
  <c r="D198" i="3" s="1"/>
  <c r="H197" i="3" a="1"/>
  <c r="H197" i="3" s="1"/>
  <c r="G197" i="3" a="1"/>
  <c r="G197" i="3" s="1"/>
  <c r="F197" i="3" a="1"/>
  <c r="F197" i="3" s="1"/>
  <c r="E197" i="3" a="1"/>
  <c r="E197" i="3" s="1"/>
  <c r="D197" i="3" a="1"/>
  <c r="D197" i="3" s="1"/>
  <c r="H196" i="3" a="1"/>
  <c r="H196" i="3" s="1"/>
  <c r="G196" i="3" a="1"/>
  <c r="G196" i="3" s="1"/>
  <c r="F196" i="3" a="1"/>
  <c r="F196" i="3" s="1"/>
  <c r="E196" i="3" a="1"/>
  <c r="E196" i="3" s="1"/>
  <c r="D196" i="3" a="1"/>
  <c r="D196" i="3" s="1"/>
  <c r="H195" i="3" a="1"/>
  <c r="H195" i="3" s="1"/>
  <c r="G195" i="3" a="1"/>
  <c r="G195" i="3" s="1"/>
  <c r="F195" i="3" a="1"/>
  <c r="F195" i="3" s="1"/>
  <c r="E195" i="3" a="1"/>
  <c r="E195" i="3" s="1"/>
  <c r="D195" i="3" a="1"/>
  <c r="D195" i="3" s="1"/>
  <c r="H194" i="3" a="1"/>
  <c r="H194" i="3" s="1"/>
  <c r="G194" i="3" a="1"/>
  <c r="G194" i="3" s="1"/>
  <c r="F194" i="3" a="1"/>
  <c r="F194" i="3" s="1"/>
  <c r="E194" i="3" a="1"/>
  <c r="E194" i="3" s="1"/>
  <c r="D194" i="3" a="1"/>
  <c r="D194" i="3" s="1"/>
  <c r="H193" i="3" a="1"/>
  <c r="H193" i="3" s="1"/>
  <c r="G193" i="3" a="1"/>
  <c r="G193" i="3" s="1"/>
  <c r="F193" i="3" a="1"/>
  <c r="F193" i="3" s="1"/>
  <c r="E193" i="3" a="1"/>
  <c r="E193" i="3" s="1"/>
  <c r="D193" i="3" a="1"/>
  <c r="D193" i="3" s="1"/>
  <c r="H192" i="3" a="1"/>
  <c r="H192" i="3" s="1"/>
  <c r="G192" i="3" a="1"/>
  <c r="G192" i="3" s="1"/>
  <c r="F192" i="3" a="1"/>
  <c r="F192" i="3" s="1"/>
  <c r="E192" i="3" a="1"/>
  <c r="E192" i="3" s="1"/>
  <c r="D192" i="3" a="1"/>
  <c r="D192" i="3" s="1"/>
  <c r="H191" i="3" a="1"/>
  <c r="H191" i="3" s="1"/>
  <c r="G191" i="3" a="1"/>
  <c r="G191" i="3" s="1"/>
  <c r="F191" i="3" a="1"/>
  <c r="F191" i="3" s="1"/>
  <c r="E191" i="3" a="1"/>
  <c r="E191" i="3" s="1"/>
  <c r="D191" i="3" a="1"/>
  <c r="D191" i="3" s="1"/>
  <c r="H190" i="3" a="1"/>
  <c r="H190" i="3" s="1"/>
  <c r="G190" i="3" a="1"/>
  <c r="G190" i="3" s="1"/>
  <c r="F190" i="3" a="1"/>
  <c r="F190" i="3" s="1"/>
  <c r="E190" i="3" a="1"/>
  <c r="E190" i="3" s="1"/>
  <c r="D190" i="3" a="1"/>
  <c r="D190" i="3" s="1"/>
  <c r="H189" i="3" a="1"/>
  <c r="H189" i="3" s="1"/>
  <c r="G189" i="3" a="1"/>
  <c r="G189" i="3" s="1"/>
  <c r="F189" i="3" a="1"/>
  <c r="F189" i="3" s="1"/>
  <c r="E189" i="3" a="1"/>
  <c r="E189" i="3" s="1"/>
  <c r="D189" i="3" a="1"/>
  <c r="D189" i="3" s="1"/>
  <c r="H188" i="3" a="1"/>
  <c r="H188" i="3" s="1"/>
  <c r="G188" i="3" a="1"/>
  <c r="G188" i="3" s="1"/>
  <c r="F188" i="3" a="1"/>
  <c r="F188" i="3" s="1"/>
  <c r="E188" i="3" a="1"/>
  <c r="E188" i="3" s="1"/>
  <c r="D188" i="3" a="1"/>
  <c r="D188" i="3" s="1"/>
  <c r="H187" i="3" a="1"/>
  <c r="H187" i="3" s="1"/>
  <c r="G187" i="3" a="1"/>
  <c r="G187" i="3" s="1"/>
  <c r="F187" i="3" a="1"/>
  <c r="F187" i="3" s="1"/>
  <c r="E187" i="3" a="1"/>
  <c r="E187" i="3" s="1"/>
  <c r="D187" i="3" a="1"/>
  <c r="D187" i="3" s="1"/>
  <c r="D181" i="3" a="1"/>
  <c r="D181" i="3" s="1"/>
  <c r="D180" i="3" a="1"/>
  <c r="D180" i="3" s="1"/>
  <c r="D179" i="3" a="1"/>
  <c r="D179" i="3" s="1"/>
  <c r="D178" i="3" a="1"/>
  <c r="D178" i="3" s="1"/>
  <c r="E175" i="3" a="1"/>
  <c r="E175" i="3" s="1"/>
  <c r="D175" i="3" a="1"/>
  <c r="D175" i="3" s="1"/>
  <c r="D174" i="3" a="1"/>
  <c r="D174" i="3" s="1"/>
  <c r="D173" i="3" a="1"/>
  <c r="D173" i="3" s="1"/>
  <c r="D170" i="3" a="1"/>
  <c r="D170" i="3" s="1"/>
  <c r="D169" i="3" a="1"/>
  <c r="D169" i="3" s="1"/>
  <c r="D168" i="3" a="1"/>
  <c r="D168" i="3" s="1"/>
  <c r="D167" i="3" a="1"/>
  <c r="D167" i="3" s="1"/>
  <c r="D164" i="3" a="1"/>
  <c r="D164" i="3" s="1"/>
  <c r="D163" i="3" a="1"/>
  <c r="D163" i="3" s="1"/>
  <c r="D162" i="3" a="1"/>
  <c r="D162" i="3" s="1"/>
  <c r="D161" i="3" a="1"/>
  <c r="D161" i="3" s="1"/>
  <c r="E158" i="3" a="1"/>
  <c r="E158" i="3" s="1"/>
  <c r="D158" i="3" a="1"/>
  <c r="D158" i="3" s="1"/>
  <c r="E157" i="3" a="1"/>
  <c r="E157" i="3" s="1"/>
  <c r="D157" i="3" a="1"/>
  <c r="D157" i="3" s="1"/>
  <c r="E156" i="3" a="1"/>
  <c r="E156" i="3" s="1"/>
  <c r="D156" i="3" a="1"/>
  <c r="D156" i="3" s="1"/>
  <c r="E155" i="3" a="1"/>
  <c r="E155" i="3" s="1"/>
  <c r="D155" i="3" a="1"/>
  <c r="D155" i="3" s="1"/>
  <c r="E154" i="3" a="1"/>
  <c r="E154" i="3" s="1"/>
  <c r="D154" i="3" a="1"/>
  <c r="D154" i="3" s="1"/>
  <c r="D151" i="3" a="1"/>
  <c r="D151" i="3" s="1"/>
  <c r="D150" i="3" a="1"/>
  <c r="D150" i="3" s="1"/>
  <c r="E147" i="3" a="1"/>
  <c r="E147" i="3" s="1"/>
  <c r="D147" i="3" a="1"/>
  <c r="D147" i="3" s="1"/>
  <c r="E146" i="3" a="1"/>
  <c r="E146" i="3" s="1"/>
  <c r="D146" i="3" a="1"/>
  <c r="D146" i="3" s="1"/>
  <c r="E145" i="3" a="1"/>
  <c r="E145" i="3" s="1"/>
  <c r="D145" i="3" a="1"/>
  <c r="D145" i="3" s="1"/>
  <c r="E144" i="3" a="1"/>
  <c r="E144" i="3" s="1"/>
  <c r="D144" i="3" a="1"/>
  <c r="D144" i="3" s="1"/>
  <c r="E143" i="3" a="1"/>
  <c r="E143" i="3" s="1"/>
  <c r="D143" i="3" a="1"/>
  <c r="D143" i="3" s="1"/>
  <c r="D141" i="3" a="1"/>
  <c r="D141" i="3" s="1"/>
  <c r="D140" i="3" a="1"/>
  <c r="D140" i="3" s="1"/>
  <c r="D139" i="3" a="1"/>
  <c r="D139" i="3" s="1"/>
  <c r="E136" i="3" a="1"/>
  <c r="E136" i="3" s="1"/>
  <c r="D136" i="3" a="1"/>
  <c r="D136" i="3" s="1"/>
  <c r="E135" i="3" a="1"/>
  <c r="E135" i="3" s="1"/>
  <c r="D135" i="3" a="1"/>
  <c r="D135" i="3" s="1"/>
  <c r="D133" i="3" a="1"/>
  <c r="D133" i="3" s="1"/>
  <c r="D132" i="3" a="1"/>
  <c r="D132" i="3" s="1"/>
  <c r="E129" i="3" a="1"/>
  <c r="E129" i="3" s="1"/>
  <c r="D129" i="3" a="1"/>
  <c r="D129" i="3" s="1"/>
  <c r="E128" i="3" a="1"/>
  <c r="E128" i="3" s="1"/>
  <c r="D128" i="3" a="1"/>
  <c r="D128" i="3" s="1"/>
  <c r="D125" i="3" a="1"/>
  <c r="D125" i="3" s="1"/>
  <c r="D124" i="3" a="1"/>
  <c r="D124" i="3" s="1"/>
  <c r="G121" i="3" a="1"/>
  <c r="G121" i="3" s="1"/>
  <c r="F121" i="3" a="1"/>
  <c r="F121" i="3" s="1"/>
  <c r="E121" i="3" a="1"/>
  <c r="E121" i="3" s="1"/>
  <c r="D121" i="3" a="1"/>
  <c r="D121" i="3" s="1"/>
  <c r="G120" i="3" a="1"/>
  <c r="G120" i="3" s="1"/>
  <c r="F120" i="3" a="1"/>
  <c r="F120" i="3" s="1"/>
  <c r="E120" i="3" a="1"/>
  <c r="E120" i="3" s="1"/>
  <c r="D120" i="3" a="1"/>
  <c r="D120" i="3" s="1"/>
  <c r="D117" i="3" a="1"/>
  <c r="D117" i="3" s="1"/>
  <c r="D116" i="3" a="1"/>
  <c r="D116" i="3" s="1"/>
  <c r="D115" i="3" a="1"/>
  <c r="D115" i="3" s="1"/>
  <c r="G112" i="3" a="1"/>
  <c r="G112" i="3" s="1"/>
  <c r="F112" i="3" a="1"/>
  <c r="F112" i="3" s="1"/>
  <c r="E112" i="3" a="1"/>
  <c r="E112" i="3" s="1"/>
  <c r="D112" i="3" a="1"/>
  <c r="D112" i="3" s="1"/>
  <c r="G111" i="3" a="1"/>
  <c r="G111" i="3" s="1"/>
  <c r="F111" i="3" a="1"/>
  <c r="F111" i="3" s="1"/>
  <c r="E111" i="3" a="1"/>
  <c r="E111" i="3" s="1"/>
  <c r="D111" i="3" a="1"/>
  <c r="D111" i="3" s="1"/>
  <c r="G110" i="3" a="1"/>
  <c r="G110" i="3" s="1"/>
  <c r="F110" i="3" a="1"/>
  <c r="F110" i="3" s="1"/>
  <c r="E110" i="3" a="1"/>
  <c r="E110" i="3" s="1"/>
  <c r="D110" i="3" a="1"/>
  <c r="D110" i="3" s="1"/>
  <c r="D107" i="3" a="1"/>
  <c r="D107" i="3" s="1"/>
  <c r="D106" i="3" a="1"/>
  <c r="D106" i="3" s="1"/>
  <c r="D105" i="3" a="1"/>
  <c r="D105" i="3" s="1"/>
  <c r="D98" i="3" a="1"/>
  <c r="D98" i="3" s="1"/>
  <c r="S97" i="3" a="1"/>
  <c r="S97" i="3" s="1"/>
  <c r="R97" i="3" a="1"/>
  <c r="R97" i="3" s="1"/>
  <c r="Q97" i="3" a="1"/>
  <c r="Q97" i="3" s="1"/>
  <c r="P97" i="3" a="1"/>
  <c r="P97" i="3" s="1"/>
  <c r="O97" i="3" a="1"/>
  <c r="O97" i="3" s="1"/>
  <c r="N97" i="3" a="1"/>
  <c r="N97" i="3" s="1"/>
  <c r="M97" i="3" a="1"/>
  <c r="M97" i="3" s="1"/>
  <c r="L97" i="3" a="1"/>
  <c r="L97" i="3" s="1"/>
  <c r="K97" i="3" a="1"/>
  <c r="K97" i="3" s="1"/>
  <c r="J97" i="3" a="1"/>
  <c r="J97" i="3" s="1"/>
  <c r="I97" i="3" a="1"/>
  <c r="I97" i="3" s="1"/>
  <c r="H97" i="3" a="1"/>
  <c r="H97" i="3" s="1"/>
  <c r="G97" i="3" a="1"/>
  <c r="G97" i="3" s="1"/>
  <c r="F97" i="3" a="1"/>
  <c r="F97" i="3" s="1"/>
  <c r="E97" i="3" a="1"/>
  <c r="E97" i="3" s="1"/>
  <c r="D97" i="3" a="1"/>
  <c r="D97" i="3" s="1"/>
  <c r="S96" i="3" a="1"/>
  <c r="S96" i="3" s="1"/>
  <c r="R96" i="3" a="1"/>
  <c r="R96" i="3" s="1"/>
  <c r="Q96" i="3" a="1"/>
  <c r="Q96" i="3" s="1"/>
  <c r="P96" i="3" a="1"/>
  <c r="P96" i="3" s="1"/>
  <c r="O96" i="3" a="1"/>
  <c r="O96" i="3" s="1"/>
  <c r="N96" i="3" a="1"/>
  <c r="N96" i="3" s="1"/>
  <c r="M96" i="3" a="1"/>
  <c r="M96" i="3" s="1"/>
  <c r="L96" i="3" a="1"/>
  <c r="L96" i="3" s="1"/>
  <c r="K96" i="3" a="1"/>
  <c r="K96" i="3" s="1"/>
  <c r="J96" i="3" a="1"/>
  <c r="J96" i="3" s="1"/>
  <c r="I96" i="3" a="1"/>
  <c r="I96" i="3" s="1"/>
  <c r="H96" i="3" a="1"/>
  <c r="H96" i="3" s="1"/>
  <c r="G96" i="3" a="1"/>
  <c r="G96" i="3" s="1"/>
  <c r="F96" i="3" a="1"/>
  <c r="F96" i="3" s="1"/>
  <c r="E96" i="3" a="1"/>
  <c r="E96" i="3" s="1"/>
  <c r="D96" i="3" a="1"/>
  <c r="D96" i="3" s="1"/>
  <c r="S95" i="3" a="1"/>
  <c r="S95" i="3" s="1"/>
  <c r="R95" i="3" a="1"/>
  <c r="R95" i="3" s="1"/>
  <c r="Q95" i="3" a="1"/>
  <c r="Q95" i="3" s="1"/>
  <c r="P95" i="3" a="1"/>
  <c r="P95" i="3" s="1"/>
  <c r="O95" i="3" a="1"/>
  <c r="O95" i="3" s="1"/>
  <c r="N95" i="3" a="1"/>
  <c r="N95" i="3" s="1"/>
  <c r="M95" i="3" a="1"/>
  <c r="M95" i="3" s="1"/>
  <c r="L95" i="3" a="1"/>
  <c r="L95" i="3" s="1"/>
  <c r="K95" i="3" a="1"/>
  <c r="K95" i="3" s="1"/>
  <c r="J95" i="3" a="1"/>
  <c r="J95" i="3" s="1"/>
  <c r="I95" i="3" a="1"/>
  <c r="I95" i="3" s="1"/>
  <c r="H95" i="3" a="1"/>
  <c r="H95" i="3" s="1"/>
  <c r="G95" i="3" a="1"/>
  <c r="G95" i="3" s="1"/>
  <c r="F95" i="3" a="1"/>
  <c r="F95" i="3" s="1"/>
  <c r="E95" i="3" a="1"/>
  <c r="E95" i="3" s="1"/>
  <c r="D95" i="3" a="1"/>
  <c r="D95" i="3" s="1"/>
  <c r="S94" i="3" a="1"/>
  <c r="S94" i="3" s="1"/>
  <c r="R94" i="3" a="1"/>
  <c r="R94" i="3" s="1"/>
  <c r="Q94" i="3" a="1"/>
  <c r="Q94" i="3" s="1"/>
  <c r="P94" i="3" a="1"/>
  <c r="P94" i="3" s="1"/>
  <c r="O94" i="3" a="1"/>
  <c r="O94" i="3" s="1"/>
  <c r="N94" i="3" a="1"/>
  <c r="N94" i="3" s="1"/>
  <c r="M94" i="3" a="1"/>
  <c r="M94" i="3" s="1"/>
  <c r="L94" i="3" a="1"/>
  <c r="L94" i="3" s="1"/>
  <c r="K94" i="3" a="1"/>
  <c r="K94" i="3" s="1"/>
  <c r="J94" i="3" a="1"/>
  <c r="J94" i="3" s="1"/>
  <c r="I94" i="3" a="1"/>
  <c r="I94" i="3" s="1"/>
  <c r="H94" i="3" a="1"/>
  <c r="H94" i="3" s="1"/>
  <c r="G94" i="3" a="1"/>
  <c r="G94" i="3" s="1"/>
  <c r="F94" i="3" a="1"/>
  <c r="F94" i="3" s="1"/>
  <c r="E94" i="3" a="1"/>
  <c r="E94" i="3" s="1"/>
  <c r="D94" i="3" a="1"/>
  <c r="D94" i="3" s="1"/>
  <c r="S93" i="3" a="1"/>
  <c r="S93" i="3" s="1"/>
  <c r="R93" i="3" a="1"/>
  <c r="R93" i="3" s="1"/>
  <c r="Q93" i="3" a="1"/>
  <c r="Q93" i="3" s="1"/>
  <c r="P93" i="3" a="1"/>
  <c r="P93" i="3" s="1"/>
  <c r="O93" i="3" a="1"/>
  <c r="O93" i="3" s="1"/>
  <c r="N93" i="3" a="1"/>
  <c r="N93" i="3" s="1"/>
  <c r="M93" i="3" a="1"/>
  <c r="M93" i="3" s="1"/>
  <c r="L93" i="3" a="1"/>
  <c r="L93" i="3" s="1"/>
  <c r="K93" i="3" a="1"/>
  <c r="K93" i="3" s="1"/>
  <c r="J93" i="3" a="1"/>
  <c r="J93" i="3" s="1"/>
  <c r="I93" i="3" a="1"/>
  <c r="I93" i="3" s="1"/>
  <c r="H93" i="3" a="1"/>
  <c r="H93" i="3" s="1"/>
  <c r="G93" i="3" a="1"/>
  <c r="G93" i="3" s="1"/>
  <c r="F93" i="3" a="1"/>
  <c r="F93" i="3" s="1"/>
  <c r="E93" i="3" a="1"/>
  <c r="E93" i="3" s="1"/>
  <c r="D93" i="3" a="1"/>
  <c r="D93" i="3" s="1"/>
  <c r="S92" i="3" a="1"/>
  <c r="S92" i="3" s="1"/>
  <c r="R92" i="3" a="1"/>
  <c r="R92" i="3" s="1"/>
  <c r="Q92" i="3" a="1"/>
  <c r="Q92" i="3" s="1"/>
  <c r="P92" i="3" a="1"/>
  <c r="P92" i="3" s="1"/>
  <c r="O92" i="3" a="1"/>
  <c r="O92" i="3" s="1"/>
  <c r="N92" i="3" a="1"/>
  <c r="N92" i="3" s="1"/>
  <c r="M92" i="3" a="1"/>
  <c r="M92" i="3" s="1"/>
  <c r="L92" i="3" a="1"/>
  <c r="L92" i="3" s="1"/>
  <c r="K92" i="3" a="1"/>
  <c r="K92" i="3" s="1"/>
  <c r="J92" i="3" a="1"/>
  <c r="J92" i="3" s="1"/>
  <c r="I92" i="3" a="1"/>
  <c r="I92" i="3" s="1"/>
  <c r="H92" i="3" a="1"/>
  <c r="H92" i="3" s="1"/>
  <c r="G92" i="3" a="1"/>
  <c r="G92" i="3" s="1"/>
  <c r="F92" i="3" a="1"/>
  <c r="F92" i="3" s="1"/>
  <c r="E92" i="3" a="1"/>
  <c r="E92" i="3" s="1"/>
  <c r="D92" i="3" a="1"/>
  <c r="D92" i="3" s="1"/>
  <c r="S91" i="3" a="1"/>
  <c r="S91" i="3" s="1"/>
  <c r="R91" i="3" a="1"/>
  <c r="R91" i="3" s="1"/>
  <c r="Q91" i="3" a="1"/>
  <c r="Q91" i="3" s="1"/>
  <c r="P91" i="3" a="1"/>
  <c r="P91" i="3" s="1"/>
  <c r="O91" i="3" a="1"/>
  <c r="O91" i="3" s="1"/>
  <c r="N91" i="3" a="1"/>
  <c r="N91" i="3" s="1"/>
  <c r="M91" i="3" a="1"/>
  <c r="M91" i="3" s="1"/>
  <c r="L91" i="3" a="1"/>
  <c r="L91" i="3" s="1"/>
  <c r="K91" i="3" a="1"/>
  <c r="K91" i="3" s="1"/>
  <c r="J91" i="3" a="1"/>
  <c r="J91" i="3" s="1"/>
  <c r="I91" i="3" a="1"/>
  <c r="I91" i="3" s="1"/>
  <c r="H91" i="3" a="1"/>
  <c r="H91" i="3" s="1"/>
  <c r="G91" i="3" a="1"/>
  <c r="G91" i="3" s="1"/>
  <c r="F91" i="3" a="1"/>
  <c r="F91" i="3" s="1"/>
  <c r="E91" i="3" a="1"/>
  <c r="E91" i="3" s="1"/>
  <c r="D91" i="3" a="1"/>
  <c r="D91" i="3" s="1"/>
  <c r="S90" i="3" a="1"/>
  <c r="S90" i="3" s="1"/>
  <c r="R90" i="3" a="1"/>
  <c r="R90" i="3" s="1"/>
  <c r="Q90" i="3" a="1"/>
  <c r="Q90" i="3" s="1"/>
  <c r="P90" i="3" a="1"/>
  <c r="P90" i="3" s="1"/>
  <c r="O90" i="3" a="1"/>
  <c r="O90" i="3" s="1"/>
  <c r="N90" i="3" a="1"/>
  <c r="N90" i="3" s="1"/>
  <c r="M90" i="3" a="1"/>
  <c r="M90" i="3" s="1"/>
  <c r="L90" i="3" a="1"/>
  <c r="L90" i="3" s="1"/>
  <c r="K90" i="3" a="1"/>
  <c r="K90" i="3" s="1"/>
  <c r="J90" i="3" a="1"/>
  <c r="J90" i="3" s="1"/>
  <c r="I90" i="3" a="1"/>
  <c r="I90" i="3" s="1"/>
  <c r="H90" i="3" a="1"/>
  <c r="H90" i="3" s="1"/>
  <c r="G90" i="3" a="1"/>
  <c r="G90" i="3" s="1"/>
  <c r="F90" i="3" a="1"/>
  <c r="F90" i="3" s="1"/>
  <c r="E90" i="3" a="1"/>
  <c r="E90" i="3" s="1"/>
  <c r="D90" i="3" a="1"/>
  <c r="D90" i="3" s="1"/>
  <c r="D83" i="3" a="1"/>
  <c r="D83" i="3" s="1"/>
  <c r="D82" i="3" a="1"/>
  <c r="D82" i="3" s="1"/>
  <c r="D81" i="3" a="1"/>
  <c r="D81" i="3" s="1"/>
  <c r="E77" i="3" a="1"/>
  <c r="E77" i="3" s="1"/>
  <c r="D77" i="3" a="1"/>
  <c r="D77" i="3" s="1"/>
  <c r="E76" i="3" a="1"/>
  <c r="E76" i="3" s="1"/>
  <c r="D76" i="3" a="1"/>
  <c r="D76" i="3" s="1"/>
  <c r="E75" i="3" a="1"/>
  <c r="E75" i="3" s="1"/>
  <c r="D75" i="3" a="1"/>
  <c r="D75" i="3" s="1"/>
  <c r="E74" i="3" a="1"/>
  <c r="E74" i="3" s="1"/>
  <c r="D74" i="3" a="1"/>
  <c r="D74" i="3" s="1"/>
  <c r="E73" i="3" a="1"/>
  <c r="E73" i="3" s="1"/>
  <c r="D73" i="3" a="1"/>
  <c r="D73" i="3" s="1"/>
  <c r="E72" i="3" a="1"/>
  <c r="E72" i="3" s="1"/>
  <c r="D72" i="3" a="1"/>
  <c r="D72" i="3" s="1"/>
  <c r="E71" i="3" a="1"/>
  <c r="E71" i="3" s="1"/>
  <c r="D71" i="3" a="1"/>
  <c r="D71" i="3" s="1"/>
  <c r="E70" i="3" a="1"/>
  <c r="E70" i="3" s="1"/>
  <c r="D70" i="3" a="1"/>
  <c r="D70" i="3" s="1"/>
  <c r="E69" i="3" a="1"/>
  <c r="E69" i="3" s="1"/>
  <c r="D69" i="3" a="1"/>
  <c r="D69" i="3" s="1"/>
  <c r="E68" i="3" a="1"/>
  <c r="E68" i="3" s="1"/>
  <c r="D68" i="3" a="1"/>
  <c r="D68" i="3" s="1"/>
  <c r="E67" i="3" a="1"/>
  <c r="E67" i="3" s="1"/>
  <c r="D67" i="3" a="1"/>
  <c r="D67" i="3" s="1"/>
  <c r="E66" i="3" a="1"/>
  <c r="E66" i="3" s="1"/>
  <c r="D66" i="3" a="1"/>
  <c r="D66" i="3" s="1"/>
  <c r="E65" i="3" a="1"/>
  <c r="E65" i="3" s="1"/>
  <c r="D65" i="3" a="1"/>
  <c r="D65" i="3" s="1"/>
  <c r="E64" i="3" a="1"/>
  <c r="E64" i="3" s="1"/>
  <c r="D64" i="3" a="1"/>
  <c r="D64" i="3" s="1"/>
  <c r="D59" i="3" a="1"/>
  <c r="D59" i="3" s="1"/>
  <c r="D58" i="3" a="1"/>
  <c r="D58" i="3" s="1"/>
  <c r="D57" i="3" a="1"/>
  <c r="D57" i="3" s="1"/>
  <c r="G54" i="3" a="1"/>
  <c r="G54" i="3" s="1"/>
  <c r="F54" i="3" a="1"/>
  <c r="F54" i="3" s="1"/>
  <c r="E54" i="3" a="1"/>
  <c r="E54" i="3" s="1"/>
  <c r="D54" i="3" a="1"/>
  <c r="D54" i="3" s="1"/>
  <c r="G53" i="3" a="1"/>
  <c r="G53" i="3" s="1"/>
  <c r="F53" i="3" a="1"/>
  <c r="F53" i="3" s="1"/>
  <c r="E53" i="3" a="1"/>
  <c r="E53" i="3" s="1"/>
  <c r="D53" i="3" a="1"/>
  <c r="D53" i="3" s="1"/>
  <c r="G52" i="3" a="1"/>
  <c r="G52" i="3" s="1"/>
  <c r="F52" i="3" a="1"/>
  <c r="F52" i="3" s="1"/>
  <c r="E52" i="3" a="1"/>
  <c r="E52" i="3" s="1"/>
  <c r="D52" i="3" a="1"/>
  <c r="D52" i="3" s="1"/>
  <c r="G51" i="3" a="1"/>
  <c r="G51" i="3" s="1"/>
  <c r="F51" i="3" a="1"/>
  <c r="F51" i="3" s="1"/>
  <c r="E51" i="3" a="1"/>
  <c r="E51" i="3" s="1"/>
  <c r="D51" i="3" a="1"/>
  <c r="D51" i="3" s="1"/>
  <c r="G50" i="3" a="1"/>
  <c r="G50" i="3" s="1"/>
  <c r="F50" i="3" a="1"/>
  <c r="F50" i="3" s="1"/>
  <c r="E50" i="3" a="1"/>
  <c r="E50" i="3" s="1"/>
  <c r="D50" i="3" a="1"/>
  <c r="D50" i="3" s="1"/>
  <c r="G49" i="3" a="1"/>
  <c r="G49" i="3" s="1"/>
  <c r="F49" i="3" a="1"/>
  <c r="F49" i="3" s="1"/>
  <c r="E49" i="3" a="1"/>
  <c r="E49" i="3" s="1"/>
  <c r="D49" i="3" a="1"/>
  <c r="D49" i="3" s="1"/>
  <c r="G48" i="3" a="1"/>
  <c r="G48" i="3" s="1"/>
  <c r="F48" i="3" a="1"/>
  <c r="F48" i="3" s="1"/>
  <c r="E48" i="3" a="1"/>
  <c r="E48" i="3" s="1"/>
  <c r="D48" i="3" a="1"/>
  <c r="D48" i="3" s="1"/>
  <c r="D46" i="3" a="1"/>
  <c r="D46" i="3" s="1"/>
  <c r="D45" i="3" a="1"/>
  <c r="D45" i="3" s="1"/>
  <c r="E43" i="3" a="1"/>
  <c r="E43" i="3" s="1"/>
  <c r="D43" i="3" a="1"/>
  <c r="D43" i="3" s="1"/>
  <c r="E42" i="3" a="1"/>
  <c r="E42" i="3" s="1"/>
  <c r="D42" i="3" a="1"/>
  <c r="D42" i="3" s="1"/>
  <c r="E41" i="3" a="1"/>
  <c r="E41" i="3" s="1"/>
  <c r="D41" i="3" a="1"/>
  <c r="D41" i="3" s="1"/>
  <c r="E40" i="3" a="1"/>
  <c r="E40" i="3" s="1"/>
  <c r="D40" i="3" a="1"/>
  <c r="D40" i="3" s="1"/>
  <c r="E39" i="3" a="1"/>
  <c r="E39" i="3" s="1"/>
  <c r="D39" i="3" a="1"/>
  <c r="D39" i="3" s="1"/>
  <c r="E38" i="3" a="1"/>
  <c r="E38" i="3" s="1"/>
  <c r="D38" i="3" a="1"/>
  <c r="D38" i="3" s="1"/>
  <c r="E37" i="3" a="1"/>
  <c r="E37" i="3" s="1"/>
  <c r="D37" i="3" a="1"/>
  <c r="D37" i="3" s="1"/>
  <c r="D35" i="3" a="1"/>
  <c r="D35" i="3" s="1"/>
  <c r="D34" i="3" a="1"/>
  <c r="D34" i="3" s="1"/>
  <c r="D30" i="3" a="1"/>
  <c r="D30" i="3" s="1"/>
  <c r="D29" i="3" a="1"/>
  <c r="D29" i="3" s="1"/>
  <c r="D28" i="3" a="1"/>
  <c r="D28" i="3" s="1"/>
  <c r="D27" i="3" a="1"/>
  <c r="D27" i="3" s="1"/>
  <c r="D26" i="3" a="1"/>
  <c r="D26" i="3" s="1"/>
  <c r="D25" i="3" a="1"/>
  <c r="D25" i="3" s="1"/>
  <c r="D24" i="3" a="1"/>
  <c r="D24" i="3" s="1"/>
  <c r="D23" i="3" a="1"/>
  <c r="D23" i="3" s="1"/>
  <c r="D22" i="3" a="1"/>
  <c r="D22" i="3" s="1"/>
  <c r="D21" i="3" a="1"/>
  <c r="D21" i="3" s="1"/>
  <c r="D19" i="3" a="1"/>
  <c r="D19" i="3" s="1"/>
  <c r="D18" i="3" a="1"/>
  <c r="D18" i="3" s="1"/>
  <c r="F14" i="3" a="1"/>
  <c r="F14" i="3" s="1"/>
  <c r="E14" i="3" a="1"/>
  <c r="E14" i="3" s="1"/>
  <c r="D14" i="3" a="1"/>
  <c r="D14" i="3" s="1"/>
  <c r="F13" i="3" a="1"/>
  <c r="F13" i="3" s="1"/>
  <c r="E13" i="3" a="1"/>
  <c r="E13" i="3" s="1"/>
  <c r="D13" i="3" a="1"/>
  <c r="D13" i="3" s="1"/>
  <c r="F12" i="3" a="1"/>
  <c r="F12" i="3" s="1"/>
  <c r="E12" i="3" a="1"/>
  <c r="E12" i="3" s="1"/>
  <c r="D12" i="3" a="1"/>
  <c r="D12" i="3" s="1"/>
  <c r="F11" i="3" a="1"/>
  <c r="F11" i="3" s="1"/>
  <c r="E11" i="3" a="1"/>
  <c r="E11" i="3" s="1"/>
  <c r="D11" i="3" a="1"/>
  <c r="D11" i="3" s="1"/>
  <c r="F10" i="3" a="1"/>
  <c r="F10" i="3" s="1"/>
  <c r="E10" i="3" a="1"/>
  <c r="E10" i="3" s="1"/>
  <c r="D10" i="3" a="1"/>
  <c r="D10" i="3" s="1"/>
  <c r="F9" i="3" a="1"/>
  <c r="F9" i="3" s="1"/>
  <c r="E9" i="3" a="1"/>
  <c r="E9" i="3" s="1"/>
  <c r="D9" i="3" a="1"/>
  <c r="D9" i="3" s="1"/>
  <c r="F8" i="3" a="1"/>
  <c r="F8" i="3" s="1"/>
  <c r="E8" i="3" a="1"/>
  <c r="E8" i="3" s="1"/>
  <c r="D8" i="3" a="1"/>
  <c r="D8" i="3" s="1"/>
  <c r="F7" i="3" a="1"/>
  <c r="F7" i="3" s="1"/>
  <c r="E7" i="3" a="1"/>
  <c r="E7" i="3" s="1"/>
  <c r="D7" i="3" a="1"/>
  <c r="D7" i="3" s="1"/>
  <c r="D5" i="3" a="1"/>
  <c r="D5" i="3" s="1"/>
  <c r="E19" i="1" l="1"/>
  <c r="E14" i="1"/>
  <c r="E7" i="1"/>
  <c r="E18" i="1"/>
  <c r="E6" i="1"/>
  <c r="H54" i="3"/>
  <c r="H52" i="3"/>
  <c r="H48" i="3"/>
  <c r="H50" i="3"/>
  <c r="H53" i="3"/>
  <c r="H51" i="3"/>
  <c r="H4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<sst xmlns="http://schemas.openxmlformats.org/spreadsheetml/2006/main" count="436" uniqueCount="309">
  <si>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</si>
  <si>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</si>
  <si>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</si>
  <si>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</si>
  <si>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</si>
  <si>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</si>
  <si>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</si>
  <si>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</si>
  <si>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</si>
  <si>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</si>
  <si>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</si>
  <si>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</si>
  <si>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</si>
  <si>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</si>
  <si>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</si>
  <si>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</si>
  <si>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</si>
  <si>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</si>
  <si>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</si>
  <si>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</si>
  <si>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</si>
  <si>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</si>
  <si>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</si>
  <si>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</si>
  <si>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</si>
  <si>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</si>
  <si>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</si>
  <si>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</si>
  <si>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</si>
  <si>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</si>
  <si>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</si>
  <si>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</si>
  <si>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</si>
  <si>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</si>
  <si>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</si>
  <si>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</si>
  <si>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</si>
  <si>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</si>
  <si>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</si>
  <si>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</si>
  <si>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</si>
  <si>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</si>
  <si>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</si>
  <si>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</si>
  <si>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</si>
  <si>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</si>
  <si>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</si>
  <si>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</si>
  <si>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</si>
  <si>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</si>
  <si>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</si>
  <si>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</si>
  <si>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</si>
  <si>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</si>
  <si>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</si>
  <si>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</si>
  <si>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</si>
  <si>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</si>
  <si>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</si>
  <si>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</si>
  <si>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</si>
  <si>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</si>
  <si>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</si>
  <si>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</si>
  <si>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</si>
  <si>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</si>
  <si>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Constants - Fuel</t>
  </si>
  <si>
    <t>INPUTS</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</si>
  <si>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</si>
  <si>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</si>
  <si>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</si>
  <si>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</si>
  <si>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</si>
  <si>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</si>
  <si>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</si>
  <si>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</si>
  <si>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</si>
  <si>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CALCULATIONS</t>
  </si>
  <si>
    <t>APPENDICES</t>
  </si>
  <si>
    <t>Transport type t</t>
  </si>
  <si>
    <t>Fuel type q</t>
  </si>
  <si>
    <t>ECTrans,q (GJ/kL)</t>
  </si>
  <si>
    <t>Scope 1 CO2 EFTran,1,tqg (kg CO2-e/GJ)</t>
  </si>
  <si>
    <t>Scope 1 CH4 EFTran,1,tgg (kg CO2-e/GJ)</t>
  </si>
  <si>
    <t>Scope 1 N2O EFTran,1,tgg (kg CO2-e/GJ)</t>
  </si>
  <si>
    <t>Scope 3 EFTrans,3,q (kg CO2-e/GJ)</t>
  </si>
  <si>
    <t>State or territory</t>
  </si>
  <si>
    <t>Scope 3 Emission Factors for Natural Gas (kg CO2 - e / GJ) Metro</t>
  </si>
  <si>
    <t>Scope 3 Emission Factors for Natural Gas (kg CO2 - e / GJ) Non - Metro</t>
  </si>
  <si>
    <t>Appendices</t>
  </si>
  <si>
    <t>Generators</t>
  </si>
  <si>
    <t>Power standalone machinery or heating</t>
  </si>
  <si>
    <t>Aviation</t>
  </si>
  <si>
    <t>Cars and light commercial vehicles</t>
  </si>
  <si>
    <t>Off-road Agriculture and forestry equipment</t>
  </si>
  <si>
    <t>Vessels</t>
  </si>
  <si>
    <t>General use</t>
  </si>
  <si>
    <t>Fuel oil</t>
  </si>
  <si>
    <t>Fuel type</t>
  </si>
  <si>
    <t>Unit</t>
  </si>
  <si>
    <t>Petrol</t>
  </si>
  <si>
    <t>kL</t>
  </si>
  <si>
    <t>Diesel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</si>
  <si>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</si>
  <si>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</si>
  <si>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</si>
  <si>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</si>
  <si>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</si>
  <si>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</si>
  <si>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</si>
  <si>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</si>
  <si>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</si>
  <si>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</si>
  <si>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</si>
  <si>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</si>
  <si>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</si>
  <si>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</si>
  <si>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</si>
  <si>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</si>
  <si>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</si>
  <si>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Town gas in GJ</t>
  </si>
  <si>
    <t>Input - Fuel</t>
  </si>
  <si>
    <t>Fuel purchases and consumption</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</si>
  <si>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</si>
  <si>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</si>
  <si>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</si>
  <si>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</si>
  <si>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</si>
  <si>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</si>
  <si>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</si>
  <si>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</si>
  <si>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Table_E_g</t>
  </si>
  <si>
    <t>Emissions for transport fuel combustion</t>
  </si>
  <si>
    <t>Fuel use</t>
  </si>
  <si>
    <t>Fuel type (NGAF terminology)</t>
  </si>
  <si>
    <t>Fuel type (q)</t>
  </si>
  <si>
    <t>Q</t>
  </si>
  <si>
    <t>Constants - Fertiliser</t>
  </si>
  <si>
    <t>Fertiliser type f</t>
  </si>
  <si>
    <t>FNinorganic f</t>
  </si>
  <si>
    <t>FU f</t>
  </si>
  <si>
    <t>Basis</t>
  </si>
  <si>
    <t>Lifecycles Scope 3 definition</t>
  </si>
  <si>
    <t>Source</t>
  </si>
  <si>
    <t>Production systems</t>
  </si>
  <si>
    <t>Crop types</t>
  </si>
  <si>
    <t>Irrigation methods</t>
  </si>
  <si>
    <t>Organic fertiliser types</t>
  </si>
  <si>
    <t>Production system</t>
  </si>
  <si>
    <t>Organic fertiliser type</t>
  </si>
  <si>
    <t>Pasture</t>
  </si>
  <si>
    <t>Not irrigated</t>
  </si>
  <si>
    <t>Manure - Cattle</t>
  </si>
  <si>
    <t>Crop</t>
  </si>
  <si>
    <t>Grains</t>
  </si>
  <si>
    <t>Drip irrigation</t>
  </si>
  <si>
    <t>Manure - Poultry</t>
  </si>
  <si>
    <t>Maize</t>
  </si>
  <si>
    <t>Sprinkler irrigation</t>
  </si>
  <si>
    <t>Manure - Swine</t>
  </si>
  <si>
    <t>Cotton</t>
  </si>
  <si>
    <t>Surface irrigation</t>
  </si>
  <si>
    <t>Manure - Other</t>
  </si>
  <si>
    <t>Other irrigation</t>
  </si>
  <si>
    <t>Other organic fertiliser</t>
  </si>
  <si>
    <t>FracGASF f</t>
  </si>
  <si>
    <t>Element</t>
  </si>
  <si>
    <t>P</t>
  </si>
  <si>
    <t>EF</t>
  </si>
  <si>
    <t>Fertiliser products</t>
  </si>
  <si>
    <t>Include or Exclude</t>
  </si>
  <si>
    <t>Notes</t>
  </si>
  <si>
    <t>Company</t>
  </si>
  <si>
    <t>Product name</t>
  </si>
  <si>
    <t>Density / gravity</t>
  </si>
  <si>
    <t>Urea source</t>
  </si>
  <si>
    <t>Ammonia source</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</si>
  <si>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</si>
  <si>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</si>
  <si>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</si>
  <si>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</si>
  <si>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</si>
  <si>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</si>
  <si>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</si>
  <si>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</si>
  <si>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</si>
  <si>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</si>
  <si>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</si>
  <si>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</si>
  <si>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Ingredient 7</t>
  </si>
  <si>
    <t>Ingredient 7 percent</t>
  </si>
  <si>
    <t>Ingredient 8</t>
  </si>
  <si>
    <t>Ingredient 8 percent</t>
  </si>
  <si>
    <t>Ingredient 9</t>
  </si>
  <si>
    <t>Ingredient 9 percent</t>
  </si>
  <si>
    <t>Imngredient 10</t>
  </si>
  <si>
    <t>Ingredient 10 percent</t>
  </si>
  <si>
    <t>Input - Fertiliser</t>
  </si>
  <si>
    <r>
      <rPr>
        <sz val="12"/>
        <color theme="1" tint="0.34998626667073579"/>
        <rFont val="Times New Roman"/>
        <family val="1"/>
      </rPr>
      <t xml:space="preserve">← </t>
    </r>
    <r>
      <rPr>
        <i/>
        <sz val="12"/>
        <color theme="1" tint="0.34998626667073579"/>
        <rFont val="Times New Roman"/>
        <family val="1"/>
      </rPr>
      <t>Please select</t>
    </r>
  </si>
  <si>
    <t>Crop type</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</si>
  <si>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</si>
  <si>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</si>
  <si>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</si>
  <si>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</si>
  <si>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</si>
  <si>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</si>
  <si>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</si>
  <si>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(kg / ha)</t>
    </r>
  </si>
  <si>
    <t>Application area (ha)</t>
  </si>
  <si>
    <t>Total applied (kg)</t>
  </si>
  <si>
    <t>N application rate (kg/ha)</t>
  </si>
  <si>
    <t>Aqua Finish</t>
  </si>
  <si>
    <t>CoRoN 12-0-10</t>
  </si>
  <si>
    <t>Custom fertiliser blends</t>
  </si>
  <si>
    <t>Custom blend name</t>
  </si>
  <si>
    <t>Ingredient 1 (select)</t>
  </si>
  <si>
    <t>My first custom blend</t>
  </si>
  <si>
    <t>Urea</t>
  </si>
  <si>
    <t>Phosphorus - Generic</t>
  </si>
  <si>
    <t>Potassium - Generic</t>
  </si>
  <si>
    <t>Sulfur - Generic</t>
  </si>
  <si>
    <t>My second custom blend</t>
  </si>
  <si>
    <t>Nitrogen - Ammoniacal</t>
  </si>
  <si>
    <t>Soil amendments</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</si>
  <si>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</si>
  <si>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</si>
  <si>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</si>
  <si>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</si>
  <si>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</si>
  <si>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</si>
  <si>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</si>
  <si>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</si>
  <si>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Percent Potash</t>
  </si>
  <si>
    <t>Total</t>
  </si>
  <si>
    <t>Lime product 1</t>
  </si>
  <si>
    <t>Lime product 2</t>
  </si>
  <si>
    <t>Organic fertiliser applied</t>
  </si>
  <si>
    <t>Organic fertiliser type (select)</t>
  </si>
  <si>
    <t>Percentage of N in fertiliser</t>
  </si>
  <si>
    <t>Amount applied (kg/hectare)</t>
  </si>
  <si>
    <t>Amount N applied (kg/hectare)</t>
  </si>
  <si>
    <t>Total organic fertliser applied</t>
  </si>
  <si>
    <t>Total nitrogen applied (kg)</t>
  </si>
  <si>
    <r>
      <t>TM</t>
    </r>
    <r>
      <rPr>
        <b/>
        <vertAlign val="subscript"/>
        <sz val="11"/>
        <color rgb="FF533001"/>
        <rFont val="Times New Roman"/>
        <family val="1"/>
      </rPr>
      <t>jf</t>
    </r>
  </si>
  <si>
    <t>Aqua Start</t>
  </si>
  <si>
    <t>Double superphosphate</t>
  </si>
  <si>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</si>
  <si>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</si>
  <si>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</si>
  <si>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</si>
  <si>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</si>
  <si>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</si>
  <si>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</si>
  <si>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</si>
  <si>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</si>
  <si>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</si>
  <si>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</si>
  <si>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</si>
  <si>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</si>
  <si>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</si>
  <si>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</si>
  <si>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</si>
  <si>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</si>
  <si>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</si>
  <si>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</si>
  <si>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</si>
  <si>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percent</t>
  </si>
  <si>
    <t>Jurisdictional renewable power percentage (ACT only)</t>
  </si>
  <si>
    <t>Electricity purchased from an accredited GreenPower provider</t>
  </si>
  <si>
    <t>Start of reporting year</t>
  </si>
  <si>
    <t>End of reporting year</t>
  </si>
  <si>
    <t>Voluntarily surrendered Renewable Energy Certificates (RECs)</t>
  </si>
  <si>
    <t>Description</t>
  </si>
  <si>
    <t>Source (select)</t>
  </si>
  <si>
    <t>Generation date</t>
  </si>
  <si>
    <t>Number of certificates</t>
  </si>
  <si>
    <t>MWh</t>
  </si>
  <si>
    <t>Elegibility</t>
  </si>
  <si>
    <t>Dec 2023 certs</t>
  </si>
  <si>
    <t>Purchased certificate</t>
  </si>
  <si>
    <t>Issued for generated electricity</t>
  </si>
  <si>
    <t>Total elegible voluntarily surrendered RECs</t>
  </si>
  <si>
    <t>Renewable Energy Certificates (RECs) for electricity produced on-site and consumed by the entity</t>
  </si>
  <si>
    <t xml:space="preserve"> </t>
  </si>
  <si>
    <t>May 2022 generated</t>
  </si>
  <si>
    <t>Total elegible RECs for electricity produced on-site and consumed by entity</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</si>
  <si>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</si>
  <si>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</si>
  <si>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</si>
  <si>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</si>
  <si>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</si>
  <si>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</si>
  <si>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</si>
  <si>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</si>
  <si>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</si>
  <si>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</si>
  <si>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</si>
  <si>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</si>
  <si>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</si>
  <si>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</si>
  <si>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</si>
  <si>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</si>
  <si>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</si>
  <si>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</si>
  <si>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Fuel</t>
  </si>
  <si>
    <t>Fertiliser</t>
  </si>
  <si>
    <t>Electricity</t>
  </si>
  <si>
    <t>Amount purchased from grid</t>
  </si>
  <si>
    <t>Grid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</si>
</sst>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43" formatCode="_-* #,##0.00_-;\-* #,##0.00_-;_-* &quot;-&quot;??_-;_-@_-"/>
    <numFmt numFmtId="164" formatCode="d/mm/yyyy;@"/>
    <numFmt numFmtId="165" formatCode="[$-C09]d\ mmmm\ yyyy;@"/>
    <numFmt numFmtId="166" formatCode="[$-C09]dd\-mmmm\-yyyy;@"/>
    <numFmt numFmtId="167" formatCode="0.000"/>
    <numFmt numFmtId="168" formatCode="_-* #,##0_-;\-* #,##0_-;_-* &quot;-&quot;??_-;_-@_-"/>
  </numFmts>
  <fonts count="52" x14ac:knownFonts="1">
    <font>
      <sz val="12"/>
      <color theme="1"/>
      <name val="Times New Roman"/>
      <family val="2"/>
    </font>
    <font>
      <b/>
      <sz val="20"/>
      <color rgb="FF183C1B"/>
      <name val="Times New Roman"/>
      <family val="1"/>
    </font>
    <font>
      <i/>
      <sz val="12"/>
      <color theme="1" tint="0.499984740745262"/>
      <name val="Times New Roman"/>
      <family val="1"/>
    </font>
    <font>
      <sz val="11"/>
      <color theme="1"/>
      <name val="Aptos Narrow"/>
      <family val="2"/>
      <scheme val="minor"/>
    </font>
    <font>
      <b/>
      <sz val="12"/>
      <color theme="1" tint="0.14999847407452621"/>
      <name val="Times New Roman"/>
      <family val="1"/>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sz val="12"/>
      <color theme="1" tint="0.14999847407452621"/>
      <name val="Times New Roman"/>
      <family val="1"/>
    </font>
    <font>
      <sz val="9"/>
      <name val="Times New Roman"/>
      <family val="1"/>
    </font>
    <font>
      <sz val="9"/>
      <color theme="1" tint="0.249977111117893"/>
      <name val="Times New Roman"/>
      <family val="1"/>
    </font>
    <font>
      <sz val="9"/>
      <color rgb="FFCC6600"/>
      <name val="Times New Roman"/>
      <family val="1"/>
    </font>
    <font>
      <sz val="9"/>
      <color theme="1"/>
      <name val="Aptos Narrow"/>
      <family val="2"/>
      <scheme val="minor"/>
    </font>
    <font>
      <sz val="9"/>
      <color rgb="FF008000"/>
      <name val="Times New Roman"/>
      <family val="1"/>
    </font>
    <font>
      <sz val="10"/>
      <color theme="1"/>
      <name val="Aptos Narrow"/>
      <family val="2"/>
      <scheme val="minor"/>
    </font>
    <font>
      <sz val="12"/>
      <color theme="0"/>
      <name val="Times New Roman"/>
      <family val="1"/>
    </font>
    <font>
      <b/>
      <sz val="12"/>
      <color theme="1" tint="0.24994659260841701"/>
      <name val="Times New Roman"/>
      <family val="1"/>
    </font>
    <font>
      <b/>
      <sz val="9"/>
      <name val="Times New Roman"/>
      <family val="1"/>
    </font>
    <font>
      <b/>
      <sz val="20"/>
      <color rgb="FFCC6600"/>
      <name val="Times New Roman"/>
      <family val="1"/>
    </font>
    <font>
      <sz val="12"/>
      <color rgb="FF0070C0"/>
      <name val="Times New Roman"/>
      <family val="1"/>
    </font>
    <font>
      <b/>
      <sz val="11"/>
      <color rgb="FF533001"/>
      <name val="Times New Roman"/>
      <family val="1"/>
    </font>
    <font>
      <sz val="10"/>
      <color theme="1" tint="0.34998626667073579"/>
      <name val="Times New Roman"/>
      <family val="1"/>
    </font>
    <font>
      <i/>
      <sz val="12"/>
      <color theme="1" tint="0.14999847407452621"/>
      <name val="Times New Roman"/>
      <family val="1"/>
    </font>
    <font>
      <i/>
      <sz val="10"/>
      <color theme="1" tint="0.14999847407452621"/>
      <name val="Aptos Narrow"/>
      <family val="1"/>
      <scheme val="minor"/>
    </font>
    <font>
      <b/>
      <sz val="12"/>
      <color rgb="FFCC6600"/>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sz val="10"/>
      <color theme="1" tint="0.34998626667073579"/>
      <name val="Aptos Narrow"/>
      <family val="2"/>
      <scheme val="minor"/>
    </font>
    <font>
      <sz val="12"/>
      <color theme="0" tint="-4.9989318521683403E-2"/>
      <name val="Times New Roman"/>
      <family val="1"/>
    </font>
    <font>
      <sz val="12"/>
      <color theme="1" tint="0.34998626667073579"/>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sz val="11"/>
      <color theme="1"/>
      <name val="Times New Roman"/>
      <family val="2"/>
    </font>
    <font>
      <b/>
      <vertAlign val="subscript"/>
      <sz val="11"/>
      <color rgb="FF533001"/>
      <name val="Times New Roman"/>
      <family val="1"/>
    </font>
    <font>
      <i/>
      <sz val="12"/>
      <color rgb="FFCC6600"/>
      <name val="Times New Roman"/>
      <family val="1"/>
    </font>
    <font>
      <i/>
      <sz val="10"/>
      <color theme="1" tint="0.34998626667073579"/>
      <name val="Times New Roman"/>
      <family val="1"/>
    </font>
    <font>
      <b/>
      <sz val="12"/>
      <color rgb="FF0070C0"/>
      <name val="Times New Roman"/>
      <family val="1"/>
    </font>
    <font>
      <sz val="12"/>
      <color theme="1"/>
      <name val="Times New Roman"/>
      <family val="1"/>
    </font>
    <font>
      <sz val="12"/>
      <color theme="1" tint="0.1499679555650502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s>
  <fills count="12">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B2D498"/>
        <bgColor indexed="64"/>
      </patternFill>
    </fill>
    <fill>
      <patternFill patternType="solid">
        <fgColor theme="0"/>
        <bgColor indexed="64"/>
      </patternFill>
    </fill>
    <fill>
      <patternFill patternType="solid">
        <fgColor theme="1" tint="0.499984740745262"/>
        <bgColor indexed="64"/>
      </patternFill>
    </fill>
    <fill>
      <patternFill patternType="solid">
        <fgColor rgb="FF533001"/>
        <bgColor indexed="64"/>
      </patternFill>
    </fill>
    <fill>
      <patternFill patternType="solid">
        <fgColor theme="3" tint="0.89996032593768116"/>
        <bgColor indexed="64"/>
      </patternFill>
    </fill>
    <fill>
      <patternFill patternType="solid">
        <fgColor rgb="FFCC6600"/>
        <bgColor indexed="64"/>
      </patternFill>
    </fill>
    <fill>
      <patternFill patternType="solid">
        <fgColor rgb="FFFFCC66"/>
        <bgColor indexed="64"/>
      </patternFill>
    </fill>
    <fill>
      <gradientFill degree="90">
        <stop position="0">
          <color theme="0"/>
        </stop>
        <stop position="1">
          <color theme="0" tint="-5.0965910824915313E-2"/>
        </stop>
      </gradientFill>
    </fill>
  </fills>
  <borders count="21">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right/>
      <top style="thin">
        <color indexed="64"/>
      </top>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1" tint="0.499984740745262"/>
      </top>
      <bottom/>
      <diagonal/>
    </border>
  </borders>
  <cellStyleXfs count="44">
    <xf numFmtId="0" fontId="0" fillId="0" borderId="0"/>
    <xf numFmtId="0" fontId="1" fillId="0" borderId="0"/>
    <xf numFmtId="0" fontId="2" fillId="0" borderId="0">
      <alignment vertical="center"/>
    </xf>
    <xf numFmtId="0" fontId="3" fillId="0" borderId="0"/>
    <xf numFmtId="0" fontId="4" fillId="2" borderId="0">
      <alignment horizontal="left" vertical="center"/>
    </xf>
    <xf numFmtId="0" fontId="5" fillId="3" borderId="0">
      <alignment vertical="center"/>
    </xf>
    <xf numFmtId="0" fontId="6" fillId="2" borderId="0">
      <alignment horizontal="left" vertical="center"/>
    </xf>
    <xf numFmtId="0" fontId="7" fillId="2" borderId="0">
      <alignment horizontal="left" vertical="center"/>
    </xf>
    <xf numFmtId="0" fontId="8" fillId="2" borderId="0">
      <alignment vertical="center"/>
    </xf>
    <xf numFmtId="0" fontId="9" fillId="2" borderId="0">
      <alignment horizontal="left" vertical="center"/>
    </xf>
    <xf numFmtId="0" fontId="10" fillId="2" borderId="0">
      <alignment horizontal="left" vertical="center"/>
    </xf>
    <xf numFmtId="0" fontId="11" fillId="0" borderId="0">
      <alignment horizontal="left" vertical="center" indent="1"/>
    </xf>
    <xf numFmtId="0" fontId="13" fillId="5" borderId="2">
      <alignment horizontal="left" vertical="center" indent="1"/>
    </xf>
    <xf numFmtId="0" fontId="18" fillId="6" borderId="0">
      <alignment horizontal="left" vertical="center" indent="1"/>
    </xf>
    <xf numFmtId="0" fontId="21" fillId="0" borderId="0"/>
    <xf numFmtId="0" fontId="5" fillId="7" borderId="0">
      <alignment vertical="center"/>
    </xf>
    <xf numFmtId="0" fontId="22" fillId="8" borderId="3">
      <alignment horizontal="left" vertical="center"/>
    </xf>
    <xf numFmtId="0" fontId="18" fillId="9" borderId="0">
      <alignment horizontal="left" vertical="center" indent="1"/>
    </xf>
    <xf numFmtId="0" fontId="23" fillId="10" borderId="0">
      <alignment horizontal="center" vertical="center"/>
      <protection locked="0"/>
    </xf>
    <xf numFmtId="0" fontId="4" fillId="11" borderId="1">
      <alignment horizontal="center" vertical="center"/>
    </xf>
    <xf numFmtId="0" fontId="24" fillId="2" borderId="1">
      <alignment horizontal="center" vertical="center"/>
    </xf>
    <xf numFmtId="9" fontId="11" fillId="0" borderId="1">
      <alignment horizontal="center" vertical="center"/>
    </xf>
    <xf numFmtId="0" fontId="26" fillId="0" borderId="0"/>
    <xf numFmtId="0" fontId="27" fillId="2" borderId="0">
      <alignment horizontal="left" vertical="center"/>
    </xf>
    <xf numFmtId="0" fontId="28" fillId="2" borderId="0">
      <alignment horizontal="left" vertical="center"/>
    </xf>
    <xf numFmtId="0" fontId="29" fillId="2" borderId="0">
      <alignment horizontal="left" vertical="center"/>
    </xf>
    <xf numFmtId="0" fontId="30" fillId="4" borderId="0">
      <alignment horizontal="center" vertical="center"/>
    </xf>
    <xf numFmtId="0" fontId="31" fillId="2" borderId="0" applyNumberFormat="0">
      <alignment horizontal="center" vertical="center"/>
    </xf>
    <xf numFmtId="0" fontId="32" fillId="2" borderId="0">
      <alignment horizontal="left" vertical="center"/>
    </xf>
    <xf numFmtId="0" fontId="10" fillId="2" borderId="0">
      <alignment horizontal="left" vertical="center" indent="1"/>
    </xf>
    <xf numFmtId="0" fontId="11" fillId="0" borderId="1">
      <alignment horizontal="center" vertical="center"/>
    </xf>
    <xf numFmtId="0" fontId="36" fillId="2" borderId="0">
      <alignment horizontal="left" vertical="center"/>
    </xf>
    <xf numFmtId="4" fontId="11" fillId="0" borderId="1">
      <alignment horizontal="center" vertical="center"/>
    </xf>
    <xf numFmtId="0" fontId="3" fillId="0" borderId="0"/>
    <xf numFmtId="43" fontId="3" fillId="0" borderId="0" applyFont="0" applyFill="0" applyBorder="0" applyAlignment="0" applyProtection="0"/>
    <xf numFmtId="0" fontId="11" fillId="0" borderId="1">
      <alignment horizontal="center" vertical="center"/>
    </xf>
    <xf numFmtId="9" fontId="3" fillId="0" borderId="0" applyFont="0" applyFill="0" applyBorder="0" applyAlignment="0" applyProtection="0"/>
    <xf numFmtId="164" fontId="24" fillId="2" borderId="1">
      <alignment horizontal="center" vertical="center"/>
    </xf>
    <xf numFmtId="0" fontId="41" fillId="2" borderId="0">
      <alignment vertical="center"/>
    </xf>
    <xf numFmtId="166" fontId="11" fillId="0" borderId="1">
      <alignment horizontal="center" vertical="center"/>
    </xf>
    <xf numFmtId="3" fontId="24" fillId="2" borderId="1">
      <alignment horizontal="center" vertical="center"/>
    </xf>
    <xf numFmtId="167" fontId="45" fillId="2" borderId="20">
      <alignment horizontal="center" vertical="center"/>
    </xf>
    <xf numFmtId="0" fontId="50" fillId="0" borderId="0" applyNumberFormat="0" applyFill="0" applyBorder="0" applyAlignment="0" applyProtection="0"/>
    <xf numFmtId="3" fontId="11" fillId="0" borderId="1">
      <alignment horizontal="center" vertical="center"/>
    </xf>
  </cellStyleXfs>
  <cellXfs count="151">
    <xf numFmtId="0" fontId="0" fillId="0" borderId="0" xfId="0"/>
    <xf numFmtId="0" fontId="1" fillId="0" borderId="0" xfId="1"/>
    <xf numFmtId="0" fontId="2" fillId="0" borderId="0" xfId="2">
      <alignment vertical="center"/>
    </xf>
    <xf numFmtId="0" fontId="3" fillId="0" borderId="0" xfId="3"/>
    <xf numFmtId="0" fontId="4" fillId="0" borderId="0" xfId="4" applyFill="1">
      <alignment horizontal="left" vertical="center"/>
    </xf>
    <xf numFmtId="0" fontId="5" fillId="3" borderId="0" xfId="5">
      <alignment vertical="center"/>
    </xf>
    <xf numFmtId="0" fontId="5" fillId="0" borderId="0" xfId="5" applyFill="1">
      <alignment vertical="center"/>
    </xf>
    <xf numFmtId="0" fontId="4" fillId="2" borderId="0" xfId="4">
      <alignment horizontal="left" vertical="center"/>
    </xf>
    <xf numFmtId="0" fontId="6" fillId="2" borderId="0" xfId="6">
      <alignment horizontal="left" vertical="center"/>
    </xf>
    <xf numFmtId="0" fontId="7" fillId="2" borderId="0" xfId="7">
      <alignment horizontal="left" vertical="center"/>
    </xf>
    <xf numFmtId="0" fontId="0" fillId="0" borderId="0" xfId="6" applyFont="1" applyFill="1">
      <alignment horizontal="left" vertical="center"/>
    </xf>
    <xf numFmtId="0" fontId="8" fillId="2" borderId="0" xfId="8">
      <alignment vertical="center"/>
    </xf>
    <xf numFmtId="0" fontId="9" fillId="2" borderId="0" xfId="9">
      <alignment horizontal="left" vertical="center"/>
    </xf>
    <xf numFmtId="0" fontId="10" fillId="2" borderId="0" xfId="10">
      <alignment horizontal="left" vertical="center"/>
    </xf>
    <xf numFmtId="0" fontId="3" fillId="2" borderId="0" xfId="3" applyFill="1"/>
    <xf numFmtId="0" fontId="0" fillId="0" borderId="0" xfId="4" applyFont="1" applyFill="1">
      <alignment horizontal="left" vertical="center"/>
    </xf>
    <xf numFmtId="0" fontId="11" fillId="0" borderId="0" xfId="11">
      <alignment horizontal="left" vertical="center" indent="1"/>
    </xf>
    <xf numFmtId="0" fontId="12" fillId="2" borderId="0" xfId="3" applyFont="1" applyFill="1"/>
    <xf numFmtId="0" fontId="11" fillId="5" borderId="0" xfId="4" applyFont="1" applyFill="1" applyAlignment="1">
      <alignment horizontal="left" vertical="center" indent="1"/>
    </xf>
    <xf numFmtId="0" fontId="14" fillId="5" borderId="2" xfId="12" applyFont="1">
      <alignment horizontal="left" vertical="center" indent="1"/>
    </xf>
    <xf numFmtId="0" fontId="15" fillId="0" borderId="0" xfId="3" applyFont="1" applyAlignment="1">
      <alignment vertical="center" wrapText="1"/>
    </xf>
    <xf numFmtId="0" fontId="16" fillId="5" borderId="2" xfId="12" applyFont="1">
      <alignment horizontal="left" vertical="center" indent="1"/>
    </xf>
    <xf numFmtId="0" fontId="17" fillId="0" borderId="0" xfId="3" applyFont="1" applyAlignment="1">
      <alignment horizontal="left" vertical="center"/>
    </xf>
    <xf numFmtId="0" fontId="13" fillId="5" borderId="2" xfId="12">
      <alignment horizontal="left" vertical="center" indent="1"/>
    </xf>
    <xf numFmtId="0" fontId="18" fillId="6" borderId="0" xfId="13">
      <alignment horizontal="left" vertical="center" indent="1"/>
    </xf>
    <xf numFmtId="0" fontId="17" fillId="0" borderId="0" xfId="6" applyFont="1" applyFill="1">
      <alignment horizontal="left" vertical="center"/>
    </xf>
    <xf numFmtId="0" fontId="15" fillId="0" borderId="0" xfId="3" applyFont="1" applyAlignment="1">
      <alignment vertical="center"/>
    </xf>
    <xf numFmtId="0" fontId="15" fillId="0" borderId="0" xfId="3" applyFont="1" applyAlignment="1">
      <alignment horizontal="left" vertical="center"/>
    </xf>
    <xf numFmtId="0" fontId="19" fillId="2" borderId="0" xfId="6" applyFont="1">
      <alignment horizontal="left" vertical="center"/>
    </xf>
    <xf numFmtId="0" fontId="3" fillId="0" borderId="0" xfId="3" applyAlignment="1">
      <alignment horizontal="left" vertical="center"/>
    </xf>
    <xf numFmtId="0" fontId="6" fillId="2" borderId="0" xfId="6" applyAlignment="1">
      <alignment horizontal="right" vertical="center"/>
    </xf>
    <xf numFmtId="0" fontId="15" fillId="2" borderId="0" xfId="3" applyFont="1" applyFill="1" applyAlignment="1">
      <alignment horizontal="left" vertical="center"/>
    </xf>
    <xf numFmtId="0" fontId="19" fillId="2" borderId="0" xfId="6" applyFont="1" applyAlignment="1">
      <alignment horizontal="right" vertical="center"/>
    </xf>
    <xf numFmtId="0" fontId="20" fillId="2" borderId="0" xfId="3" applyFont="1" applyFill="1"/>
    <xf numFmtId="0" fontId="15" fillId="0" borderId="0" xfId="3" applyFont="1"/>
    <xf numFmtId="0" fontId="15" fillId="0" borderId="0" xfId="4" applyFont="1" applyFill="1">
      <alignment horizontal="left" vertical="center"/>
    </xf>
    <xf numFmtId="0" fontId="15" fillId="2" borderId="0" xfId="3" applyFont="1" applyFill="1"/>
    <xf numFmtId="0" fontId="15" fillId="2" borderId="0" xfId="4" applyFont="1">
      <alignment horizontal="left" vertical="center"/>
    </xf>
    <xf numFmtId="0" fontId="21" fillId="0" borderId="0" xfId="14"/>
    <xf numFmtId="0" fontId="5" fillId="7" borderId="0" xfId="15">
      <alignment vertical="center"/>
    </xf>
    <xf numFmtId="0" fontId="22" fillId="8" borderId="4" xfId="16" applyBorder="1">
      <alignment horizontal="left" vertical="center"/>
    </xf>
    <xf numFmtId="0" fontId="22" fillId="8" borderId="5" xfId="16" applyBorder="1">
      <alignment horizontal="left" vertical="center"/>
    </xf>
    <xf numFmtId="0" fontId="22" fillId="8" borderId="6" xfId="16" applyBorder="1">
      <alignment horizontal="left" vertical="center"/>
    </xf>
    <xf numFmtId="0" fontId="18" fillId="9" borderId="0" xfId="17">
      <alignment horizontal="left" vertical="center" indent="1"/>
    </xf>
    <xf numFmtId="0" fontId="22" fillId="8" borderId="7" xfId="16" applyBorder="1">
      <alignment horizontal="left" vertical="center"/>
    </xf>
    <xf numFmtId="0" fontId="22" fillId="8" borderId="8" xfId="16" applyBorder="1">
      <alignment horizontal="left" vertical="center"/>
    </xf>
    <xf numFmtId="0" fontId="22" fillId="8" borderId="9" xfId="16" applyBorder="1">
      <alignment horizontal="left" vertical="center"/>
    </xf>
    <xf numFmtId="0" fontId="23" fillId="10" borderId="0" xfId="18">
      <alignment horizontal="center" vertical="center"/>
      <protection locked="0"/>
    </xf>
    <xf numFmtId="0" fontId="4" fillId="11" borderId="1" xfId="19">
      <alignment horizontal="center" vertical="center"/>
    </xf>
    <xf numFmtId="0" fontId="0" fillId="0" borderId="0" xfId="4" applyFont="1" applyFill="1" applyAlignment="1">
      <alignment horizontal="center" vertical="center"/>
    </xf>
    <xf numFmtId="0" fontId="24" fillId="2" borderId="1" xfId="20">
      <alignment horizontal="center" vertical="center"/>
    </xf>
    <xf numFmtId="9" fontId="0" fillId="0" borderId="0" xfId="21" applyFont="1" applyBorder="1">
      <alignment horizontal="center" vertical="center"/>
    </xf>
    <xf numFmtId="0" fontId="25" fillId="0" borderId="0" xfId="11" applyFont="1">
      <alignment horizontal="left" vertical="center" indent="1"/>
    </xf>
    <xf numFmtId="0" fontId="6" fillId="2" borderId="0" xfId="6" applyAlignment="1">
      <alignment horizontal="left" vertical="center" wrapText="1"/>
    </xf>
    <xf numFmtId="0" fontId="3" fillId="0" borderId="0" xfId="3" applyAlignment="1">
      <alignment wrapText="1"/>
    </xf>
    <xf numFmtId="0" fontId="12" fillId="0" borderId="0" xfId="3" applyFont="1" applyAlignment="1">
      <alignment wrapText="1"/>
    </xf>
    <xf numFmtId="0" fontId="26" fillId="0" borderId="0" xfId="22"/>
    <xf numFmtId="0" fontId="27" fillId="2" borderId="0" xfId="23">
      <alignment horizontal="left" vertical="center"/>
    </xf>
    <xf numFmtId="0" fontId="28" fillId="2" borderId="0" xfId="24">
      <alignment horizontal="left" vertical="center"/>
    </xf>
    <xf numFmtId="0" fontId="29" fillId="2" borderId="0" xfId="25">
      <alignment horizontal="left" vertical="center"/>
    </xf>
    <xf numFmtId="0" fontId="30" fillId="4" borderId="0" xfId="26">
      <alignment horizontal="center" vertical="center"/>
    </xf>
    <xf numFmtId="0" fontId="31" fillId="2" borderId="0" xfId="27" applyAlignment="1">
      <alignment horizontal="left" vertical="center"/>
    </xf>
    <xf numFmtId="0" fontId="32" fillId="2" borderId="0" xfId="28">
      <alignment horizontal="left" vertical="center"/>
    </xf>
    <xf numFmtId="0" fontId="4" fillId="2" borderId="10" xfId="4" applyBorder="1">
      <alignment horizontal="left" vertical="center"/>
    </xf>
    <xf numFmtId="0" fontId="31" fillId="2" borderId="10" xfId="27" applyBorder="1" applyAlignment="1">
      <alignment horizontal="left" vertical="center"/>
    </xf>
    <xf numFmtId="0" fontId="3" fillId="0" borderId="0" xfId="3" applyAlignment="1">
      <alignment vertical="center"/>
    </xf>
    <xf numFmtId="0" fontId="3" fillId="0" borderId="0" xfId="3" applyAlignment="1">
      <alignment vertical="center" wrapText="1"/>
    </xf>
    <xf numFmtId="0" fontId="3" fillId="0" borderId="0" xfId="3" applyAlignment="1">
      <alignment horizontal="center" vertical="center" wrapText="1"/>
    </xf>
    <xf numFmtId="0" fontId="10" fillId="2" borderId="0" xfId="29">
      <alignment horizontal="left" vertical="center" indent="1"/>
    </xf>
    <xf numFmtId="0" fontId="11" fillId="0" borderId="1" xfId="30">
      <alignment horizontal="center" vertical="center"/>
    </xf>
    <xf numFmtId="0" fontId="34" fillId="2" borderId="0" xfId="3" applyFont="1" applyFill="1" applyAlignment="1">
      <alignment horizontal="center" vertical="center"/>
    </xf>
    <xf numFmtId="0" fontId="34" fillId="2" borderId="0" xfId="3" applyFont="1" applyFill="1"/>
    <xf numFmtId="0" fontId="35" fillId="2" borderId="0" xfId="3" applyFont="1" applyFill="1"/>
    <xf numFmtId="0" fontId="22" fillId="8" borderId="11" xfId="16" applyBorder="1">
      <alignment horizontal="left" vertical="center"/>
    </xf>
    <xf numFmtId="0" fontId="36" fillId="2" borderId="0" xfId="31">
      <alignment horizontal="left" vertical="center"/>
    </xf>
    <xf numFmtId="0" fontId="3" fillId="0" borderId="0" xfId="3" applyAlignment="1" applyProtection="1">
      <alignment horizontal="center" vertical="center" wrapText="1"/>
      <protection locked="0"/>
    </xf>
    <xf numFmtId="0" fontId="4" fillId="11" borderId="1" xfId="19" applyAlignment="1">
      <alignment horizontal="center" vertical="center" wrapText="1"/>
    </xf>
    <xf numFmtId="4" fontId="0" fillId="0" borderId="0" xfId="32" applyFont="1" applyBorder="1" applyAlignment="1">
      <alignment horizontal="center" vertical="center" wrapText="1"/>
    </xf>
    <xf numFmtId="0" fontId="24" fillId="2" borderId="1" xfId="20" applyAlignment="1">
      <alignment horizontal="center" vertical="center" wrapText="1"/>
    </xf>
    <xf numFmtId="0" fontId="37" fillId="2" borderId="0" xfId="33" applyFont="1" applyFill="1" applyAlignment="1">
      <alignment horizontal="left" vertical="center" wrapText="1"/>
    </xf>
    <xf numFmtId="2" fontId="34" fillId="2" borderId="0" xfId="34" applyNumberFormat="1" applyFont="1" applyFill="1" applyBorder="1" applyAlignment="1" applyProtection="1">
      <alignment horizontal="center" wrapText="1"/>
      <protection locked="0"/>
    </xf>
    <xf numFmtId="1" fontId="34" fillId="2" borderId="0" xfId="34" applyNumberFormat="1" applyFont="1" applyFill="1" applyBorder="1" applyAlignment="1" applyProtection="1">
      <alignment horizontal="center" wrapText="1"/>
      <protection locked="0"/>
    </xf>
    <xf numFmtId="0" fontId="34" fillId="2" borderId="0" xfId="3" applyFont="1" applyFill="1" applyAlignment="1">
      <alignment horizontal="left" wrapText="1"/>
    </xf>
    <xf numFmtId="0" fontId="35" fillId="2" borderId="0" xfId="3" applyFont="1" applyFill="1" applyAlignment="1">
      <alignment wrapText="1"/>
    </xf>
    <xf numFmtId="0" fontId="36" fillId="2" borderId="0" xfId="31" applyAlignment="1">
      <alignment horizontal="left" vertical="center" wrapText="1"/>
    </xf>
    <xf numFmtId="0" fontId="3" fillId="2" borderId="0" xfId="3" applyFill="1" applyAlignment="1">
      <alignment wrapText="1"/>
    </xf>
    <xf numFmtId="0" fontId="11" fillId="0" borderId="1" xfId="35">
      <alignment horizontal="center" vertical="center"/>
    </xf>
    <xf numFmtId="0" fontId="38" fillId="11" borderId="1" xfId="19" applyFont="1" applyAlignment="1">
      <alignment horizontal="center" vertical="center" wrapText="1"/>
    </xf>
    <xf numFmtId="9" fontId="0" fillId="0" borderId="0" xfId="36" applyFont="1" applyFill="1" applyBorder="1" applyAlignment="1">
      <alignment horizontal="center" vertical="center" wrapText="1"/>
    </xf>
    <xf numFmtId="0" fontId="38" fillId="11" borderId="1" xfId="19" applyFont="1">
      <alignment horizontal="center" vertical="center"/>
    </xf>
    <xf numFmtId="9" fontId="11" fillId="0" borderId="1" xfId="21">
      <alignment horizontal="center" vertical="center"/>
    </xf>
    <xf numFmtId="4" fontId="39" fillId="0" borderId="1" xfId="32" applyFont="1" applyAlignment="1">
      <alignment horizontal="center" vertical="center" wrapText="1"/>
    </xf>
    <xf numFmtId="9" fontId="0" fillId="0" borderId="12" xfId="36" applyFont="1" applyFill="1" applyBorder="1" applyAlignment="1">
      <alignment horizontal="center" vertical="center" wrapText="1"/>
    </xf>
    <xf numFmtId="0" fontId="22" fillId="8" borderId="13" xfId="16" applyBorder="1">
      <alignment horizontal="left" vertical="center"/>
    </xf>
    <xf numFmtId="0" fontId="22" fillId="8" borderId="0" xfId="16" applyBorder="1">
      <alignment horizontal="left" vertical="center"/>
    </xf>
    <xf numFmtId="0" fontId="22" fillId="8" borderId="14" xfId="16" applyBorder="1">
      <alignment horizontal="left" vertical="center"/>
    </xf>
    <xf numFmtId="0" fontId="23" fillId="10" borderId="0" xfId="18" applyAlignment="1">
      <alignment horizontal="center" vertical="center" wrapText="1"/>
      <protection locked="0"/>
    </xf>
    <xf numFmtId="0" fontId="0" fillId="0" borderId="0" xfId="35" applyFont="1" applyBorder="1" applyAlignment="1">
      <alignment horizontal="center" vertical="center" wrapText="1"/>
    </xf>
    <xf numFmtId="9" fontId="0" fillId="0" borderId="0" xfId="21" applyFont="1" applyBorder="1" applyAlignment="1">
      <alignment horizontal="center" vertical="center" wrapText="1"/>
    </xf>
    <xf numFmtId="9" fontId="4" fillId="2" borderId="0" xfId="36" applyFont="1" applyFill="1" applyAlignment="1">
      <alignment horizontal="center" vertical="center" wrapText="1"/>
    </xf>
    <xf numFmtId="9" fontId="3" fillId="2" borderId="0" xfId="3" applyNumberFormat="1" applyFill="1"/>
    <xf numFmtId="0" fontId="22" fillId="8" borderId="15" xfId="16" applyBorder="1">
      <alignment horizontal="left" vertical="center"/>
    </xf>
    <xf numFmtId="0" fontId="22" fillId="8" borderId="16" xfId="16" applyBorder="1">
      <alignment horizontal="left" vertical="center"/>
    </xf>
    <xf numFmtId="4" fontId="11" fillId="0" borderId="1" xfId="32">
      <alignment horizontal="center" vertical="center"/>
    </xf>
    <xf numFmtId="0" fontId="6" fillId="2" borderId="10" xfId="6" applyBorder="1">
      <alignment horizontal="left" vertical="center"/>
    </xf>
    <xf numFmtId="164" fontId="24" fillId="2" borderId="1" xfId="37">
      <alignment horizontal="center" vertical="center"/>
    </xf>
    <xf numFmtId="165" fontId="0" fillId="0" borderId="0" xfId="6" applyNumberFormat="1" applyFont="1" applyFill="1">
      <alignment horizontal="left" vertical="center"/>
    </xf>
    <xf numFmtId="0" fontId="31" fillId="2" borderId="0" xfId="27">
      <alignment horizontal="center" vertical="center"/>
    </xf>
    <xf numFmtId="43" fontId="6" fillId="2" borderId="0" xfId="6" applyNumberFormat="1">
      <alignment horizontal="left" vertical="center"/>
    </xf>
    <xf numFmtId="0" fontId="21" fillId="0" borderId="0" xfId="1" applyFont="1"/>
    <xf numFmtId="0" fontId="4" fillId="2" borderId="17" xfId="4" applyBorder="1">
      <alignment horizontal="left" vertical="center"/>
    </xf>
    <xf numFmtId="0" fontId="7" fillId="0" borderId="0" xfId="7" applyFill="1">
      <alignment horizontal="left" vertical="center"/>
    </xf>
    <xf numFmtId="0" fontId="41" fillId="2" borderId="0" xfId="38">
      <alignment vertical="center"/>
    </xf>
    <xf numFmtId="0" fontId="8" fillId="0" borderId="0" xfId="8" applyFill="1">
      <alignment vertical="center"/>
    </xf>
    <xf numFmtId="0" fontId="11" fillId="2" borderId="0" xfId="4" applyFont="1">
      <alignment horizontal="left" vertical="center"/>
    </xf>
    <xf numFmtId="0" fontId="6" fillId="0" borderId="0" xfId="6" applyFill="1">
      <alignment horizontal="left" vertical="center"/>
    </xf>
    <xf numFmtId="0" fontId="22" fillId="8" borderId="18" xfId="16" applyBorder="1">
      <alignment horizontal="left" vertical="center"/>
    </xf>
    <xf numFmtId="0" fontId="22" fillId="8" borderId="19" xfId="16" applyBorder="1">
      <alignment horizontal="left" vertical="center"/>
    </xf>
    <xf numFmtId="0" fontId="42" fillId="0" borderId="0" xfId="29" applyFont="1" applyFill="1" applyAlignment="1">
      <alignment horizontal="left" vertical="center"/>
    </xf>
    <xf numFmtId="166" fontId="11" fillId="0" borderId="1" xfId="39">
      <alignment horizontal="center" vertical="center"/>
    </xf>
    <xf numFmtId="164" fontId="24" fillId="2" borderId="1" xfId="40" applyNumberFormat="1">
      <alignment horizontal="center" vertical="center"/>
    </xf>
    <xf numFmtId="0" fontId="11" fillId="0" borderId="0" xfId="4" applyFont="1" applyFill="1">
      <alignment horizontal="left" vertical="center"/>
    </xf>
    <xf numFmtId="0" fontId="43" fillId="8" borderId="4" xfId="16" applyFont="1" applyBorder="1">
      <alignment horizontal="left" vertical="center"/>
    </xf>
    <xf numFmtId="4" fontId="11" fillId="2" borderId="0" xfId="32" applyFill="1" applyBorder="1">
      <alignment horizontal="center" vertical="center"/>
    </xf>
    <xf numFmtId="0" fontId="23" fillId="2" borderId="0" xfId="18" applyFill="1">
      <alignment horizontal="center" vertical="center"/>
      <protection locked="0"/>
    </xf>
    <xf numFmtId="0" fontId="37" fillId="0" borderId="0" xfId="3" applyFont="1" applyAlignment="1" applyProtection="1">
      <alignment horizontal="center" vertical="center"/>
      <protection locked="0"/>
    </xf>
    <xf numFmtId="4" fontId="44" fillId="0" borderId="0" xfId="32" applyFont="1" applyBorder="1">
      <alignment horizontal="center" vertical="center"/>
    </xf>
    <xf numFmtId="167" fontId="45" fillId="2" borderId="0" xfId="41" applyBorder="1">
      <alignment horizontal="center" vertical="center"/>
    </xf>
    <xf numFmtId="4" fontId="44" fillId="2" borderId="0" xfId="32" applyFont="1" applyFill="1" applyBorder="1">
      <alignment horizontal="center" vertical="center"/>
    </xf>
    <xf numFmtId="0" fontId="44" fillId="2" borderId="0" xfId="29" applyFont="1" applyAlignment="1">
      <alignment horizontal="center" vertical="center"/>
    </xf>
    <xf numFmtId="0" fontId="44" fillId="2" borderId="0" xfId="6" applyFont="1" applyAlignment="1">
      <alignment horizontal="center" vertical="center"/>
    </xf>
    <xf numFmtId="164" fontId="44" fillId="2" borderId="0" xfId="6" applyNumberFormat="1" applyFont="1" applyAlignment="1">
      <alignment horizontal="center" vertical="center"/>
    </xf>
    <xf numFmtId="9" fontId="44" fillId="2" borderId="0" xfId="36" applyFont="1" applyFill="1" applyBorder="1" applyAlignment="1">
      <alignment horizontal="center" vertical="center"/>
    </xf>
    <xf numFmtId="0" fontId="46" fillId="2" borderId="0" xfId="3" applyFont="1" applyFill="1" applyAlignment="1">
      <alignment horizontal="center" vertical="center"/>
    </xf>
    <xf numFmtId="0" fontId="46" fillId="2" borderId="0" xfId="3" applyFont="1" applyFill="1"/>
    <xf numFmtId="0" fontId="44" fillId="2" borderId="0" xfId="3" applyFont="1" applyFill="1"/>
    <xf numFmtId="0" fontId="44" fillId="0" borderId="0" xfId="3" applyFont="1"/>
    <xf numFmtId="0" fontId="47" fillId="2" borderId="0" xfId="4" applyFont="1" applyAlignment="1">
      <alignment horizontal="center" vertical="center"/>
    </xf>
    <xf numFmtId="0" fontId="48" fillId="2" borderId="0" xfId="4" applyFont="1" applyAlignment="1">
      <alignment horizontal="center" vertical="center"/>
    </xf>
    <xf numFmtId="164" fontId="48" fillId="2" borderId="0" xfId="4" applyNumberFormat="1" applyFont="1" applyAlignment="1">
      <alignment horizontal="center" vertical="center"/>
    </xf>
    <xf numFmtId="0" fontId="48" fillId="2" borderId="0" xfId="3" applyFont="1" applyFill="1" applyAlignment="1">
      <alignment horizontal="center" vertical="center"/>
    </xf>
    <xf numFmtId="0" fontId="49" fillId="2" borderId="0" xfId="3" applyFont="1" applyFill="1" applyAlignment="1">
      <alignment horizontal="center" vertical="center"/>
    </xf>
    <xf numFmtId="0" fontId="49" fillId="2" borderId="0" xfId="3" applyFont="1" applyFill="1" applyAlignment="1">
      <alignment horizontal="left" vertical="center"/>
    </xf>
    <xf numFmtId="14" fontId="4" fillId="2" borderId="0" xfId="4" applyNumberFormat="1">
      <alignment horizontal="left" vertical="center"/>
    </xf>
    <xf numFmtId="0" fontId="22" fillId="8" borderId="3" xfId="16">
      <alignment horizontal="left" vertical="center"/>
    </xf>
    <xf numFmtId="0" fontId="50" fillId="2" borderId="0" xfId="42" applyFill="1" applyBorder="1"/>
    <xf numFmtId="164" fontId="11" fillId="2" borderId="0" xfId="43" applyNumberFormat="1" applyFill="1" applyBorder="1">
      <alignment horizontal="center" vertical="center"/>
    </xf>
    <xf numFmtId="168" fontId="4" fillId="2" borderId="0" xfId="34" applyNumberFormat="1" applyFont="1" applyFill="1" applyBorder="1" applyAlignment="1">
      <alignment horizontal="center" vertical="center"/>
    </xf>
    <xf numFmtId="0" fontId="0" fillId="2" borderId="0" xfId="4" applyFont="1">
      <alignment horizontal="left" vertical="center"/>
    </xf>
    <xf numFmtId="0" fontId="51" fillId="2" borderId="0" xfId="3" applyFont="1" applyFill="1"/>
    <xf numFmtId="4" fontId="0" fillId="0" borderId="0" xfId="0" applyNumberFormat="1"/>
  </cellXfs>
  <cellStyles count="44">
    <cellStyle name="Alert" xfId="23" xr:uid="{3F39CD44-D56D-45C9-A246-A65A1A3ADBF4}"/>
    <cellStyle name="Back to top link" xfId="22" xr:uid="{230A9A7E-DA97-4E33-8E5F-4D7839FBA039}"/>
    <cellStyle name="Block heading" xfId="7" xr:uid="{A6EDDAFA-B8D8-40FF-B101-8BFE28D1701A}"/>
    <cellStyle name="Block subheading" xfId="31" xr:uid="{52BE2BB4-1BDC-40FE-93FB-1C649469BD47}"/>
    <cellStyle name="Comma 2" xfId="34" xr:uid="{609B8DE8-4A36-4FAD-9F34-0622FEFB85FB}"/>
    <cellStyle name="Content bold" xfId="4" xr:uid="{0E72D19E-A55B-4AF2-923A-4CDF3C6E2299}"/>
    <cellStyle name="Content hidden" xfId="28" xr:uid="{22412800-3532-4AA7-9F07-A6D4EF63A552}"/>
    <cellStyle name="Content normal" xfId="6" xr:uid="{13BC567A-D662-4805-8468-BBBA4C8CE7AA}"/>
    <cellStyle name="Equation column header" xfId="26" xr:uid="{BD920EFB-2043-4B8A-93F9-9A30F615DB41}"/>
    <cellStyle name="Equation source" xfId="8" xr:uid="{3FE2BBF2-F7FD-4E95-839B-AA2C60524E83}"/>
    <cellStyle name="Hyperlink 2" xfId="42" xr:uid="{6331474C-FF18-4032-8996-D62E369D274F}"/>
    <cellStyle name="Information tip" xfId="16" xr:uid="{CB83DB3A-186D-4F78-8454-E39BB6213725}"/>
    <cellStyle name="Information variation" xfId="9" xr:uid="{7B4B3E2F-BD1C-423C-B5E5-F42A08AF87FE}"/>
    <cellStyle name="Input block subheading" xfId="38" xr:uid="{FFC685BD-16E1-4120-B221-39364EB49624}"/>
    <cellStyle name="Input date" xfId="39" xr:uid="{B26C7C63-2887-4AC8-B43C-4ED1A5222E87}"/>
    <cellStyle name="Input date calculated" xfId="37" xr:uid="{C0471CB8-A147-4E5D-BC85-348602DA6CBA}"/>
    <cellStyle name="Input number 2 decimal places" xfId="32" xr:uid="{FB11183C-5A35-4D81-905A-36B31D00BA07}"/>
    <cellStyle name="Input number general" xfId="30" xr:uid="{F144A91F-473D-40A6-80BC-69EC36DAA1AE}"/>
    <cellStyle name="Input number general calculated" xfId="20" xr:uid="{28E33A90-6B18-417F-985C-8F32F5C341AC}"/>
    <cellStyle name="Input number no decimals" xfId="43" xr:uid="{E4A720FB-A01C-494A-8241-331D9CD6F3F9}"/>
    <cellStyle name="Input number no decimals calculated" xfId="40" xr:uid="{49839C83-1160-43F0-B067-C883847BADA1}"/>
    <cellStyle name="Input page heading" xfId="14" xr:uid="{002C4E50-A1DF-4F48-804E-9110F90F895D}"/>
    <cellStyle name="Input page section heading" xfId="15" xr:uid="{65BEFEE5-64B9-45FB-AF4B-705EE84E7B42}"/>
    <cellStyle name="Input percent" xfId="21" xr:uid="{81441AE7-28B7-49A0-9365-81227A151AAB}"/>
    <cellStyle name="Input select" xfId="19" xr:uid="{8D07982F-DD01-4626-9FC8-407C3172080E}"/>
    <cellStyle name="Input table column header" xfId="18" xr:uid="{1048E30E-4383-4B00-AB9C-A777C4301E89}"/>
    <cellStyle name="Input text" xfId="35" xr:uid="{34DA19AB-8A2A-4875-AB42-979F7532C680}"/>
    <cellStyle name="Input text calculated" xfId="27" xr:uid="{D8F24774-CE10-4868-8D45-130F1396B33B}"/>
    <cellStyle name="Menu link default" xfId="11" xr:uid="{5B03F5CA-1390-467D-92E0-9C0973ECD325}"/>
    <cellStyle name="Menu link selected" xfId="13" xr:uid="{2FB4DD61-277A-4579-903E-3643B3657DEA}"/>
    <cellStyle name="Menu link selected input" xfId="17" xr:uid="{1392EBB3-3DAA-4789-A6F8-0F21992B6DE6}"/>
    <cellStyle name="Menu section title" xfId="12" xr:uid="{8613DA8D-2F36-47DC-9C1C-22FEF7B30D82}"/>
    <cellStyle name="Normal" xfId="0" builtinId="0"/>
    <cellStyle name="Normal 2" xfId="3" xr:uid="{3A2ABD8B-BF95-4BBB-9F70-6EC0CEA3F871}"/>
    <cellStyle name="Normal 5" xfId="33" xr:uid="{35E1632E-D030-4DF1-ADCF-D90F88AB5A48}"/>
    <cellStyle name="Number display decimal total" xfId="41" xr:uid="{7D95B024-688E-4E17-AE6D-00BF1716D684}"/>
    <cellStyle name="Page heading" xfId="1" xr:uid="{7ECDF026-866A-4104-A47C-CB3C015E15CC}"/>
    <cellStyle name="Page section heading" xfId="5" xr:uid="{A5B93EEA-2671-4987-B857-11DE83318923}"/>
    <cellStyle name="Page source" xfId="2" xr:uid="{897BB173-377C-46AE-A9E1-A7548CDB8D85}"/>
    <cellStyle name="Percent 2" xfId="36" xr:uid="{696FBCF0-1CD4-465A-B673-5D1A79E7FFF8}"/>
    <cellStyle name="Table description" xfId="25" xr:uid="{98689949-4D68-421E-812A-DB7E70967469}"/>
    <cellStyle name="Table name" xfId="24" xr:uid="{2B817CE6-D5D1-4F43-808A-9743A93B9101}"/>
    <cellStyle name="Unit" xfId="29" xr:uid="{A9E710DA-2149-473D-BCA1-E80B7CB7A628}"/>
    <cellStyle name="Unit no indent" xfId="10" xr:uid="{77A8303D-9926-4E03-8003-7AF2E2F6EC6A}"/>
  </cellStyles>
  <dxfs count="263">
    <dxf>
      <numFmt numFmtId="165" formatCode="[$-C09]d\ mmmm\ yyyy;@"/>
    </dxf>
    <dxf>
      <numFmt numFmtId="165" formatCode="[$-C09]d\ mmmm\ yyyy;@"/>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Aptos Narrow"/>
        <family val="2"/>
        <scheme val="minor"/>
      </font>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2" defaultTableStyle="TableStyleMedium2" defaultPivotStyle="PivotStyleLight16">
    <tableStyle name="Editable table" pivot="0" count="6" xr9:uid="{DB9E75D0-AC98-4E75-8418-4F7F41C898DD}">
      <tableStyleElement type="wholeTable" dxfId="170"/>
      <tableStyleElement type="headerRow" dxfId="169"/>
      <tableStyleElement type="totalRow" dxfId="168"/>
      <tableStyleElement type="firstColumn" dxfId="167"/>
      <tableStyleElement type="firstRowStripe" dxfId="166"/>
      <tableStyleElement type="secondRowStripe" dxfId="165"/>
    </tableStyle>
    <tableStyle name="Equation table" pivot="0" count="6" xr9:uid="{0B4491E8-4F2C-4EE8-9336-DC99561B4B77}">
      <tableStyleElement type="wholeTable" dxfId="262"/>
      <tableStyleElement type="headerRow" dxfId="261"/>
      <tableStyleElement type="totalRow" dxfId="260"/>
      <tableStyleElement type="firstColumn" dxfId="259"/>
      <tableStyleElement type="firstRowStripe" dxfId="258"/>
      <tableStyleElement type="secondRowStripe" dxfId="25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s>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CCDBA08B-7A62-45EB-9326-FCF32C16949C}" name="Table_Input_InorganicFertiliser_Brands" displayName="Table_Input_InorganicFertiliser_Brands" ref="D17:T20" headerRowDxfId="83" dataDxfId="82" totalsRowDxfId="81">
  <autoFilter ref="D17:T20"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autoFilter>
  <tableColumns count="17">
    <tableColumn id="2" xr3:uid="{3C05F0AD-9F76-4223-8CAA-F4D965A959FA}" name="Product (select)" dataDxfId="79" totalsRowDxfId="80" dataCellStyle="Input select"/>
    <tableColumn id="23" xr3:uid="{F727E370-72E8-46CC-9F10-18494CAC017E}" name="Amount applied (kg / ha)" totalsRowFunction="custom" dataDxfId="77" totalsRowDxfId="78">
      <totalsRowFormula>SUM(Table_Input_InorganicFertiliser_Brands[[#Headers],[#Data],[Amount applied (kg / ha)]])</totalsRowFormula>
    </tableColumn>
    <tableColumn id="6" xr3:uid="{91FD8955-DFC1-456B-BAA3-815803F362E1}" name="Application area (ha)" dataDxfId="75" totalsRowDxfId="76">
      <calculatedColumnFormula>$E$9</calculatedColumnFormula>
    </tableColumn>
    <tableColumn id="1" xr3:uid="{DE25213C-DDD2-412A-85A4-29987D633B72}" name="Total applied (kg)" dataDxfId="73" totalsRowDxfId="74" dataCellStyle="Input number general calculated">
      <calculatedColumnFormula>Table_Input_InorganicFertiliser_Brands[[#This Row],[Amount applied (kg / ha)]]*Table_Input_InorganicFertiliser_Brands[[#This Row],[Application area (ha)]]</calculatedColumnFormula>
    </tableColumn>
    <tableColumn id="3" xr3:uid="{47369C23-2EB2-4294-911F-7E8527CF792D}" name="Ingredient 1" dataDxfId="71" totalsRowDxfId="72"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name], FertiliserProducts[#Headers])</calculatedColumnFormula>
    </tableColumn>
    <tableColumn id="4" xr3:uid="{36F8DE80-4F34-4CF8-81B1-F11B81739D52}" name="Ingredient 1 percent" dataDxfId="69" totalsRowDxfId="70"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name], FertiliserProducts[#Headers])</calculatedColumnFormula>
    </tableColumn>
    <tableColumn id="7" xr3:uid="{513CFCEE-2174-4AD6-853C-EB41A83E1BA2}" name="Ingredient 2" dataDxfId="68"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name], FertiliserProducts[#Headers])</calculatedColumnFormula>
    </tableColumn>
    <tableColumn id="8" xr3:uid="{747D2171-4636-4700-A14D-E2848AB2AE5A}" name="Ingredient 2 percent" dataDxfId="66" totalsRowDxfId="67"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name], FertiliserProducts[#Headers])</calculatedColumnFormula>
    </tableColumn>
    <tableColumn id="10" xr3:uid="{ED9836FC-F3AD-4C23-A6BB-FC7AA520BCDF}" name="Ingredient 3" dataDxfId="64" totalsRowDxfId="65"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name], FertiliserProducts[#Headers])</calculatedColumnFormula>
    </tableColumn>
    <tableColumn id="11" xr3:uid="{5BF18466-E23F-4156-A3C6-F9B959020E05}" name="Ingredient 3 percent" dataDxfId="62" totalsRowDxfId="63"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name], FertiliserProducts[#Headers])</calculatedColumnFormula>
    </tableColumn>
    <tableColumn id="13" xr3:uid="{104446A1-712C-472D-89C1-7494D30CB683}" name="Ingredient 4" dataDxfId="60" totalsRowDxfId="61"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name], FertiliserProducts[#Headers])</calculatedColumnFormula>
    </tableColumn>
    <tableColumn id="14" xr3:uid="{1A6A16DA-48D3-4DB0-A853-5EBE8887C35C}" name="Ingredient 4 percent" dataDxfId="59"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name], FertiliserProducts[#Headers])</calculatedColumnFormula>
    </tableColumn>
    <tableColumn id="16" xr3:uid="{E9FADDC4-0D69-4D56-9E60-7B2E0BF093FD}" name="Ingredient 5" dataDxfId="58"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name], FertiliserProducts[#Headers])</calculatedColumnFormula>
    </tableColumn>
    <tableColumn id="17" xr3:uid="{800FB242-7D13-448E-8510-96653C5A00B5}" name="Ingredient 5 percent" dataDxfId="57"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name], FertiliserProducts[#Headers])</calculatedColumnFormula>
    </tableColumn>
    <tableColumn id="19" xr3:uid="{6CCDCCE7-B573-4494-9ED5-2108B098B12B}" name="Ingredient 6" dataDxfId="56"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name], FertiliserProducts[#Headers])</calculatedColumnFormula>
    </tableColumn>
    <tableColumn id="20" xr3:uid="{BA40A67D-97B4-469D-8B13-312D079A26EE}" name="Ingredient 6 percent" dataDxfId="55"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name], FertiliserProducts[#Headers])</calculatedColumnFormula>
    </tableColumn>
    <tableColumn id="5" xr3:uid="{851F5144-D499-4896-BDEB-06B75D92D1AE}" name="N application rate (kg/ha)" dataDxfId="53" totalsRowDxfId="54" dataCellStyle="Input number general calculated">
      <calculatedColumnFormula>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748B15A-6990-4510-89C4-598174DCB066}" name="Table_Input_InorganicFertiliser_Custom" displayName="Table_Input_InorganicFertiliser_Custom" ref="D23:P25" totalsRowShown="0" headerRowDxfId="52" dataDxfId="51">
  <autoFilter ref="D23:P25"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7B2B046-E882-4B22-9EF8-F965A75EB19A}" name="Custom blend name" dataCellStyle="Input text"/>
    <tableColumn id="2" xr3:uid="{53F36107-B1C8-4A11-8D64-98D96B16556E}" name="Amount applied (kg / ha)" dataDxfId="50"/>
    <tableColumn id="3" xr3:uid="{9EAF254B-17DE-4675-8AF9-F68B80BF582C}" name="Application area (ha)" dataDxfId="49" dataCellStyle="Input number 2 decimal places">
      <calculatedColumnFormula>$E$9</calculatedColumnFormula>
    </tableColumn>
    <tableColumn id="4" xr3:uid="{CFA5CCED-3BC5-4DD2-AC3F-E4DC58D9B605}" name="Total applied (kg)" dataDxfId="48" dataCellStyle="Input number general calculated">
      <calculatedColumnFormula>Table_Input_InorganicFertiliser_Custom[[#This Row],[Amount applied (kg / ha)]]*Table_Input_InorganicFertiliser_Custom[[#This Row],[Application area (ha)]]</calculatedColumnFormula>
    </tableColumn>
    <tableColumn id="5" xr3:uid="{3E974743-07FD-46C5-9935-FC44453E2DD2}" name="Ingredient 1 (select)" dataDxfId="47" dataCellStyle="Input select"/>
    <tableColumn id="6" xr3:uid="{3F30B499-2152-42DE-8F13-8F97800C0F82}" name="Ingredient 1 percent" dataDxfId="46"/>
    <tableColumn id="8" xr3:uid="{81DBD2AF-CE79-4DFA-ABE1-18247069D1B2}" name="Ingredient 2" dataDxfId="45" dataCellStyle="Input select"/>
    <tableColumn id="9" xr3:uid="{1CF7EE6F-57DF-414D-AEE5-FBCA6348094D}" name="Ingredient 2 percent" dataDxfId="44"/>
    <tableColumn id="11" xr3:uid="{A18D28AA-C181-4552-8786-2ECF509C16C8}" name="Ingredient 3" dataDxfId="43" dataCellStyle="Input select"/>
    <tableColumn id="12" xr3:uid="{B6A6831A-C9EE-4F80-B87F-A0C4C20DFCFD}" name="Ingredient 3 percent" dataDxfId="42"/>
    <tableColumn id="14" xr3:uid="{4467B432-BBEC-488F-912D-5D7123AE260A}" name="Ingredient 4" dataDxfId="41" dataCellStyle="Input select"/>
    <tableColumn id="15" xr3:uid="{0FA01265-32D2-4FC6-BCD7-17164873ADC9}" name="Ingredient 4 percent" dataCellStyle="Input percent"/>
    <tableColumn id="7" xr3:uid="{BF8B607F-8C2E-4E2B-B89D-E699723F771C}" name="N application rate (kg/ha)" dataDxfId="40" dataCellStyle="Input number general calculated">
      <calculatedColumnFormula>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DC6B508D-3BC8-4D02-9370-7D79A468D7D7}" name="Table_Input_Lime" displayName="Table_Input_Lime" ref="D33:L35" totalsRowShown="0" headerRowDxfId="39" dataDxfId="38" headerRowCellStyle="Input table column header">
  <autoFilter ref="D33:L35"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955C6D57-C99E-4560-95BE-1D32508E9DC1}" name="Product" dataDxfId="37"/>
    <tableColumn id="2" xr3:uid="{BBD9A28E-9144-4A75-B4E2-101A86320BD7}" name="Amount applied (t/hectare)" dataDxfId="36"/>
    <tableColumn id="4" xr3:uid="{28D6DB55-F183-4018-A8CF-F5EECD3B6F14}" name="Application area (ha)" dataDxfId="35">
      <calculatedColumnFormula>$E$9</calculatedColumnFormula>
    </tableColumn>
    <tableColumn id="3" xr3:uid="{A873C277-F431-4770-984D-50E37F5B322A}" name="Total amount applied (t)" dataDxfId="34" dataCellStyle="Input number general calculated">
      <calculatedColumnFormula>IFERROR(Table_Input_Lime[[#This Row],[Amount applied (t/hectare)]]*Table_Input_Lime[[#This Row],[Application area (ha)]], 0)</calculatedColumnFormula>
    </tableColumn>
    <tableColumn id="6" xr3:uid="{16ED2D76-C87F-43C7-B68B-22CC0CF81AAF}" name="Percent Lime CaCO3" dataDxfId="33"/>
    <tableColumn id="8" xr3:uid="{87445951-81DE-4186-A628-A263C2301F74}" name="Percent Dolomite CaMg(CO3)2" dataDxfId="32"/>
    <tableColumn id="7" xr3:uid="{7689CF48-369A-4C18-99A1-A2DDCFE99B7F}" name="Percent Gypsum" dataDxfId="31"/>
    <tableColumn id="9" xr3:uid="{6D9C9366-2A84-4F0D-B1D0-A748B17B5C0D}" name="Percent Potash" dataDxfId="30"/>
    <tableColumn id="10" xr3:uid="{E00BF7C1-7D20-4C62-A394-32D1C7721ABB}" name="Total" dataDxfId="29" dataCellStyle="Percent">
      <calculatedColumnFormula>SUM(Table_Input_Lime[[#This Row],[Percent Lime CaCO3]:[Percent Potash]])</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2805B9B9-D4A7-40D9-97DF-7EB3223F48A7}" name="Table_Input_OrganicFertiliser" displayName="Table_Input_OrganicFertiliser" ref="D43:J45" totalsRowShown="0" headerRowDxfId="28" dataDxfId="27" headerRowCellStyle="Input table column header">
  <autoFilter ref="D43:J45"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CD2D85D-8F13-4E36-95FC-BDFFE879E75E}" name="Organic fertiliser type (select)" dataDxfId="26" dataCellStyle="Input select"/>
    <tableColumn id="5" xr3:uid="{90211506-45BB-448E-9141-3C3CE3626033}" name="Percentage of N in fertiliser" dataDxfId="25"/>
    <tableColumn id="2" xr3:uid="{FBF064EA-8FB5-43A6-A6A6-369C36395228}" name="Amount applied (kg/hectare)" dataDxfId="24"/>
    <tableColumn id="11" xr3:uid="{C66580F9-10D5-43D2-89CD-7DC865B9F8D9}" name="Amount N applied (kg/hectare)" dataDxfId="23" dataCellStyle="Input number general calculated">
      <calculatedColumnFormula>Table_Input_OrganicFertiliser[[#This Row],[Amount applied (kg/hectare)]]*Table_Input_OrganicFertiliser[[#This Row],[Percentage of N in fertiliser]]</calculatedColumnFormula>
    </tableColumn>
    <tableColumn id="4" xr3:uid="{446ACDC4-9A1A-43A3-A3FF-9116ED45FD6D}" name="Application area (ha)" dataDxfId="22">
      <calculatedColumnFormula>$E$9</calculatedColumnFormula>
    </tableColumn>
    <tableColumn id="7" xr3:uid="{C9641984-3538-4424-A9FC-1F56669263A3}" name="Total organic fertliser applied" dataDxfId="21" dataCellStyle="Input number general calculated">
      <calculatedColumnFormula>Table_Input_OrganicFertiliser[[#This Row],[Amount applied (kg/hectare)]]*Table_Input_OrganicFertiliser[[#This Row],[Application area (ha)]]</calculatedColumnFormula>
    </tableColumn>
    <tableColumn id="3" xr3:uid="{485BE4F1-40BB-41CE-94E7-8D4A9E8D5E85}" name="Total nitrogen applied (kg)" dataDxfId="20"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7267A0FD-D6FB-4207-BD45-9DE0BB33BDE3}" name="Table_Input_Fuel" displayName="Table_Input_Fuel" ref="D10:I12" totalsRowDxfId="164" headerRowCellStyle="Input table column header">
  <autoFilter ref="D10:I12" xr:uid="{6E44059A-C219-4316-A7A0-AD77B0121F06}">
    <filterColumn colId="0" hiddenButton="1"/>
    <filterColumn colId="1" hiddenButton="1"/>
    <filterColumn colId="2" hiddenButton="1"/>
    <filterColumn colId="3" hiddenButton="1"/>
    <filterColumn colId="4" hiddenButton="1"/>
    <filterColumn colId="5" hiddenButton="1"/>
  </autoFilter>
  <tableColumns count="6">
    <tableColumn id="2" xr3:uid="{781CF403-6676-4EC1-8C44-392D67F614F9}" name="Fuel use (select)" totalsRowFunction="average" totalsRowDxfId="163" dataCellStyle="Input select" totalsRowCellStyle="Input select"/>
    <tableColumn id="3" xr3:uid="{2F4926CE-6EFC-4996-91EA-985E04C68CA4}" name="Fuel type (select)" totalsRowDxfId="162" dataCellStyle="Input select" totalsRowCellStyle="Input select"/>
    <tableColumn id="4" xr3:uid="{1FFC5489-922D-4440-BFF8-1C82F89D7C13}" name="Amount purchased" totalsRowDxfId="161" totalsRowCellStyle="Content bold"/>
    <tableColumn id="6" xr3:uid="{8FECDE7F-72E1-4F9F-9717-51DFCFC8B7FA}" name="Amount unit" totalsRowDxfId="160" dataCellStyle="Input number general calculated">
      <calculatedColumnFormula array="1">Common_InputFunctions.Utility_LookupValueInTable(Table_Input_Fuel[[#This Row],[Fuel type (select)]],Table_FuelTypes_Units[Fuel type], Table_FuelTypes_Units[Unit])</calculatedColumnFormula>
    </tableColumn>
    <tableColumn id="5" xr3:uid="{133387A9-248F-45F1-96F1-4D2728C0EBB8}" name="Percent consumed" totalsRowDxfId="159" totalsRowCellStyle="Input percent">
      <calculatedColumnFormula>1</calculatedColumnFormula>
    </tableColumn>
    <tableColumn id="1" xr3:uid="{0B1E778F-5088-434C-9ED2-6721724D18B8}" name="Amount consumed" totalsRowFunction="custom" totalsRowDxfId="158" dataCellStyle="Input number general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4FA7C8C-4D15-4D48-8F74-8208F4BCB8D4}"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D4BF12D2-AB8E-4251-8720-960F8D5A1B00}" name="Description"/>
    <tableColumn id="5" xr3:uid="{38409708-B77C-42C7-9B6F-E8D7D0582FD6}" name="Source (select)" dataCellStyle="Input select"/>
    <tableColumn id="2" xr3:uid="{7FC1762E-54F5-4151-A09E-A71663412C1B}" name="Generation date" dataDxfId="1"/>
    <tableColumn id="3" xr3:uid="{8BDEF306-7768-439C-A244-8F4ECE015006}" name="Number of certificates"/>
    <tableColumn id="4" xr3:uid="{2D5B4122-6366-4684-BF77-2F4F59AEC193}" name="MWh" dataCellStyle="Input number general calculated">
      <calculatedColumnFormula>Table_Input_RECSurrendered[[#This Row],[Number of certificates]]</calculatedColumnFormula>
    </tableColumn>
    <tableColumn id="7" xr3:uid="{1D1C3A77-8A3C-43F3-9AA9-1D92D3D06C65}"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EE2DBE17-5839-4F2F-8A64-3F40E12A498E}"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7B8D687-1092-4844-B5C2-377F278E643E}" name="Description"/>
    <tableColumn id="5" xr3:uid="{BFBC5F0D-B69C-47AF-BDE0-A643789289CF}" name="Source" dataCellStyle="Input text calculated">
      <calculatedColumnFormula>"Issued for generated electricity"</calculatedColumnFormula>
    </tableColumn>
    <tableColumn id="2" xr3:uid="{89A8CE48-DCCB-4E01-8021-9F8D64DA67F4}" name="Generation date" dataDxfId="0"/>
    <tableColumn id="3" xr3:uid="{0AD2118E-3F34-4FB7-83FB-18287FECFD15}" name="Number of certificates"/>
    <tableColumn id="4" xr3:uid="{54403A08-11FD-4AFF-9FE9-53EA292D19E4}" name="MWh" dataCellStyle="Input number general calculated">
      <calculatedColumnFormula>Table_Input_RECConsumedByEntity[[#This Row],[Number of certificates]]</calculatedColumnFormula>
    </tableColumn>
    <tableColumn id="7" xr3:uid="{C6584786-3ACE-4433-92C5-0FFB0B48AC0D}"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A2B42136-C55D-4406-935F-C32E6560EE05}" name="Table_Fertiliser_ChemicalCompounds" displayName="Table_Fertiliser_ChemicalCompounds" ref="D19:I37" totalsRowShown="0">
  <autoFilter ref="D19:I37"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5CD8369B-349F-42E6-805D-14C6F763E7B1}"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A38C8E82-36EC-473B-A4FF-CF00B4BDE9C9}" name="FNinorganic f">
      <calculatedColumnFormula array="1">Common_InputFunctions.Utility_DisplayArrayInTable(Fertiliser_SourceData.Fertiliser_ChemicalCompoundElements_Data(),Table_Fertiliser_ChemicalCompounds[[#Headers],[Fertiliser type f]], 0)</calculatedColumnFormula>
    </tableColumn>
    <tableColumn id="3" xr3:uid="{871C03ED-CF81-4534-B291-9D748D947443}" name="FU f">
      <calculatedColumnFormula array="1">Common_InputFunctions.Utility_DisplayArrayInTable(Fertiliser_SourceData.Fertiliser_ChemicalCompoundElements_Data(),Table_Fertiliser_ChemicalCompounds[[#Headers],[Fertiliser type f]], 0)</calculatedColumnFormula>
    </tableColumn>
    <tableColumn id="4" xr3:uid="{179BB24E-296D-4B79-B53E-7A584DD0E7D1}" name="Basis">
      <calculatedColumnFormula array="1">Common_InputFunctions.Utility_DisplayArrayInTable(Fertiliser_SourceData.Fertiliser_ChemicalCompoundElements_Data(),Table_Fertiliser_ChemicalCompounds[[#Headers],[Fertiliser type f]], 0)</calculatedColumnFormula>
    </tableColumn>
    <tableColumn id="5" xr3:uid="{C34BE407-CC16-49BB-AAC5-93CD8C52EC4C}"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54784547-7369-4085-AC4A-523A586AE67F}"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F3B926F-9820-4BAB-A185-2837E96F21B5}"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90660471-B042-45D4-A9FC-CF75A99B2C82}" name="Include or Exclude" totalsRowDxfId="140"/>
    <tableColumn id="2" xr3:uid="{B4717C55-1B95-4E74-B4A0-5CE7A609A36B}" name="Notes" totalsRowDxfId="139"/>
    <tableColumn id="3" xr3:uid="{D976AB1A-52FF-4FBD-9860-B9717ABA5514}" name="Company" totalsRowDxfId="138"/>
    <tableColumn id="4" xr3:uid="{D8F5EA32-4865-44AD-B9C7-F91CA2638E8B}" name="Product name" totalsRowDxfId="137"/>
    <tableColumn id="5" xr3:uid="{D241BEEC-C636-4A92-9BDB-FA8FAA1CAFB2}" name="Unit" totalsRowDxfId="136"/>
    <tableColumn id="6" xr3:uid="{78DBDBE9-27C7-4A0D-B9DA-9F57440C9DE9}" name="Density / gravity" totalsRowDxfId="135"/>
    <tableColumn id="7" xr3:uid="{A50CBE27-EC38-4A34-A2CE-1002E6BA3DD3}" name="Urea source" totalsRowDxfId="134"/>
    <tableColumn id="8" xr3:uid="{16B5D74A-9810-4E92-A540-3E051DC2151D}" name="Ammonia source" totalsRowDxfId="133"/>
    <tableColumn id="9" xr3:uid="{DA7A3BF5-8B40-4495-AD97-6B95B429B465}" name="Ingredient 1" totalsRowDxfId="132"/>
    <tableColumn id="10" xr3:uid="{2A0B8472-D8FF-4086-BE70-2E8BCA80080B}" name="Ingredient 1 percent" totalsRowDxfId="131"/>
    <tableColumn id="11" xr3:uid="{F12415FE-ED65-47A4-AFBE-CEA738CED011}" name="Ingredient 2" totalsRowDxfId="130"/>
    <tableColumn id="12" xr3:uid="{26500CB3-2A36-4020-8DCD-96905995028A}" name="Ingredient 2 percent" totalsRowDxfId="129"/>
    <tableColumn id="13" xr3:uid="{8F8E6FFC-24C1-4EC1-A491-92E852D1C21B}" name="Ingredient 3" totalsRowDxfId="128"/>
    <tableColumn id="14" xr3:uid="{0D08C50E-A1D4-4D59-8D20-E9C72FE59C88}" name="Ingredient 3 percent" totalsRowDxfId="127"/>
    <tableColumn id="15" xr3:uid="{E71FD370-71A1-4861-8573-8E095564A6C6}" name="Ingredient 4" totalsRowDxfId="126"/>
    <tableColumn id="16" xr3:uid="{05524065-59E0-4732-9D5C-80182402ACED}" name="Ingredient 4 percent" totalsRowDxfId="125"/>
    <tableColumn id="17" xr3:uid="{E73E9DAE-88FE-451C-83BB-46CE2CD11EAC}" name="Ingredient 5" totalsRowDxfId="124"/>
    <tableColumn id="18" xr3:uid="{E43B92CC-872A-4D81-AE03-F2A3A1AA9B65}" name="Ingredient 5 percent" totalsRowDxfId="123"/>
    <tableColumn id="19" xr3:uid="{877362A6-7696-4C2B-9AC9-A50CEF0951B6}" name="Ingredient 6" totalsRowDxfId="122"/>
    <tableColumn id="37" xr3:uid="{22756E59-4033-405C-B6C2-0A2E122D072F}" name="Ingredient 6 percent" totalsRowDxfId="121"/>
    <tableColumn id="20" xr3:uid="{4AE0D2CC-B8DF-4AFD-A4F6-2E34CAB929EE}" name="Ingredient 7"/>
    <tableColumn id="24" xr3:uid="{6B74DBE7-622A-449A-9E41-77A59D4B581F}" name="Ingredient 7 percent"/>
    <tableColumn id="23" xr3:uid="{19914632-6940-4143-8D22-E9418F00FB19}" name="Ingredient 8"/>
    <tableColumn id="26" xr3:uid="{461E0645-5302-44BD-9874-67DCFE5C32B8}" name="Ingredient 8 percent"/>
    <tableColumn id="25" xr3:uid="{A769ECEF-28EF-4773-BCC6-FDD846002968}" name="Ingredient 9"/>
    <tableColumn id="30" xr3:uid="{42911258-C32C-49FA-B641-594FB90ED8C8}" name="Ingredient 9 percent"/>
    <tableColumn id="29" xr3:uid="{CBA06944-5CBF-4AB5-A404-211D25004FEC}" name="Imngredient 10"/>
    <tableColumn id="28" xr3:uid="{EF4C1E20-8E22-4CDA-B1E0-091D3AC4290D}" name="Ingredient 10 percent"/>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25A9FF7-70A7-4B6D-9295-A2BAEA1A119C}"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A1653CAF-1C28-438C-A968-A3A9AD93ADCA}" name="Fertiliser type f">
      <calculatedColumnFormula array="1">Common_InputFunctions.Utility_DisplayArrayInTable(Fertiliser_SourceData.Fertiliser_FracGASF_Data(), Table_SourceData_Fertiliser_FracGASF[[#Headers],[Fertiliser type f]], 0)</calculatedColumnFormula>
    </tableColumn>
    <tableColumn id="2" xr3:uid="{9D339199-73B4-429D-B912-46C89894AC30}" name="FracGASF f" dataDxfId="120"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8DE9861F-E89A-4DFC-833B-847BD41B7275}" name="Table_SourceData_Fertiliser_CropProdSystems" displayName="Table_SourceData_Fertiliser_CropProdSystems" ref="D41:D43" totalsRowShown="0">
  <autoFilter ref="D41:D43" xr:uid="{24F3A11E-40F5-4BB9-BFF4-A71FA2ADA0EF}">
    <filterColumn colId="0" hiddenButton="1"/>
  </autoFilter>
  <tableColumns count="1">
    <tableColumn id="1" xr3:uid="{066D3082-D67E-4B71-83C7-FA70FCB2D700}" name="Production system">
      <calculatedColumnFormula>#REF!</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50CAB24-F6BC-47F2-A9A8-778F08DFF7E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B8A7D18B-C54A-419C-8858-EFD138C390FE}" name="Irrigation method"/>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80E3D88C-98EE-40A0-96C9-E35885633B0D}" name="Table_SourceData_Fertiliser_CropTypes" displayName="Table_SourceData_Fertiliser_CropTypes" ref="F41:F45" totalsRowShown="0">
  <autoFilter ref="F41:F45" xr:uid="{CB5044B5-FA3C-4AA2-B1AB-72F7E61D072F}">
    <filterColumn colId="0" hiddenButton="1"/>
  </autoFilter>
  <tableColumns count="1">
    <tableColumn id="1" xr3:uid="{5A52CFE6-AED4-4E78-AF3D-015B4292F949}" name="Production system"/>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971AAAF-622A-4035-87B4-78C7BCD6D0E5}" name="Table_SourceData_OrganicFertiliserTypes" displayName="Table_SourceData_OrganicFertiliserTypes" ref="J41:J46" totalsRowShown="0">
  <autoFilter ref="J41:J46" xr:uid="{B44627B1-537E-4ABC-92C3-57282CEE5B40}">
    <filterColumn colId="0" hiddenButton="1"/>
  </autoFilter>
  <tableColumns count="1">
    <tableColumn id="1" xr3:uid="{4F1599D0-3855-41A1-B8CF-3F7354F1D02E}" name="Organic fertiliser type"/>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640E8AA-558F-465E-A6FB-21D240A68CB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1ACBA94E-20D9-4ABB-8FE2-133ABFA6ED56}" name="Element">
      <calculatedColumnFormula array="1">Common_InputFunctions.Utility_DisplayArrayInTable(Fertiliser_SourceData.Fertiliser_LimeDolomiteGypsumConstants_Data(), Table_SourceData_Fertiliser_LimeDolomiteConstants[[#Headers],[Element]], 0)</calculatedColumnFormula>
    </tableColumn>
    <tableColumn id="2" xr3:uid="{14319A8B-93C5-47AE-AA64-D550C1DC7B83}" name="P" dataDxfId="119"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6EBA221B-7F83-4013-9278-65A34540A879}" name="EF" dataDxfId="118"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8C2324B7-0D98-4C77-AEBE-A2EF5ABB1CC7}" name="Table2" displayName="Table2" ref="K19:L28" totalsRowShown="0" dataDxfId="117" dataCellStyle="Content normal">
  <autoFilter ref="K19:L28" xr:uid="{27B93029-EB1F-4C4A-A946-CD673A8A6C46}">
    <filterColumn colId="0" hiddenButton="1"/>
    <filterColumn colId="1" hiddenButton="1"/>
  </autoFilter>
  <tableColumns count="2">
    <tableColumn id="1" xr3:uid="{D0F0FE53-48EF-4C1D-923D-46B182A1D219}" name="Fertiliser type f" dataDxfId="116" dataCellStyle="Content normal">
      <calculatedColumnFormula array="1">Common_InputFunctions.Utility_DisplayArrayInTable(Fertiliser_SourceData.Fertiliser_FractionNCommonFertilisers_Data(), Table2[[#Headers],[Fertiliser type f]], 0)</calculatedColumnFormula>
    </tableColumn>
    <tableColumn id="2" xr3:uid="{AF5AD04D-0FDF-4AED-9C58-ECF082AC42DD}" name="FNinorganic f" dataDxfId="115"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EB88649-218A-43F9-B459-50D66FBDBDB5}" name="Table28" displayName="Table28" ref="Q19:R28" totalsRowShown="0" dataDxfId="114" dataCellStyle="Content normal">
  <autoFilter ref="Q19:R28" xr:uid="{791CEA59-796C-47AB-86BC-41E8F699030C}">
    <filterColumn colId="0" hiddenButton="1"/>
    <filterColumn colId="1" hiddenButton="1"/>
  </autoFilter>
  <tableColumns count="2">
    <tableColumn id="1" xr3:uid="{8D461AD8-9C85-4218-9322-36C1AD6A4022}" name="Fertiliser type f" dataDxfId="113" dataCellStyle="Content normal">
      <calculatedColumnFormula array="1">Common_InputFunctions.Utility_DisplayArrayInTable(Fertiliser_SourceData.Fertiliser_FractionUreaCommonFertilisers_Data(), Table28[[#Headers],[Fertiliser type f]], 0)</calculatedColumnFormula>
    </tableColumn>
    <tableColumn id="2" xr3:uid="{B6FE1763-47E0-4BCE-B158-5A34B86A67A4}" name="FNinorganic f" dataDxfId="112"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BCFAD1F9-357B-4E9A-9BF7-568A5FEE58F8}" name="Table_Fuel_EFs_StationaryLiquid" displayName="Table_Fuel_EFs_StationaryLiquid" ref="D53:K77" totalsRowShown="0" headerRowDxfId="220" dataDxfId="219">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A1EAD390-A165-4CF5-811D-02DF3CC6122A}" name="Fuel combusted" dataDxfId="218">
      <calculatedColumnFormula array="1">Common_InputFunctions.Utility_DisplayArrayInTable(Fuel_SourceData.Fuel_Scope1Scope3EmissionFactorsStationaryLiquid_Data(), Table_Fuel_EFs_StationaryLiquid[[#Headers],[Fuel combusted]],0)</calculatedColumnFormula>
    </tableColumn>
    <tableColumn id="2" xr3:uid="{827023F7-3028-4D85-9495-5B748B5EE973}" name="Energy Content Factor (GJ per unit of fuel)" dataDxfId="217">
      <calculatedColumnFormula array="1">Common_InputFunctions.Utility_DisplayArrayInTable(Fuel_SourceData.Fuel_Scope1Scope3EmissionFactorsStationaryLiquid_Data(), Table_Fuel_EFs_StationaryLiquid[[#Headers],[Fuel combusted]],0)</calculatedColumnFormula>
    </tableColumn>
    <tableColumn id="3" xr3:uid="{95CD1A90-FB03-4C44-B88E-42062FBE8150}" name="Fuel unit" dataDxfId="216">
      <calculatedColumnFormula array="1">Common_InputFunctions.Utility_DisplayArrayInTable(Fuel_SourceData.Fuel_Scope1Scope3EmissionFactorsStationaryLiquid_Data(), Table_Fuel_EFs_StationaryLiquid[[#Headers],[Fuel combusted]],0)</calculatedColumnFormula>
    </tableColumn>
    <tableColumn id="4" xr3:uid="{70FA4D07-8C73-4D10-8D26-15EFA5949D79}" name="Scope 1 Emission Factor (kg CO2 - e / GJ) CO2" dataDxfId="215">
      <calculatedColumnFormula array="1">Common_InputFunctions.Utility_DisplayArrayInTable(Fuel_SourceData.Fuel_Scope1Scope3EmissionFactorsStationaryLiquid_Data(), Table_Fuel_EFs_StationaryLiquid[[#Headers],[Fuel combusted]],0)</calculatedColumnFormula>
    </tableColumn>
    <tableColumn id="5" xr3:uid="{68FF4932-1A0B-4AAE-B0F7-032438A6B3EF}" name="Scope 1 Emission Factor (kg CO2 - e / GJ) CH4" dataDxfId="214">
      <calculatedColumnFormula array="1">Common_InputFunctions.Utility_DisplayArrayInTable(Fuel_SourceData.Fuel_Scope1Scope3EmissionFactorsStationaryLiquid_Data(), Table_Fuel_EFs_StationaryLiquid[[#Headers],[Fuel combusted]],0)</calculatedColumnFormula>
    </tableColumn>
    <tableColumn id="6" xr3:uid="{74AB285E-9F41-42F4-9480-8B6E20F00170}" name="Scope 1 Emission Factor (kg CO2 - e / GJ) N2O" dataDxfId="213">
      <calculatedColumnFormula array="1">Common_InputFunctions.Utility_DisplayArrayInTable(Fuel_SourceData.Fuel_Scope1Scope3EmissionFactorsStationaryLiquid_Data(), Table_Fuel_EFs_StationaryLiquid[[#Headers],[Fuel combusted]],0)</calculatedColumnFormula>
    </tableColumn>
    <tableColumn id="7" xr3:uid="{919F6E26-F47B-44D4-8F8A-F77852562840}" name="Scope 1 Emission Factor (kg CO2 - e / GJ) Combined gases" dataDxfId="212">
      <calculatedColumnFormula array="1">Common_InputFunctions.Utility_DisplayArrayInTable(Fuel_SourceData.Fuel_Scope1Scope3EmissionFactorsStationaryLiquid_Data(), Table_Fuel_EFs_StationaryLiquid[[#Headers],[Fuel combusted]],0)</calculatedColumnFormula>
    </tableColumn>
    <tableColumn id="8" xr3:uid="{8E75003A-B04A-4F86-ABC3-FA8871623358}" name="Scope 3 Emission Factor (kg CO2 - e / GJ)" dataDxfId="211">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AA5F61A-4262-4F3A-95EB-A93E25339244}" name="Table_Fuel_EFs_Transport" displayName="Table_Fuel_EFs_Transport" ref="D9:L34" totalsRowShown="0" headerRowDxfId="210" dataDxfId="209">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FA45EFC1-BBA2-4419-A8C5-29C74BC547EA}" name="Transport type" dataDxfId="208">
      <calculatedColumnFormula array="1">Common_InputFunctions.Utility_DisplayArrayInTable(Fuel_SourceData.Fuel_Scope1Scope3EmissionFactorsTransport_Data(), Table_Fuel_EFs_Transport[[#Headers],[Transport type]], 0)</calculatedColumnFormula>
    </tableColumn>
    <tableColumn id="2" xr3:uid="{224A088D-05DA-40A3-A15F-06398D522FEE}" name="Fuel combusted" dataDxfId="207">
      <calculatedColumnFormula array="1">Common_InputFunctions.Utility_DisplayArrayInTable(Fuel_SourceData.Fuel_Scope1Scope3EmissionFactorsTransport_Data(), Table_Fuel_EFs_Transport[[#Headers],[Transport type]], 0)</calculatedColumnFormula>
    </tableColumn>
    <tableColumn id="3" xr3:uid="{75DE7DF1-2BB5-4CDD-B9D7-7F717AC0CD85}" name="Energy Content Factor (GJ per unit of fuel)" dataDxfId="206">
      <calculatedColumnFormula array="1">Common_InputFunctions.Utility_DisplayArrayInTable(Fuel_SourceData.Fuel_Scope1Scope3EmissionFactorsTransport_Data(), Table_Fuel_EFs_Transport[[#Headers],[Transport type]], 0)</calculatedColumnFormula>
    </tableColumn>
    <tableColumn id="4" xr3:uid="{E500D0BD-60DD-4567-8451-39BE27936894}" name="Fuel unit" dataDxfId="205">
      <calculatedColumnFormula array="1">Common_InputFunctions.Utility_DisplayArrayInTable(Fuel_SourceData.Fuel_Scope1Scope3EmissionFactorsTransport_Data(), Table_Fuel_EFs_Transport[[#Headers],[Transport type]], 0)</calculatedColumnFormula>
    </tableColumn>
    <tableColumn id="8" xr3:uid="{FC2F71DF-38A6-4790-A301-A7332A75253D}" name="Scope 1 Emission Factor (kg CO2 - e / GJ) CO2" dataDxfId="204">
      <calculatedColumnFormula array="1">Common_InputFunctions.Utility_DisplayArrayInTable(Fuel_SourceData.Fuel_Scope1Scope3EmissionFactorsTransport_Data(), Table_Fuel_EFs_Transport[[#Headers],[Transport type]], 0)</calculatedColumnFormula>
    </tableColumn>
    <tableColumn id="9" xr3:uid="{D4543D4D-0092-4EC5-AA44-71A479222245}" name="Scope 1 Emission Factor (kg CO2 - e / GJ) CH4" dataDxfId="203">
      <calculatedColumnFormula array="1">Common_InputFunctions.Utility_DisplayArrayInTable(Fuel_SourceData.Fuel_Scope1Scope3EmissionFactorsTransport_Data(), Table_Fuel_EFs_Transport[[#Headers],[Transport type]], 0)</calculatedColumnFormula>
    </tableColumn>
    <tableColumn id="10" xr3:uid="{B5607479-2150-4D0C-B63E-40339A07E18B}" name="Scope 1 Emission Factor (kg CO2 - e / GJ) N2O" dataDxfId="202">
      <calculatedColumnFormula array="1">Common_InputFunctions.Utility_DisplayArrayInTable(Fuel_SourceData.Fuel_Scope1Scope3EmissionFactorsTransport_Data(), Table_Fuel_EFs_Transport[[#Headers],[Transport type]], 0)</calculatedColumnFormula>
    </tableColumn>
    <tableColumn id="11" xr3:uid="{43747F08-7A31-41DE-ACFD-063A0F79AB6E}" name="Scope 1 Emission Factor (kg CO2 - e / GJ) Combined gases" dataDxfId="201">
      <calculatedColumnFormula array="1">Common_InputFunctions.Utility_DisplayArrayInTable(Fuel_SourceData.Fuel_Scope1Scope3EmissionFactorsTransport_Data(), Table_Fuel_EFs_Transport[[#Headers],[Transport type]], 0)</calculatedColumnFormula>
    </tableColumn>
    <tableColumn id="12" xr3:uid="{F6090CD5-BDCC-4411-986A-078847F6B0C6}" name="Scope 3 Emission Factor (kg CO2 - e / GJ)" dataDxfId="200">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7AFDC5D-06D3-447D-8A41-03EFC9A42CCC}" name="Table_FuelTypesPerUse" displayName="Table_FuelTypesPerUse" ref="D130:J139" totalsRowShown="0" headerRowDxfId="199" dataDxfId="198">
  <autoFilter ref="D130:J139" xr:uid="{5CE27F6B-DBAC-48D7-85B3-77E92E77D6C0}">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32C84CAF-1D4E-4BFD-B6D4-BC01CDEA185B}" name="Generators" dataDxfId="197"/>
    <tableColumn id="2" xr3:uid="{13C467F2-26C0-4F6F-B92F-24A4B990E442}" name="Power standalone machinery or heating" dataDxfId="196"/>
    <tableColumn id="3" xr3:uid="{15E7EDC3-8A83-409D-86B7-926996BE8FBC}" name="Aviation" dataDxfId="195"/>
    <tableColumn id="5" xr3:uid="{F31E6FAB-A518-436D-BFB8-D7426676641C}" name="Cars and light commercial vehicles" dataDxfId="194"/>
    <tableColumn id="7" xr3:uid="{6CC11CFE-89B6-44EE-8AED-42AC5C27DB07}" name="Off-road Agriculture and forestry equipment" dataDxfId="193" dataCellStyle="Content bold"/>
    <tableColumn id="8" xr3:uid="{30476670-3728-4B3D-9436-B58D01B767DE}" name="Vessels" dataDxfId="192" dataCellStyle="Content bold"/>
    <tableColumn id="6" xr3:uid="{701F62A8-8600-449C-8513-D7CA0BE9C5D9}" name="General use" dataDxfId="191"/>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D7DAB406-894F-41F4-906E-113BFCEE85CC}" name="Table_Fuel_EFs_StationaryGaseous" displayName="Table_Fuel_EFs_StationaryGaseous" ref="D86:J104" totalsRowShown="0" headerRowDxfId="190" dataDxfId="18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BDA893E-1333-4322-A590-891306E9E387}" name="Fuel combusted" dataDxfId="188">
      <calculatedColumnFormula array="1">Common_InputFunctions.Utility_DisplayArrayInTable(Fuel_SourceData.Fuel_Scope1EmissionFactorsStationaryGaseous_Data(), Table_Fuel_EFs_StationaryGaseous[[#Headers],[Fuel combusted]],0)</calculatedColumnFormula>
    </tableColumn>
    <tableColumn id="2" xr3:uid="{38367592-76AE-45D2-B6D4-5929A49972EE}" name="Energy Content Factor (GJ per unit of fuel)" dataDxfId="187">
      <calculatedColumnFormula array="1">Common_InputFunctions.Utility_DisplayArrayInTable(Fuel_SourceData.Fuel_Scope1EmissionFactorsStationaryGaseous_Data(), Table_Fuel_EFs_StationaryGaseous[[#Headers],[Fuel combusted]],0)</calculatedColumnFormula>
    </tableColumn>
    <tableColumn id="3" xr3:uid="{00870644-2E36-4B78-9D02-8F6CF2F72A99}" name="Fuel unit" dataDxfId="186">
      <calculatedColumnFormula array="1">Common_InputFunctions.Utility_DisplayArrayInTable(Fuel_SourceData.Fuel_Scope1EmissionFactorsStationaryGaseous_Data(), Table_Fuel_EFs_StationaryGaseous[[#Headers],[Fuel combusted]],0)</calculatedColumnFormula>
    </tableColumn>
    <tableColumn id="4" xr3:uid="{A6B1DC50-B678-4D8C-84F6-2D23F3C1CAE0}" name="Scope 1 Emission Factor (kg CO2 - e / GJ) CO2" dataDxfId="185">
      <calculatedColumnFormula array="1">Common_InputFunctions.Utility_DisplayArrayInTable(Fuel_SourceData.Fuel_Scope1EmissionFactorsStationaryGaseous_Data(), Table_Fuel_EFs_StationaryGaseous[[#Headers],[Fuel combusted]],0)</calculatedColumnFormula>
    </tableColumn>
    <tableColumn id="5" xr3:uid="{E52DF7F4-7719-4DF3-9AFB-399F8B29E674}" name="Scope 1 Emission Factor (kg CO2 - e / GJ) CH4" dataDxfId="184">
      <calculatedColumnFormula array="1">Common_InputFunctions.Utility_DisplayArrayInTable(Fuel_SourceData.Fuel_Scope1EmissionFactorsStationaryGaseous_Data(), Table_Fuel_EFs_StationaryGaseous[[#Headers],[Fuel combusted]],0)</calculatedColumnFormula>
    </tableColumn>
    <tableColumn id="6" xr3:uid="{FDBC52B6-A9F5-4E7B-89F3-3D0A826BE58B}" name="Scope 1 Emission Factor (kg CO2 - e / GJ) N2O" dataDxfId="183">
      <calculatedColumnFormula array="1">Common_InputFunctions.Utility_DisplayArrayInTable(Fuel_SourceData.Fuel_Scope1EmissionFactorsStationaryGaseous_Data(), Table_Fuel_EFs_StationaryGaseous[[#Headers],[Fuel combusted]],0)</calculatedColumnFormula>
    </tableColumn>
    <tableColumn id="7" xr3:uid="{8A5F1E8A-C5A0-47A2-9D51-73E35B1CA896}" name="Scope 1 Emission Factor (kg CO2 - e / GJ) Combined gases" dataDxfId="18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FCE6CEF-80AF-40E1-8702-6CD9388D18D3}" name="Table_Fuel_EFs_StationaryGaseous34" displayName="Table_Fuel_EFs_StationaryGaseous34" ref="D112:F120" headerRowDxfId="181" totalsRowDxfId="180">
  <autoFilter ref="D112:F120" xr:uid="{7D6CE29D-2354-4FAC-9965-9A66FFA42416}">
    <filterColumn colId="0" hiddenButton="1"/>
    <filterColumn colId="1" hiddenButton="1"/>
    <filterColumn colId="2" hiddenButton="1"/>
  </autoFilter>
  <tableColumns count="3">
    <tableColumn id="1" xr3:uid="{8D6A4518-28FB-4E57-835D-24D2CCAEED45}" name="State or territory" totalsRowDxfId="179">
      <calculatedColumnFormula array="1">Common_InputFunctions.Utility_DisplayArrayInTable(Fuel_SourceData.Fuel_Scope3EmissionFactorsStationaryGaseous_Data(), Table_Fuel_EFs_StationaryGaseous34[[#Headers],[State or territory]],0)</calculatedColumnFormula>
    </tableColumn>
    <tableColumn id="2" xr3:uid="{9DBF4953-2B5B-42B3-B3FC-2DF4BB8C15C2}" name="Scope 3 Emission Factors for Natural Gas (kg CO2 - e / GJ) Metro" totalsRowDxfId="178">
      <calculatedColumnFormula array="1">Common_InputFunctions.Utility_DisplayArrayInTable(Fuel_SourceData.Fuel_Scope3EmissionFactorsStationaryGaseous_Data(), Table_Fuel_EFs_StationaryGaseous34[[#Headers],[State or territory]],0)</calculatedColumnFormula>
    </tableColumn>
    <tableColumn id="3" xr3:uid="{5695C453-A4EF-4D74-BA70-DA5E5353CD05}" name="Scope 3 Emission Factors for Natural Gas (kg CO2 - e / GJ) Non - Metro" totalsRowDxfId="17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9BDC4CA-6D46-463E-BADD-D4EA8B2F0EBF}" name="Table_FuelTypes_Units" displayName="Table_FuelTypes_Units" ref="D142:E162" totalsRowShown="0">
  <autoFilter ref="D142:E162" xr:uid="{74386805-E5CF-44F9-982C-CBCADB323E30}">
    <filterColumn colId="0" hiddenButton="1"/>
    <filterColumn colId="1" hiddenButton="1"/>
  </autoFilter>
  <tableColumns count="2">
    <tableColumn id="1" xr3:uid="{6CBC9B5C-6726-4DC1-9600-721A28731D64}" name="Fuel type"/>
    <tableColumn id="2" xr3:uid="{6FFA818F-5BB0-4361-8331-ED9FA25606D7}" name="Unit"/>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BA8EA256-ED3E-4D0F-8436-37C5D8985B9C}"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71DB722-5AF6-4454-AEBA-D35FA4DAF799}"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6AC57B1-5510-4EBC-B43D-B0DDCC08CB21}" name="Fuel type q" dataDxfId="17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88DBA76E-76AC-4486-B247-982B05E10400}" name="ECTrans,q (GJ/kL)" dataDxfId="17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1959CC89-F95D-48FE-87A3-0627BE1BE6F9}" name="Scope 1 CO2 EFTran,1,tqg (kg CO2-e/GJ)" dataDxfId="17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CB254646-856A-4B00-8EBE-A4A31332D43C}" name="Scope 1 CH4 EFTran,1,tgg (kg CO2-e/GJ)" dataDxfId="17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6297AA0-E4D0-4108-8B54-13BF95E1F926}" name="Scope 1 N2O EFTran,1,tgg (kg CO2-e/GJ)" dataDxfId="17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DA06FFF1-B19C-4E1F-AB30-860AD3C9F309}" name="Scope 3 EFTrans,3,q (kg CO2-e/GJ)" dataDxfId="17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2815CE4-5936-4AF2-A3CD-21A6B51D968F}" name="Table_SourceData_ElectricityEFs" displayName="Table_SourceData_ElectricityEFs" ref="D9:F19" totalsRowShown="0" headerRowDxfId="19">
  <autoFilter ref="D9:F19" xr:uid="{3144A982-7A4D-4CF2-8790-1A30DAE3E0A4}">
    <filterColumn colId="0" hiddenButton="1"/>
    <filterColumn colId="1" hiddenButton="1"/>
    <filterColumn colId="2" hiddenButton="1"/>
  </autoFilter>
  <tableColumns count="3">
    <tableColumn id="1" xr3:uid="{014AD470-F735-422A-BEB3-B8C6FDC27AEB}"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49268F60-A259-4A68-B464-4CCD93912553}"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3161C8B9-7E78-4A27-B894-1A35AE365464}"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ECA8145-962A-4C06-8384-A5307F4BB601}"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2A53AE81-E4EF-47E8-A1E1-0004EAAD0DED}"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64F6E0F8-DF29-4C21-B888-DAFA69DE9B90}"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9FE1D1D3-0A05-4804-963E-77902D1F4B4E}"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3663B49B-AD25-4499-B478-ED0F4BDEF091}"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930A0D0-80DF-48EA-840E-32C5A9A518F5}"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67A892-76D9-4FF5-8ABA-2F6CD6D9A8B5}"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59EC0254-AE44-46EF-AB62-962F2DA92CF8}" name="State/Territory">
      <calculatedColumnFormula array="1">Common_InputFunctions.Utility_DisplayArrayInTable(Common_SourceData.Common_SourceData_AustralianStatesTerritories_Data(),Table_AustralianStates[[#Headers],[State/Territory]],0)</calculatedColumnFormula>
    </tableColumn>
    <tableColumn id="2" xr3:uid="{9F39799F-8CAB-4E46-B72A-746CF765B678}" name="Common Name">
      <calculatedColumnFormula array="1">Common_InputFunctions.Utility_DisplayArrayInTable(Common_SourceData.Common_SourceData_AustralianStatesTerritories_Data(),Table_AustralianStates[[#Headers],[State/Territory]],0)</calculatedColumnFormula>
    </tableColumn>
    <tableColumn id="3" xr3:uid="{7E1866D1-FF5F-4918-A832-3B78B5B2AE81}"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038D8B0-3EE0-47C8-86DC-72F6646656FA}" name="Table_WASA4Areas" displayName="Table_WASA4Areas" ref="D20:D30" totalsRowShown="0">
  <autoFilter ref="D20:D30" xr:uid="{5FA81339-C6C8-4D36-BEEA-6C4AEDD9E676}">
    <filterColumn colId="0" hiddenButton="1"/>
  </autoFilter>
  <tableColumns count="1">
    <tableColumn id="1" xr3:uid="{3BA89BE8-8E41-4B7C-A584-33B71707722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08DFD7-4C9F-4BCE-B0C2-D2FC84F2F043}" name="Table_GWPData" displayName="Table_GWPData" ref="D36:E43" totalsRowShown="0">
  <autoFilter ref="D36:E43" xr:uid="{B8E87A66-3E41-4AD3-925D-01EE21B43D7A}">
    <filterColumn colId="0" hiddenButton="1"/>
    <filterColumn colId="1" hiddenButton="1"/>
  </autoFilter>
  <tableColumns count="2">
    <tableColumn id="1" xr3:uid="{888A1533-119E-4C94-9619-3D55E4703AF1}" name="Gas">
      <calculatedColumnFormula array="1">Common_InputFunctions.Utility_DisplayArrayInTable(Common_SourceData.Common_SourceData_GWP_Data(), Table_GWPData[[#Headers],[Gas]], 0)</calculatedColumnFormula>
    </tableColumn>
    <tableColumn id="2" xr3:uid="{ED3B0B3E-2E14-438F-987C-B348589529F3}"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28E4C51-2085-43DA-8EFE-E5E01394321E}"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63B3F5C-1235-4393-B133-4240B1C3B384}" name="Gas">
      <calculatedColumnFormula array="1">Common_InputFunctions.Utility_DisplayArrayInTable(Common_SourceData.Common_SourceData_ConvertGasElementalToMolecular_Data(),Table_GasToMolecularConversionFactor[[#Headers],[Gas]], 0)</calculatedColumnFormula>
    </tableColumn>
    <tableColumn id="5" xr3:uid="{E4D22D23-03D4-4BF3-9B9D-A9BEFBA8B012}" name="Conversion factor">
      <calculatedColumnFormula array="1">Common_InputFunctions.Utility_DisplayArrayInTable(Common_SourceData.Common_SourceData_ConvertGasElementalToMolecular_Data(),Table_GasToMolecularConversionFactor[[#Headers],[Gas]], 0)</calculatedColumnFormula>
    </tableColumn>
    <tableColumn id="2" xr3:uid="{6C0239C4-69EA-4440-B62B-A8C51324283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B066FE24-EADB-493E-8743-0C8131F7D4DA}"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3D0EE8E-5934-4338-B910-D2F33A230FF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8A26F12-6AF9-4548-B1EE-21B1534565DA}"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C6B3486-49D7-4538-ACF2-DEE719FEE0C2}"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D430E360-7307-4C08-9F92-83E29583AB90}" name="MAT" totalsRowDxfId="256" totalsRowCellStyle="Content bold">
      <calculatedColumnFormula array="1">Common_InputFunctions.Utility_DisplayArrayInTable(Common_SourceData.Common_SourceData_ClimateZones_Data(), Table_SourceData_ClimateZones[[#Headers],[Climate zone]], 0)</calculatedColumnFormula>
    </tableColumn>
    <tableColumn id="3" xr3:uid="{F4467F45-5530-4233-942C-4ACB969564E5}" name="MAP" totalsRowDxfId="255" totalsRowCellStyle="Content bold">
      <calculatedColumnFormula array="1">Common_InputFunctions.Utility_DisplayArrayInTable(Common_SourceData.Common_SourceData_ClimateZones_Data(), Table_SourceData_ClimateZones[[#Headers],[Climate zone]], 0)</calculatedColumnFormula>
    </tableColumn>
    <tableColumn id="4" xr3:uid="{9EEF2903-2BF6-4F6B-B136-3FEDE2DB9CEB}" name="Frost days per year" totalsRowDxfId="254" totalsRowCellStyle="Content bold">
      <calculatedColumnFormula array="1">Common_InputFunctions.Utility_DisplayArrayInTable(Common_SourceData.Common_SourceData_ClimateZones_Data(), Table_SourceData_ClimateZones[[#Headers],[Climate zone]], 0)</calculatedColumnFormula>
    </tableColumn>
    <tableColumn id="5" xr3:uid="{B6FD8938-ECDC-4294-AB6B-E04EEB72C5A2}" name="Elevation" totalsRowDxfId="253" totalsRowCellStyle="Content bold">
      <calculatedColumnFormula array="1">Common_InputFunctions.Utility_DisplayArrayInTable(Common_SourceData.Common_SourceData_ClimateZones_Data(), Table_SourceData_ClimateZones[[#Headers],[Climate zone]], 0)</calculatedColumnFormula>
    </tableColumn>
    <tableColumn id="6" xr3:uid="{3F552D4D-BF16-40BD-AA41-C77F74C670B2}" name="MAP:PET" totalsRowDxfId="252" totalsRowCellStyle="Content bold">
      <calculatedColumnFormula array="1">Common_InputFunctions.Utility_DisplayArrayInTable(Common_SourceData.Common_SourceData_ClimateZones_Data(), Table_SourceData_ClimateZones[[#Headers],[Climate zone]], 0)</calculatedColumnFormula>
    </tableColumn>
    <tableColumn id="7" xr3:uid="{E5C65E8B-AADF-40BE-9BD2-C1476F37E957}" name="Min temp" totalsRowDxfId="251" totalsRowCellStyle="Content bold">
      <calculatedColumnFormula array="1">Common_InputFunctions.Utility_DisplayArrayInTable(Common_SourceData.Common_SourceData_ClimateZones_Data(), Table_SourceData_ClimateZones[[#Headers],[Climate zone]], 0)</calculatedColumnFormula>
    </tableColumn>
    <tableColumn id="8" xr3:uid="{08E958E2-4C27-404B-A875-F3C770581676}" name="Max temp" totalsRowDxfId="250" totalsRowCellStyle="Content bold">
      <calculatedColumnFormula array="1">Common_InputFunctions.Utility_DisplayArrayInTable(Common_SourceData.Common_SourceData_ClimateZones_Data(), Table_SourceData_ClimateZones[[#Headers],[Climate zone]], 0)</calculatedColumnFormula>
    </tableColumn>
    <tableColumn id="9" xr3:uid="{7D7A970E-B351-4D71-A612-842802BB985D}" name="Min rainfall" totalsRowDxfId="249" totalsRowCellStyle="Content bold">
      <calculatedColumnFormula array="1">Common_InputFunctions.Utility_DisplayArrayInTable(Common_SourceData.Common_SourceData_ClimateZones_Data(), Table_SourceData_ClimateZones[[#Headers],[Climate zone]], 0)</calculatedColumnFormula>
    </tableColumn>
    <tableColumn id="10" xr3:uid="{49C809EA-E0A9-41C4-868D-793286E36F2B}" name="Max rainfall" totalsRowDxfId="248" totalsRowCellStyle="Content bold">
      <calculatedColumnFormula array="1">Common_InputFunctions.Utility_DisplayArrayInTable(Common_SourceData.Common_SourceData_ClimateZones_Data(), Table_SourceData_ClimateZones[[#Headers],[Climate zone]], 0)</calculatedColumnFormula>
    </tableColumn>
    <tableColumn id="11" xr3:uid="{B1FF0B1F-5E45-4110-9A72-2A319490A453}" name="Min frost days" totalsRowDxfId="247" totalsRowCellStyle="Content bold">
      <calculatedColumnFormula array="1">Common_InputFunctions.Utility_DisplayArrayInTable(Common_SourceData.Common_SourceData_ClimateZones_Data(), Table_SourceData_ClimateZones[[#Headers],[Climate zone]], 0)</calculatedColumnFormula>
    </tableColumn>
    <tableColumn id="15" xr3:uid="{6AB643FE-61A3-423D-BB53-5DE0D20514B5}" name="Max frost days" totalsRowDxfId="246" totalsRowCellStyle="Content bold">
      <calculatedColumnFormula array="1">Common_InputFunctions.Utility_DisplayArrayInTable(Common_SourceData.Common_SourceData_ClimateZones_Data(), Table_SourceData_ClimateZones[[#Headers],[Climate zone]], 0)</calculatedColumnFormula>
    </tableColumn>
    <tableColumn id="12" xr3:uid="{6144588B-386A-4107-96C6-5F981B7BA217}" name="Min elevation" totalsRowDxfId="245" totalsRowCellStyle="Content bold">
      <calculatedColumnFormula array="1">Common_InputFunctions.Utility_DisplayArrayInTable(Common_SourceData.Common_SourceData_ClimateZones_Data(), Table_SourceData_ClimateZones[[#Headers],[Climate zone]], 0)</calculatedColumnFormula>
    </tableColumn>
    <tableColumn id="16" xr3:uid="{614B562B-0105-47AA-9220-C9EA1B579AED}" name="Max elevation" totalsRowDxfId="244" totalsRowCellStyle="Content bold">
      <calculatedColumnFormula array="1">Common_InputFunctions.Utility_DisplayArrayInTable(Common_SourceData.Common_SourceData_ClimateZones_Data(), Table_SourceData_ClimateZones[[#Headers],[Climate zone]], 0)</calculatedColumnFormula>
    </tableColumn>
    <tableColumn id="13" xr3:uid="{239FA065-F63F-4C9F-AD9B-CFE1272003C9}" name="Min MAP:PET" totalsRowDxfId="243" totalsRowCellStyle="Content bold">
      <calculatedColumnFormula array="1">Common_InputFunctions.Utility_DisplayArrayInTable(Common_SourceData.Common_SourceData_ClimateZones_Data(), Table_SourceData_ClimateZones[[#Headers],[Climate zone]], 0)</calculatedColumnFormula>
    </tableColumn>
    <tableColumn id="17" xr3:uid="{FD12F5C9-165F-40ED-A122-378232714430}" name="Max MAP:PET" totalsRowDxfId="24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9C5AD2D5-D5D7-4345-BA34-DF9B62800DA4}"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3DD06219-259D-4CFE-B6D5-0EC6DE16CEE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F26BA3E3-F7E9-48B8-A53D-2530CE7C233B}" name="Wet or Dry Zone" totalsRowDxfId="24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1EC85A-B24D-4F82-BB56-1C8B863429D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43149608-0FA0-44DE-B096-C85ED4EB84FB}" name="Temperature Zone">
      <calculatedColumnFormula array="1">Common_InputFunctions.Utility_DisplayArrayInTable(Common_SourceData.Common_SourceData_TemperatureZones_Data(),Table_SourceData_TemperatureZones[[#Headers],[Temperature Zone]],0)</calculatedColumnFormula>
    </tableColumn>
    <tableColumn id="2" xr3:uid="{4D7CB2C6-C4FE-4A22-9AA6-F3B0C577CFED}" name="MAT">
      <calculatedColumnFormula array="1">Common_InputFunctions.Utility_DisplayArrayInTable(Common_SourceData.Common_SourceData_TemperatureZones_Data(),Table_SourceData_TemperatureZones[[#Headers],[Temperature Zone]],0)</calculatedColumnFormula>
    </tableColumn>
    <tableColumn id="3" xr3:uid="{1B7D0921-C182-431E-B7DA-E23F39A86F35}" name="Min MAT">
      <calculatedColumnFormula array="1">Common_InputFunctions.Utility_DisplayArrayInTable(Common_SourceData.Common_SourceData_TemperatureZones_Data(),Table_SourceData_TemperatureZones[[#Headers],[Temperature Zone]],0)</calculatedColumnFormula>
    </tableColumn>
    <tableColumn id="4" xr3:uid="{6DD72040-0F6C-40C7-BDEC-426AE52FA8E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83E351D7-1C00-4896-BD43-F225E5B19B40}"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379589F9-D9B1-4633-8382-9C1EA29CD847}" name="Rainfall Zone">
      <calculatedColumnFormula array="1">Common_InputFunctions.Utility_DisplayArrayInTable(Common_SourceData.Common_SourceData_RainfallZones_Data(),Table_SourceData_RainfallZones[[#Headers],[Rainfall Zone]],0)</calculatedColumnFormula>
    </tableColumn>
    <tableColumn id="2" xr3:uid="{2D65A4B6-3313-47B3-BFDD-4CC3D626CE11}" name="Annual rainfall">
      <calculatedColumnFormula array="1">Common_InputFunctions.Utility_DisplayArrayInTable(Common_SourceData.Common_SourceData_RainfallZones_Data(),Table_SourceData_RainfallZones[[#Headers],[Rainfall Zone]],0)</calculatedColumnFormula>
    </tableColumn>
    <tableColumn id="3" xr3:uid="{9257B0DC-3602-4FF0-AA83-2B48CA1B7007}" name="Min rainfall">
      <calculatedColumnFormula array="1">Common_InputFunctions.Utility_DisplayArrayInTable(Common_SourceData.Common_SourceData_RainfallZones_Data(),Table_SourceData_RainfallZones[[#Headers],[Rainfall Zone]],0)</calculatedColumnFormula>
    </tableColumn>
    <tableColumn id="4" xr3:uid="{D0D6BC98-36F4-42A0-BE05-35ECBE3D542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4012760-1630-497E-A797-08D1E1F6B69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B14FE04-CFAD-4DBB-86A2-F792A6517A93}" name="Leaching Zone">
      <calculatedColumnFormula array="1">Common_InputFunctions.Utility_DisplayArrayInTable(Common_SourceData.Common_SourceData_LeachingZones_Data(), Table_SourceData_LeachingZones[[#Headers],[Leaching Zone]], 0)</calculatedColumnFormula>
    </tableColumn>
    <tableColumn id="2" xr3:uid="{0B59772A-D315-4592-AD70-575906A2AD5B}"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D731BC8A-327D-4507-BA96-62EB47E5FFCE}"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431CD2D-6040-447E-9FC3-3ED89467ED97}" name="Data source">
      <calculatedColumnFormula array="1">Common_InputFunctions.Utility_DisplayArrayInTable(Common_SourceData.Common_SourceData_DataScores_Scope3_Data(), Table_SourceData_DataScores_Scope3[[#Headers],[Data source]], 0)</calculatedColumnFormula>
    </tableColumn>
    <tableColumn id="2" xr3:uid="{8D0BAF55-142E-4DA3-8079-A94EBBC5F1D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90D7458-5A20-4A54-AFF2-AAF23DDF0485}" name="Table_SourceData_FracWET" displayName="Table_SourceData_FracWET" ref="D134:E136" totalsRowShown="0">
  <autoFilter ref="D134:E136" xr:uid="{308E99BE-FE1F-47A4-B2CA-97217277C4E9}">
    <filterColumn colId="0" hiddenButton="1"/>
    <filterColumn colId="1" hiddenButton="1"/>
  </autoFilter>
  <tableColumns count="2">
    <tableColumn id="1" xr3:uid="{9830E341-7ABB-42DB-9F7D-01E9767F30DE}" name="Is in leaching zone">
      <calculatedColumnFormula array="1">Common_InputFunctions.Utility_DisplayArrayInTable(Common_SourceData.Common_SourceData_FracWET_Data(),Table_SourceData_FracWET[[#Headers],[Is in leaching zone]],0)</calculatedColumnFormula>
    </tableColumn>
    <tableColumn id="2" xr3:uid="{AEA5E891-232A-4D87-AF46-421D254B183B}" name="FracWET" dataDxfId="24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78AB1AD-887A-4C39-B46C-CE2FA11EAAE6}"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71CE791-A500-468F-A2B7-A51CB7B2EC57}" name="Production system j">
      <calculatedColumnFormula array="1">Common_InputFunctions.Utility_DisplayArrayInTable(Common_SourceData.Common_SourceData_EFN2O_Data(), Table_SourceData_Common_EFN2O[[#Headers],[Production system j]], 0)</calculatedColumnFormula>
    </tableColumn>
    <tableColumn id="2" xr3:uid="{C1449596-5881-40B4-8E7D-3782FE658918}" name="EFN2O">
      <calculatedColumnFormula array="1">Common_InputFunctions.Utility_DisplayArrayInTable(Common_SourceData.Common_SourceData_EFN2O_Data(), Table_SourceData_Common_EFN2O[[#Headers],[Production system j]], 0)</calculatedColumnFormula>
    </tableColumn>
    <tableColumn id="3" xr3:uid="{09CF8BE8-441C-47CB-958F-EB4D559E0582}" name="Production system only">
      <calculatedColumnFormula array="1">Common_InputFunctions.Utility_DisplayArrayInTable(Common_SourceData.Common_SourceData_EFN2O_Data(), Table_SourceData_Common_EFN2O[[#Headers],[Production system j]], 0)</calculatedColumnFormula>
    </tableColumn>
    <tableColumn id="4" xr3:uid="{F610A84C-EEAD-4EF9-BEC4-73562831B4C9}" name="Irrigation method">
      <calculatedColumnFormula array="1">Common_InputFunctions.Utility_DisplayArrayInTable(Common_SourceData.Common_SourceData_EFN2O_Data(), Table_SourceData_Common_EFN2O[[#Headers],[Production system j]], 0)</calculatedColumnFormula>
    </tableColumn>
    <tableColumn id="5" xr3:uid="{8C99980D-FA84-4B4B-A21E-AE78441F8948}"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F546B94-3041-42AC-A3DE-C153DA5CD7C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CD226A8-B698-4C42-A7CD-F757B6B0E0BF}" name="Irrigation type i">
      <calculatedColumnFormula array="1">Common_InputFunctions.Utility_DisplayArrayInTable(Common_SourceData.Common_SourceData_FracWETIrrigation_Data(), Table_SourceData_FracWETIrrigation[[#Headers],[Irrigation type i]], 0)</calculatedColumnFormula>
    </tableColumn>
    <tableColumn id="2" xr3:uid="{5F4A00C4-55F4-4C5F-B02B-FF66E4DBD293}" name="FracWET" dataDxfId="23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693DCC4-E8A3-4F07-B5B7-2DD7C349035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423F9FDA-B45A-45B3-9189-BD16F6263B7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3595344E-F94E-49F3-9A3E-AEC8D9B69BBC}" name="EFPRP" dataDxfId="23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C54E974-0497-4DEB-8210-2BD81D9DDEDC}"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5335444-978F-4AF5-90F5-809006CA1C0F}" name="Month">
      <calculatedColumnFormula array="1">Common_InputFunctions.Utility_DisplayArrayInTable(Common_SourceData.Common_SourceData_MonthsToSeasons_Data(), Table_SourceData_Common_MonthToSeason[[#Headers],[Month]], 0)</calculatedColumnFormula>
    </tableColumn>
    <tableColumn id="2" xr3:uid="{A3F83C56-2F86-483B-AA53-4498BC39FEB6}" name="Season" dataDxfId="23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4ACC7827-32FF-4EF5-8948-526826777569}"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AB0CD4B-8596-4060-9017-D90C5AB650C3}"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7F6AF057-9971-47B8-A7DE-220CE18D2C82}" name="MAT (ºC)" dataDxfId="23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E100968B-8D63-415B-A1D7-ABEB4B69C2EC}" name="Anaerobic lagoon" dataDxfId="2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8F7A15BE-1B99-480F-8128-9C1781BDBA44}" name="Digester / covered lagoons" dataDxfId="2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3DB7FFD-0A74-4173-B1C9-F9A5F0A00E99}" name="Liquid systems" dataDxfId="2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8B15994-F771-4BD1-A5B6-EC2A99CA716E}" name="Daily spread" dataDxfId="2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F1395400-9E2B-47C1-B03C-AB48B132CE24}" name="Composting (passive windrow)" dataDxfId="2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CA23A57-45DA-4637-AA51-FD38549A8045}" name="Solid storage" dataDxfId="2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BC1F003E-8B57-42D6-A03B-5FABF38E036A}" name="Pit storage" dataDxfId="2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6B0B1BFE-5361-470C-9A54-913C4C49730C}" name="Deep litter" dataDxfId="2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60A0BAE-A75A-4614-93FB-DC2C6CEBC07B}" name="Poultry manure with bedding" dataDxfId="2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7784A77C-30EB-4DC3-A1AA-14AE8F29F0A2}" name="Poultry manure without bedding" dataDxfId="2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5F91501-7BCD-4C00-9060-2366A71A9B79}" name="Direct processing" dataDxfId="2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5A9481E-1366-496D-B4BA-CBA4DC5F7CEE}" name="Direct application" dataDxfId="2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121A7C7-42E7-48EF-A228-1A9FD9AA9DEC}" name="Pasture range and paddock" dataDxfId="2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5F3FAD9-C84F-4B42-92BB-CC29687449D4}" name="MAT raw" dataDxfId="2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B1020675-BC7E-4541-A79A-24F9FD14E51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306B2CF-F8C8-4A9C-B07B-06E54C6CB61D}"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DA954597-C859-4826-8A9C-3E05A2870F80}" name="EFNi &amp; EFN2Oi" dataDxfId="22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923"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05792E4-89C0-41CC-9A16-4B96A36E5E1B}">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8523A1ED-64A4-4F28-87AE-B321FB11927F}&quot;}"/>
  </we:properties>
  <we:bindings/>
  <we:snapshot xmlns:r="http://schemas.openxmlformats.org/officeDocument/2006/relationships"/>
  <we:extLs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table" Target="../tables/table6.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8" Type="http://schemas.openxmlformats.org/officeDocument/2006/relationships/table" Target="../tables/table15.xml"/><Relationship Id="rId3" Type="http://schemas.openxmlformats.org/officeDocument/2006/relationships/table" Target="../tables/table10.xml"/><Relationship Id="rId7" Type="http://schemas.openxmlformats.org/officeDocument/2006/relationships/table" Target="../tables/table14.xml"/><Relationship Id="rId2" Type="http://schemas.openxmlformats.org/officeDocument/2006/relationships/table" Target="../tables/table9.xml"/><Relationship Id="rId1" Type="http://schemas.openxmlformats.org/officeDocument/2006/relationships/table" Target="../tables/table8.xml"/><Relationship Id="rId6" Type="http://schemas.openxmlformats.org/officeDocument/2006/relationships/table" Target="../tables/table13.xml"/><Relationship Id="rId5" Type="http://schemas.openxmlformats.org/officeDocument/2006/relationships/table" Target="../tables/table1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s>
</file>

<file path=xl/worksheets/_rels/sheet7.xml.rels><?xml version="1.0" encoding="UTF-8" standalone="yes"?>
<Relationships xmlns="http://schemas.openxmlformats.org/package/2006/relationships"><Relationship Id="rId3" Type="http://schemas.openxmlformats.org/officeDocument/2006/relationships/table" Target="../tables/table20.xml"/><Relationship Id="rId7" Type="http://schemas.openxmlformats.org/officeDocument/2006/relationships/table" Target="../tables/table24.xml"/><Relationship Id="rId2" Type="http://schemas.openxmlformats.org/officeDocument/2006/relationships/table" Target="../tables/table19.xml"/><Relationship Id="rId1" Type="http://schemas.openxmlformats.org/officeDocument/2006/relationships/table" Target="../tables/table18.xml"/><Relationship Id="rId6" Type="http://schemas.openxmlformats.org/officeDocument/2006/relationships/table" Target="../tables/table23.xml"/><Relationship Id="rId5" Type="http://schemas.openxmlformats.org/officeDocument/2006/relationships/table" Target="../tables/table22.xml"/><Relationship Id="rId4" Type="http://schemas.openxmlformats.org/officeDocument/2006/relationships/table" Target="../tables/table21.xml"/></Relationships>
</file>

<file path=xl/worksheets/_rels/sheet8.xml.rels><?xml version="1.0" encoding="UTF-8" standalone="yes"?>
<Relationships xmlns="http://schemas.openxmlformats.org/package/2006/relationships"><Relationship Id="rId2" Type="http://schemas.openxmlformats.org/officeDocument/2006/relationships/table" Target="../tables/table26.xml"/><Relationship Id="rId1" Type="http://schemas.openxmlformats.org/officeDocument/2006/relationships/table" Target="../tables/table2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33.xml"/><Relationship Id="rId13" Type="http://schemas.openxmlformats.org/officeDocument/2006/relationships/table" Target="../tables/table38.xml"/><Relationship Id="rId18" Type="http://schemas.openxmlformats.org/officeDocument/2006/relationships/table" Target="../tables/table43.xml"/><Relationship Id="rId3" Type="http://schemas.openxmlformats.org/officeDocument/2006/relationships/table" Target="../tables/table28.xml"/><Relationship Id="rId7" Type="http://schemas.openxmlformats.org/officeDocument/2006/relationships/table" Target="../tables/table32.xml"/><Relationship Id="rId12" Type="http://schemas.openxmlformats.org/officeDocument/2006/relationships/table" Target="../tables/table37.xml"/><Relationship Id="rId17" Type="http://schemas.openxmlformats.org/officeDocument/2006/relationships/table" Target="../tables/table42.xml"/><Relationship Id="rId2" Type="http://schemas.openxmlformats.org/officeDocument/2006/relationships/table" Target="../tables/table27.xml"/><Relationship Id="rId16" Type="http://schemas.openxmlformats.org/officeDocument/2006/relationships/table" Target="../tables/table41.xml"/><Relationship Id="rId1" Type="http://schemas.openxmlformats.org/officeDocument/2006/relationships/printerSettings" Target="../printerSettings/printerSettings4.bin"/><Relationship Id="rId6" Type="http://schemas.openxmlformats.org/officeDocument/2006/relationships/table" Target="../tables/table31.xml"/><Relationship Id="rId11" Type="http://schemas.openxmlformats.org/officeDocument/2006/relationships/table" Target="../tables/table36.xml"/><Relationship Id="rId5" Type="http://schemas.openxmlformats.org/officeDocument/2006/relationships/table" Target="../tables/table30.xml"/><Relationship Id="rId15" Type="http://schemas.openxmlformats.org/officeDocument/2006/relationships/table" Target="../tables/table40.xml"/><Relationship Id="rId10" Type="http://schemas.openxmlformats.org/officeDocument/2006/relationships/table" Target="../tables/table35.xml"/><Relationship Id="rId4" Type="http://schemas.openxmlformats.org/officeDocument/2006/relationships/table" Target="../tables/table29.xml"/><Relationship Id="rId9" Type="http://schemas.openxmlformats.org/officeDocument/2006/relationships/table" Target="../tables/table34.xml"/><Relationship Id="rId14" Type="http://schemas.openxmlformats.org/officeDocument/2006/relationships/table" Target="../tables/table3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5D3B8F-2DA3-47D9-B0F6-5F323AEDC7C5}">
  <dimension ref="A1:AA115"/>
  <sheetViews>
    <sheetView showGridLines="0" workbookViewId="0">
      <selection activeCell="E22" sqref="E22"/>
    </sheetView>
  </sheetViews>
  <sheetFormatPr defaultColWidth="8" defaultRowHeight="15.75" x14ac:dyDescent="0.25"/>
  <cols>
    <col min="1" max="1" width="26.875" style="18" customWidth="1"/>
    <col min="2" max="2" width="4.125" style="4" customWidth="1"/>
    <col min="3" max="3" width="4.125" style="7" customWidth="1"/>
    <col min="4" max="4" width="53.125" style="7" customWidth="1"/>
    <col min="5" max="5" width="44.375" style="7" customWidth="1"/>
    <col min="6" max="11" width="25.125" style="7" customWidth="1"/>
    <col min="12" max="25" width="25.125" style="4" customWidth="1"/>
    <col min="26" max="27" width="8" style="4"/>
    <col min="28" max="16384" width="8" style="7"/>
  </cols>
  <sheetData>
    <row r="1" spans="1:24" s="4" customFormat="1" ht="30" customHeight="1" x14ac:dyDescent="0.35">
      <c r="A1" s="38" t="e" vm="1">
        <v>#VALUE!</v>
      </c>
      <c r="C1" s="109" t="s">
        <v>286</v>
      </c>
    </row>
    <row r="2" spans="1:24" s="4" customFormat="1" ht="20.100000000000001" customHeight="1" x14ac:dyDescent="0.25">
      <c r="A2" s="2"/>
      <c r="C2" s="2"/>
      <c r="D2" s="2"/>
      <c r="E2" s="2"/>
      <c r="F2" s="2"/>
      <c r="G2" s="2"/>
      <c r="H2" s="2"/>
      <c r="I2" s="2"/>
      <c r="J2" s="2"/>
    </row>
    <row r="3" spans="1:24" ht="20.100000000000001" customHeight="1" x14ac:dyDescent="0.25">
      <c r="A3" s="16" t="str">
        <f>HYPERLINK("#'Home'!A1", "Home")</f>
        <v>Home</v>
      </c>
      <c r="C3" s="39"/>
      <c r="D3" s="39"/>
      <c r="E3" s="39"/>
      <c r="F3" s="39"/>
      <c r="G3" s="39"/>
      <c r="H3" s="39"/>
      <c r="I3" s="39"/>
      <c r="J3" s="39"/>
      <c r="K3" s="39"/>
      <c r="M3" s="6"/>
      <c r="N3" s="6"/>
      <c r="O3" s="6"/>
      <c r="P3" s="6"/>
      <c r="Q3" s="6"/>
      <c r="R3" s="6"/>
      <c r="S3" s="6"/>
      <c r="T3" s="6"/>
      <c r="U3" s="6"/>
      <c r="V3" s="6"/>
      <c r="W3" s="6"/>
      <c r="X3" s="6"/>
    </row>
    <row r="4" spans="1:24" ht="20.100000000000001" customHeight="1" x14ac:dyDescent="0.25">
      <c r="A4" s="16" t="str">
        <f>HYPERLINK("#'Overview'!A1", "Overview")</f>
        <v>Overview</v>
      </c>
      <c r="C4" s="110"/>
      <c r="D4" s="110"/>
      <c r="E4" s="110"/>
      <c r="F4" s="110"/>
      <c r="G4" s="110"/>
      <c r="H4" s="110"/>
      <c r="I4" s="110"/>
      <c r="J4" s="110"/>
      <c r="K4" s="110"/>
    </row>
    <row r="5" spans="1:24" ht="20.100000000000001" customHeight="1" x14ac:dyDescent="0.25">
      <c r="A5" s="16" t="str">
        <f>HYPERLINK("#'Results'!A1", "Results")</f>
        <v>Results</v>
      </c>
      <c r="D5" s="9" t="s">
        <v>287</v>
      </c>
      <c r="N5" s="111"/>
    </row>
    <row r="6" spans="1:24" ht="20.100000000000001" customHeight="1" x14ac:dyDescent="0.25">
      <c r="D6" s="112"/>
      <c r="N6" s="113"/>
    </row>
    <row r="7" spans="1:24" ht="20.100000000000001" customHeight="1" x14ac:dyDescent="0.25">
      <c r="A7" s="19" t="s">
        <v>67</v>
      </c>
      <c r="D7" s="8" t="s">
        <v>288</v>
      </c>
      <c r="E7" s="86" t="s">
        <v>289</v>
      </c>
      <c r="F7" s="68"/>
    </row>
    <row r="8" spans="1:24" ht="20.100000000000001" customHeight="1" x14ac:dyDescent="0.25">
      <c r="A8" s="16" t="str">
        <f>HYPERLINK("#'Input - Electricity'!A1", "Electricity")</f>
        <v>Electricity</v>
      </c>
      <c r="D8" s="114" t="s">
        <v>290</v>
      </c>
      <c r="E8" s="86" t="s">
        <v>291</v>
      </c>
    </row>
    <row r="9" spans="1:24" ht="20.100000000000001" customHeight="1" x14ac:dyDescent="0.25">
      <c r="A9" s="16"/>
      <c r="N9" s="115"/>
    </row>
    <row r="10" spans="1:24" ht="20.100000000000001" customHeight="1" x14ac:dyDescent="0.25">
      <c r="A10" s="21" t="s">
        <v>77</v>
      </c>
      <c r="D10" s="101" t="s">
        <v>292</v>
      </c>
      <c r="E10" s="116"/>
      <c r="F10" s="117"/>
      <c r="G10" s="102"/>
      <c r="N10" s="115"/>
    </row>
    <row r="11" spans="1:24" ht="20.100000000000001" customHeight="1" x14ac:dyDescent="0.25">
      <c r="A11" s="16" t="str">
        <f>HYPERLINK("#'14.1.1-2 Purchased electricity'!A1", "14.1.1-2 Purchased electricity")</f>
        <v>14.1.1-2 Purchased electricity</v>
      </c>
      <c r="N11" s="118"/>
    </row>
    <row r="12" spans="1:24" ht="20.100000000000001" customHeight="1" x14ac:dyDescent="0.25">
      <c r="A12" s="16"/>
      <c r="D12" s="114" t="s">
        <v>293</v>
      </c>
      <c r="E12" s="119">
        <v>45292</v>
      </c>
      <c r="F12" s="68" t="s">
        <v>294</v>
      </c>
    </row>
    <row r="13" spans="1:24" ht="20.100000000000001" customHeight="1" x14ac:dyDescent="0.25">
      <c r="A13" s="23" t="s">
        <v>78</v>
      </c>
      <c r="D13" s="114" t="s">
        <v>295</v>
      </c>
      <c r="E13" s="120">
        <f>DATE(YEAR(E12)+1,MONTH(E12),DAY(E12))-1</f>
        <v>45657</v>
      </c>
      <c r="F13" s="68" t="s">
        <v>296</v>
      </c>
      <c r="N13" s="121"/>
      <c r="O13" s="121"/>
    </row>
    <row r="14" spans="1:24" ht="20.100000000000001" customHeight="1" x14ac:dyDescent="0.25">
      <c r="A14" s="16" t="str">
        <f>HYPERLINK("#'Constants - Electricity'!A1", "Constants - Electricity")</f>
        <v>Constants - Electricity</v>
      </c>
      <c r="N14" s="121"/>
      <c r="O14" s="121"/>
    </row>
    <row r="15" spans="1:24" ht="20.100000000000001" customHeight="1" x14ac:dyDescent="0.25">
      <c r="A15" s="16" t="str">
        <f>HYPERLINK("#'Constants - Common'!A1", "Constants - Common")</f>
        <v>Constants - Common</v>
      </c>
      <c r="N15" s="121"/>
      <c r="O15" s="121"/>
    </row>
    <row r="16" spans="1:24" ht="20.100000000000001" customHeight="1" x14ac:dyDescent="0.25">
      <c r="A16" s="3"/>
      <c r="D16" s="9" t="s">
        <v>297</v>
      </c>
      <c r="N16" s="121"/>
      <c r="O16" s="121"/>
    </row>
    <row r="17" spans="1:25" ht="20.100000000000001" customHeight="1" x14ac:dyDescent="0.25">
      <c r="A17" s="3"/>
    </row>
    <row r="18" spans="1:25" ht="20.100000000000001" customHeight="1" x14ac:dyDescent="0.25">
      <c r="A18" s="3"/>
      <c r="D18" s="122" t="s">
        <v>298</v>
      </c>
      <c r="E18" s="41"/>
      <c r="F18" s="41"/>
      <c r="G18" s="42"/>
    </row>
    <row r="19" spans="1:25" ht="20.100000000000001" customHeight="1" x14ac:dyDescent="0.25">
      <c r="A19" s="3"/>
      <c r="D19" s="44" t="s">
        <v>299</v>
      </c>
      <c r="E19" s="45"/>
      <c r="F19" s="45"/>
      <c r="G19" s="46"/>
      <c r="N19" s="111"/>
    </row>
    <row r="20" spans="1:25" ht="20.100000000000001" customHeight="1" x14ac:dyDescent="0.25">
      <c r="A20" s="3"/>
      <c r="D20" s="8"/>
      <c r="E20" s="123"/>
      <c r="F20" s="68"/>
      <c r="N20" s="113"/>
    </row>
    <row r="21" spans="1:25" ht="20.100000000000001" customHeight="1" x14ac:dyDescent="0.25">
      <c r="A21" s="3"/>
      <c r="D21" s="8" t="s">
        <v>300</v>
      </c>
      <c r="E21" s="48" t="s">
        <v>301</v>
      </c>
      <c r="F21" s="68" t="s">
        <v>198</v>
      </c>
    </row>
    <row r="22" spans="1:25" ht="20.100000000000001" customHeight="1" x14ac:dyDescent="0.25">
      <c r="A22" s="3"/>
      <c r="D22" s="8" t="s">
        <v>302</v>
      </c>
      <c r="E22" s="48" t="s">
        <v>303</v>
      </c>
      <c r="F22" s="68" t="s">
        <v>198</v>
      </c>
      <c r="G22" s="8"/>
    </row>
    <row r="23" spans="1:25" ht="20.100000000000001" customHeight="1" x14ac:dyDescent="0.25">
      <c r="A23" s="3"/>
    </row>
    <row r="24" spans="1:25" ht="20.100000000000001" customHeight="1" x14ac:dyDescent="0.25">
      <c r="A24" s="3"/>
    </row>
    <row r="25" spans="1:25" ht="20.100000000000001" customHeight="1" x14ac:dyDescent="0.25">
      <c r="A25" s="3"/>
      <c r="N25" s="113"/>
    </row>
    <row r="26" spans="1:25" ht="20.100000000000001" customHeight="1" x14ac:dyDescent="0.25">
      <c r="A26" s="3"/>
    </row>
    <row r="27" spans="1:25" ht="20.100000000000001" customHeight="1" x14ac:dyDescent="0.25">
      <c r="A27" s="3"/>
    </row>
    <row r="28" spans="1:25" ht="20.100000000000001" customHeight="1" x14ac:dyDescent="0.25">
      <c r="A28" s="3"/>
    </row>
    <row r="29" spans="1:25" ht="20.100000000000001" customHeight="1" x14ac:dyDescent="0.25">
      <c r="A29" s="3"/>
    </row>
    <row r="30" spans="1:25" ht="20.100000000000001" customHeight="1" x14ac:dyDescent="0.25">
      <c r="A30" s="3"/>
      <c r="G30" s="124"/>
      <c r="L30" s="125"/>
      <c r="M30" s="125"/>
      <c r="N30" s="125"/>
      <c r="O30" s="125"/>
      <c r="P30" s="125"/>
      <c r="Q30" s="125"/>
      <c r="R30" s="125"/>
      <c r="S30" s="125"/>
      <c r="T30" s="125"/>
      <c r="U30" s="125"/>
      <c r="V30" s="125"/>
      <c r="W30" s="125"/>
      <c r="X30" s="125"/>
      <c r="Y30" s="125"/>
    </row>
    <row r="31" spans="1:25" ht="20.100000000000001" customHeight="1" x14ac:dyDescent="0.25">
      <c r="A31" s="3"/>
      <c r="G31" s="123"/>
      <c r="L31" s="126"/>
      <c r="M31" s="126"/>
      <c r="N31" s="126"/>
      <c r="O31" s="126"/>
      <c r="P31" s="126"/>
      <c r="Q31" s="126"/>
      <c r="R31" s="126"/>
      <c r="S31" s="126"/>
      <c r="T31" s="126"/>
      <c r="U31" s="126"/>
      <c r="V31" s="126"/>
      <c r="W31" s="126"/>
      <c r="X31" s="126"/>
      <c r="Y31" s="126"/>
    </row>
    <row r="32" spans="1:25" ht="20.100000000000001" customHeight="1" x14ac:dyDescent="0.25">
      <c r="A32" s="3"/>
      <c r="G32" s="123"/>
      <c r="L32" s="126"/>
      <c r="M32" s="126"/>
      <c r="N32" s="126"/>
      <c r="O32" s="126"/>
      <c r="P32" s="126"/>
      <c r="Q32" s="126"/>
      <c r="R32" s="126"/>
      <c r="S32" s="126"/>
      <c r="T32" s="126"/>
      <c r="U32" s="126"/>
      <c r="V32" s="126"/>
      <c r="W32" s="126"/>
      <c r="X32" s="126"/>
      <c r="Y32" s="126"/>
    </row>
    <row r="33" spans="1:25" ht="20.100000000000001" customHeight="1" x14ac:dyDescent="0.25">
      <c r="A33" s="3"/>
      <c r="G33" s="127"/>
      <c r="L33" s="126"/>
      <c r="M33" s="126"/>
      <c r="N33" s="126"/>
      <c r="O33" s="126"/>
      <c r="P33" s="126"/>
      <c r="Q33" s="126"/>
      <c r="R33" s="126"/>
      <c r="S33" s="126"/>
      <c r="T33" s="126"/>
      <c r="U33" s="126"/>
      <c r="V33" s="126"/>
      <c r="W33" s="126"/>
      <c r="X33" s="126"/>
      <c r="Y33" s="126"/>
    </row>
    <row r="34" spans="1:25" ht="20.100000000000001" customHeight="1" x14ac:dyDescent="0.25">
      <c r="A34" s="3"/>
      <c r="J34" s="128"/>
      <c r="K34" s="129"/>
      <c r="L34" s="126"/>
      <c r="M34" s="126"/>
      <c r="N34" s="126"/>
      <c r="O34" s="126"/>
      <c r="P34" s="126"/>
      <c r="Q34" s="126"/>
      <c r="R34" s="126"/>
      <c r="S34" s="126"/>
      <c r="T34" s="126"/>
      <c r="U34" s="126"/>
      <c r="V34" s="126"/>
      <c r="W34" s="126"/>
      <c r="X34" s="126"/>
      <c r="Y34" s="126"/>
    </row>
    <row r="35" spans="1:25" ht="20.100000000000001" customHeight="1" x14ac:dyDescent="0.25">
      <c r="A35" s="3"/>
      <c r="J35" s="128"/>
      <c r="K35" s="129"/>
      <c r="L35" s="126"/>
      <c r="M35" s="126"/>
      <c r="N35" s="126"/>
      <c r="O35" s="126"/>
      <c r="P35" s="126"/>
      <c r="Q35" s="126"/>
      <c r="R35" s="126"/>
      <c r="S35" s="126"/>
      <c r="T35" s="126"/>
      <c r="U35" s="126"/>
      <c r="V35" s="126"/>
      <c r="W35" s="126"/>
      <c r="X35" s="126"/>
      <c r="Y35" s="126"/>
    </row>
    <row r="36" spans="1:25" ht="20.100000000000001" customHeight="1" x14ac:dyDescent="0.25">
      <c r="A36" s="3"/>
      <c r="D36" s="130"/>
      <c r="E36" s="130"/>
      <c r="F36" s="131"/>
      <c r="G36" s="128"/>
      <c r="H36" s="128"/>
      <c r="I36" s="132"/>
      <c r="J36" s="128"/>
      <c r="K36" s="129"/>
      <c r="L36" s="126"/>
      <c r="M36" s="126"/>
      <c r="N36" s="126"/>
      <c r="O36" s="126"/>
      <c r="P36" s="126"/>
      <c r="Q36" s="126"/>
      <c r="R36" s="126"/>
      <c r="S36" s="126"/>
      <c r="T36" s="126"/>
      <c r="U36" s="126"/>
      <c r="V36" s="126"/>
      <c r="W36" s="126"/>
      <c r="X36" s="126"/>
      <c r="Y36" s="126"/>
    </row>
    <row r="37" spans="1:25" ht="20.100000000000001" customHeight="1" x14ac:dyDescent="0.25">
      <c r="A37" s="3"/>
      <c r="D37" s="130"/>
      <c r="E37" s="130"/>
      <c r="F37" s="131"/>
      <c r="G37" s="128"/>
      <c r="H37" s="128"/>
      <c r="I37" s="132"/>
      <c r="J37" s="128"/>
      <c r="K37" s="129"/>
      <c r="L37" s="126"/>
      <c r="M37" s="126"/>
      <c r="N37" s="126"/>
      <c r="O37" s="126"/>
      <c r="P37" s="126"/>
      <c r="Q37" s="126"/>
      <c r="R37" s="126"/>
      <c r="S37" s="126"/>
      <c r="T37" s="126"/>
      <c r="U37" s="126"/>
      <c r="V37" s="126"/>
      <c r="W37" s="126"/>
      <c r="X37" s="126"/>
      <c r="Y37" s="126"/>
    </row>
    <row r="38" spans="1:25" ht="20.100000000000001" customHeight="1" x14ac:dyDescent="0.25">
      <c r="A38" s="3"/>
      <c r="D38" s="130"/>
      <c r="E38" s="130"/>
      <c r="F38" s="131"/>
      <c r="G38" s="128"/>
      <c r="H38" s="128"/>
      <c r="I38" s="132"/>
      <c r="J38" s="128"/>
      <c r="K38" s="129"/>
      <c r="L38" s="126"/>
      <c r="M38" s="126"/>
      <c r="N38" s="126"/>
      <c r="O38" s="126"/>
      <c r="P38" s="126"/>
      <c r="Q38" s="126"/>
      <c r="R38" s="126"/>
      <c r="S38" s="126"/>
      <c r="T38" s="126"/>
      <c r="U38" s="126"/>
      <c r="V38" s="126"/>
      <c r="W38" s="126"/>
      <c r="X38" s="126"/>
      <c r="Y38" s="126"/>
    </row>
    <row r="39" spans="1:25" ht="20.100000000000001" customHeight="1" x14ac:dyDescent="0.25">
      <c r="A39" s="3"/>
      <c r="D39" s="130"/>
      <c r="E39" s="130"/>
      <c r="F39" s="131"/>
      <c r="G39" s="128"/>
      <c r="H39" s="128"/>
      <c r="I39" s="132"/>
      <c r="J39" s="128"/>
      <c r="K39" s="129"/>
      <c r="L39" s="126"/>
      <c r="M39" s="126"/>
      <c r="N39" s="126"/>
      <c r="O39" s="126"/>
      <c r="P39" s="126"/>
      <c r="Q39" s="126"/>
      <c r="R39" s="126"/>
      <c r="S39" s="126"/>
      <c r="T39" s="126"/>
      <c r="U39" s="126"/>
      <c r="V39" s="126"/>
      <c r="W39" s="126"/>
      <c r="X39" s="126"/>
      <c r="Y39" s="126"/>
    </row>
    <row r="40" spans="1:25" ht="20.100000000000001" customHeight="1" x14ac:dyDescent="0.25">
      <c r="A40" s="3"/>
      <c r="D40" s="133"/>
      <c r="E40" s="133"/>
      <c r="F40" s="133"/>
      <c r="G40" s="134"/>
      <c r="H40" s="135"/>
      <c r="I40" s="135"/>
      <c r="J40" s="135"/>
      <c r="K40" s="135"/>
      <c r="L40" s="136"/>
      <c r="M40" s="136"/>
      <c r="N40" s="136"/>
      <c r="O40" s="136"/>
      <c r="P40" s="136"/>
      <c r="Q40" s="136"/>
      <c r="R40" s="136"/>
      <c r="S40" s="136"/>
      <c r="T40" s="136"/>
      <c r="U40" s="136"/>
      <c r="V40" s="136"/>
      <c r="W40" s="136"/>
      <c r="X40" s="136"/>
      <c r="Y40" s="136"/>
    </row>
    <row r="41" spans="1:25" ht="20.100000000000001" customHeight="1" x14ac:dyDescent="0.25">
      <c r="A41" s="3"/>
    </row>
    <row r="42" spans="1:25" ht="20.100000000000001" customHeight="1" x14ac:dyDescent="0.25">
      <c r="A42" s="3"/>
    </row>
    <row r="43" spans="1:25" ht="20.100000000000001" customHeight="1" x14ac:dyDescent="0.25">
      <c r="A43" s="3"/>
    </row>
    <row r="44" spans="1:25" ht="20.100000000000001" customHeight="1" x14ac:dyDescent="0.25"/>
    <row r="45" spans="1:25" ht="20.100000000000001" customHeight="1" x14ac:dyDescent="0.25">
      <c r="D45" s="9"/>
    </row>
    <row r="46" spans="1:25" ht="20.100000000000001" customHeight="1" x14ac:dyDescent="0.25">
      <c r="D46" s="9"/>
    </row>
    <row r="47" spans="1:25" ht="20.100000000000001" customHeight="1" x14ac:dyDescent="0.25">
      <c r="D47" s="137"/>
      <c r="E47" s="137"/>
      <c r="F47" s="137"/>
      <c r="G47" s="137"/>
      <c r="H47" s="137"/>
    </row>
    <row r="48" spans="1:25" ht="20.100000000000001" customHeight="1" x14ac:dyDescent="0.25">
      <c r="D48" s="138"/>
      <c r="E48" s="138"/>
      <c r="F48" s="139"/>
      <c r="G48" s="139"/>
      <c r="H48" s="138"/>
    </row>
    <row r="49" spans="4:8" ht="20.100000000000001" customHeight="1" x14ac:dyDescent="0.25">
      <c r="D49" s="138"/>
      <c r="E49" s="138"/>
      <c r="F49" s="139"/>
      <c r="G49" s="139"/>
      <c r="H49" s="138"/>
    </row>
    <row r="50" spans="4:8" ht="20.100000000000001" customHeight="1" x14ac:dyDescent="0.25">
      <c r="D50" s="138"/>
      <c r="E50" s="138"/>
      <c r="F50" s="139"/>
      <c r="G50" s="139"/>
      <c r="H50" s="138"/>
    </row>
    <row r="51" spans="4:8" ht="20.100000000000001" customHeight="1" x14ac:dyDescent="0.25">
      <c r="D51" s="140"/>
      <c r="E51" s="141"/>
      <c r="F51" s="141"/>
      <c r="G51" s="141"/>
      <c r="H51" s="142"/>
    </row>
    <row r="52" spans="4:8" ht="20.100000000000001" customHeight="1" x14ac:dyDescent="0.25"/>
    <row r="53" spans="4:8" ht="20.100000000000001" customHeight="1" x14ac:dyDescent="0.25"/>
    <row r="54" spans="4:8" ht="20.100000000000001" customHeight="1" x14ac:dyDescent="0.25">
      <c r="G54" s="143"/>
    </row>
    <row r="55" spans="4:8" ht="20.100000000000001" customHeight="1" x14ac:dyDescent="0.25">
      <c r="D55" s="9"/>
    </row>
    <row r="56" spans="4:8" ht="20.100000000000001" customHeight="1" x14ac:dyDescent="0.25"/>
    <row r="57" spans="4:8" ht="20.100000000000001" customHeight="1" x14ac:dyDescent="0.25">
      <c r="D57" s="144"/>
      <c r="F57" s="145"/>
    </row>
    <row r="58" spans="4:8" ht="20.100000000000001" customHeight="1" x14ac:dyDescent="0.25">
      <c r="D58" s="8"/>
      <c r="E58" s="146"/>
    </row>
    <row r="59" spans="4:8" ht="20.100000000000001" customHeight="1" x14ac:dyDescent="0.25">
      <c r="D59" s="8"/>
      <c r="E59" s="146"/>
    </row>
    <row r="60" spans="4:8" ht="20.100000000000001" customHeight="1" x14ac:dyDescent="0.25">
      <c r="D60" s="8"/>
      <c r="E60" s="147"/>
    </row>
    <row r="61" spans="4:8" ht="20.100000000000001" customHeight="1" x14ac:dyDescent="0.25">
      <c r="D61" s="8"/>
    </row>
    <row r="62" spans="4:8" ht="20.100000000000001" customHeight="1" x14ac:dyDescent="0.25"/>
    <row r="63" spans="4:8" ht="20.100000000000001" customHeight="1" x14ac:dyDescent="0.25">
      <c r="D63" s="144"/>
    </row>
    <row r="64" spans="4:8" ht="20.100000000000001" customHeight="1" x14ac:dyDescent="0.25">
      <c r="D64" s="8"/>
      <c r="E64" s="146"/>
    </row>
    <row r="65" spans="4:9" ht="20.100000000000001" customHeight="1" x14ac:dyDescent="0.25">
      <c r="D65" s="8"/>
      <c r="E65" s="146"/>
    </row>
    <row r="66" spans="4:9" ht="20.100000000000001" customHeight="1" x14ac:dyDescent="0.25">
      <c r="D66" s="8"/>
      <c r="E66" s="147"/>
    </row>
    <row r="67" spans="4:9" ht="20.100000000000001" customHeight="1" x14ac:dyDescent="0.25"/>
    <row r="68" spans="4:9" ht="20.100000000000001" customHeight="1" x14ac:dyDescent="0.25"/>
    <row r="69" spans="4:9" ht="20.100000000000001" customHeight="1" x14ac:dyDescent="0.25">
      <c r="D69" s="148"/>
      <c r="E69" s="148"/>
      <c r="F69" s="148"/>
      <c r="G69" s="148"/>
      <c r="H69" s="148"/>
      <c r="I69" s="148"/>
    </row>
    <row r="70" spans="4:9" ht="20.100000000000001" customHeight="1" x14ac:dyDescent="0.25">
      <c r="D70" s="148"/>
      <c r="E70" s="148"/>
      <c r="F70" s="148"/>
      <c r="G70" s="148"/>
      <c r="H70" s="148"/>
      <c r="I70" s="148"/>
    </row>
    <row r="71" spans="4:9" ht="20.100000000000001" customHeight="1" x14ac:dyDescent="0.25">
      <c r="D71" s="148"/>
      <c r="E71" s="148"/>
      <c r="F71" s="148"/>
      <c r="G71" s="148"/>
      <c r="H71" s="148"/>
      <c r="I71" s="148"/>
    </row>
    <row r="72" spans="4:9" ht="20.100000000000001" customHeight="1" x14ac:dyDescent="0.25">
      <c r="D72" s="148"/>
      <c r="E72" s="148"/>
      <c r="F72" s="148"/>
      <c r="G72" s="148"/>
      <c r="H72" s="148"/>
      <c r="I72" s="148"/>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49"/>
    </row>
    <row r="79" spans="4:9" ht="20.100000000000001" customHeight="1" x14ac:dyDescent="0.25">
      <c r="D79" s="149"/>
    </row>
    <row r="80" spans="4:9" ht="20.100000000000001" customHeight="1" x14ac:dyDescent="0.25">
      <c r="D80" s="149"/>
    </row>
    <row r="81" spans="4:4" ht="20.100000000000001" customHeight="1" x14ac:dyDescent="0.25">
      <c r="D81" s="149"/>
    </row>
    <row r="82" spans="4:4" ht="20.100000000000001" customHeight="1" x14ac:dyDescent="0.25">
      <c r="D82" s="149"/>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E21" xr:uid="{4429A646-7DAC-48DD-B671-2B9E28829890}">
      <formula1>INDIRECT("Table_AustralianStates[Common Name]")</formula1>
    </dataValidation>
    <dataValidation type="list" allowBlank="1" showInputMessage="1" showErrorMessage="1" sqref="E22" xr:uid="{0FE995D8-00CE-4E96-830A-A56FEA815EF4}">
      <formula1>INDIRECT("Table_WASA4Areas[SA 4 Name]")</formula1>
    </dataValidation>
    <dataValidation type="list" allowBlank="1" showInputMessage="1" showErrorMessage="1" sqref="G36:G39" xr:uid="{DC5998B5-0150-447E-8556-7AF4FD81D21D}">
      <formula1>$D$41:$D$43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319771-8F9B-4B70-9E21-CFDF5B272E0C}">
  <dimension ref="A1:U361"/>
  <sheetViews>
    <sheetView showGridLines="0" topLeftCell="A14" zoomScale="85" zoomScaleNormal="85" workbookViewId="0">
      <selection activeCell="K26" sqref="K26"/>
    </sheetView>
  </sheetViews>
  <sheetFormatPr defaultRowHeight="15.75" x14ac:dyDescent="0.25"/>
  <cols>
    <col min="1" max="1" width="26.875" style="3" customWidth="1"/>
    <col min="2" max="2" width="4.125" style="3" customWidth="1"/>
    <col min="3" max="3" width="4.125" style="8" customWidth="1"/>
    <col min="4" max="4" width="45.625" style="8" customWidth="1"/>
    <col min="5" max="5" width="26.875" style="8" customWidth="1"/>
    <col min="6" max="20" width="13.75" style="8" customWidth="1"/>
    <col min="21" max="21" width="4.125" style="8" customWidth="1"/>
    <col min="22" max="22" width="4.125" style="3" customWidth="1"/>
    <col min="23" max="16384" width="9" style="3"/>
  </cols>
  <sheetData>
    <row r="1" spans="1:21" s="38" customFormat="1" ht="30" customHeight="1" x14ac:dyDescent="0.35">
      <c r="A1" s="38" t="e" vm="1">
        <v>#VALUE!</v>
      </c>
      <c r="C1" s="38" t="s">
        <v>197</v>
      </c>
    </row>
    <row r="2" spans="1:21" s="2" customFormat="1" ht="20.100000000000001" customHeight="1" x14ac:dyDescent="0.25"/>
    <row r="3" spans="1:21" ht="20.100000000000001" customHeight="1" x14ac:dyDescent="0.25">
      <c r="A3" s="16" t="str">
        <f>HYPERLINK("#'Home'!A1", "Home")</f>
        <v>Home</v>
      </c>
      <c r="C3" s="39"/>
      <c r="D3" s="39"/>
      <c r="E3" s="39"/>
      <c r="F3" s="39"/>
      <c r="G3" s="39"/>
      <c r="H3" s="39"/>
      <c r="I3" s="39"/>
      <c r="J3" s="39"/>
      <c r="K3" s="39"/>
      <c r="L3" s="39"/>
      <c r="M3" s="39"/>
      <c r="N3" s="39"/>
      <c r="O3" s="39"/>
      <c r="P3" s="39"/>
      <c r="Q3" s="39"/>
      <c r="R3" s="39"/>
      <c r="S3" s="39"/>
      <c r="T3" s="39"/>
      <c r="U3" s="39"/>
    </row>
    <row r="4" spans="1:21" ht="20.100000000000001" customHeight="1" x14ac:dyDescent="0.25">
      <c r="A4" s="16" t="str">
        <f>HYPERLINK("#'Overview'!A1", "Overview")</f>
        <v>Overview</v>
      </c>
    </row>
    <row r="5" spans="1:21" ht="20.100000000000001" customHeight="1" x14ac:dyDescent="0.25">
      <c r="A5" s="16" t="str">
        <f>HYPERLINK("#'Results'!A1", "Results")</f>
        <v>Results</v>
      </c>
    </row>
    <row r="6" spans="1:21" ht="20.100000000000001" customHeight="1" x14ac:dyDescent="0.25">
      <c r="A6" s="18"/>
      <c r="D6" s="8" t="s">
        <v>148</v>
      </c>
      <c r="E6" s="48" t="s">
        <v>153</v>
      </c>
      <c r="F6" s="68" t="s">
        <v>198</v>
      </c>
    </row>
    <row r="7" spans="1:21" ht="20.100000000000001" customHeight="1" x14ac:dyDescent="0.25">
      <c r="A7" s="19" t="s">
        <v>67</v>
      </c>
      <c r="D7" s="8" t="s">
        <v>199</v>
      </c>
      <c r="E7" s="48" t="s">
        <v>154</v>
      </c>
      <c r="F7" s="68" t="s">
        <v>198</v>
      </c>
    </row>
    <row r="8" spans="1:21" ht="20.100000000000001" customHeight="1" x14ac:dyDescent="0.25">
      <c r="A8" s="16" t="str">
        <f>HYPERLINK("#'Input - Site'!A1", "Site")</f>
        <v>Site</v>
      </c>
      <c r="D8" s="8" t="s">
        <v>43</v>
      </c>
      <c r="E8" s="48" t="s">
        <v>155</v>
      </c>
      <c r="F8" s="68" t="s">
        <v>198</v>
      </c>
    </row>
    <row r="9" spans="1:21" ht="20.100000000000001" customHeight="1" x14ac:dyDescent="0.25">
      <c r="A9" s="43" t="str">
        <f>HYPERLINK("#'Input - Fertiliser'!A1", "Fertiliser")</f>
        <v>Fertiliser</v>
      </c>
      <c r="D9" s="8" t="s">
        <v>200</v>
      </c>
      <c r="E9" s="69">
        <v>100</v>
      </c>
      <c r="F9" s="68" t="s">
        <v>201</v>
      </c>
    </row>
    <row r="10" spans="1:21" ht="20.100000000000001" customHeight="1" x14ac:dyDescent="0.25">
      <c r="A10" s="16"/>
    </row>
    <row r="11" spans="1:21" ht="20.100000000000001" customHeight="1" x14ac:dyDescent="0.25">
      <c r="A11" s="21" t="s">
        <v>77</v>
      </c>
      <c r="D11" s="9" t="s">
        <v>202</v>
      </c>
      <c r="E11" s="7"/>
      <c r="F11" s="7"/>
      <c r="G11" s="7"/>
      <c r="H11" s="7"/>
      <c r="I11" s="7"/>
      <c r="J11" s="7"/>
      <c r="K11" s="7"/>
      <c r="L11" s="7"/>
      <c r="M11" s="7"/>
    </row>
    <row r="12" spans="1:21" ht="20.100000000000001" customHeight="1" x14ac:dyDescent="0.25">
      <c r="A12" s="16" t="str">
        <f>HYPERLINK("#'5.1.1.1-2 Inorganic Fert N2O'!A1", "5.1.1.1-2 Inorganic Fert N2O")</f>
        <v>5.1.1.1-2 Inorganic Fert N2O</v>
      </c>
      <c r="D12" s="14"/>
      <c r="E12" s="14"/>
      <c r="F12" s="14"/>
      <c r="G12" s="14"/>
      <c r="H12" s="14"/>
      <c r="I12" s="14"/>
      <c r="J12" s="14"/>
      <c r="K12" s="14"/>
      <c r="L12" s="14"/>
      <c r="M12" s="14"/>
    </row>
    <row r="13" spans="1:21" ht="20.100000000000001" customHeight="1" x14ac:dyDescent="0.25">
      <c r="A13" s="16" t="str">
        <f>HYPERLINK("#'5.1.1.3-4 Inorganic fert CO2'!A1", "5.1.1.3-4 Inorganic fert CO2")</f>
        <v>5.1.1.3-4 Inorganic fert CO2</v>
      </c>
      <c r="D13" s="40" t="s">
        <v>203</v>
      </c>
      <c r="E13" s="41"/>
      <c r="F13" s="41"/>
      <c r="G13" s="41"/>
      <c r="H13" s="42"/>
      <c r="I13" s="70"/>
      <c r="J13" s="71"/>
      <c r="K13" s="72"/>
      <c r="L13" s="72"/>
      <c r="M13" s="72"/>
    </row>
    <row r="14" spans="1:21" ht="20.100000000000001" customHeight="1" x14ac:dyDescent="0.25">
      <c r="A14" s="16" t="str">
        <f>HYPERLINK("#'5.2.1.1-2 Organic Fert N2O'!A1", "5.2.1.1-2 Organic Fert N2O")</f>
        <v>5.2.1.1-2 Organic Fert N2O</v>
      </c>
      <c r="D14" s="44" t="s">
        <v>204</v>
      </c>
      <c r="E14" s="45"/>
      <c r="F14" s="45"/>
      <c r="G14" s="46"/>
      <c r="H14" s="73"/>
      <c r="I14" s="14"/>
      <c r="J14" s="14"/>
      <c r="K14" s="14"/>
      <c r="L14" s="14"/>
      <c r="M14" s="14"/>
    </row>
    <row r="15" spans="1:21" ht="20.100000000000001" customHeight="1" x14ac:dyDescent="0.25">
      <c r="A15" s="16" t="str">
        <f>HYPERLINK("#'5.3.1.1-2 Lime CO2'!A1", "5.3.1.1-2 Lime CO2")</f>
        <v>5.3.1.1-2 Lime CO2</v>
      </c>
      <c r="D15" s="14"/>
      <c r="E15" s="14"/>
      <c r="F15" s="14"/>
      <c r="G15" s="14"/>
      <c r="H15" s="14"/>
      <c r="I15" s="14"/>
      <c r="J15" s="14"/>
      <c r="K15" s="14"/>
      <c r="L15" s="14"/>
      <c r="M15" s="14"/>
    </row>
    <row r="16" spans="1:21" ht="20.100000000000001" customHeight="1" x14ac:dyDescent="0.25">
      <c r="A16" s="16" t="str">
        <f>HYPERLINK("#'5.4.1.1-4 Atmos deposition'!A1", "5.4.1.1-4 Atmos deposition")</f>
        <v>5.4.1.1-4 Atmos deposition</v>
      </c>
      <c r="D16" s="74" t="s">
        <v>205</v>
      </c>
      <c r="E16" s="14"/>
      <c r="F16" s="14"/>
      <c r="G16" s="14"/>
      <c r="H16" s="14"/>
      <c r="I16" s="14"/>
      <c r="J16" s="14"/>
      <c r="K16" s="14"/>
      <c r="L16" s="14"/>
      <c r="M16" s="14"/>
    </row>
    <row r="17" spans="1:20" ht="36" customHeight="1" x14ac:dyDescent="0.25">
      <c r="A17" s="16" t="str">
        <f>HYPERLINK("#'5.5.1.1-2 Leaching and runoff'!A1", "5.5.1.1-2 Leaching and runoff")</f>
        <v>5.5.1.1-2 Leaching and runoff</v>
      </c>
      <c r="D17" s="75" t="s">
        <v>206</v>
      </c>
      <c r="E17" s="67" t="s">
        <v>207</v>
      </c>
      <c r="F17" s="67" t="s">
        <v>208</v>
      </c>
      <c r="G17" s="67" t="s">
        <v>209</v>
      </c>
      <c r="H17" s="75" t="s">
        <v>177</v>
      </c>
      <c r="I17" s="75" t="s">
        <v>178</v>
      </c>
      <c r="J17" s="75" t="s">
        <v>179</v>
      </c>
      <c r="K17" s="75" t="s">
        <v>180</v>
      </c>
      <c r="L17" s="75" t="s">
        <v>181</v>
      </c>
      <c r="M17" s="75" t="s">
        <v>182</v>
      </c>
      <c r="N17" s="75" t="s">
        <v>183</v>
      </c>
      <c r="O17" s="75" t="s">
        <v>184</v>
      </c>
      <c r="P17" s="75" t="s">
        <v>185</v>
      </c>
      <c r="Q17" s="75" t="s">
        <v>186</v>
      </c>
      <c r="R17" s="75" t="s">
        <v>187</v>
      </c>
      <c r="S17" s="75" t="s">
        <v>188</v>
      </c>
      <c r="T17" s="75" t="s">
        <v>210</v>
      </c>
    </row>
    <row r="18" spans="1:20" ht="36" customHeight="1" x14ac:dyDescent="0.25">
      <c r="D18" s="76" t="s">
        <v>211</v>
      </c>
      <c r="E18" s="77">
        <v>200</v>
      </c>
      <c r="F18" s="77">
        <f>$E$9</f>
        <v>100</v>
      </c>
      <c r="G18" s="78">
        <f>Table_Input_InorganicFertiliser_Brands[[#This Row],[Amount applied (kg / ha)]]*Table_Input_InorganicFertiliser_Brands[[#This Row],[Application area (ha)]]</f>
        <v>20000</v>
      </c>
      <c r="H18" s="78" t="str" cm="1">
        <f t="array" ref="H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I18" s="78" cm="1">
        <f t="array" ref="I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J18" s="78" t="str" cm="1">
        <f t="array" ref="J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K18" s="78" cm="1">
        <f t="array" ref="K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L18" s="78" t="str" cm="1">
        <f t="array" ref="L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M18" s="78" cm="1">
        <f t="array" ref="M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N18" s="78" t="str" cm="1">
        <f t="array" ref="N18">Fertiliser_InputFunctions.Fertiliser_FertiliserProductLookup(Table_Input_InorganicFertiliser_Brands[[#This Row],[Product (select)]], Table_Input_InorganicFertiliser_Brands[[#Headers],[Ingredient 4]], FertiliserProducts[#Data], FertiliserProducts[Product name], FertiliserProducts[#Headers])</f>
        <v/>
      </c>
      <c r="O18" s="78" t="str" cm="1">
        <f t="array" ref="O18">Fertiliser_InputFunctions.Fertiliser_FertiliserProductLookup(Table_Input_InorganicFertiliser_Brands[[#This Row],[Product (select)]], Table_Input_InorganicFertiliser_Brands[[#Headers],[Ingredient 4 percent]], FertiliserProducts[#Data], FertiliserProducts[Product name], FertiliserProducts[#Headers])</f>
        <v/>
      </c>
      <c r="P18" s="78" t="str" cm="1">
        <f t="array" ref="P18">Fertiliser_InputFunctions.Fertiliser_FertiliserProductLookup(Table_Input_InorganicFertiliser_Brands[[#This Row],[Product (select)]], Table_Input_InorganicFertiliser_Brands[[#Headers],[Ingredient 5]], FertiliserProducts[#Data], FertiliserProducts[Product name], FertiliserProducts[#Headers])</f>
        <v/>
      </c>
      <c r="Q18" s="78" t="str" cm="1">
        <f t="array" ref="Q18">Fertiliser_InputFunctions.Fertiliser_FertiliserProductLookup(Table_Input_InorganicFertiliser_Brands[[#This Row],[Product (select)]], Table_Input_InorganicFertiliser_Brands[[#Headers],[Ingredient 5 percent]], FertiliserProducts[#Data], FertiliserProducts[Product name], FertiliserProducts[#Headers])</f>
        <v/>
      </c>
      <c r="R18" s="78" t="str" cm="1">
        <f t="array" ref="R18">Fertiliser_InputFunctions.Fertiliser_FertiliserProductLookup(Table_Input_InorganicFertiliser_Brands[[#This Row],[Product (select)]], Table_Input_InorganicFertiliser_Brands[[#Headers],[Ingredient 6]], FertiliserProducts[#Data], FertiliserProducts[Product name], FertiliserProducts[#Headers])</f>
        <v/>
      </c>
      <c r="S18" s="78" t="str" cm="1">
        <f t="array" ref="S18">Fertiliser_InputFunctions.Fertiliser_FertiliserProductLookup(Table_Input_InorganicFertiliser_Brands[[#This Row],[Product (select)]], Table_Input_InorganicFertiliser_Brands[[#Headers],[Ingredient 6 percent]], FertiliserProducts[#Data], FertiliserProducts[Product name], FertiliserProducts[#Headers])</f>
        <v/>
      </c>
      <c r="T18" s="78">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5.2</v>
      </c>
    </row>
    <row r="19" spans="1:20" ht="36" customHeight="1" x14ac:dyDescent="0.25">
      <c r="A19" s="23" t="s">
        <v>78</v>
      </c>
      <c r="D19" s="76" t="s">
        <v>244</v>
      </c>
      <c r="E19" s="77">
        <v>200</v>
      </c>
      <c r="F19" s="77">
        <f>$E$9</f>
        <v>100</v>
      </c>
      <c r="G19" s="78">
        <f>Table_Input_InorganicFertiliser_Brands[[#This Row],[Amount applied (kg / ha)]]*Table_Input_InorganicFertiliser_Brands[[#This Row],[Application area (ha)]]</f>
        <v>20000</v>
      </c>
      <c r="H19" s="78" t="str" cm="1">
        <f t="array" ref="H19">Fertiliser_InputFunctions.Fertiliser_FertiliserProductLookup(Table_Input_InorganicFertiliser_Brands[[#This Row],[Product (select)]], Table_Input_InorganicFertiliser_Brands[[#Headers],[Ingredient 1]], FertiliserProducts[#Data], FertiliserProducts[Product name], FertiliserProducts[#Headers])</f>
        <v>Nitrogen - Generic</v>
      </c>
      <c r="I19" s="78" cm="1">
        <f t="array" ref="I19">Fertiliser_InputFunctions.Fertiliser_FertiliserProductLookup(Table_Input_InorganicFertiliser_Brands[[#This Row],[Product (select)]], Table_Input_InorganicFertiliser_Brands[[#Headers],[Ingredient 1 percent]], FertiliserProducts[#Data], FertiliserProducts[Product name], FertiliserProducts[#Headers])</f>
        <v>0.10299999999999999</v>
      </c>
      <c r="J19" s="78" t="str" cm="1">
        <f t="array" ref="J19">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K19" s="78" cm="1">
        <f t="array" ref="K19">Fertiliser_InputFunctions.Fertiliser_FertiliserProductLookup(Table_Input_InorganicFertiliser_Brands[[#This Row],[Product (select)]], Table_Input_InorganicFertiliser_Brands[[#Headers],[Ingredient 2 percent]], FertiliserProducts[#Data], FertiliserProducts[Product name], FertiliserProducts[#Headers])</f>
        <v>0.1</v>
      </c>
      <c r="L19" s="78" t="str" cm="1">
        <f t="array" ref="L19">Fertiliser_InputFunctions.Fertiliser_FertiliserProductLookup(Table_Input_InorganicFertiliser_Brands[[#This Row],[Product (select)]], Table_Input_InorganicFertiliser_Brands[[#Headers],[Ingredient 3]], FertiliserProducts[#Data], FertiliserProducts[Product name], FertiliserProducts[#Headers])</f>
        <v>Potassium - Generic</v>
      </c>
      <c r="M19" s="78" cm="1">
        <f t="array" ref="M19">Fertiliser_InputFunctions.Fertiliser_FertiliserProductLookup(Table_Input_InorganicFertiliser_Brands[[#This Row],[Product (select)]], Table_Input_InorganicFertiliser_Brands[[#Headers],[Ingredient 3 percent]], FertiliserProducts[#Data], FertiliserProducts[Product name], FertiliserProducts[#Headers])</f>
        <v>3.4000000000000002E-2</v>
      </c>
      <c r="N19" s="78" t="str" cm="1">
        <f t="array" ref="N19">Fertiliser_InputFunctions.Fertiliser_FertiliserProductLookup(Table_Input_InorganicFertiliser_Brands[[#This Row],[Product (select)]], Table_Input_InorganicFertiliser_Brands[[#Headers],[Ingredient 4]], FertiliserProducts[#Data], FertiliserProducts[Product name], FertiliserProducts[#Headers])</f>
        <v/>
      </c>
      <c r="O19" s="78" t="str" cm="1">
        <f t="array" ref="O19">Fertiliser_InputFunctions.Fertiliser_FertiliserProductLookup(Table_Input_InorganicFertiliser_Brands[[#This Row],[Product (select)]], Table_Input_InorganicFertiliser_Brands[[#Headers],[Ingredient 4 percent]], FertiliserProducts[#Data], FertiliserProducts[Product name], FertiliserProducts[#Headers])</f>
        <v/>
      </c>
      <c r="P19" s="78" t="str" cm="1">
        <f t="array" ref="P19">Fertiliser_InputFunctions.Fertiliser_FertiliserProductLookup(Table_Input_InorganicFertiliser_Brands[[#This Row],[Product (select)]], Table_Input_InorganicFertiliser_Brands[[#Headers],[Ingredient 5]], FertiliserProducts[#Data], FertiliserProducts[Product name], FertiliserProducts[#Headers])</f>
        <v/>
      </c>
      <c r="Q19" s="78" t="str" cm="1">
        <f t="array" ref="Q19">Fertiliser_InputFunctions.Fertiliser_FertiliserProductLookup(Table_Input_InorganicFertiliser_Brands[[#This Row],[Product (select)]], Table_Input_InorganicFertiliser_Brands[[#Headers],[Ingredient 5 percent]], FertiliserProducts[#Data], FertiliserProducts[Product name], FertiliserProducts[#Headers])</f>
        <v/>
      </c>
      <c r="R19" s="78" t="str" cm="1">
        <f t="array" ref="R19">Fertiliser_InputFunctions.Fertiliser_FertiliserProductLookup(Table_Input_InorganicFertiliser_Brands[[#This Row],[Product (select)]], Table_Input_InorganicFertiliser_Brands[[#Headers],[Ingredient 6]], FertiliserProducts[#Data], FertiliserProducts[Product name], FertiliserProducts[#Headers])</f>
        <v/>
      </c>
      <c r="S19" s="78" t="str" cm="1">
        <f t="array" ref="S19">Fertiliser_InputFunctions.Fertiliser_FertiliserProductLookup(Table_Input_InorganicFertiliser_Brands[[#This Row],[Product (select)]], Table_Input_InorganicFertiliser_Brands[[#Headers],[Ingredient 6 percent]], FertiliserProducts[#Data], FertiliserProducts[Product name], FertiliserProducts[#Headers])</f>
        <v/>
      </c>
      <c r="T19" s="78">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20.599999999999998</v>
      </c>
    </row>
    <row r="20" spans="1:20" ht="36" customHeight="1" x14ac:dyDescent="0.25">
      <c r="A20" s="16" t="str">
        <f>HYPERLINK("#'Constants - Fertiliser'!A1", "Constants - Fertiliser")</f>
        <v>Constants - Fertiliser</v>
      </c>
      <c r="D20" s="76" t="s">
        <v>212</v>
      </c>
      <c r="E20" s="77">
        <v>200</v>
      </c>
      <c r="F20" s="77">
        <f>$E$9</f>
        <v>100</v>
      </c>
      <c r="G20" s="78">
        <f>Table_Input_InorganicFertiliser_Brands[[#This Row],[Amount applied (kg / ha)]]*Table_Input_InorganicFertiliser_Brands[[#This Row],[Application area (ha)]]</f>
        <v>20000</v>
      </c>
      <c r="H20" s="78" t="str" cm="1">
        <f t="array" ref="H20">Fertiliser_InputFunctions.Fertiliser_FertiliserProductLookup(Table_Input_InorganicFertiliser_Brands[[#This Row],[Product (select)]], Table_Input_InorganicFertiliser_Brands[[#Headers],[Ingredient 1]], FertiliserProducts[#Data], FertiliserProducts[Product name], FertiliserProducts[#Headers])</f>
        <v>Urea</v>
      </c>
      <c r="I20" s="78" cm="1">
        <f t="array" ref="I20">Fertiliser_InputFunctions.Fertiliser_FertiliserProductLookup(Table_Input_InorganicFertiliser_Brands[[#This Row],[Product (select)]], Table_Input_InorganicFertiliser_Brands[[#Headers],[Ingredient 1 percent]], FertiliserProducts[#Data], FertiliserProducts[Product name], FertiliserProducts[#Headers])</f>
        <v>0.19565217400000001</v>
      </c>
      <c r="J20" s="78" t="str" cm="1">
        <f t="array" ref="J20">Fertiliser_InputFunctions.Fertiliser_FertiliserProductLookup(Table_Input_InorganicFertiliser_Brands[[#This Row],[Product (select)]], Table_Input_InorganicFertiliser_Brands[[#Headers],[Ingredient 2]], FertiliserProducts[#Data], FertiliserProducts[Product name], FertiliserProducts[#Headers])</f>
        <v>Potassium - Generic</v>
      </c>
      <c r="K20" s="78" cm="1">
        <f t="array" ref="K20">Fertiliser_InputFunctions.Fertiliser_FertiliserProductLookup(Table_Input_InorganicFertiliser_Brands[[#This Row],[Product (select)]], Table_Input_InorganicFertiliser_Brands[[#Headers],[Ingredient 2 percent]], FertiliserProducts[#Data], FertiliserProducts[Product name], FertiliserProducts[#Headers])</f>
        <v>0.1</v>
      </c>
      <c r="L20" s="78" t="str" cm="1">
        <f t="array" ref="L20">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M20" s="78" cm="1">
        <f t="array" ref="M20">Fertiliser_InputFunctions.Fertiliser_FertiliserProductLookup(Table_Input_InorganicFertiliser_Brands[[#This Row],[Product (select)]], Table_Input_InorganicFertiliser_Brands[[#Headers],[Ingredient 3 percent]], FertiliserProducts[#Data], FertiliserProducts[Product name], FertiliserProducts[#Headers])</f>
        <v>0.03</v>
      </c>
      <c r="N20" s="78" t="str" cm="1">
        <f t="array" ref="N20">Fertiliser_InputFunctions.Fertiliser_FertiliserProductLookup(Table_Input_InorganicFertiliser_Brands[[#This Row],[Product (select)]], Table_Input_InorganicFertiliser_Brands[[#Headers],[Ingredient 4]], FertiliserProducts[#Data], FertiliserProducts[Product name], FertiliserProducts[#Headers])</f>
        <v>Boron</v>
      </c>
      <c r="O20" s="78" cm="1">
        <f t="array" ref="O20">Fertiliser_InputFunctions.Fertiliser_FertiliserProductLookup(Table_Input_InorganicFertiliser_Brands[[#This Row],[Product (select)]], Table_Input_InorganicFertiliser_Brands[[#Headers],[Ingredient 4 percent]], FertiliserProducts[#Data], FertiliserProducts[Product name], FertiliserProducts[#Headers])</f>
        <v>5.0000000000000001E-3</v>
      </c>
      <c r="P20" s="78" t="str" cm="1">
        <f t="array" ref="P20">Fertiliser_InputFunctions.Fertiliser_FertiliserProductLookup(Table_Input_InorganicFertiliser_Brands[[#This Row],[Product (select)]], Table_Input_InorganicFertiliser_Brands[[#Headers],[Ingredient 5]], FertiliserProducts[#Data], FertiliserProducts[Product name], FertiliserProducts[#Headers])</f>
        <v/>
      </c>
      <c r="Q20" s="78" t="str" cm="1">
        <f t="array" ref="Q20">Fertiliser_InputFunctions.Fertiliser_FertiliserProductLookup(Table_Input_InorganicFertiliser_Brands[[#This Row],[Product (select)]], Table_Input_InorganicFertiliser_Brands[[#Headers],[Ingredient 5 percent]], FertiliserProducts[#Data], FertiliserProducts[Product name], FertiliserProducts[#Headers])</f>
        <v/>
      </c>
      <c r="R20" s="78" t="str" cm="1">
        <f t="array" ref="R20">Fertiliser_InputFunctions.Fertiliser_FertiliserProductLookup(Table_Input_InorganicFertiliser_Brands[[#This Row],[Product (select)]], Table_Input_InorganicFertiliser_Brands[[#Headers],[Ingredient 6]], FertiliserProducts[#Data], FertiliserProducts[Product name], FertiliserProducts[#Headers])</f>
        <v/>
      </c>
      <c r="S20" s="78" t="str" cm="1">
        <f t="array" ref="S20">Fertiliser_InputFunctions.Fertiliser_FertiliserProductLookup(Table_Input_InorganicFertiliser_Brands[[#This Row],[Product (select)]], Table_Input_InorganicFertiliser_Brands[[#Headers],[Ingredient 6 percent]], FertiliserProducts[#Data], FertiliserProducts[Product name], FertiliserProducts[#Headers])</f>
        <v/>
      </c>
      <c r="T20" s="78">
        <f>Table_Input_InorganicFertiliser_Brands[[#This Row],[Amount applied (kg / ha)]]*(IFERROR((_xlfn.XLOOKUP(Table_Input_InorganicFertiliser_Brands[[#This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24.000000008000004</v>
      </c>
    </row>
    <row r="21" spans="1:20" ht="36" customHeight="1" x14ac:dyDescent="0.25">
      <c r="A21" s="16" t="str">
        <f>HYPERLINK("#'Constants - Common'!A1", "Constants - Common")</f>
        <v>Constants - Common</v>
      </c>
      <c r="D21" s="79"/>
      <c r="E21" s="80"/>
      <c r="F21" s="81"/>
      <c r="G21" s="81"/>
      <c r="H21" s="81"/>
      <c r="I21" s="81"/>
      <c r="J21" s="82"/>
      <c r="K21" s="82"/>
      <c r="L21" s="83"/>
      <c r="M21" s="83"/>
      <c r="N21" s="53"/>
      <c r="O21" s="53"/>
      <c r="P21" s="53"/>
      <c r="Q21" s="53"/>
      <c r="R21" s="53"/>
      <c r="S21" s="53"/>
      <c r="T21" s="53"/>
    </row>
    <row r="22" spans="1:20" ht="36" customHeight="1" x14ac:dyDescent="0.25">
      <c r="D22" s="84" t="s">
        <v>213</v>
      </c>
      <c r="E22" s="85"/>
      <c r="F22" s="85"/>
      <c r="G22" s="85"/>
      <c r="H22" s="85"/>
      <c r="I22" s="85"/>
      <c r="J22" s="85"/>
      <c r="K22" s="85"/>
      <c r="L22" s="85"/>
      <c r="M22" s="85"/>
      <c r="N22" s="53"/>
      <c r="O22" s="53"/>
      <c r="P22" s="53"/>
      <c r="Q22" s="53"/>
      <c r="R22" s="53"/>
      <c r="S22" s="53"/>
      <c r="T22" s="53"/>
    </row>
    <row r="23" spans="1:20" ht="36" customHeight="1" x14ac:dyDescent="0.25">
      <c r="A23" s="16"/>
      <c r="D23" s="67" t="s">
        <v>214</v>
      </c>
      <c r="E23" s="67" t="s">
        <v>207</v>
      </c>
      <c r="F23" s="67" t="s">
        <v>208</v>
      </c>
      <c r="G23" s="67" t="s">
        <v>209</v>
      </c>
      <c r="H23" s="67" t="s">
        <v>215</v>
      </c>
      <c r="I23" s="67" t="s">
        <v>178</v>
      </c>
      <c r="J23" s="67" t="s">
        <v>179</v>
      </c>
      <c r="K23" s="67" t="s">
        <v>180</v>
      </c>
      <c r="L23" s="67" t="s">
        <v>181</v>
      </c>
      <c r="M23" s="67" t="s">
        <v>182</v>
      </c>
      <c r="N23" s="67" t="s">
        <v>183</v>
      </c>
      <c r="O23" s="67" t="s">
        <v>184</v>
      </c>
      <c r="P23" s="67" t="s">
        <v>210</v>
      </c>
      <c r="Q23" s="53"/>
      <c r="R23" s="53"/>
      <c r="S23" s="53"/>
      <c r="T23" s="53"/>
    </row>
    <row r="24" spans="1:20" ht="36" customHeight="1" x14ac:dyDescent="0.25">
      <c r="D24" s="86" t="s">
        <v>216</v>
      </c>
      <c r="E24" s="67">
        <v>200</v>
      </c>
      <c r="F24" s="77">
        <f>$E$9</f>
        <v>100</v>
      </c>
      <c r="G24" s="78">
        <f>Table_Input_InorganicFertiliser_Custom[[#This Row],[Amount applied (kg / ha)]]*Table_Input_InorganicFertiliser_Custom[[#This Row],[Application area (ha)]]</f>
        <v>20000</v>
      </c>
      <c r="H24" s="87" t="s">
        <v>217</v>
      </c>
      <c r="I24" s="88">
        <v>0.45</v>
      </c>
      <c r="J24" s="87" t="s">
        <v>218</v>
      </c>
      <c r="K24" s="88">
        <v>0.3</v>
      </c>
      <c r="L24" s="87" t="s">
        <v>219</v>
      </c>
      <c r="M24" s="88">
        <v>0</v>
      </c>
      <c r="N24" s="89" t="s">
        <v>220</v>
      </c>
      <c r="O24" s="90">
        <v>0</v>
      </c>
      <c r="P24"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41.400000000000006</v>
      </c>
    </row>
    <row r="25" spans="1:20" ht="36" customHeight="1" x14ac:dyDescent="0.25">
      <c r="D25" s="86" t="s">
        <v>221</v>
      </c>
      <c r="E25" s="67">
        <v>200</v>
      </c>
      <c r="F25" s="91">
        <f>$E$9</f>
        <v>100</v>
      </c>
      <c r="G25" s="78">
        <f>Table_Input_InorganicFertiliser_Custom[[#This Row],[Amount applied (kg / ha)]]*Table_Input_InorganicFertiliser_Custom[[#This Row],[Application area (ha)]]</f>
        <v>20000</v>
      </c>
      <c r="H25" s="87" t="s">
        <v>222</v>
      </c>
      <c r="I25" s="92">
        <v>0.1</v>
      </c>
      <c r="J25" s="87" t="s">
        <v>245</v>
      </c>
      <c r="K25" s="92">
        <v>0.1</v>
      </c>
      <c r="L25" s="87"/>
      <c r="M25" s="92"/>
      <c r="N25" s="89"/>
      <c r="O25" s="90"/>
      <c r="P25" s="78">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20</v>
      </c>
    </row>
    <row r="26" spans="1:20" ht="36" customHeight="1" x14ac:dyDescent="0.25"/>
    <row r="27" spans="1:20" ht="20.100000000000001" customHeight="1" x14ac:dyDescent="0.25">
      <c r="D27" s="9" t="s">
        <v>223</v>
      </c>
      <c r="E27" s="7"/>
      <c r="F27" s="7"/>
      <c r="G27" s="7"/>
      <c r="H27" s="7"/>
      <c r="I27" s="7"/>
      <c r="J27" s="7"/>
      <c r="K27" s="14"/>
      <c r="L27" s="14"/>
      <c r="M27" s="14"/>
    </row>
    <row r="28" spans="1:20" ht="20.100000000000001" customHeight="1" x14ac:dyDescent="0.25">
      <c r="D28" s="14"/>
      <c r="E28" s="14"/>
      <c r="F28" s="14"/>
      <c r="G28" s="14"/>
      <c r="H28" s="14"/>
      <c r="I28" s="14"/>
      <c r="J28" s="14"/>
      <c r="K28" s="14"/>
      <c r="L28" s="14"/>
      <c r="M28" s="7"/>
    </row>
    <row r="29" spans="1:20" ht="20.100000000000001" customHeight="1" x14ac:dyDescent="0.25">
      <c r="A29" s="16"/>
      <c r="D29" s="40" t="s">
        <v>224</v>
      </c>
      <c r="E29" s="41"/>
      <c r="F29" s="42"/>
      <c r="G29" s="40"/>
      <c r="H29" s="42"/>
      <c r="I29" s="7"/>
      <c r="J29" s="7"/>
      <c r="K29" s="14"/>
      <c r="L29" s="14"/>
      <c r="M29" s="14"/>
    </row>
    <row r="30" spans="1:20" ht="20.100000000000001" customHeight="1" x14ac:dyDescent="0.25">
      <c r="A30" s="16"/>
      <c r="D30" s="93" t="s">
        <v>225</v>
      </c>
      <c r="E30" s="94"/>
      <c r="F30" s="95"/>
      <c r="G30" s="93"/>
      <c r="H30" s="95"/>
      <c r="I30" s="14"/>
      <c r="J30" s="14"/>
      <c r="K30" s="14"/>
      <c r="L30" s="14"/>
      <c r="M30" s="7"/>
    </row>
    <row r="31" spans="1:20" ht="20.100000000000001" customHeight="1" x14ac:dyDescent="0.25">
      <c r="A31" s="52"/>
      <c r="D31" s="44" t="s">
        <v>204</v>
      </c>
      <c r="E31" s="45"/>
      <c r="F31" s="45"/>
      <c r="G31" s="45"/>
      <c r="H31" s="46"/>
      <c r="I31" s="14"/>
      <c r="J31" s="14"/>
      <c r="K31" s="14"/>
      <c r="L31" s="14"/>
      <c r="M31" s="7"/>
    </row>
    <row r="32" spans="1:20" ht="20.100000000000001" customHeight="1" x14ac:dyDescent="0.25">
      <c r="A32" s="52"/>
      <c r="D32" s="57" t="str">
        <f>IF(MAX(Table_Input_Lime[Total]) &gt; 1, "There can not be more than 100% ingredients in a product. Check the table below.", "")</f>
        <v/>
      </c>
    </row>
    <row r="33" spans="1:21" ht="36" customHeight="1" x14ac:dyDescent="0.25">
      <c r="A33" s="16"/>
      <c r="D33" s="96" t="s">
        <v>226</v>
      </c>
      <c r="E33" s="96" t="s">
        <v>227</v>
      </c>
      <c r="F33" s="96" t="s">
        <v>208</v>
      </c>
      <c r="G33" s="96" t="s">
        <v>228</v>
      </c>
      <c r="H33" s="96" t="s">
        <v>229</v>
      </c>
      <c r="I33" s="96" t="s">
        <v>230</v>
      </c>
      <c r="J33" s="96" t="s">
        <v>231</v>
      </c>
      <c r="K33" s="96" t="s">
        <v>232</v>
      </c>
      <c r="L33" s="96" t="s">
        <v>233</v>
      </c>
    </row>
    <row r="34" spans="1:21" ht="36" customHeight="1" x14ac:dyDescent="0.25">
      <c r="D34" s="97" t="s">
        <v>234</v>
      </c>
      <c r="E34" s="77">
        <v>100</v>
      </c>
      <c r="F34" s="77">
        <f>$E$9</f>
        <v>100</v>
      </c>
      <c r="G34" s="78">
        <f>IFERROR(Table_Input_Lime[[#This Row],[Amount applied (t/hectare)]]*Table_Input_Lime[[#This Row],[Application area (ha)]], 0)</f>
        <v>10000</v>
      </c>
      <c r="H34" s="98">
        <v>0.4</v>
      </c>
      <c r="I34" s="98">
        <v>0.3</v>
      </c>
      <c r="J34" s="98">
        <v>0.25</v>
      </c>
      <c r="K34" s="98">
        <v>0.05</v>
      </c>
      <c r="L34" s="99">
        <f>SUM(Table_Input_Lime[[#This Row],[Percent Lime CaCO3]:[Percent Potash]])</f>
        <v>1</v>
      </c>
    </row>
    <row r="35" spans="1:21" ht="36" customHeight="1" x14ac:dyDescent="0.25">
      <c r="D35" s="97" t="s">
        <v>235</v>
      </c>
      <c r="E35" s="77">
        <v>100</v>
      </c>
      <c r="F35" s="77">
        <f>$E$9</f>
        <v>100</v>
      </c>
      <c r="G35" s="78">
        <f>IFERROR(Table_Input_Lime[[#This Row],[Amount applied (t/hectare)]]*Table_Input_Lime[[#This Row],[Application area (ha)]], 0)</f>
        <v>10000</v>
      </c>
      <c r="H35" s="98"/>
      <c r="I35" s="98">
        <v>1</v>
      </c>
      <c r="J35" s="98"/>
      <c r="K35" s="98"/>
      <c r="L35" s="99">
        <f>SUM(Table_Input_Lime[[#This Row],[Percent Lime CaCO3]:[Percent Potash]])</f>
        <v>1</v>
      </c>
    </row>
    <row r="36" spans="1:21" ht="36" customHeight="1" x14ac:dyDescent="0.25">
      <c r="D36" s="14"/>
      <c r="E36" s="14"/>
      <c r="F36" s="14"/>
      <c r="G36" s="14"/>
      <c r="H36" s="14"/>
      <c r="I36" s="14"/>
      <c r="J36" s="14"/>
      <c r="L36" s="7"/>
      <c r="M36" s="7"/>
    </row>
    <row r="37" spans="1:21" ht="20.100000000000001" customHeight="1" x14ac:dyDescent="0.25">
      <c r="D37" s="14"/>
      <c r="E37" s="14"/>
      <c r="F37" s="14"/>
      <c r="G37" s="14"/>
      <c r="H37" s="14"/>
      <c r="I37" s="14"/>
      <c r="J37" s="100"/>
      <c r="K37" s="7"/>
      <c r="L37" s="7"/>
      <c r="M37" s="7"/>
    </row>
    <row r="38" spans="1:21" ht="20.100000000000001" customHeight="1" x14ac:dyDescent="0.25">
      <c r="C38" s="53"/>
      <c r="D38" s="9" t="s">
        <v>236</v>
      </c>
      <c r="E38" s="7"/>
      <c r="F38" s="7"/>
      <c r="G38" s="7"/>
      <c r="H38" s="14"/>
      <c r="I38" s="14"/>
      <c r="J38" s="14"/>
      <c r="K38" s="14"/>
      <c r="L38" s="14"/>
      <c r="M38" s="14"/>
    </row>
    <row r="39" spans="1:21" ht="20.100000000000001" customHeight="1" x14ac:dyDescent="0.25">
      <c r="A39" s="16"/>
      <c r="C39" s="53"/>
      <c r="D39" s="14"/>
      <c r="E39" s="14"/>
      <c r="F39" s="14"/>
      <c r="G39" s="14"/>
      <c r="H39" s="14"/>
      <c r="I39" s="14"/>
      <c r="J39" s="14"/>
      <c r="K39" s="14"/>
      <c r="L39" s="14"/>
      <c r="M39" s="14"/>
    </row>
    <row r="40" spans="1:21" s="54" customFormat="1" ht="20.100000000000001" customHeight="1" x14ac:dyDescent="0.25">
      <c r="C40" s="8"/>
      <c r="D40" s="40" t="s">
        <v>224</v>
      </c>
      <c r="E40" s="41"/>
      <c r="F40" s="41"/>
      <c r="G40" s="41"/>
      <c r="H40" s="42"/>
      <c r="I40" s="14"/>
      <c r="J40" s="14"/>
      <c r="K40" s="14"/>
      <c r="L40" s="14"/>
      <c r="M40" s="14"/>
      <c r="N40" s="8"/>
      <c r="O40" s="8"/>
      <c r="P40" s="8"/>
      <c r="Q40" s="53"/>
      <c r="R40" s="53"/>
      <c r="S40" s="53"/>
      <c r="T40" s="8"/>
      <c r="U40" s="8"/>
    </row>
    <row r="41" spans="1:21" s="54" customFormat="1" ht="20.100000000000001" customHeight="1" x14ac:dyDescent="0.25">
      <c r="A41" s="55"/>
      <c r="C41" s="8"/>
      <c r="D41" s="44" t="s">
        <v>204</v>
      </c>
      <c r="E41" s="45"/>
      <c r="F41" s="45"/>
      <c r="G41" s="45"/>
      <c r="H41" s="46"/>
      <c r="I41" s="14"/>
      <c r="J41" s="14"/>
      <c r="K41" s="14"/>
      <c r="L41" s="14"/>
      <c r="M41" s="14"/>
      <c r="N41" s="8"/>
      <c r="O41" s="53"/>
      <c r="P41" s="53"/>
      <c r="Q41" s="53"/>
      <c r="R41" s="53"/>
      <c r="S41" s="53"/>
      <c r="T41" s="8"/>
      <c r="U41" s="8"/>
    </row>
    <row r="42" spans="1:21" ht="20.100000000000001" customHeight="1" x14ac:dyDescent="0.25">
      <c r="D42" s="14"/>
      <c r="E42" s="14"/>
      <c r="F42" s="14"/>
      <c r="G42" s="14"/>
      <c r="H42" s="14"/>
      <c r="I42" s="14"/>
      <c r="J42" s="14"/>
      <c r="K42" s="14"/>
      <c r="L42" s="14"/>
      <c r="M42" s="53"/>
      <c r="N42" s="53"/>
      <c r="O42" s="53"/>
      <c r="P42" s="53"/>
    </row>
    <row r="43" spans="1:21" ht="36" customHeight="1" x14ac:dyDescent="0.25">
      <c r="D43" s="96" t="s">
        <v>237</v>
      </c>
      <c r="E43" s="96" t="s">
        <v>238</v>
      </c>
      <c r="F43" s="96" t="s">
        <v>239</v>
      </c>
      <c r="G43" s="96" t="s">
        <v>240</v>
      </c>
      <c r="H43" s="96" t="s">
        <v>208</v>
      </c>
      <c r="I43" s="96" t="s">
        <v>241</v>
      </c>
      <c r="J43" s="96" t="s">
        <v>242</v>
      </c>
      <c r="K43" s="85"/>
      <c r="L43" s="85"/>
      <c r="M43" s="53"/>
      <c r="N43" s="53"/>
    </row>
    <row r="44" spans="1:21" ht="36" customHeight="1" x14ac:dyDescent="0.25">
      <c r="A44" s="56" t="str">
        <f>HYPERLINK("#A1", "▲ Back to top")</f>
        <v>▲ Back to top</v>
      </c>
      <c r="D44" s="76" t="s">
        <v>162</v>
      </c>
      <c r="E44" s="98">
        <v>0.3</v>
      </c>
      <c r="F44" s="77">
        <v>10</v>
      </c>
      <c r="G44" s="78">
        <f>Table_Input_OrganicFertiliser[[#This Row],[Amount applied (kg/hectare)]]*Table_Input_OrganicFertiliser[[#This Row],[Percentage of N in fertiliser]]</f>
        <v>3</v>
      </c>
      <c r="H44" s="77">
        <f>$E$9</f>
        <v>100</v>
      </c>
      <c r="I44" s="78">
        <f>Table_Input_OrganicFertiliser[[#This Row],[Amount applied (kg/hectare)]]*Table_Input_OrganicFertiliser[[#This Row],[Application area (ha)]]</f>
        <v>1000</v>
      </c>
      <c r="J44" s="78">
        <f>IFERROR(Table_Input_OrganicFertiliser[[#This Row],[Amount N applied (kg/hectare)]]*Table_Input_OrganicFertiliser[[#This Row],[Application area (ha)]], 0)</f>
        <v>300</v>
      </c>
      <c r="K44" s="85"/>
      <c r="L44" s="85"/>
    </row>
    <row r="45" spans="1:21" ht="36" customHeight="1" x14ac:dyDescent="0.25">
      <c r="D45" s="76" t="s">
        <v>156</v>
      </c>
      <c r="E45" s="98">
        <v>0.25</v>
      </c>
      <c r="F45" s="77">
        <v>10</v>
      </c>
      <c r="G45" s="78">
        <f>Table_Input_OrganicFertiliser[[#This Row],[Amount applied (kg/hectare)]]*Table_Input_OrganicFertiliser[[#This Row],[Percentage of N in fertiliser]]</f>
        <v>2.5</v>
      </c>
      <c r="H45" s="77">
        <f>$E$9</f>
        <v>100</v>
      </c>
      <c r="I45" s="78">
        <f>Table_Input_OrganicFertiliser[[#This Row],[Amount applied (kg/hectare)]]*Table_Input_OrganicFertiliser[[#This Row],[Application area (ha)]]</f>
        <v>1000</v>
      </c>
      <c r="J45" s="78">
        <f>IFERROR(Table_Input_OrganicFertiliser[[#This Row],[Amount N applied (kg/hectare)]]*Table_Input_OrganicFertiliser[[#This Row],[Application area (ha)]], 0)</f>
        <v>250</v>
      </c>
    </row>
    <row r="46" spans="1:21" ht="36" customHeight="1" x14ac:dyDescent="0.25"/>
    <row r="47" spans="1:21" ht="20.100000000000001" customHeight="1" x14ac:dyDescent="0.25"/>
    <row r="48" spans="1:2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spans="13:13" ht="20.100000000000001" customHeight="1" x14ac:dyDescent="0.25"/>
    <row r="98" spans="13:13" ht="20.100000000000001" customHeight="1" x14ac:dyDescent="0.25"/>
    <row r="99" spans="13:13" ht="20.100000000000001" customHeight="1" x14ac:dyDescent="0.25"/>
    <row r="100" spans="13:13" ht="20.100000000000001" customHeight="1" x14ac:dyDescent="0.25"/>
    <row r="101" spans="13:13" ht="20.100000000000001" customHeight="1" x14ac:dyDescent="0.25"/>
    <row r="102" spans="13:13" ht="20.100000000000001" customHeight="1" x14ac:dyDescent="0.25"/>
    <row r="103" spans="13:13" ht="20.100000000000001" customHeight="1" x14ac:dyDescent="0.25"/>
    <row r="104" spans="13:13" ht="20.100000000000001" customHeight="1" x14ac:dyDescent="0.25"/>
    <row r="105" spans="13:13" ht="20.100000000000001" customHeight="1" x14ac:dyDescent="0.25"/>
    <row r="106" spans="13:13" ht="20.100000000000001" customHeight="1" x14ac:dyDescent="0.25"/>
    <row r="107" spans="13:13" ht="20.100000000000001" customHeight="1" x14ac:dyDescent="0.25"/>
    <row r="108" spans="13:13" ht="20.100000000000001" customHeight="1" x14ac:dyDescent="0.25"/>
    <row r="109" spans="13:13" ht="20.100000000000001" customHeight="1" x14ac:dyDescent="0.25"/>
    <row r="110" spans="13:13" ht="20.100000000000001" customHeight="1" x14ac:dyDescent="0.25"/>
    <row r="111" spans="13:13" ht="20.100000000000001" customHeight="1" x14ac:dyDescent="0.25">
      <c r="M111" s="7"/>
    </row>
    <row r="112" spans="13:13" ht="20.100000000000001" customHeight="1" x14ac:dyDescent="0.25">
      <c r="M112" s="7"/>
    </row>
    <row r="113" spans="13:13" ht="20.100000000000001" customHeight="1" x14ac:dyDescent="0.25">
      <c r="M113" s="7"/>
    </row>
    <row r="114" spans="13:13" ht="20.100000000000001" customHeight="1" x14ac:dyDescent="0.25">
      <c r="M114" s="7"/>
    </row>
    <row r="115" spans="13:13" ht="20.100000000000001" customHeight="1" x14ac:dyDescent="0.25">
      <c r="M115" s="7"/>
    </row>
    <row r="116" spans="13:13" ht="20.100000000000001" customHeight="1" x14ac:dyDescent="0.25">
      <c r="M116" s="7"/>
    </row>
    <row r="117" spans="13:13" ht="20.100000000000001" customHeight="1" x14ac:dyDescent="0.25">
      <c r="M117" s="7"/>
    </row>
    <row r="118" spans="13:13" ht="20.100000000000001" customHeight="1" x14ac:dyDescent="0.25">
      <c r="M118" s="7"/>
    </row>
    <row r="119" spans="13:13" ht="20.100000000000001" customHeight="1" x14ac:dyDescent="0.25">
      <c r="M119" s="7"/>
    </row>
    <row r="120" spans="13:13" ht="20.100000000000001" customHeight="1" x14ac:dyDescent="0.25">
      <c r="M120" s="7"/>
    </row>
    <row r="121" spans="13:13" ht="20.100000000000001" customHeight="1" x14ac:dyDescent="0.25">
      <c r="M121" s="7"/>
    </row>
    <row r="122" spans="13:13" ht="20.100000000000001" customHeight="1" x14ac:dyDescent="0.25">
      <c r="M122" s="7"/>
    </row>
    <row r="123" spans="13:13" ht="20.100000000000001" customHeight="1" x14ac:dyDescent="0.25">
      <c r="M123" s="7"/>
    </row>
    <row r="124" spans="13:13" ht="20.100000000000001" customHeight="1" x14ac:dyDescent="0.25">
      <c r="M124" s="7"/>
    </row>
    <row r="125" spans="13:13" ht="20.100000000000001" customHeight="1" x14ac:dyDescent="0.25">
      <c r="M125" s="7"/>
    </row>
    <row r="126" spans="13:13" ht="20.100000000000001" customHeight="1" x14ac:dyDescent="0.25">
      <c r="M126" s="7"/>
    </row>
    <row r="127" spans="13:13" ht="20.100000000000001" customHeight="1" x14ac:dyDescent="0.25">
      <c r="M127" s="7"/>
    </row>
    <row r="128" spans="13:13" ht="20.100000000000001" customHeight="1" x14ac:dyDescent="0.25">
      <c r="M128" s="7"/>
    </row>
    <row r="129" spans="13:13" ht="20.100000000000001" customHeight="1" x14ac:dyDescent="0.25">
      <c r="M129" s="7"/>
    </row>
    <row r="130" spans="13:13" ht="20.100000000000001" customHeight="1" x14ac:dyDescent="0.25">
      <c r="M130" s="7"/>
    </row>
    <row r="131" spans="13:13" ht="20.100000000000001" customHeight="1" x14ac:dyDescent="0.25">
      <c r="M131" s="7"/>
    </row>
    <row r="132" spans="13:13" ht="20.100000000000001" customHeight="1" x14ac:dyDescent="0.25">
      <c r="M132" s="7"/>
    </row>
    <row r="133" spans="13:13" ht="20.100000000000001" customHeight="1" x14ac:dyDescent="0.25"/>
    <row r="134" spans="13:13" ht="20.100000000000001" customHeight="1" x14ac:dyDescent="0.25"/>
    <row r="135" spans="13:13" ht="20.100000000000001" customHeight="1" x14ac:dyDescent="0.25"/>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0" spans="12:12" x14ac:dyDescent="0.25">
      <c r="L210" s="68"/>
    </row>
    <row r="211" spans="12:12" x14ac:dyDescent="0.25">
      <c r="L211" s="68"/>
    </row>
    <row r="212" spans="12:12" x14ac:dyDescent="0.25">
      <c r="L212" s="68"/>
    </row>
    <row r="213" spans="12:12" x14ac:dyDescent="0.25">
      <c r="L213" s="68"/>
    </row>
    <row r="214" spans="12:12" x14ac:dyDescent="0.25">
      <c r="L214" s="68"/>
    </row>
    <row r="216" spans="12:12" x14ac:dyDescent="0.25">
      <c r="L216" s="68"/>
    </row>
    <row r="218" spans="12:12" x14ac:dyDescent="0.25">
      <c r="L218" s="68"/>
    </row>
    <row r="219" spans="12:12" x14ac:dyDescent="0.25">
      <c r="L219" s="68"/>
    </row>
    <row r="220" spans="12:12" x14ac:dyDescent="0.25">
      <c r="L220" s="68"/>
    </row>
    <row r="221" spans="12:12" x14ac:dyDescent="0.25">
      <c r="L221" s="68"/>
    </row>
    <row r="223" spans="12:12" x14ac:dyDescent="0.25">
      <c r="L223" s="68"/>
    </row>
    <row r="231" spans="12:12" x14ac:dyDescent="0.25">
      <c r="L231" s="68"/>
    </row>
    <row r="232" spans="12:12" x14ac:dyDescent="0.25">
      <c r="L232" s="68"/>
    </row>
    <row r="233" spans="12:12" x14ac:dyDescent="0.25">
      <c r="L233" s="68"/>
    </row>
    <row r="236" spans="12:12" x14ac:dyDescent="0.25">
      <c r="L236" s="68"/>
    </row>
    <row r="237" spans="12:12" x14ac:dyDescent="0.25">
      <c r="L237" s="68"/>
    </row>
    <row r="238" spans="12:12" x14ac:dyDescent="0.25">
      <c r="L238" s="68"/>
    </row>
    <row r="241" spans="11:12" x14ac:dyDescent="0.25">
      <c r="L241" s="68"/>
    </row>
    <row r="242" spans="11:12" x14ac:dyDescent="0.25">
      <c r="L242" s="68"/>
    </row>
    <row r="243" spans="11:12" x14ac:dyDescent="0.25">
      <c r="L243" s="68"/>
    </row>
    <row r="246" spans="11:12" x14ac:dyDescent="0.25">
      <c r="L246" s="68"/>
    </row>
    <row r="247" spans="11:12" x14ac:dyDescent="0.25">
      <c r="K247" s="68"/>
      <c r="L247" s="68"/>
    </row>
    <row r="248" spans="11:12" x14ac:dyDescent="0.25">
      <c r="L248" s="68"/>
    </row>
    <row r="252" spans="11:12" x14ac:dyDescent="0.25">
      <c r="K252" s="68"/>
    </row>
    <row r="255" spans="11:12" x14ac:dyDescent="0.25">
      <c r="L255" s="68"/>
    </row>
    <row r="256" spans="11:12" x14ac:dyDescent="0.25">
      <c r="L256" s="68"/>
    </row>
    <row r="257" spans="11:12" x14ac:dyDescent="0.25">
      <c r="K257" s="68"/>
      <c r="L257" s="68"/>
    </row>
    <row r="260" spans="11:12" x14ac:dyDescent="0.25">
      <c r="L260" s="68"/>
    </row>
    <row r="261" spans="11:12" x14ac:dyDescent="0.25">
      <c r="L261" s="68"/>
    </row>
    <row r="262" spans="11:12" x14ac:dyDescent="0.25">
      <c r="K262" s="68"/>
      <c r="L262" s="68"/>
    </row>
    <row r="263" spans="11:12" x14ac:dyDescent="0.25">
      <c r="K263" s="68"/>
    </row>
    <row r="264" spans="11:12" x14ac:dyDescent="0.25">
      <c r="K264" s="68"/>
    </row>
    <row r="265" spans="11:12" x14ac:dyDescent="0.25">
      <c r="K265" s="68"/>
      <c r="L265" s="68"/>
    </row>
    <row r="266" spans="11:12" x14ac:dyDescent="0.25">
      <c r="K266" s="68"/>
      <c r="L266" s="68"/>
    </row>
    <row r="267" spans="11:12" x14ac:dyDescent="0.25">
      <c r="L267" s="68"/>
    </row>
    <row r="268" spans="11:12" x14ac:dyDescent="0.25">
      <c r="K268" s="68"/>
    </row>
    <row r="270" spans="11:12" x14ac:dyDescent="0.25">
      <c r="K270" s="68"/>
      <c r="L270" s="68"/>
    </row>
    <row r="271" spans="11:12" x14ac:dyDescent="0.25">
      <c r="K271" s="68"/>
      <c r="L271" s="68"/>
    </row>
    <row r="272" spans="11:12" x14ac:dyDescent="0.25">
      <c r="K272" s="68"/>
      <c r="L272" s="68"/>
    </row>
    <row r="273" spans="11:11" x14ac:dyDescent="0.25">
      <c r="K273" s="68"/>
    </row>
    <row r="275" spans="11:11" x14ac:dyDescent="0.25">
      <c r="K275" s="68"/>
    </row>
    <row r="281" spans="11:11" x14ac:dyDescent="0.25">
      <c r="K281" s="68"/>
    </row>
    <row r="286" spans="11:11" x14ac:dyDescent="0.25">
      <c r="K286" s="68"/>
    </row>
    <row r="291" spans="11:11" x14ac:dyDescent="0.25">
      <c r="K291" s="68"/>
    </row>
    <row r="296" spans="11:11" x14ac:dyDescent="0.25">
      <c r="K296" s="68"/>
    </row>
    <row r="297" spans="11:11" x14ac:dyDescent="0.25">
      <c r="K297" s="68"/>
    </row>
    <row r="298" spans="11:11" x14ac:dyDescent="0.25">
      <c r="K298" s="68"/>
    </row>
    <row r="299" spans="11:11" x14ac:dyDescent="0.25">
      <c r="K299" s="68"/>
    </row>
    <row r="300" spans="11:11" x14ac:dyDescent="0.25">
      <c r="K300" s="68"/>
    </row>
    <row r="302" spans="11:11" x14ac:dyDescent="0.25">
      <c r="K302" s="68"/>
    </row>
    <row r="304" spans="11:11" x14ac:dyDescent="0.25">
      <c r="K304" s="68"/>
    </row>
    <row r="305" spans="11:11" x14ac:dyDescent="0.25">
      <c r="K305" s="68"/>
    </row>
    <row r="306" spans="11:11" x14ac:dyDescent="0.25">
      <c r="K306" s="68"/>
    </row>
    <row r="307" spans="11:11" x14ac:dyDescent="0.25">
      <c r="K307" s="68"/>
    </row>
    <row r="309" spans="11:11" x14ac:dyDescent="0.25">
      <c r="K309" s="68"/>
    </row>
    <row r="317" spans="11:11" x14ac:dyDescent="0.25">
      <c r="K317" s="68"/>
    </row>
    <row r="318" spans="11:11" x14ac:dyDescent="0.25">
      <c r="K318" s="68"/>
    </row>
    <row r="319" spans="11:11" x14ac:dyDescent="0.25">
      <c r="K319" s="68"/>
    </row>
    <row r="322" spans="11:11" x14ac:dyDescent="0.25">
      <c r="K322" s="68"/>
    </row>
    <row r="323" spans="11:11" x14ac:dyDescent="0.25">
      <c r="K323" s="68"/>
    </row>
    <row r="324" spans="11:11" x14ac:dyDescent="0.25">
      <c r="K324" s="68"/>
    </row>
    <row r="327" spans="11:11" x14ac:dyDescent="0.25">
      <c r="K327" s="68"/>
    </row>
    <row r="328" spans="11:11" x14ac:dyDescent="0.25">
      <c r="K328" s="68"/>
    </row>
    <row r="329" spans="11:11" x14ac:dyDescent="0.25">
      <c r="K329" s="68"/>
    </row>
    <row r="332" spans="11:11" x14ac:dyDescent="0.25">
      <c r="K332" s="68"/>
    </row>
    <row r="333" spans="11:11" x14ac:dyDescent="0.25">
      <c r="K333" s="68"/>
    </row>
    <row r="334" spans="11:11" x14ac:dyDescent="0.25">
      <c r="K334" s="68"/>
    </row>
    <row r="341" spans="11:11" x14ac:dyDescent="0.25">
      <c r="K341" s="68"/>
    </row>
    <row r="342" spans="11:11" x14ac:dyDescent="0.25">
      <c r="K342" s="68"/>
    </row>
    <row r="343" spans="11:11" x14ac:dyDescent="0.25">
      <c r="K343" s="68"/>
    </row>
    <row r="346" spans="11:11" x14ac:dyDescent="0.25">
      <c r="K346" s="68"/>
    </row>
    <row r="347" spans="11:11" x14ac:dyDescent="0.25">
      <c r="K347" s="68"/>
    </row>
    <row r="348" spans="11:11" x14ac:dyDescent="0.25">
      <c r="K348" s="68"/>
    </row>
    <row r="351" spans="11:11" x14ac:dyDescent="0.25">
      <c r="K351" s="68"/>
    </row>
    <row r="352" spans="11:11" x14ac:dyDescent="0.25">
      <c r="K352" s="68"/>
    </row>
    <row r="353" spans="4:11" x14ac:dyDescent="0.25">
      <c r="K353" s="68"/>
    </row>
    <row r="356" spans="4:11" x14ac:dyDescent="0.25">
      <c r="K356" s="68"/>
    </row>
    <row r="357" spans="4:11" x14ac:dyDescent="0.25">
      <c r="K357" s="68"/>
    </row>
    <row r="358" spans="4:11" x14ac:dyDescent="0.25">
      <c r="K358" s="68"/>
    </row>
    <row r="361" spans="4:11" x14ac:dyDescent="0.25">
      <c r="D361" s="57"/>
    </row>
  </sheetData>
  <conditionalFormatting sqref="F47">
    <cfRule type="cellIs" dxfId="111" priority="19" operator="lessThan">
      <formula>0</formula>
    </cfRule>
  </conditionalFormatting>
  <conditionalFormatting sqref="F126:F127">
    <cfRule type="cellIs" dxfId="110" priority="17" operator="lessThan">
      <formula>0</formula>
    </cfRule>
  </conditionalFormatting>
  <conditionalFormatting sqref="F138:F139">
    <cfRule type="cellIs" dxfId="109" priority="16" operator="lessThan">
      <formula>0</formula>
    </cfRule>
  </conditionalFormatting>
  <conditionalFormatting sqref="F150:F151">
    <cfRule type="cellIs" dxfId="108" priority="15" operator="lessThan">
      <formula>0</formula>
    </cfRule>
  </conditionalFormatting>
  <conditionalFormatting sqref="F162:F163">
    <cfRule type="cellIs" dxfId="107" priority="14" operator="lessThan">
      <formula>0</formula>
    </cfRule>
  </conditionalFormatting>
  <conditionalFormatting sqref="F250:F251">
    <cfRule type="cellIs" dxfId="106" priority="27" operator="lessThan">
      <formula>0</formula>
    </cfRule>
  </conditionalFormatting>
  <conditionalFormatting sqref="F255:F256">
    <cfRule type="cellIs" dxfId="105" priority="26" operator="lessThan">
      <formula>0</formula>
    </cfRule>
  </conditionalFormatting>
  <conditionalFormatting sqref="F260:F261">
    <cfRule type="cellIs" dxfId="104" priority="25" operator="lessThan">
      <formula>0</formula>
    </cfRule>
  </conditionalFormatting>
  <conditionalFormatting sqref="F284:F285">
    <cfRule type="cellIs" dxfId="103" priority="24" operator="lessThan">
      <formula>0</formula>
    </cfRule>
  </conditionalFormatting>
  <conditionalFormatting sqref="F289:F290">
    <cfRule type="cellIs" dxfId="102" priority="23" operator="lessThan">
      <formula>0</formula>
    </cfRule>
  </conditionalFormatting>
  <conditionalFormatting sqref="F294:F295">
    <cfRule type="cellIs" dxfId="101" priority="22" operator="lessThan">
      <formula>0</formula>
    </cfRule>
  </conditionalFormatting>
  <conditionalFormatting sqref="I31 I33:I37 I41:I42 H43:H45 O44 N45 I46 I48:I50 I52:I53 I204:J204 K209:L209 E210:G210 I210:J210 K247 J248 K252 J253 K257 J258 K262:K266 J263:J267 K268 J269 K270:K273 J271:J274 K275 J276 K281 J282 K286 J287 K291 J292 K296:K300 J297:J301 K302 J303 K304:K307 J305:J308 K309 J310">
    <cfRule type="cellIs" dxfId="100" priority="21" operator="lessThan">
      <formula>0</formula>
    </cfRule>
  </conditionalFormatting>
  <conditionalFormatting sqref="I57:I61">
    <cfRule type="cellIs" dxfId="99" priority="4" operator="lessThan">
      <formula>0</formula>
    </cfRule>
  </conditionalFormatting>
  <conditionalFormatting sqref="I65 M104 I124:J124 K184:L184 K188:L189 K192:L193 K198:L199 K202:L203">
    <cfRule type="cellIs" dxfId="98" priority="20" operator="lessThan">
      <formula>0</formula>
    </cfRule>
  </conditionalFormatting>
  <conditionalFormatting sqref="I76:I78">
    <cfRule type="cellIs" dxfId="97" priority="3" operator="lessThan">
      <formula>0</formula>
    </cfRule>
  </conditionalFormatting>
  <conditionalFormatting sqref="I82:I85">
    <cfRule type="cellIs" dxfId="96" priority="2" operator="lessThan">
      <formula>0</formula>
    </cfRule>
  </conditionalFormatting>
  <conditionalFormatting sqref="I89:I93">
    <cfRule type="cellIs" dxfId="95" priority="1" operator="lessThan">
      <formula>0</formula>
    </cfRule>
  </conditionalFormatting>
  <conditionalFormatting sqref="J152">
    <cfRule type="cellIs" dxfId="94" priority="18" operator="lessThan">
      <formula>0</formula>
    </cfRule>
  </conditionalFormatting>
  <conditionalFormatting sqref="L117:L120">
    <cfRule type="cellIs" dxfId="93" priority="8" operator="lessThan">
      <formula>0</formula>
    </cfRule>
  </conditionalFormatting>
  <conditionalFormatting sqref="L123">
    <cfRule type="cellIs" dxfId="92" priority="13" operator="lessThan">
      <formula>0</formula>
    </cfRule>
  </conditionalFormatting>
  <conditionalFormatting sqref="L129:L132">
    <cfRule type="cellIs" dxfId="91" priority="7" operator="lessThan">
      <formula>0</formula>
    </cfRule>
  </conditionalFormatting>
  <conditionalFormatting sqref="L135">
    <cfRule type="cellIs" dxfId="90" priority="12" operator="lessThan">
      <formula>0</formula>
    </cfRule>
  </conditionalFormatting>
  <conditionalFormatting sqref="L141:L144">
    <cfRule type="cellIs" dxfId="89" priority="6" operator="lessThan">
      <formula>0</formula>
    </cfRule>
  </conditionalFormatting>
  <conditionalFormatting sqref="L147">
    <cfRule type="cellIs" dxfId="88" priority="11" operator="lessThan">
      <formula>0</formula>
    </cfRule>
  </conditionalFormatting>
  <conditionalFormatting sqref="L153:L156">
    <cfRule type="cellIs" dxfId="87" priority="5" operator="lessThan">
      <formula>0</formula>
    </cfRule>
  </conditionalFormatting>
  <conditionalFormatting sqref="L159">
    <cfRule type="cellIs" dxfId="86" priority="10" operator="lessThan">
      <formula>0</formula>
    </cfRule>
  </conditionalFormatting>
  <conditionalFormatting sqref="L163:L164">
    <cfRule type="cellIs" dxfId="85" priority="9" operator="lessThan">
      <formula>0</formula>
    </cfRule>
  </conditionalFormatting>
  <conditionalFormatting sqref="L210:L214 L216 L218:L221 L223 J228:J230 J233:J235">
    <cfRule type="cellIs" dxfId="84" priority="28" operator="lessThan">
      <formula>0</formula>
    </cfRule>
  </conditionalFormatting>
  <dataValidations count="11">
    <dataValidation type="list" allowBlank="1" showInputMessage="1" showErrorMessage="1" sqref="D18:D20" xr:uid="{DFB1096D-C6F6-4F85-BE80-B4F0EFA04D5F}">
      <formula1>INDIRECT("FertiliserProducts[Product Name]")</formula1>
    </dataValidation>
    <dataValidation type="list" allowBlank="1" showInputMessage="1" showErrorMessage="1" sqref="D44:D45" xr:uid="{933F6C75-4F8D-4677-98CD-E5EE702A5D18}">
      <formula1>INDIRECT("Table_SourceData_OrganicFertiliserTypes[Organic fertiliser type]")</formula1>
    </dataValidation>
    <dataValidation type="list" allowBlank="1" showInputMessage="1" showErrorMessage="1" sqref="H24:H25 J24:J25 L24:L25 N24:N25" xr:uid="{D7073A6D-18BD-41CA-A77B-6A00CDC67745}">
      <formula1>INDIRECT("Table_Fertiliser_ChemicalCompounds[Fertiliser type f]")</formula1>
    </dataValidation>
    <dataValidation type="list" allowBlank="1" showInputMessage="1" showErrorMessage="1" sqref="E7" xr:uid="{F56FF499-9AC2-4F57-BD46-B9FDA21D8F09}">
      <formula1>INDIRECT("Table_SourceData_Fertiliser_CropTypes[Production system]")</formula1>
    </dataValidation>
    <dataValidation type="list" allowBlank="1" showInputMessage="1" showErrorMessage="1" sqref="E8" xr:uid="{6762F7CA-B3D9-46AC-BBAB-3910D1160D93}">
      <formula1>INDIRECT("Table_SourceData_Fertiliser_IrrigationMethods[Irrigation method]")</formula1>
    </dataValidation>
    <dataValidation type="list" allowBlank="1" showInputMessage="1" showErrorMessage="1" sqref="E6" xr:uid="{CB867B68-D885-4628-9A66-382CC9E9542F}">
      <formula1>INDIRECT("Table_SourceData_Fertiliser_CropProdSystems[Production system]")</formula1>
    </dataValidation>
    <dataValidation type="list" allowBlank="1" showInputMessage="1" showErrorMessage="1" sqref="E64" xr:uid="{0C22F7DB-C841-4220-875C-77CE00E27B46}">
      <formula1>INDIRECT("Table_SourceData_Swine_CropProdSystems[Production system]")</formula1>
    </dataValidation>
    <dataValidation type="list" allowBlank="1" showInputMessage="1" showErrorMessage="1" sqref="E65" xr:uid="{1A26CE76-D0A3-489D-A86A-781AB458D170}">
      <formula1>INDIRECT("Table_SourceData_Swine_IrrigationMethods[Irrigation method]")</formula1>
    </dataValidation>
    <dataValidation type="list" allowBlank="1" showInputMessage="1" showErrorMessage="1" sqref="E249 E254 E259 E293 E288 E283 E161 E149 E125 E137" xr:uid="{25F6A59C-0583-41B9-9DD8-3BA15915AFD8}">
      <formula1>"Yes, No"</formula1>
    </dataValidation>
    <dataValidation type="list" allowBlank="1" showInputMessage="1" showErrorMessage="1" sqref="E225" xr:uid="{2695B8EE-F17D-4863-835D-8745430A24C1}">
      <formula1>INDIRECT("Table_SourceData_Dairy_ProductionSystemTemplates[Area]")</formula1>
    </dataValidation>
    <dataValidation type="list" allowBlank="1" showInputMessage="1" showErrorMessage="1" sqref="D277" xr:uid="{B3E90F14-EC39-4891-8BD5-CB7DD89D5A7E}">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6BCF7-DDD5-4171-BB69-0003446FB5EC}">
  <dimension ref="A1:J350"/>
  <sheetViews>
    <sheetView showGridLines="0" zoomScale="85" zoomScaleNormal="85" workbookViewId="0">
      <selection activeCell="G12" sqref="G12"/>
    </sheetView>
  </sheetViews>
  <sheetFormatPr defaultRowHeight="15.75" x14ac:dyDescent="0.25"/>
  <cols>
    <col min="1" max="1" width="26.875" style="3" customWidth="1"/>
    <col min="2" max="2" width="4.125" style="3" customWidth="1"/>
    <col min="3" max="3" width="4.125" style="8" customWidth="1"/>
    <col min="4" max="4" width="45.625" style="8" customWidth="1"/>
    <col min="5" max="5" width="41.125" style="8" customWidth="1"/>
    <col min="6" max="9" width="21.75" style="8" customWidth="1"/>
    <col min="10" max="10" width="4.125" style="8" customWidth="1"/>
    <col min="11" max="11" width="4.125" style="3" customWidth="1"/>
    <col min="12" max="16384" width="9" style="3"/>
  </cols>
  <sheetData>
    <row r="1" spans="1:10" s="38" customFormat="1" ht="30" customHeight="1" x14ac:dyDescent="0.35">
      <c r="A1" s="38" t="e" vm="1">
        <v>#VALUE!</v>
      </c>
      <c r="C1" s="38" t="s">
        <v>121</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122</v>
      </c>
      <c r="E5" s="7"/>
      <c r="F5" s="7"/>
      <c r="G5" s="7"/>
      <c r="H5" s="7"/>
    </row>
    <row r="6" spans="1:10" ht="20.100000000000001" customHeight="1" x14ac:dyDescent="0.25">
      <c r="A6" s="18"/>
      <c r="D6" s="14"/>
      <c r="E6" s="14"/>
      <c r="F6" s="14"/>
      <c r="G6" s="14"/>
      <c r="H6" s="14"/>
      <c r="I6" s="14"/>
    </row>
    <row r="7" spans="1:10" ht="20.100000000000001" customHeight="1" x14ac:dyDescent="0.25">
      <c r="A7" s="19" t="s">
        <v>67</v>
      </c>
      <c r="D7" s="40" t="s">
        <v>123</v>
      </c>
      <c r="E7" s="41"/>
      <c r="F7" s="41"/>
      <c r="G7" s="41"/>
      <c r="H7" s="42"/>
    </row>
    <row r="8" spans="1:10" ht="20.100000000000001" customHeight="1" x14ac:dyDescent="0.25">
      <c r="A8" s="43" t="str">
        <f>HYPERLINK("#'Input - Fuel'!A1", "Fuel")</f>
        <v>Fuel</v>
      </c>
      <c r="D8" s="44" t="s">
        <v>124</v>
      </c>
      <c r="E8" s="45"/>
      <c r="F8" s="45"/>
      <c r="G8" s="45"/>
      <c r="H8" s="46"/>
    </row>
    <row r="9" spans="1:10" ht="20.100000000000001" customHeight="1" x14ac:dyDescent="0.25">
      <c r="A9" s="16"/>
      <c r="D9" s="14"/>
      <c r="E9" s="14"/>
      <c r="F9" s="14"/>
      <c r="G9" s="14"/>
      <c r="H9" s="14"/>
      <c r="I9" s="14"/>
    </row>
    <row r="10" spans="1:10" ht="20.100000000000001" customHeight="1" x14ac:dyDescent="0.25">
      <c r="A10" s="21" t="s">
        <v>77</v>
      </c>
      <c r="D10" s="47" t="s">
        <v>125</v>
      </c>
      <c r="E10" s="47" t="s">
        <v>126</v>
      </c>
      <c r="F10" s="47" t="s">
        <v>127</v>
      </c>
      <c r="G10" s="47" t="s">
        <v>128</v>
      </c>
      <c r="H10" s="47" t="s">
        <v>129</v>
      </c>
      <c r="I10" s="47" t="s">
        <v>130</v>
      </c>
    </row>
    <row r="11" spans="1:10" ht="20.100000000000001" customHeight="1" x14ac:dyDescent="0.25">
      <c r="A11" s="16" t="str">
        <f>HYPERLINK("#'8.1.1.1-2 Transport fuel'!A1", "8.1.1.1-2 Transport fuel")</f>
        <v>8.1.1.1-2 Transport fuel</v>
      </c>
      <c r="D11" s="48" t="s">
        <v>93</v>
      </c>
      <c r="E11" s="48" t="s">
        <v>100</v>
      </c>
      <c r="F11" s="49">
        <v>1000</v>
      </c>
      <c r="G11" s="50" t="str" cm="1">
        <f t="array" ref="G11">Common_InputFunctions.Utility_LookupValueInTable(Table_Input_Fuel[[#This Row],[Fuel type (select)]],Table_FuelTypes_Units[Fuel type], Table_FuelTypes_Units[Unit])</f>
        <v>kL</v>
      </c>
      <c r="H11" s="51">
        <f>1</f>
        <v>1</v>
      </c>
      <c r="I11" s="50">
        <f>Table_Input_Fuel[[#This Row],[Amount purchased]]*Table_Input_Fuel[[#This Row],[Percent consumed]]*10^-3</f>
        <v>1</v>
      </c>
    </row>
    <row r="12" spans="1:10" ht="20.100000000000001" customHeight="1" x14ac:dyDescent="0.25">
      <c r="A12" s="16" t="str">
        <f>HYPERLINK("#'8.2.1.1-2 Stationary fuel'!A1", "8.2.1.1-2 Stationary fuel")</f>
        <v>8.2.1.1-2 Stationary fuel</v>
      </c>
      <c r="D12" s="48" t="s">
        <v>93</v>
      </c>
      <c r="E12" s="48" t="s">
        <v>100</v>
      </c>
      <c r="F12" s="49">
        <v>1000</v>
      </c>
      <c r="G12" s="50" t="str" cm="1">
        <f t="array" ref="G12">Common_InputFunctions.Utility_LookupValueInTable(Table_Input_Fuel[[#This Row],[Fuel type (select)]],Table_FuelTypes_Units[Fuel type], Table_FuelTypes_Units[Unit])</f>
        <v>kL</v>
      </c>
      <c r="H12" s="51">
        <f>1</f>
        <v>1</v>
      </c>
      <c r="I12" s="50">
        <f>Table_Input_Fuel[[#This Row],[Amount purchased]]*Table_Input_Fuel[[#This Row],[Percent consumed]]*10^-3</f>
        <v>1</v>
      </c>
    </row>
    <row r="13" spans="1:10" ht="20.100000000000001" customHeight="1" x14ac:dyDescent="0.25">
      <c r="A13" s="16" t="str">
        <f>HYPERLINK("#'8.X.1.1-2 General use fuel'!A1", "8.X.1.1-2 General use fuel")</f>
        <v>8.X.1.1-2 General use fuel</v>
      </c>
    </row>
    <row r="14" spans="1:10" ht="20.100000000000001" customHeight="1" x14ac:dyDescent="0.25">
      <c r="A14" s="16"/>
    </row>
    <row r="15" spans="1:10" ht="20.100000000000001" customHeight="1" x14ac:dyDescent="0.25">
      <c r="A15" s="23" t="s">
        <v>78</v>
      </c>
    </row>
    <row r="16" spans="1:10" ht="20.100000000000001" customHeight="1" x14ac:dyDescent="0.25">
      <c r="A16" s="16" t="str">
        <f>HYPERLINK("#'Constants - Fuel'!A1", "Constants - Fuel")</f>
        <v>Constants - Fuel</v>
      </c>
    </row>
    <row r="17" spans="1:1" ht="20.100000000000001" customHeight="1" x14ac:dyDescent="0.25">
      <c r="A17" s="16"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c r="A20" s="16"/>
    </row>
    <row r="21" spans="1:1" ht="20.100000000000001" customHeight="1" x14ac:dyDescent="0.25">
      <c r="A21" s="16"/>
    </row>
    <row r="22" spans="1:1" ht="20.100000000000001" customHeight="1" x14ac:dyDescent="0.25"/>
    <row r="23" spans="1:1" ht="20.100000000000001" customHeight="1" x14ac:dyDescent="0.25">
      <c r="A23" s="16"/>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c r="A29" s="16"/>
    </row>
    <row r="30" spans="1:1" ht="20.100000000000001" customHeight="1" x14ac:dyDescent="0.25">
      <c r="A30" s="16"/>
    </row>
    <row r="31" spans="1:1" ht="20.100000000000001" customHeight="1" x14ac:dyDescent="0.25">
      <c r="A31" s="52"/>
    </row>
    <row r="32" spans="1:1" ht="20.100000000000001" customHeight="1" x14ac:dyDescent="0.25">
      <c r="A32" s="52"/>
    </row>
    <row r="33" spans="1:10" ht="20.100000000000001" customHeight="1" x14ac:dyDescent="0.25">
      <c r="A33" s="16"/>
    </row>
    <row r="34" spans="1:10" ht="20.100000000000001" customHeight="1" x14ac:dyDescent="0.25"/>
    <row r="35" spans="1:10" ht="20.100000000000001" customHeight="1" x14ac:dyDescent="0.25"/>
    <row r="36" spans="1:10" ht="20.100000000000001" customHeight="1" x14ac:dyDescent="0.25"/>
    <row r="37" spans="1:10" ht="20.100000000000001" customHeight="1" x14ac:dyDescent="0.25"/>
    <row r="38" spans="1:10" ht="20.100000000000001" customHeight="1" x14ac:dyDescent="0.25">
      <c r="C38" s="53"/>
      <c r="J38" s="53"/>
    </row>
    <row r="39" spans="1:10" ht="20.100000000000001" customHeight="1" x14ac:dyDescent="0.25">
      <c r="A39" s="16"/>
      <c r="C39" s="53"/>
      <c r="J39" s="53"/>
    </row>
    <row r="40" spans="1:10" s="54" customFormat="1" ht="20.100000000000001" customHeight="1" x14ac:dyDescent="0.25">
      <c r="C40" s="8"/>
      <c r="D40" s="8"/>
      <c r="E40" s="8"/>
      <c r="F40" s="8"/>
      <c r="G40" s="8"/>
      <c r="H40" s="8"/>
      <c r="I40" s="8"/>
      <c r="J40" s="8"/>
    </row>
    <row r="41" spans="1:10" s="54" customFormat="1" ht="20.100000000000001" customHeight="1" x14ac:dyDescent="0.25">
      <c r="A41" s="55"/>
      <c r="C41" s="8"/>
      <c r="D41" s="8"/>
      <c r="E41" s="8"/>
      <c r="F41" s="8"/>
      <c r="G41" s="8"/>
      <c r="H41" s="8"/>
      <c r="I41" s="8"/>
      <c r="J41" s="8"/>
    </row>
    <row r="42" spans="1:10" ht="20.100000000000001" customHeight="1" x14ac:dyDescent="0.25"/>
    <row r="43" spans="1:10" ht="20.100000000000001" customHeight="1" x14ac:dyDescent="0.25"/>
    <row r="44" spans="1:10" ht="20.100000000000001" customHeight="1" x14ac:dyDescent="0.25">
      <c r="A44" s="56"/>
    </row>
    <row r="45" spans="1:10" ht="20.100000000000001" customHeight="1" x14ac:dyDescent="0.25"/>
    <row r="46" spans="1:10" ht="20.100000000000001" customHeight="1" x14ac:dyDescent="0.25"/>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0" spans="4:4" x14ac:dyDescent="0.25">
      <c r="D350" s="57"/>
    </row>
  </sheetData>
  <conditionalFormatting sqref="F36">
    <cfRule type="cellIs" dxfId="157" priority="9" operator="lessThan">
      <formula>0</formula>
    </cfRule>
  </conditionalFormatting>
  <conditionalFormatting sqref="F115:F116">
    <cfRule type="cellIs" dxfId="156" priority="8" operator="lessThan">
      <formula>0</formula>
    </cfRule>
  </conditionalFormatting>
  <conditionalFormatting sqref="F127:F128">
    <cfRule type="cellIs" dxfId="155" priority="7" operator="lessThan">
      <formula>0</formula>
    </cfRule>
  </conditionalFormatting>
  <conditionalFormatting sqref="F139:F140">
    <cfRule type="cellIs" dxfId="154" priority="6" operator="lessThan">
      <formula>0</formula>
    </cfRule>
  </conditionalFormatting>
  <conditionalFormatting sqref="F151:F152">
    <cfRule type="cellIs" dxfId="153" priority="5" operator="lessThan">
      <formula>0</formula>
    </cfRule>
  </conditionalFormatting>
  <conditionalFormatting sqref="F239:F240">
    <cfRule type="cellIs" dxfId="152" priority="17" operator="lessThan">
      <formula>0</formula>
    </cfRule>
  </conditionalFormatting>
  <conditionalFormatting sqref="F244:F245">
    <cfRule type="cellIs" dxfId="151" priority="16" operator="lessThan">
      <formula>0</formula>
    </cfRule>
  </conditionalFormatting>
  <conditionalFormatting sqref="F249:F250">
    <cfRule type="cellIs" dxfId="150" priority="15" operator="lessThan">
      <formula>0</formula>
    </cfRule>
  </conditionalFormatting>
  <conditionalFormatting sqref="F273:F274">
    <cfRule type="cellIs" dxfId="149" priority="14" operator="lessThan">
      <formula>0</formula>
    </cfRule>
  </conditionalFormatting>
  <conditionalFormatting sqref="F278:F279">
    <cfRule type="cellIs" dxfId="148" priority="13" operator="lessThan">
      <formula>0</formula>
    </cfRule>
  </conditionalFormatting>
  <conditionalFormatting sqref="F283:F284">
    <cfRule type="cellIs" dxfId="147" priority="12" operator="lessThan">
      <formula>0</formula>
    </cfRule>
  </conditionalFormatting>
  <conditionalFormatting sqref="I20 I22:I26 I30:I31 H32:H34 I35 I37:I39 I41:I42 I193 E199:G199 I199">
    <cfRule type="cellIs" dxfId="146" priority="11" operator="lessThan">
      <formula>0</formula>
    </cfRule>
  </conditionalFormatting>
  <conditionalFormatting sqref="I46:I50">
    <cfRule type="cellIs" dxfId="145" priority="4" operator="lessThan">
      <formula>0</formula>
    </cfRule>
  </conditionalFormatting>
  <conditionalFormatting sqref="I54 I113">
    <cfRule type="cellIs" dxfId="144" priority="10" operator="lessThan">
      <formula>0</formula>
    </cfRule>
  </conditionalFormatting>
  <conditionalFormatting sqref="I65:I67">
    <cfRule type="cellIs" dxfId="143" priority="3" operator="lessThan">
      <formula>0</formula>
    </cfRule>
  </conditionalFormatting>
  <conditionalFormatting sqref="I71:I74">
    <cfRule type="cellIs" dxfId="142" priority="2" operator="lessThan">
      <formula>0</formula>
    </cfRule>
  </conditionalFormatting>
  <conditionalFormatting sqref="I78:I82">
    <cfRule type="cellIs" dxfId="141" priority="1" operator="lessThan">
      <formula>0</formula>
    </cfRule>
  </conditionalFormatting>
  <dataValidations count="9">
    <dataValidation type="list" allowBlank="1" showInputMessage="1" showErrorMessage="1" sqref="D11:D12" xr:uid="{AB05C837-AE8B-4535-9828-0C4A841DBABE}">
      <formula1>INDIRECT("Table_FuelTypesPerUse[#Headers]")</formula1>
    </dataValidation>
    <dataValidation type="list" allowBlank="1" showInputMessage="1" showErrorMessage="1" sqref="D33:D34" xr:uid="{E61046C4-2597-462B-8601-A71BA10ADC4B}">
      <formula1>INDIRECT("Table_SourceData_OrganicFertiliserTypes[Organic fertiliser type]")</formula1>
    </dataValidation>
    <dataValidation type="list" allowBlank="1" showInputMessage="1" showErrorMessage="1" sqref="H13:H14" xr:uid="{CB064B41-B1CB-47F8-811A-5923DE4D14B4}">
      <formula1>INDIRECT("Table_Fertiliser_ChemicalCompounds[Fertiliser type f]")</formula1>
    </dataValidation>
    <dataValidation type="list" allowBlank="1" showInputMessage="1" showErrorMessage="1" sqref="E53" xr:uid="{0EF9A726-27B5-435D-9717-19BF8055C1BD}">
      <formula1>INDIRECT("Table_SourceData_Swine_CropProdSystems[Production system]")</formula1>
    </dataValidation>
    <dataValidation type="list" allowBlank="1" showInputMessage="1" showErrorMessage="1" sqref="E54" xr:uid="{98AF71EF-A6CF-4E35-BE64-B07AAB53937E}">
      <formula1>INDIRECT("Table_SourceData_Swine_IrrigationMethods[Irrigation method]")</formula1>
    </dataValidation>
    <dataValidation type="list" allowBlank="1" showInputMessage="1" showErrorMessage="1" sqref="E238 E243 E248 E282 E277 E272 E150 E138 E114 E126" xr:uid="{300F7878-07F3-4F04-BED9-4696EEC1A88D}">
      <formula1>"Yes, No"</formula1>
    </dataValidation>
    <dataValidation type="list" allowBlank="1" showInputMessage="1" showErrorMessage="1" sqref="E214" xr:uid="{B6A52EB3-2524-4DF6-B092-A157B0196195}">
      <formula1>INDIRECT("Table_SourceData_Dairy_ProductionSystemTemplates[Area]")</formula1>
    </dataValidation>
    <dataValidation type="list" allowBlank="1" showInputMessage="1" showErrorMessage="1" sqref="D266" xr:uid="{7B99DD2A-31EE-40A0-B38A-69AC69E22FD9}">
      <formula1>INDIRECT("Table_SourceData_PoultryMMSStage1[MMS]")</formula1>
    </dataValidation>
    <dataValidation type="list" allowBlank="1" showInputMessage="1" showErrorMessage="1" sqref="E11:E12" xr:uid="{0445C2B7-1C90-4304-96FE-3C15DC2D16F4}">
      <formula1>_xlfn.TRIMRANGE(INDIRECT("Table_FuelTypesPerUse["&amp;D11&amp;"]"))</formula1>
    </dataValidation>
  </dataValidations>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72299A-2CFF-433C-84D9-A1BED0455EEB}">
  <dimension ref="A1:L365"/>
  <sheetViews>
    <sheetView showGridLines="0" topLeftCell="A2" zoomScaleNormal="100" workbookViewId="0">
      <selection activeCell="E13" sqref="E13"/>
    </sheetView>
  </sheetViews>
  <sheetFormatPr defaultRowHeight="15.75" x14ac:dyDescent="0.25"/>
  <cols>
    <col min="1" max="1" width="26.875" style="3" customWidth="1"/>
    <col min="2" max="2" width="4.125" style="3" customWidth="1"/>
    <col min="3" max="3" width="4.125" style="8" customWidth="1"/>
    <col min="4" max="4" width="58.375" style="8" customWidth="1"/>
    <col min="5" max="5" width="41.125" style="8" customWidth="1"/>
    <col min="6" max="8" width="21.75" style="8" customWidth="1"/>
    <col min="9" max="9" width="26" style="8" customWidth="1"/>
    <col min="10" max="10" width="4.125" style="8" customWidth="1"/>
    <col min="11" max="11" width="4.125" style="3" customWidth="1"/>
    <col min="12" max="16384" width="9" style="3"/>
  </cols>
  <sheetData>
    <row r="1" spans="1:10" s="38" customFormat="1" ht="30" customHeight="1" x14ac:dyDescent="0.35">
      <c r="A1" s="38" t="e" vm="1">
        <v>#VALUE!</v>
      </c>
      <c r="C1" s="38" t="s">
        <v>254</v>
      </c>
    </row>
    <row r="2" spans="1:10" s="2" customFormat="1" ht="20.100000000000001" customHeight="1" x14ac:dyDescent="0.25"/>
    <row r="3" spans="1:10" ht="20.100000000000001" customHeight="1" x14ac:dyDescent="0.25">
      <c r="A3" s="16" t="str">
        <f>HYPERLINK("#'Home'!A1", "Home")</f>
        <v>Home</v>
      </c>
      <c r="C3" s="39"/>
      <c r="D3" s="39"/>
      <c r="E3" s="39"/>
      <c r="F3" s="39"/>
      <c r="G3" s="39"/>
      <c r="H3" s="39"/>
      <c r="I3" s="39"/>
      <c r="J3" s="39"/>
    </row>
    <row r="4" spans="1:10" ht="20.100000000000001" customHeight="1" x14ac:dyDescent="0.25">
      <c r="A4" s="16" t="str">
        <f>HYPERLINK("#'Overview'!A1", "Overview")</f>
        <v>Overview</v>
      </c>
    </row>
    <row r="5" spans="1:10" ht="20.100000000000001" customHeight="1" x14ac:dyDescent="0.25">
      <c r="A5" s="16" t="str">
        <f>HYPERLINK("#'Results'!A1", "Results")</f>
        <v>Results</v>
      </c>
      <c r="D5" s="9" t="s">
        <v>255</v>
      </c>
    </row>
    <row r="6" spans="1:10" ht="20.100000000000001" customHeight="1" x14ac:dyDescent="0.25">
      <c r="A6" s="18"/>
    </row>
    <row r="7" spans="1:10" ht="20.100000000000001" customHeight="1" x14ac:dyDescent="0.25">
      <c r="A7" s="19" t="s">
        <v>67</v>
      </c>
      <c r="D7" s="74" t="s">
        <v>256</v>
      </c>
    </row>
    <row r="8" spans="1:10" ht="20.100000000000001" customHeight="1" x14ac:dyDescent="0.25">
      <c r="A8" s="43" t="str">
        <f>HYPERLINK("#'Input - Electricity'!A1", "Electricity")</f>
        <v>Electricity</v>
      </c>
    </row>
    <row r="9" spans="1:10" ht="20.100000000000001" customHeight="1" x14ac:dyDescent="0.25">
      <c r="A9" s="16"/>
      <c r="D9" s="101" t="s">
        <v>257</v>
      </c>
      <c r="E9" s="102"/>
      <c r="F9" s="14"/>
    </row>
    <row r="10" spans="1:10" ht="20.100000000000001" customHeight="1" x14ac:dyDescent="0.25">
      <c r="A10" s="21" t="s">
        <v>77</v>
      </c>
      <c r="D10" s="14"/>
      <c r="E10" s="14"/>
      <c r="F10" s="14"/>
    </row>
    <row r="11" spans="1:10" ht="20.100000000000001" customHeight="1" x14ac:dyDescent="0.25">
      <c r="A11" s="16" t="str">
        <f>HYPERLINK("#'14.1.1-2 Purchased electricity'!A1", "14.1.1-2 Purchased electricity")</f>
        <v>14.1.1-2 Purchased electricity</v>
      </c>
      <c r="D11" s="8" t="s">
        <v>258</v>
      </c>
      <c r="E11" s="103">
        <v>500</v>
      </c>
      <c r="F11" s="68" t="s">
        <v>259</v>
      </c>
    </row>
    <row r="12" spans="1:10" ht="20.100000000000001" customHeight="1" x14ac:dyDescent="0.25">
      <c r="A12" s="16"/>
      <c r="D12" s="8" t="s">
        <v>260</v>
      </c>
      <c r="E12" s="50" t="str">
        <f>IF('Input - Site'!E21="Western Australia", 'Input - Site'!E22, 'Input - Site'!E21)</f>
        <v>Western Australia - Outback (South)</v>
      </c>
      <c r="F12" s="14"/>
    </row>
    <row r="13" spans="1:10" ht="20.100000000000001" customHeight="1" x14ac:dyDescent="0.25">
      <c r="A13" s="23" t="s">
        <v>78</v>
      </c>
      <c r="D13" s="8" t="s">
        <v>261</v>
      </c>
      <c r="E13" s="48" t="s">
        <v>262</v>
      </c>
      <c r="F13" s="68" t="s">
        <v>198</v>
      </c>
    </row>
    <row r="14" spans="1:10" ht="20.100000000000001" customHeight="1" x14ac:dyDescent="0.25">
      <c r="A14" s="16" t="str">
        <f>HYPERLINK("#'Constants - Electricity'!A1", "Constants - Electricity")</f>
        <v>Constants - Electricity</v>
      </c>
    </row>
    <row r="15" spans="1:10" ht="20.100000000000001" customHeight="1" x14ac:dyDescent="0.25">
      <c r="A15" s="16" t="str">
        <f>HYPERLINK("#'Constants - Common'!A1", "Constants - Common")</f>
        <v>Constants - Common</v>
      </c>
    </row>
    <row r="16" spans="1:10" ht="20.100000000000001" customHeight="1" x14ac:dyDescent="0.25">
      <c r="C16" s="104"/>
      <c r="D16" s="104"/>
      <c r="E16" s="104"/>
      <c r="F16" s="104"/>
      <c r="G16" s="104"/>
      <c r="H16" s="104"/>
      <c r="I16" s="104"/>
      <c r="J16" s="104"/>
    </row>
    <row r="17" spans="1:11" ht="20.100000000000001" customHeight="1" x14ac:dyDescent="0.25">
      <c r="D17" s="9" t="s">
        <v>263</v>
      </c>
    </row>
    <row r="18" spans="1:11" ht="20.100000000000001" customHeight="1" x14ac:dyDescent="0.25">
      <c r="E18" s="57" t="str">
        <f>IF(E12="ACT", "", "ALERT: Your farm is not in the ACT, so the JRPP is not applicable")</f>
        <v>ALERT: Your farm is not in the ACT, so the JRPP is not applicable</v>
      </c>
    </row>
    <row r="19" spans="1:11" ht="20.100000000000001" customHeight="1" x14ac:dyDescent="0.25">
      <c r="D19" s="8" t="s">
        <v>264</v>
      </c>
      <c r="E19" s="103">
        <v>30000</v>
      </c>
      <c r="F19" s="68" t="s">
        <v>259</v>
      </c>
    </row>
    <row r="20" spans="1:11" ht="20.100000000000001" customHeight="1" x14ac:dyDescent="0.25">
      <c r="A20" s="16"/>
      <c r="D20" s="8" t="s">
        <v>265</v>
      </c>
      <c r="E20" s="90">
        <v>0.1</v>
      </c>
      <c r="F20" s="68" t="s">
        <v>266</v>
      </c>
    </row>
    <row r="21" spans="1:11" ht="20.100000000000001" customHeight="1" x14ac:dyDescent="0.25">
      <c r="A21" s="16"/>
      <c r="D21" s="8" t="s">
        <v>267</v>
      </c>
      <c r="E21" s="90">
        <v>0.1</v>
      </c>
      <c r="F21" s="68" t="s">
        <v>266</v>
      </c>
    </row>
    <row r="22" spans="1:11" ht="20.100000000000001" customHeight="1" x14ac:dyDescent="0.25"/>
    <row r="23" spans="1:11" ht="20.100000000000001" customHeight="1" x14ac:dyDescent="0.25">
      <c r="A23" s="16"/>
      <c r="D23" s="8" t="s">
        <v>268</v>
      </c>
      <c r="E23" s="103">
        <v>10000</v>
      </c>
      <c r="F23" s="68" t="s">
        <v>259</v>
      </c>
    </row>
    <row r="24" spans="1:11" ht="20.100000000000001" customHeight="1" x14ac:dyDescent="0.25"/>
    <row r="25" spans="1:11" ht="20.100000000000001" customHeight="1" x14ac:dyDescent="0.25">
      <c r="D25" s="8" t="s">
        <v>269</v>
      </c>
      <c r="E25" s="105" t="str">
        <f>TEXT('Input - Site'!$E$12, "dd mmm yyyy")</f>
        <v>01 Jan 2024</v>
      </c>
    </row>
    <row r="26" spans="1:11" ht="20.100000000000001" customHeight="1" x14ac:dyDescent="0.25">
      <c r="D26" s="8" t="s">
        <v>270</v>
      </c>
      <c r="E26" s="105" t="str">
        <f>TEXT('Input - Site'!$E$13, "dd mmm yyyy")</f>
        <v>31 Dec 2024</v>
      </c>
    </row>
    <row r="27" spans="1:11" ht="20.100000000000001" customHeight="1" x14ac:dyDescent="0.25"/>
    <row r="28" spans="1:11" ht="20.100000000000001" customHeight="1" x14ac:dyDescent="0.25">
      <c r="D28" s="74" t="s">
        <v>271</v>
      </c>
    </row>
    <row r="29" spans="1:11" ht="20.100000000000001" customHeight="1" x14ac:dyDescent="0.25">
      <c r="A29" s="16"/>
      <c r="K29" s="54"/>
    </row>
    <row r="30" spans="1:11" ht="20.100000000000001" customHeight="1" x14ac:dyDescent="0.25">
      <c r="A30" s="16"/>
      <c r="D30" s="101" t="s">
        <v>123</v>
      </c>
      <c r="E30" s="102"/>
      <c r="K30" s="54"/>
    </row>
    <row r="31" spans="1:11" ht="20.100000000000001" customHeight="1" x14ac:dyDescent="0.25">
      <c r="A31" s="52"/>
      <c r="K31" s="54"/>
    </row>
    <row r="32" spans="1:11" ht="20.100000000000001" customHeight="1" x14ac:dyDescent="0.25">
      <c r="A32" s="52"/>
      <c r="D32" s="47" t="s">
        <v>272</v>
      </c>
      <c r="E32" s="47" t="s">
        <v>273</v>
      </c>
      <c r="F32" s="47" t="s">
        <v>274</v>
      </c>
      <c r="G32" s="47" t="s">
        <v>275</v>
      </c>
      <c r="H32" s="47" t="s">
        <v>276</v>
      </c>
      <c r="I32" s="47" t="s">
        <v>277</v>
      </c>
      <c r="K32" s="54"/>
    </row>
    <row r="33" spans="1:12" ht="20.100000000000001" customHeight="1" x14ac:dyDescent="0.25">
      <c r="A33" s="16"/>
      <c r="D33" s="10" t="s">
        <v>278</v>
      </c>
      <c r="E33" s="48" t="s">
        <v>279</v>
      </c>
      <c r="F33" s="106">
        <v>44185</v>
      </c>
      <c r="G33" s="10">
        <v>12</v>
      </c>
      <c r="H33" s="50">
        <f>Table_Input_RECSurrendered[[#This Row],[Number of certificates]]</f>
        <v>12</v>
      </c>
      <c r="I33" s="50" t="str">
        <f>IF(DATEDIF(Table_Input_RECSurrendered[[#This Row],[Generation date]],DATEVALUE($E$26),"M")&gt;36,"Ineligible - older than 36 months","Elegible")</f>
        <v>Ineligible - older than 36 months</v>
      </c>
      <c r="K33" s="54"/>
    </row>
    <row r="34" spans="1:12" ht="20.100000000000001" customHeight="1" x14ac:dyDescent="0.25">
      <c r="D34" s="10"/>
      <c r="E34" s="48" t="s">
        <v>280</v>
      </c>
      <c r="F34" s="106">
        <v>44575</v>
      </c>
      <c r="G34" s="10">
        <v>5</v>
      </c>
      <c r="H34" s="50">
        <f>Table_Input_RECSurrendered[[#This Row],[Number of certificates]]</f>
        <v>5</v>
      </c>
      <c r="I34" s="50" t="str">
        <f>IF(DATEDIF(Table_Input_RECSurrendered[[#This Row],[Generation date]],DATEVALUE($E$26),"M")&gt;36,"Ineligible - older than 36 months","Elegible")</f>
        <v>Elegible</v>
      </c>
      <c r="K34" s="54"/>
    </row>
    <row r="35" spans="1:12" ht="20.100000000000001" customHeight="1" x14ac:dyDescent="0.25">
      <c r="D35" s="10"/>
      <c r="E35" s="48" t="s">
        <v>279</v>
      </c>
      <c r="F35" s="106">
        <v>45438</v>
      </c>
      <c r="G35" s="10">
        <v>5</v>
      </c>
      <c r="H35" s="50">
        <f>Table_Input_RECSurrendered[[#This Row],[Number of certificates]]</f>
        <v>5</v>
      </c>
      <c r="I35" s="50" t="str">
        <f>IF(DATEDIF(Table_Input_RECSurrendered[[#This Row],[Generation date]],DATEVALUE($E$26),"M")&gt;36,"Ineligible - older than 36 months","Elegible")</f>
        <v>Elegible</v>
      </c>
    </row>
    <row r="36" spans="1:12" ht="20.100000000000001" customHeight="1" x14ac:dyDescent="0.25">
      <c r="L36" s="54"/>
    </row>
    <row r="37" spans="1:12" ht="20.100000000000001" customHeight="1" x14ac:dyDescent="0.25">
      <c r="D37" s="8" t="s">
        <v>281</v>
      </c>
      <c r="E37" s="50">
        <f>SUMIF(Table_Input_RECSurrendered[Elegibility], "Elegible", Table_Input_RECSurrendered[MWh])</f>
        <v>10</v>
      </c>
      <c r="F37" s="68" t="s">
        <v>276</v>
      </c>
      <c r="L37" s="54"/>
    </row>
    <row r="38" spans="1:12" ht="20.100000000000001" customHeight="1" x14ac:dyDescent="0.25">
      <c r="C38" s="53"/>
    </row>
    <row r="39" spans="1:12" ht="20.100000000000001" customHeight="1" x14ac:dyDescent="0.25">
      <c r="A39" s="16"/>
      <c r="C39" s="53"/>
      <c r="D39" s="74" t="s">
        <v>282</v>
      </c>
      <c r="J39" s="53"/>
    </row>
    <row r="40" spans="1:12" s="54" customFormat="1" ht="20.100000000000001" customHeight="1" x14ac:dyDescent="0.25">
      <c r="C40" s="8"/>
      <c r="D40" s="8"/>
      <c r="E40" s="8"/>
      <c r="F40" s="8"/>
      <c r="G40" s="8"/>
      <c r="H40" s="8"/>
      <c r="I40" s="8"/>
      <c r="J40" s="8"/>
    </row>
    <row r="41" spans="1:12" s="54" customFormat="1" ht="20.100000000000001" customHeight="1" x14ac:dyDescent="0.25">
      <c r="A41" s="55"/>
      <c r="C41" s="8"/>
      <c r="D41" s="47" t="s">
        <v>272</v>
      </c>
      <c r="E41" s="47" t="s">
        <v>143</v>
      </c>
      <c r="F41" s="47" t="s">
        <v>274</v>
      </c>
      <c r="G41" s="47" t="s">
        <v>275</v>
      </c>
      <c r="H41" s="47" t="s">
        <v>276</v>
      </c>
      <c r="I41" s="47" t="s">
        <v>277</v>
      </c>
      <c r="J41" s="8"/>
      <c r="L41" s="54" t="s">
        <v>283</v>
      </c>
    </row>
    <row r="42" spans="1:12" ht="20.100000000000001" customHeight="1" x14ac:dyDescent="0.25">
      <c r="D42" s="10" t="s">
        <v>284</v>
      </c>
      <c r="E42" s="107" t="str">
        <f>"Issued for generated electricity"</f>
        <v>Issued for generated electricity</v>
      </c>
      <c r="F42" s="106">
        <v>44697</v>
      </c>
      <c r="G42" s="10">
        <v>10</v>
      </c>
      <c r="H42" s="50">
        <f>Table_Input_RECConsumedByEntity[[#This Row],[Number of certificates]]</f>
        <v>10</v>
      </c>
      <c r="I42" s="50" t="str">
        <f>IF(AND(Table_Input_RECConsumedByEntity[[#This Row],[Generation date]]&gt;=DATEVALUE($E$25), Table_Input_RECConsumedByEntity[[#This Row],[Generation date]]&lt;= DATEVALUE($E$26)), "Elegible", "Ineligible - outside reporting year")</f>
        <v>Ineligible - outside reporting year</v>
      </c>
    </row>
    <row r="43" spans="1:12" ht="20.100000000000001" customHeight="1" x14ac:dyDescent="0.25">
      <c r="D43" s="10"/>
      <c r="E43" s="107" t="str">
        <f>"Issued for generated electricity"</f>
        <v>Issued for generated electricity</v>
      </c>
      <c r="F43" s="106">
        <v>45483</v>
      </c>
      <c r="G43" s="10">
        <v>4</v>
      </c>
      <c r="H43" s="50">
        <f>Table_Input_RECConsumedByEntity[[#This Row],[Number of certificates]]</f>
        <v>4</v>
      </c>
      <c r="I43" s="50" t="str">
        <f>IF(AND(Table_Input_RECConsumedByEntity[[#This Row],[Generation date]]&gt;=DATEVALUE($E$25), Table_Input_RECConsumedByEntity[[#This Row],[Generation date]]&lt;= DATEVALUE($E$26)), "Elegible", "Ineligible - outside reporting year")</f>
        <v>Elegible</v>
      </c>
    </row>
    <row r="44" spans="1:12" ht="20.100000000000001" customHeight="1" x14ac:dyDescent="0.25">
      <c r="A44" s="56"/>
      <c r="D44" s="10"/>
      <c r="E44" s="107" t="str">
        <f>"Issued for generated electricity"</f>
        <v>Issued for generated electricity</v>
      </c>
      <c r="F44" s="106">
        <v>45607</v>
      </c>
      <c r="G44" s="10">
        <v>7</v>
      </c>
      <c r="H44" s="50">
        <f>Table_Input_RECConsumedByEntity[[#This Row],[Number of certificates]]</f>
        <v>7</v>
      </c>
      <c r="I44" s="50" t="str">
        <f>IF(AND(Table_Input_RECConsumedByEntity[[#This Row],[Generation date]]&gt;=DATEVALUE($E$25), Table_Input_RECConsumedByEntity[[#This Row],[Generation date]]&lt;= DATEVALUE($E$26)), "Elegible", "Ineligible - outside reporting year")</f>
        <v>Elegible</v>
      </c>
    </row>
    <row r="45" spans="1:12" ht="20.100000000000001" customHeight="1" x14ac:dyDescent="0.25"/>
    <row r="46" spans="1:12" ht="20.100000000000001" customHeight="1" x14ac:dyDescent="0.25">
      <c r="D46" s="8" t="s">
        <v>285</v>
      </c>
      <c r="E46" s="50">
        <f>SUMIF(Table_Input_RECConsumedByEntity[Elegibility], "Elegible", Table_Input_RECConsumedByEntity[Number of certificates])</f>
        <v>11</v>
      </c>
      <c r="F46" s="68" t="s">
        <v>276</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08"/>
    </row>
    <row r="54" spans="4:4" ht="20.100000000000001" customHeight="1" x14ac:dyDescent="0.25"/>
    <row r="55" spans="4:4" ht="20.100000000000001" customHeight="1" x14ac:dyDescent="0.25">
      <c r="D55" s="108"/>
    </row>
    <row r="56" spans="4:4" ht="20.100000000000001" customHeight="1" x14ac:dyDescent="0.25">
      <c r="D56" s="108"/>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57"/>
    </row>
  </sheetData>
  <conditionalFormatting sqref="F130:F131">
    <cfRule type="cellIs" dxfId="18" priority="8" operator="lessThan">
      <formula>0</formula>
    </cfRule>
  </conditionalFormatting>
  <conditionalFormatting sqref="F142:F143">
    <cfRule type="cellIs" dxfId="17" priority="7" operator="lessThan">
      <formula>0</formula>
    </cfRule>
  </conditionalFormatting>
  <conditionalFormatting sqref="F154:F155">
    <cfRule type="cellIs" dxfId="16" priority="6" operator="lessThan">
      <formula>0</formula>
    </cfRule>
  </conditionalFormatting>
  <conditionalFormatting sqref="F166:F167">
    <cfRule type="cellIs" dxfId="15" priority="5" operator="lessThan">
      <formula>0</formula>
    </cfRule>
  </conditionalFormatting>
  <conditionalFormatting sqref="F254:F255">
    <cfRule type="cellIs" dxfId="14" priority="17" operator="lessThan">
      <formula>0</formula>
    </cfRule>
  </conditionalFormatting>
  <conditionalFormatting sqref="F259:F260">
    <cfRule type="cellIs" dxfId="13" priority="16" operator="lessThan">
      <formula>0</formula>
    </cfRule>
  </conditionalFormatting>
  <conditionalFormatting sqref="F264:F265">
    <cfRule type="cellIs" dxfId="12" priority="15" operator="lessThan">
      <formula>0</formula>
    </cfRule>
  </conditionalFormatting>
  <conditionalFormatting sqref="F288:F289">
    <cfRule type="cellIs" dxfId="11" priority="14" operator="lessThan">
      <formula>0</formula>
    </cfRule>
  </conditionalFormatting>
  <conditionalFormatting sqref="F293:F294">
    <cfRule type="cellIs" dxfId="10" priority="13" operator="lessThan">
      <formula>0</formula>
    </cfRule>
  </conditionalFormatting>
  <conditionalFormatting sqref="F298:F299">
    <cfRule type="cellIs" dxfId="9" priority="12" operator="lessThan">
      <formula>0</formula>
    </cfRule>
  </conditionalFormatting>
  <conditionalFormatting sqref="I59:I63">
    <cfRule type="cellIs" dxfId="8" priority="4" operator="lessThan">
      <formula>0</formula>
    </cfRule>
  </conditionalFormatting>
  <conditionalFormatting sqref="I67 I126">
    <cfRule type="cellIs" dxfId="7" priority="10" operator="lessThan">
      <formula>0</formula>
    </cfRule>
  </conditionalFormatting>
  <conditionalFormatting sqref="I78:I80">
    <cfRule type="cellIs" dxfId="6" priority="3" operator="lessThan">
      <formula>0</formula>
    </cfRule>
  </conditionalFormatting>
  <conditionalFormatting sqref="I84:I87">
    <cfRule type="cellIs" dxfId="5" priority="2" operator="lessThan">
      <formula>0</formula>
    </cfRule>
  </conditionalFormatting>
  <conditionalFormatting sqref="I91:I95">
    <cfRule type="cellIs" dxfId="4" priority="1" operator="lessThan">
      <formula>0</formula>
    </cfRule>
  </conditionalFormatting>
  <conditionalFormatting sqref="J31 I45:I46 H47:H49 I48 I50:I52 I54:I55 I206 I212 E214:G214">
    <cfRule type="cellIs" dxfId="3" priority="11" operator="lessThan">
      <formula>0</formula>
    </cfRule>
  </conditionalFormatting>
  <conditionalFormatting sqref="J35 I36 J37 I39 F51">
    <cfRule type="cellIs" dxfId="2" priority="9" operator="lessThan">
      <formula>0</formula>
    </cfRule>
  </conditionalFormatting>
  <dataValidations count="6">
    <dataValidation type="list" allowBlank="1" showInputMessage="1" showErrorMessage="1" sqref="E33:E35" xr:uid="{FBACCABC-AF99-44FB-9146-6F32E67A5303}">
      <formula1>"Purchased certificate, Issued for generated electricity"</formula1>
    </dataValidation>
    <dataValidation type="list" allowBlank="1" showInputMessage="1" showErrorMessage="1" sqref="E13" xr:uid="{E4F8F83F-4341-4C8F-8B4E-3BD34EE5E4F4}">
      <formula1>INDIRECT("Table_SourceData_ElectricityEFs[State, Territory or grid description]")</formula1>
    </dataValidation>
    <dataValidation type="list" allowBlank="1" showInputMessage="1" showErrorMessage="1" sqref="E69" xr:uid="{5829DD4C-82EE-4484-BFD4-BF665CA59C05}">
      <formula1>INDIRECT("Table_SourceData_Swine_IrrigationMethods[Irrigation method]")</formula1>
    </dataValidation>
    <dataValidation type="list" allowBlank="1" showInputMessage="1" showErrorMessage="1" sqref="E253 E258 E263 E297 E292 E287 E165 E153 E129 E141" xr:uid="{110E900E-E296-4031-BCA4-9ED9DDD251B6}">
      <formula1>"Yes, No"</formula1>
    </dataValidation>
    <dataValidation type="list" allowBlank="1" showInputMessage="1" showErrorMessage="1" sqref="E229" xr:uid="{2AF8AB1C-BD2F-4557-A61A-4DD9335E9F3D}">
      <formula1>INDIRECT("Table_SourceData_Dairy_ProductionSystemTemplates[Area]")</formula1>
    </dataValidation>
    <dataValidation type="list" allowBlank="1" showInputMessage="1" showErrorMessage="1" sqref="D281" xr:uid="{80CC41A3-3729-4900-AAA2-039D4AFBBB7A}">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5B47D-1432-4DA7-9DEF-464E02E6C39D}">
  <dimension ref="D2:H46"/>
  <sheetViews>
    <sheetView tabSelected="1" topLeftCell="A13" workbookViewId="0">
      <selection activeCell="D47" sqref="D47"/>
    </sheetView>
  </sheetViews>
  <sheetFormatPr defaultRowHeight="15.75" x14ac:dyDescent="0.25"/>
  <cols>
    <col min="4" max="4" width="39" customWidth="1"/>
    <col min="5" max="5" width="33.75" customWidth="1"/>
    <col min="6" max="6" width="37.375" customWidth="1"/>
  </cols>
  <sheetData>
    <row r="2" spans="4:8" x14ac:dyDescent="0.25">
      <c r="D2" t="s">
        <v>304</v>
      </c>
    </row>
    <row r="3" spans="4:8" x14ac:dyDescent="0.25">
      <c r="D3" s="58" t="s">
        <v>131</v>
      </c>
      <c r="E3" s="8"/>
      <c r="F3" s="8"/>
    </row>
    <row r="4" spans="4:8" x14ac:dyDescent="0.25">
      <c r="D4" s="59" t="s">
        <v>132</v>
      </c>
      <c r="E4" s="8"/>
      <c r="F4" s="8"/>
    </row>
    <row r="5" spans="4:8" x14ac:dyDescent="0.25">
      <c r="D5" s="60" t="s">
        <v>133</v>
      </c>
      <c r="E5" s="60" t="s">
        <v>134</v>
      </c>
      <c r="F5" s="60" t="s">
        <v>135</v>
      </c>
      <c r="H5" s="47" t="s">
        <v>136</v>
      </c>
    </row>
    <row r="6" spans="4:8" x14ac:dyDescent="0.25">
      <c r="D6" s="7" t="str">
        <f>Table_FuelTypesPerUse[[#Headers],[Cars and light commercial vehicles]]</f>
        <v>Cars and light commercial vehicles</v>
      </c>
      <c r="E6" s="61" t="str">
        <f>'Constants - Fuel'!$E$10</f>
        <v>Gasoline</v>
      </c>
      <c r="F6" s="61" t="str">
        <f>'Constants - Fuel'!$G$131</f>
        <v>Petrol</v>
      </c>
      <c r="H6" cm="1">
        <f t="array" ref="H6">Fuel_InputFunctions.Fuel_TotalConsumption(Table_Input_Fuel[Amount consumed],Table_Input_Fuel[Fuel use (select)],D6,Table_Input_Fuel[Fuel type (select)],F6)</f>
        <v>2</v>
      </c>
    </row>
    <row r="7" spans="4:8" x14ac:dyDescent="0.25">
      <c r="D7" s="62" t="str">
        <f>$D$6</f>
        <v>Cars and light commercial vehicles</v>
      </c>
      <c r="E7" s="61" t="str">
        <f>'Constants - Fuel'!$E$11</f>
        <v>Diesel oil</v>
      </c>
      <c r="F7" s="61" t="str">
        <f>'Constants - Fuel'!$G$132</f>
        <v>Diesel</v>
      </c>
      <c r="H7" cm="1">
        <f t="array" ref="H7">Fuel_InputFunctions.Fuel_TotalConsumption(Table_Input_Fuel[Amount consumed],Table_Input_Fuel[Fuel use (select)],D7,Table_Input_Fuel[Fuel type (select)],F7)</f>
        <v>0</v>
      </c>
    </row>
    <row r="8" spans="4:8" x14ac:dyDescent="0.25">
      <c r="D8" s="62" t="str">
        <f t="shared" ref="D8:D13" si="0">$D$6</f>
        <v>Cars and light commercial vehicles</v>
      </c>
      <c r="E8" s="61" t="str">
        <f>'Constants - Fuel'!$E$12</f>
        <v>Liquefied petroleum gas (LPG)</v>
      </c>
      <c r="F8" s="61" t="str">
        <f>'Constants - Fuel'!$G$133</f>
        <v>Liquefied petroleum gas (LPG)</v>
      </c>
      <c r="H8" cm="1">
        <f t="array" ref="H8">Fuel_InputFunctions.Fuel_TotalConsumption(Table_Input_Fuel[Amount consumed],Table_Input_Fuel[Fuel use (select)],D8,Table_Input_Fuel[Fuel type (select)],F8)</f>
        <v>0</v>
      </c>
    </row>
    <row r="9" spans="4:8" x14ac:dyDescent="0.25">
      <c r="D9" s="62" t="str">
        <f t="shared" si="0"/>
        <v>Cars and light commercial vehicles</v>
      </c>
      <c r="E9" s="61" t="str">
        <f>'Constants - Fuel'!$E$13</f>
        <v>Fuel oil</v>
      </c>
      <c r="F9" s="61" t="str">
        <f>'Constants - Fuel'!$G$134</f>
        <v>Fuel oil</v>
      </c>
      <c r="H9" cm="1">
        <f t="array" ref="H9">Fuel_InputFunctions.Fuel_TotalConsumption(Table_Input_Fuel[Amount consumed],Table_Input_Fuel[Fuel use (select)],D9,Table_Input_Fuel[Fuel type (select)],F9)</f>
        <v>0</v>
      </c>
    </row>
    <row r="10" spans="4:8" x14ac:dyDescent="0.25">
      <c r="D10" s="62" t="str">
        <f t="shared" si="0"/>
        <v>Cars and light commercial vehicles</v>
      </c>
      <c r="E10" s="61" t="str">
        <f>'Constants - Fuel'!$E$14</f>
        <v>Ethanol</v>
      </c>
      <c r="F10" s="61" t="str">
        <f>'Constants - Fuel'!$G$135</f>
        <v>Ethanol</v>
      </c>
      <c r="H10" cm="1">
        <f t="array" ref="H10">Fuel_InputFunctions.Fuel_TotalConsumption(Table_Input_Fuel[Amount consumed],Table_Input_Fuel[Fuel use (select)],D10,Table_Input_Fuel[Fuel type (select)],F10)</f>
        <v>0</v>
      </c>
    </row>
    <row r="11" spans="4:8" x14ac:dyDescent="0.25">
      <c r="D11" s="62" t="str">
        <f t="shared" si="0"/>
        <v>Cars and light commercial vehicles</v>
      </c>
      <c r="E11" s="61" t="str">
        <f>'Constants - Fuel'!$E$15</f>
        <v>Biodiesel</v>
      </c>
      <c r="F11" s="61" t="str">
        <f>'Constants - Fuel'!$G$136</f>
        <v>Biodiesel</v>
      </c>
      <c r="H11" cm="1">
        <f t="array" ref="H11">Fuel_InputFunctions.Fuel_TotalConsumption(Table_Input_Fuel[Amount consumed],Table_Input_Fuel[Fuel use (select)],D11,Table_Input_Fuel[Fuel type (select)],F11)</f>
        <v>0</v>
      </c>
    </row>
    <row r="12" spans="4:8" x14ac:dyDescent="0.25">
      <c r="D12" s="62" t="str">
        <f t="shared" si="0"/>
        <v>Cars and light commercial vehicles</v>
      </c>
      <c r="E12" s="61" t="str">
        <f>'Constants - Fuel'!$E$16</f>
        <v>Renewable diesel</v>
      </c>
      <c r="F12" s="61" t="str">
        <f>'Constants - Fuel'!$G$137</f>
        <v>Renewable diesel</v>
      </c>
      <c r="H12" cm="1">
        <f t="array" ref="H12">Fuel_InputFunctions.Fuel_TotalConsumption(Table_Input_Fuel[Amount consumed],Table_Input_Fuel[Fuel use (select)],D12,Table_Input_Fuel[Fuel type (select)],F12)</f>
        <v>0</v>
      </c>
    </row>
    <row r="13" spans="4:8" x14ac:dyDescent="0.25">
      <c r="D13" s="62" t="str">
        <f t="shared" si="0"/>
        <v>Cars and light commercial vehicles</v>
      </c>
      <c r="E13" s="61" t="str">
        <f>'Constants - Fuel'!$E$17</f>
        <v>Other biofuels</v>
      </c>
      <c r="F13" s="61" t="str">
        <f>'Constants - Fuel'!$G$138</f>
        <v>Other biofuels</v>
      </c>
      <c r="H13" cm="1">
        <f t="array" ref="H13">Fuel_InputFunctions.Fuel_TotalConsumption(Table_Input_Fuel[Amount consumed],Table_Input_Fuel[Fuel use (select)],D13,Table_Input_Fuel[Fuel type (select)],F13)</f>
        <v>0</v>
      </c>
    </row>
    <row r="14" spans="4:8" x14ac:dyDescent="0.25">
      <c r="D14" s="63" t="str">
        <f>Table_FuelTypesPerUse[[#Headers],[Off-road Agriculture and forestry equipment]]</f>
        <v>Off-road Agriculture and forestry equipment</v>
      </c>
      <c r="E14" s="64" t="str">
        <f>'Constants - Fuel'!$E$11</f>
        <v>Diesel oil</v>
      </c>
      <c r="F14" s="64" t="str">
        <f>'Constants - Fuel'!$H$131</f>
        <v>Diesel</v>
      </c>
      <c r="H14" cm="1">
        <f t="array" ref="H14">Fuel_InputFunctions.Fuel_TotalConsumption(Table_Input_Fuel[Amount consumed],Table_Input_Fuel[Fuel use (select)],D14,Table_Input_Fuel[Fuel type (select)],F14)</f>
        <v>0</v>
      </c>
    </row>
    <row r="15" spans="4:8" x14ac:dyDescent="0.25">
      <c r="D15" s="63" t="str">
        <f>Table_FuelTypesPerUse[[#Headers],[Aviation]]</f>
        <v>Aviation</v>
      </c>
      <c r="E15" s="64" t="str">
        <f>'Constants - Fuel'!$E$28</f>
        <v>Gasoline for use as fuel in an aircraft</v>
      </c>
      <c r="F15" s="64" t="str">
        <f>'Constants - Fuel'!$F$131</f>
        <v>Avgas</v>
      </c>
      <c r="H15" cm="1">
        <f t="array" ref="H15">Fuel_InputFunctions.Fuel_TotalConsumption(Table_Input_Fuel[Amount consumed],Table_Input_Fuel[Fuel use (select)],D15,Table_Input_Fuel[Fuel type (select)],F15)</f>
        <v>0</v>
      </c>
    </row>
    <row r="16" spans="4:8" x14ac:dyDescent="0.25">
      <c r="D16" s="62" t="str">
        <f>$D$15</f>
        <v>Aviation</v>
      </c>
      <c r="E16" s="61" t="str">
        <f>'Constants - Fuel'!$E$29</f>
        <v>Kerosene for use as fuel in an aircraft</v>
      </c>
      <c r="F16" s="61" t="str">
        <f>'Constants - Fuel'!$F$132</f>
        <v>Jet A1, Jet B</v>
      </c>
      <c r="H16" cm="1">
        <f t="array" ref="H16">Fuel_InputFunctions.Fuel_TotalConsumption(Table_Input_Fuel[Amount consumed],Table_Input_Fuel[Fuel use (select)],D16,Table_Input_Fuel[Fuel type (select)],F16)</f>
        <v>0</v>
      </c>
    </row>
    <row r="17" spans="4:8" x14ac:dyDescent="0.25">
      <c r="D17" s="62" t="str">
        <f>$D$15</f>
        <v>Aviation</v>
      </c>
      <c r="E17" s="61" t="str">
        <f>'Constants - Fuel'!$E$30</f>
        <v>Renewable aviation kerosene</v>
      </c>
      <c r="F17" s="61" t="str">
        <f>'Constants - Fuel'!$F$133</f>
        <v>Renewable aviation kerosene</v>
      </c>
      <c r="H17" cm="1">
        <f t="array" ref="H17">Fuel_InputFunctions.Fuel_TotalConsumption(Table_Input_Fuel[Amount consumed],Table_Input_Fuel[Fuel use (select)],D17,Table_Input_Fuel[Fuel type (select)],F17)</f>
        <v>0</v>
      </c>
    </row>
    <row r="18" spans="4:8" x14ac:dyDescent="0.25">
      <c r="D18" s="63" t="str">
        <f>Table_FuelTypesPerUse[[#Headers],[Vessels]]</f>
        <v>Vessels</v>
      </c>
      <c r="E18" s="64" t="str">
        <f>'Constants - Fuel'!$E$10</f>
        <v>Gasoline</v>
      </c>
      <c r="F18" s="64" t="str">
        <f>'Constants - Fuel'!$I$131</f>
        <v>Petrol</v>
      </c>
      <c r="H18" cm="1">
        <f t="array" ref="H18">Fuel_InputFunctions.Fuel_TotalConsumption(Table_Input_Fuel[Amount consumed],Table_Input_Fuel[Fuel use (select)],D18,Table_Input_Fuel[Fuel type (select)],F18)</f>
        <v>0</v>
      </c>
    </row>
    <row r="19" spans="4:8" x14ac:dyDescent="0.25">
      <c r="D19" s="62" t="str">
        <f>$D$18</f>
        <v>Vessels</v>
      </c>
      <c r="E19" s="61" t="str">
        <f>'Constants - Fuel'!$E$11</f>
        <v>Diesel oil</v>
      </c>
      <c r="F19" s="61" t="str">
        <f>'Constants - Fuel'!$I$132</f>
        <v>Diesel</v>
      </c>
      <c r="H19" cm="1">
        <f t="array" ref="H19">Fuel_InputFunctions.Fuel_TotalConsumption(Table_Input_Fuel[Amount consumed],Table_Input_Fuel[Fuel use (select)],D19,Table_Input_Fuel[Fuel type (select)],F19)</f>
        <v>0</v>
      </c>
    </row>
    <row r="20" spans="4:8" x14ac:dyDescent="0.25">
      <c r="D20" s="62" t="str">
        <f>$D$18</f>
        <v>Vessels</v>
      </c>
      <c r="E20" s="61" t="str">
        <f>'Constants - Fuel'!$E$33</f>
        <v>Fuel Oil</v>
      </c>
      <c r="F20" s="61" t="str">
        <f>'Constants - Fuel'!$I$133</f>
        <v>Fuel oil</v>
      </c>
      <c r="H20" cm="1">
        <f t="array" ref="H20">Fuel_InputFunctions.Fuel_TotalConsumption(Table_Input_Fuel[Amount consumed],Table_Input_Fuel[Fuel use (select)],D20,Table_Input_Fuel[Fuel type (select)],F20)</f>
        <v>0</v>
      </c>
    </row>
    <row r="23" spans="4:8" x14ac:dyDescent="0.25">
      <c r="D23" t="s">
        <v>305</v>
      </c>
    </row>
    <row r="24" spans="4:8" ht="17.25" x14ac:dyDescent="0.25">
      <c r="D24" s="60" t="s">
        <v>138</v>
      </c>
      <c r="E24" s="47" t="s">
        <v>243</v>
      </c>
    </row>
    <row r="25" spans="4:8" x14ac:dyDescent="0.25">
      <c r="D25" s="50" t="str" cm="1">
        <f t="array" ref="D25:D42">Table_Fertiliser_ChemicalCompounds[Fertiliser type f]</f>
        <v>Monoammonium phosphate (MAP)</v>
      </c>
      <c r="E25" s="50"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26" spans="4:8" x14ac:dyDescent="0.25">
      <c r="D26" s="50" t="str">
        <v>Diammonium phosphate (DAP)</v>
      </c>
      <c r="E26" s="50"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27" spans="4:8" x14ac:dyDescent="0.25">
      <c r="D27" s="50" t="str">
        <v>Urea</v>
      </c>
      <c r="E27" s="50"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12913.04348</v>
      </c>
    </row>
    <row r="28" spans="4:8" x14ac:dyDescent="0.25">
      <c r="D28" s="50" t="str">
        <v>Sulphate of ammonia (SOA)</v>
      </c>
      <c r="E28" s="50"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29" spans="4:8" x14ac:dyDescent="0.25">
      <c r="D29" s="50" t="str">
        <v>Urea-ammonium nitrate (UAN)</v>
      </c>
      <c r="E29" s="50"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30" spans="4:8" x14ac:dyDescent="0.25">
      <c r="D30" s="50" t="str">
        <v>Ammonium nitrate (AN)</v>
      </c>
      <c r="E30" s="50"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31" spans="4:8" x14ac:dyDescent="0.25">
      <c r="D31" s="50" t="str">
        <v>Calcium ammonium nitrate (CAN)</v>
      </c>
      <c r="E31" s="50"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32" spans="4:8" x14ac:dyDescent="0.25">
      <c r="D32" s="50" t="str">
        <v>Nitrogen - Ammoniacal</v>
      </c>
      <c r="E32" s="50"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row>
    <row r="33" spans="4:5" x14ac:dyDescent="0.25">
      <c r="D33" s="50" t="str">
        <v>Nitrogen - Nitrate</v>
      </c>
      <c r="E33" s="50"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34" spans="4:5" x14ac:dyDescent="0.25">
      <c r="D34" s="50" t="str">
        <v>Nitrogen - Generic</v>
      </c>
      <c r="E34" s="50"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3180</v>
      </c>
    </row>
    <row r="35" spans="4:5" x14ac:dyDescent="0.25">
      <c r="D35" s="50" t="str">
        <v>Phosphorus - Generic</v>
      </c>
      <c r="E35" s="50"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8800</v>
      </c>
    </row>
    <row r="36" spans="4:5" x14ac:dyDescent="0.25">
      <c r="D36" s="50" t="str">
        <v>Potassium - Generic</v>
      </c>
      <c r="E36" s="50"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7180</v>
      </c>
    </row>
    <row r="37" spans="4:5" x14ac:dyDescent="0.25">
      <c r="D37" s="50" t="str">
        <v>Sulfur - Generic</v>
      </c>
      <c r="E37" s="50"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38" spans="4:5" x14ac:dyDescent="0.25">
      <c r="D38" s="50" t="str">
        <v>Zinc - Generic</v>
      </c>
      <c r="E38" s="50" cm="1">
        <f t="array" ref="E38">Fertiliser_InputFunctions.Fertiliser_TotalChemicalCompoundAppliedAllIngredients($D38,Table_Input_InorganicFertiliser_Brands[Total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39" spans="4:5" x14ac:dyDescent="0.25">
      <c r="D39" s="50" t="str">
        <v>Muriate of potash (MOP)</v>
      </c>
      <c r="E39" s="50" cm="1">
        <f t="array" ref="E39">Fertiliser_InputFunctions.Fertiliser_TotalChemicalCompoundAppliedAllIngredients($D39,Table_Input_InorganicFertiliser_Brands[Total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40" spans="4:5" x14ac:dyDescent="0.25">
      <c r="D40" s="50" t="str">
        <v>Double superphosphate</v>
      </c>
      <c r="E40" s="50" cm="1">
        <f t="array" ref="E40">Fertiliser_InputFunctions.Fertiliser_TotalChemicalCompoundAppliedAllIngredients($D40,Table_Input_InorganicFertiliser_Brands[Total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Fertiliser_InputFunctions.Fertiliser_TotalChemicalCompoundAppliedAllIngredients($D40,Table_Input_InorganicFertiliser_Custom[Total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row>
    <row r="41" spans="4:5" x14ac:dyDescent="0.25">
      <c r="D41" s="50" t="str">
        <v>Single superphosphate (SSP)</v>
      </c>
      <c r="E41" s="50" cm="1">
        <f t="array" ref="E41">Fertiliser_InputFunctions.Fertiliser_TotalChemicalCompoundAppliedAllIngredients($D41,Table_Input_InorganicFertiliser_Brands[Total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Fertiliser_InputFunctions.Fertiliser_TotalChemicalCompoundAppliedAllIngredients($D41,Table_Input_InorganicFertiliser_Custom[Total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42" spans="4:5" x14ac:dyDescent="0.25">
      <c r="D42" s="50" t="str">
        <v>Ammonia</v>
      </c>
      <c r="E42" s="50" cm="1">
        <f t="array" ref="E42">Fertiliser_InputFunctions.Fertiliser_TotalChemicalCompoundAppliedAllIngredients($D42,Table_Input_InorganicFertiliser_Brands[Total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Fertiliser_InputFunctions.Fertiliser_TotalChemicalCompoundAppliedAllIngredients($D42,Table_Input_InorganicFertiliser_Custom[Total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row>
    <row r="44" spans="4:5" x14ac:dyDescent="0.25">
      <c r="D44" t="s">
        <v>306</v>
      </c>
    </row>
    <row r="45" spans="4:5" x14ac:dyDescent="0.25">
      <c r="D45" t="s">
        <v>307</v>
      </c>
      <c r="E45" s="150">
        <f>'Input - Electricity'!E11</f>
        <v>500</v>
      </c>
    </row>
    <row r="46" spans="4:5" x14ac:dyDescent="0.25">
      <c r="D46" t="s">
        <v>308</v>
      </c>
      <c r="E46" t="str">
        <f>'Input - Electricity'!E13</f>
        <v>Western Australia - North Western Interconnected System (NWIS)</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A21E6-7866-4801-882F-E1A523B12899}">
  <dimension ref="A1:AI165"/>
  <sheetViews>
    <sheetView showGridLines="0" zoomScaleNormal="100" workbookViewId="0">
      <selection activeCell="N87" sqref="N87"/>
    </sheetView>
  </sheetViews>
  <sheetFormatPr defaultRowHeight="15.75" x14ac:dyDescent="0.25"/>
  <cols>
    <col min="1" max="1" width="26.875" style="3" customWidth="1"/>
    <col min="2" max="2" width="4.125" style="3" customWidth="1"/>
    <col min="3" max="3" width="4.125" style="8" customWidth="1"/>
    <col min="4" max="9" width="18.125" style="8" customWidth="1"/>
    <col min="10" max="10" width="23" style="8" customWidth="1"/>
    <col min="11" max="31" width="18.125" style="8" customWidth="1"/>
    <col min="32" max="32" width="4.125" style="8" customWidth="1"/>
    <col min="33" max="16384" width="9" style="3"/>
  </cols>
  <sheetData>
    <row r="1" spans="1:35" s="1" customFormat="1" ht="30" customHeight="1" x14ac:dyDescent="0.35">
      <c r="A1" s="1" t="e" vm="1">
        <v>#VALUE!</v>
      </c>
      <c r="C1" s="1" t="s">
        <v>137</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Fertiliser_SourceData.Fertiliser_ChemicalCompoundElements_Title()</f>
        <v>Common inorganic fertilisers</v>
      </c>
      <c r="E5" s="17"/>
      <c r="F5" s="17"/>
      <c r="G5" s="17"/>
      <c r="H5" s="17"/>
      <c r="I5" s="17"/>
      <c r="J5" s="17"/>
    </row>
    <row r="6" spans="1:35" ht="20.100000000000001" customHeight="1" x14ac:dyDescent="0.25">
      <c r="A6" s="18"/>
      <c r="D6" s="11"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19" t="s">
        <v>67</v>
      </c>
      <c r="D7" s="12" t="str" cm="1">
        <f t="array" ref="D7:D18">Fertiliser_SourceData.Fertiliser_ChemicalCompoundElements_Variation()</f>
        <v>VARIATION ON SOURCE</v>
      </c>
    </row>
    <row r="8" spans="1:35" ht="20.100000000000001" customHeight="1" x14ac:dyDescent="0.25">
      <c r="A8" s="16" t="str">
        <f>HYPERLINK("#'Input - Site'!A1", "Site")</f>
        <v>Site</v>
      </c>
      <c r="D8" s="12" t="str">
        <v>Added 'Basis' column to allow cross-referencing with table Table A.2.2.6: Fraction of inorganic fertiliser f that volatilises as NH3 and NOx ((kg NH3-N + NOx-N)/kg N) (FracGASFf)</v>
      </c>
    </row>
    <row r="9" spans="1:35" ht="20.100000000000001" customHeight="1" x14ac:dyDescent="0.25">
      <c r="A9" s="16" t="str">
        <f>HYPERLINK("#'Input - Fertiliser'!A1", "Fertiliser")</f>
        <v>Fertiliser</v>
      </c>
      <c r="D9" s="12" t="str">
        <v>Added extra fertiliser types and generic chemical compounds to allow for custom NPKS blends</v>
      </c>
    </row>
    <row r="10" spans="1:35" ht="20.100000000000001" customHeight="1" x14ac:dyDescent="0.25">
      <c r="A10" s="16"/>
      <c r="D10" s="12" t="str">
        <v>Added extra 'Scope 3 definition' column to allow mapping with scope 3 data</v>
      </c>
    </row>
    <row r="11" spans="1:35" ht="20.100000000000001" customHeight="1" x14ac:dyDescent="0.25">
      <c r="A11" s="21" t="s">
        <v>77</v>
      </c>
      <c r="D11" s="12" t="str">
        <v>Added 'Source' column</v>
      </c>
    </row>
    <row r="12" spans="1:35" ht="20.100000000000001" customHeight="1" x14ac:dyDescent="0.25">
      <c r="A12" s="16" t="str">
        <f>HYPERLINK("#'5.1.1.1-2 Inorganic Fert N2O'!A1", "5.1.1.1-2 Inorganic Fert N2O")</f>
        <v>5.1.1.1-2 Inorganic Fert N2O</v>
      </c>
      <c r="D12" s="12" t="str">
        <v>Combined data from Table A.2.2.3 and Table A.2.2.4 into one table to aid lookup.</v>
      </c>
    </row>
    <row r="13" spans="1:35" ht="20.100000000000001" customHeight="1" x14ac:dyDescent="0.25">
      <c r="A13" s="16" t="str">
        <f>HYPERLINK("#'5.1.1.3-4 Inorganic fert CO2'!A1", "5.1.1.3-4 Inorganic fert CO2")</f>
        <v>5.1.1.3-4 Inorganic fert CO2</v>
      </c>
      <c r="D13" s="12" t="str">
        <v>Excluded 'References' column</v>
      </c>
    </row>
    <row r="14" spans="1:35" ht="20.100000000000001" customHeight="1" x14ac:dyDescent="0.25">
      <c r="A14" s="16" t="str">
        <f>HYPERLINK("#'5.2.1.1-2 Organic Fert N2O'!A1", "5.2.1.1-2 Organic Fert N2O")</f>
        <v>5.2.1.1-2 Organic Fert N2O</v>
      </c>
      <c r="D14" s="12" t="str">
        <v>Excluded 'Ammonium sulfate' as it is a duplicate of 'Sulphate of ammonia (SOA)'</v>
      </c>
    </row>
    <row r="15" spans="1:35" ht="20.100000000000001" customHeight="1" x14ac:dyDescent="0.25">
      <c r="A15" s="16" t="str">
        <f>HYPERLINK("#'5.3.1.1-2 Lime CO2'!A1", "5.3.1.1-2 Lime CO2")</f>
        <v>5.3.1.1-2 Lime CO2</v>
      </c>
      <c r="D15" s="12" t="str">
        <v>Excluded 'Calcium nitrate' as no scope 3 value available.</v>
      </c>
    </row>
    <row r="16" spans="1:35" ht="20.100000000000001" customHeight="1" x14ac:dyDescent="0.25">
      <c r="A16" s="16" t="str">
        <f>HYPERLINK("#'5.4.1.1-4 Atmos deposition'!A1", "5.4.1.1-4 Atmos deposition")</f>
        <v>5.4.1.1-4 Atmos deposition</v>
      </c>
      <c r="D16" s="12" t="str">
        <v>Set 'Nitrogen - Generic' basis as 'Urea-based fertilisers, as urea is the most commonly used form of nitrogen in Australian fertilisers</v>
      </c>
    </row>
    <row r="17" spans="1:18" ht="20.100000000000001" customHeight="1" x14ac:dyDescent="0.25">
      <c r="A17" s="16" t="str">
        <f>HYPERLINK("#'5.5.1.1-2 Leaching and runoff'!A1", "5.5.1.1-2 Leaching and runoff")</f>
        <v>5.5.1.1-2 Leaching and runoff</v>
      </c>
      <c r="D17" s="12" t="str">
        <v>Set 'Urea-ammonium nitrate' basis as 'Urea-based fertiliser'</v>
      </c>
      <c r="K17" s="9" t="str" cm="1">
        <f t="array" ref="K17">Fertiliser_SourceData.Fertiliser_FractionNCommonFertilisers_Title()</f>
        <v>Fraction of nitrogen in common inorganic fertilisers (kgN/kg) (FNorganic,f)</v>
      </c>
      <c r="Q17" s="9" t="str" cm="1">
        <f t="array" ref="Q17">Fertiliser_SourceData.Fertiliser_FractionUreaCommonFertilisers_Title()</f>
        <v>Fraction of urea in common inorganic fertilisers (kg urea/kg) (FUf)</v>
      </c>
    </row>
    <row r="18" spans="1:18" ht="20.100000000000001" customHeight="1" x14ac:dyDescent="0.25">
      <c r="D18" s="12" t="str">
        <v>Ammonia has an FN value of 0.8235 based on (14/17)x100, where 14 is the mass of nitrogen in ammonia and 17 is the molar mass of ammonia.</v>
      </c>
      <c r="K18" s="11" t="str" cm="1">
        <f t="array" ref="K18">Fertiliser_SourceData.Fertiliser_FractionNCommonFertilisers_Source()</f>
        <v>VEERG 2026: Table A.2.2.3</v>
      </c>
      <c r="Q18" s="11" t="str" cm="1">
        <f t="array" ref="Q18">Fertiliser_SourceData.Fertiliser_FractionUreaCommonFertilisers_Source()</f>
        <v>VEERG 2026: Table A.2.2.4</v>
      </c>
    </row>
    <row r="19" spans="1:18" ht="20.100000000000001" customHeight="1" x14ac:dyDescent="0.25">
      <c r="A19" s="23" t="s">
        <v>78</v>
      </c>
      <c r="D19" s="3" t="s">
        <v>138</v>
      </c>
      <c r="E19" s="3" t="s">
        <v>139</v>
      </c>
      <c r="F19" s="3" t="s">
        <v>140</v>
      </c>
      <c r="G19" s="3" t="s">
        <v>141</v>
      </c>
      <c r="H19" s="3" t="s">
        <v>142</v>
      </c>
      <c r="I19" s="3" t="s">
        <v>143</v>
      </c>
      <c r="K19" s="10" t="s">
        <v>138</v>
      </c>
      <c r="L19" s="10" t="s">
        <v>139</v>
      </c>
      <c r="Q19" s="10" t="s">
        <v>138</v>
      </c>
      <c r="R19" s="10" t="s">
        <v>139</v>
      </c>
    </row>
    <row r="20" spans="1:18" ht="20.100000000000001" customHeight="1" x14ac:dyDescent="0.25">
      <c r="A20" s="24" t="str">
        <f>HYPERLINK("#'Constants - Fertiliser'!A1", "Constants - Fertiliser")</f>
        <v>Constants - Fertiliser</v>
      </c>
      <c r="D20" s="65" t="str" cm="1">
        <f t="array" ref="D20">Common_InputFunctions.Utility_DisplayArrayInTable(Fertiliser_SourceData.Fertiliser_ChemicalCompoundElements_Data(),Table_Fertiliser_ChemicalCompounds[[#Headers],[Fertiliser type f]], 0)</f>
        <v>Monoammonium phosphate (MAP)</v>
      </c>
      <c r="E20" s="65" cm="1">
        <f t="array" ref="E20">Common_InputFunctions.Utility_DisplayArrayInTable(Fertiliser_SourceData.Fertiliser_ChemicalCompoundElements_Data(),Table_Fertiliser_ChemicalCompounds[[#Headers],[Fertiliser type f]], 0)</f>
        <v>0.1</v>
      </c>
      <c r="F20" s="65" cm="1">
        <f t="array" ref="F20">Common_InputFunctions.Utility_DisplayArrayInTable(Fertiliser_SourceData.Fertiliser_ChemicalCompoundElements_Data(),Table_Fertiliser_ChemicalCompounds[[#Headers],[Fertiliser type f]], 0)</f>
        <v>0</v>
      </c>
      <c r="G20" s="65" t="str" cm="1">
        <f t="array" ref="G20">Common_InputFunctions.Utility_DisplayArrayInTable(Fertiliser_SourceData.Fertiliser_ChemicalCompoundElements_Data(),Table_Fertiliser_ChemicalCompounds[[#Headers],[Fertiliser type f]], 0)</f>
        <v>Ammonium-based fertilisers</v>
      </c>
      <c r="H20" s="65" t="str" cm="1">
        <f t="array" ref="H20">Common_InputFunctions.Utility_DisplayArrayInTable(Fertiliser_SourceData.Fertiliser_ChemicalCompoundElements_Data(),Table_Fertiliser_ChemicalCompounds[[#Headers],[Fertiliser type f]], 0)</f>
        <v>Monoammonium phosphate (MAP)</v>
      </c>
      <c r="I20" s="65" t="str" cm="1">
        <f t="array" ref="I20">Common_InputFunctions.Utility_DisplayArrayInTable(Fertiliser_SourceData.Fertiliser_ChemicalCompoundElements_Data(),Table_Fertiliser_ChemicalCompounds[[#Headers],[Fertiliser type f]], 0)</f>
        <v>VEERG</v>
      </c>
      <c r="K20" s="10" t="str" cm="1">
        <f t="array" ref="K20">Common_InputFunctions.Utility_DisplayArrayInTable(Fertiliser_SourceData.Fertiliser_FractionNCommonFertilisers_Data(), Table2[[#Headers],[Fertiliser type f]], 0)</f>
        <v>Monoammonium phosphate (MAP)</v>
      </c>
      <c r="L20" s="10" cm="1">
        <f t="array" ref="L20">Common_InputFunctions.Utility_DisplayArrayInTable(Fertiliser_SourceData.Fertiliser_FractionNCommonFertilisers_Data(), Table2[[#Headers],[Fertiliser type f]], 0)</f>
        <v>0.1</v>
      </c>
      <c r="Q20" s="10" t="str" cm="1">
        <f t="array" ref="Q20">Common_InputFunctions.Utility_DisplayArrayInTable(Fertiliser_SourceData.Fertiliser_FractionUreaCommonFertilisers_Data(), Table28[[#Headers],[Fertiliser type f]], 0)</f>
        <v>Monoammonium phosphate (MAP)</v>
      </c>
      <c r="R20" s="10" cm="1">
        <f t="array" ref="R20">Common_InputFunctions.Utility_DisplayArrayInTable(Fertiliser_SourceData.Fertiliser_FractionUreaCommonFertilisers_Data(), Table28[[#Headers],[Fertiliser type f]], 0)</f>
        <v>0</v>
      </c>
    </row>
    <row r="21" spans="1:18" ht="20.100000000000001" customHeight="1" x14ac:dyDescent="0.25">
      <c r="A21" s="16" t="str">
        <f>HYPERLINK("#'Constants - Common'!A1", "Constants - Common")</f>
        <v>Constants - Common</v>
      </c>
      <c r="D21" s="65" t="str" cm="1">
        <f t="array" ref="D21">Common_InputFunctions.Utility_DisplayArrayInTable(Fertiliser_SourceData.Fertiliser_ChemicalCompoundElements_Data(),Table_Fertiliser_ChemicalCompounds[[#Headers],[Fertiliser type f]], 0)</f>
        <v>Diammonium phosphate (DAP)</v>
      </c>
      <c r="E21" s="65" cm="1">
        <f t="array" ref="E21">Common_InputFunctions.Utility_DisplayArrayInTable(Fertiliser_SourceData.Fertiliser_ChemicalCompoundElements_Data(),Table_Fertiliser_ChemicalCompounds[[#Headers],[Fertiliser type f]], 0)</f>
        <v>0.18</v>
      </c>
      <c r="F21" s="65" cm="1">
        <f t="array" ref="F21">Common_InputFunctions.Utility_DisplayArrayInTable(Fertiliser_SourceData.Fertiliser_ChemicalCompoundElements_Data(),Table_Fertiliser_ChemicalCompounds[[#Headers],[Fertiliser type f]], 0)</f>
        <v>0</v>
      </c>
      <c r="G21" s="65" t="str" cm="1">
        <f t="array" ref="G21">Common_InputFunctions.Utility_DisplayArrayInTable(Fertiliser_SourceData.Fertiliser_ChemicalCompoundElements_Data(),Table_Fertiliser_ChemicalCompounds[[#Headers],[Fertiliser type f]], 0)</f>
        <v>Ammonium-based fertilisers</v>
      </c>
      <c r="H21" s="65" t="str" cm="1">
        <f t="array" ref="H21">Common_InputFunctions.Utility_DisplayArrayInTable(Fertiliser_SourceData.Fertiliser_ChemicalCompoundElements_Data(),Table_Fertiliser_ChemicalCompounds[[#Headers],[Fertiliser type f]], 0)</f>
        <v>Diammonium phosphate (DAP)</v>
      </c>
      <c r="I21" s="65" t="str" cm="1">
        <f t="array" ref="I21">Common_InputFunctions.Utility_DisplayArrayInTable(Fertiliser_SourceData.Fertiliser_ChemicalCompoundElements_Data(),Table_Fertiliser_ChemicalCompounds[[#Headers],[Fertiliser type f]], 0)</f>
        <v>VEERG</v>
      </c>
      <c r="K21" s="10" t="str" cm="1">
        <f t="array" ref="K21">Common_InputFunctions.Utility_DisplayArrayInTable(Fertiliser_SourceData.Fertiliser_FractionNCommonFertilisers_Data(), Table2[[#Headers],[Fertiliser type f]], 0)</f>
        <v>Diammonium phosphate (DAP)</v>
      </c>
      <c r="L21" s="10" cm="1">
        <f t="array" ref="L21">Common_InputFunctions.Utility_DisplayArrayInTable(Fertiliser_SourceData.Fertiliser_FractionNCommonFertilisers_Data(), Table2[[#Headers],[Fertiliser type f]], 0)</f>
        <v>0.18</v>
      </c>
      <c r="Q21" s="10" t="str" cm="1">
        <f t="array" ref="Q21">Common_InputFunctions.Utility_DisplayArrayInTable(Fertiliser_SourceData.Fertiliser_FractionUreaCommonFertilisers_Data(), Table28[[#Headers],[Fertiliser type f]], 0)</f>
        <v>Diammonium phosphate (DAP)</v>
      </c>
      <c r="R21" s="10" cm="1">
        <f t="array" ref="R21">Common_InputFunctions.Utility_DisplayArrayInTable(Fertiliser_SourceData.Fertiliser_FractionUreaCommonFertilisers_Data(), Table28[[#Headers],[Fertiliser type f]], 0)</f>
        <v>0</v>
      </c>
    </row>
    <row r="22" spans="1:18" ht="20.100000000000001" customHeight="1" x14ac:dyDescent="0.25">
      <c r="D22" s="65" t="str" cm="1">
        <f t="array" ref="D22">Common_InputFunctions.Utility_DisplayArrayInTable(Fertiliser_SourceData.Fertiliser_ChemicalCompoundElements_Data(),Table_Fertiliser_ChemicalCompounds[[#Headers],[Fertiliser type f]], 0)</f>
        <v>Urea</v>
      </c>
      <c r="E22" s="65" cm="1">
        <f t="array" ref="E22">Common_InputFunctions.Utility_DisplayArrayInTable(Fertiliser_SourceData.Fertiliser_ChemicalCompoundElements_Data(),Table_Fertiliser_ChemicalCompounds[[#Headers],[Fertiliser type f]], 0)</f>
        <v>0.46</v>
      </c>
      <c r="F22" s="65" cm="1">
        <f t="array" ref="F22">Common_InputFunctions.Utility_DisplayArrayInTable(Fertiliser_SourceData.Fertiliser_ChemicalCompoundElements_Data(),Table_Fertiliser_ChemicalCompounds[[#Headers],[Fertiliser type f]], 0)</f>
        <v>1</v>
      </c>
      <c r="G22" s="65" t="str" cm="1">
        <f t="array" ref="G22">Common_InputFunctions.Utility_DisplayArrayInTable(Fertiliser_SourceData.Fertiliser_ChemicalCompoundElements_Data(),Table_Fertiliser_ChemicalCompounds[[#Headers],[Fertiliser type f]], 0)</f>
        <v>Urea-based fertilisers</v>
      </c>
      <c r="H22" s="65" t="str" cm="1">
        <f t="array" ref="H22">Common_InputFunctions.Utility_DisplayArrayInTable(Fertiliser_SourceData.Fertiliser_ChemicalCompoundElements_Data(),Table_Fertiliser_ChemicalCompounds[[#Headers],[Fertiliser type f]], 0)</f>
        <v>Urea</v>
      </c>
      <c r="I22" s="65" t="str" cm="1">
        <f t="array" ref="I22">Common_InputFunctions.Utility_DisplayArrayInTable(Fertiliser_SourceData.Fertiliser_ChemicalCompoundElements_Data(),Table_Fertiliser_ChemicalCompounds[[#Headers],[Fertiliser type f]], 0)</f>
        <v>VEERG</v>
      </c>
      <c r="K22" s="10" t="str" cm="1">
        <f t="array" ref="K22">Common_InputFunctions.Utility_DisplayArrayInTable(Fertiliser_SourceData.Fertiliser_FractionNCommonFertilisers_Data(), Table2[[#Headers],[Fertiliser type f]], 0)</f>
        <v>Urea</v>
      </c>
      <c r="L22" s="10" cm="1">
        <f t="array" ref="L22">Common_InputFunctions.Utility_DisplayArrayInTable(Fertiliser_SourceData.Fertiliser_FractionNCommonFertilisers_Data(), Table2[[#Headers],[Fertiliser type f]], 0)</f>
        <v>0.46</v>
      </c>
      <c r="Q22" s="10" t="str" cm="1">
        <f t="array" ref="Q22">Common_InputFunctions.Utility_DisplayArrayInTable(Fertiliser_SourceData.Fertiliser_FractionUreaCommonFertilisers_Data(), Table28[[#Headers],[Fertiliser type f]], 0)</f>
        <v>Urea</v>
      </c>
      <c r="R22" s="10" cm="1">
        <f t="array" ref="R22">Common_InputFunctions.Utility_DisplayArrayInTable(Fertiliser_SourceData.Fertiliser_FractionUreaCommonFertilisers_Data(), Table28[[#Headers],[Fertiliser type f]], 0)</f>
        <v>1</v>
      </c>
    </row>
    <row r="23" spans="1:18" ht="20.100000000000001" customHeight="1" x14ac:dyDescent="0.25">
      <c r="A23" s="16"/>
      <c r="D23" s="65" t="str" cm="1">
        <f t="array" ref="D23">Common_InputFunctions.Utility_DisplayArrayInTable(Fertiliser_SourceData.Fertiliser_ChemicalCompoundElements_Data(),Table_Fertiliser_ChemicalCompounds[[#Headers],[Fertiliser type f]], 0)</f>
        <v>Sulphate of ammonia (SOA)</v>
      </c>
      <c r="E23" s="65" cm="1">
        <f t="array" ref="E23">Common_InputFunctions.Utility_DisplayArrayInTable(Fertiliser_SourceData.Fertiliser_ChemicalCompoundElements_Data(),Table_Fertiliser_ChemicalCompounds[[#Headers],[Fertiliser type f]], 0)</f>
        <v>0.21</v>
      </c>
      <c r="F23" s="65" cm="1">
        <f t="array" ref="F23">Common_InputFunctions.Utility_DisplayArrayInTable(Fertiliser_SourceData.Fertiliser_ChemicalCompoundElements_Data(),Table_Fertiliser_ChemicalCompounds[[#Headers],[Fertiliser type f]], 0)</f>
        <v>0</v>
      </c>
      <c r="G23" s="65" t="str" cm="1">
        <f t="array" ref="G23">Common_InputFunctions.Utility_DisplayArrayInTable(Fertiliser_SourceData.Fertiliser_ChemicalCompoundElements_Data(),Table_Fertiliser_ChemicalCompounds[[#Headers],[Fertiliser type f]], 0)</f>
        <v>Ammonium-based fertilisers</v>
      </c>
      <c r="H23" s="65" t="str" cm="1">
        <f t="array" ref="H23">Common_InputFunctions.Utility_DisplayArrayInTable(Fertiliser_SourceData.Fertiliser_ChemicalCompoundElements_Data(),Table_Fertiliser_ChemicalCompounds[[#Headers],[Fertiliser type f]], 0)</f>
        <v>Sulphate of ammonia (SOA)</v>
      </c>
      <c r="I23" s="65" t="str" cm="1">
        <f t="array" ref="I23">Common_InputFunctions.Utility_DisplayArrayInTable(Fertiliser_SourceData.Fertiliser_ChemicalCompoundElements_Data(),Table_Fertiliser_ChemicalCompounds[[#Headers],[Fertiliser type f]], 0)</f>
        <v>VEERG</v>
      </c>
      <c r="K23" s="10" t="str" cm="1">
        <f t="array" ref="K23">Common_InputFunctions.Utility_DisplayArrayInTable(Fertiliser_SourceData.Fertiliser_FractionNCommonFertilisers_Data(), Table2[[#Headers],[Fertiliser type f]], 0)</f>
        <v>Sulphate of ammonia (SOA)</v>
      </c>
      <c r="L23" s="10" cm="1">
        <f t="array" ref="L23">Common_InputFunctions.Utility_DisplayArrayInTable(Fertiliser_SourceData.Fertiliser_FractionNCommonFertilisers_Data(), Table2[[#Headers],[Fertiliser type f]], 0)</f>
        <v>0.21</v>
      </c>
      <c r="Q23" s="10" t="str" cm="1">
        <f t="array" ref="Q23">Common_InputFunctions.Utility_DisplayArrayInTable(Fertiliser_SourceData.Fertiliser_FractionUreaCommonFertilisers_Data(), Table28[[#Headers],[Fertiliser type f]], 0)</f>
        <v>Sulphate of ammonia (SOA)</v>
      </c>
      <c r="R23" s="10" cm="1">
        <f t="array" ref="R23">Common_InputFunctions.Utility_DisplayArrayInTable(Fertiliser_SourceData.Fertiliser_FractionUreaCommonFertilisers_Data(), Table28[[#Headers],[Fertiliser type f]], 0)</f>
        <v>0</v>
      </c>
    </row>
    <row r="24" spans="1:18" ht="20.100000000000001" customHeight="1" x14ac:dyDescent="0.25">
      <c r="D24" s="65" t="str" cm="1">
        <f t="array" ref="D24">Common_InputFunctions.Utility_DisplayArrayInTable(Fertiliser_SourceData.Fertiliser_ChemicalCompoundElements_Data(),Table_Fertiliser_ChemicalCompounds[[#Headers],[Fertiliser type f]], 0)</f>
        <v>Urea-ammonium nitrate (UAN)</v>
      </c>
      <c r="E24" s="65" cm="1">
        <f t="array" ref="E24">Common_InputFunctions.Utility_DisplayArrayInTable(Fertiliser_SourceData.Fertiliser_ChemicalCompoundElements_Data(),Table_Fertiliser_ChemicalCompounds[[#Headers],[Fertiliser type f]], 0)</f>
        <v>0.32</v>
      </c>
      <c r="F24" s="65" cm="1">
        <f t="array" ref="F24">Common_InputFunctions.Utility_DisplayArrayInTable(Fertiliser_SourceData.Fertiliser_ChemicalCompoundElements_Data(),Table_Fertiliser_ChemicalCompounds[[#Headers],[Fertiliser type f]], 0)</f>
        <v>0.35</v>
      </c>
      <c r="G24" s="65" t="str" cm="1">
        <f t="array" ref="G24">Common_InputFunctions.Utility_DisplayArrayInTable(Fertiliser_SourceData.Fertiliser_ChemicalCompoundElements_Data(),Table_Fertiliser_ChemicalCompounds[[#Headers],[Fertiliser type f]], 0)</f>
        <v>Urea-based fertilisers</v>
      </c>
      <c r="H24" s="65" t="str" cm="1">
        <f t="array" ref="H24">Common_InputFunctions.Utility_DisplayArrayInTable(Fertiliser_SourceData.Fertiliser_ChemicalCompoundElements_Data(),Table_Fertiliser_ChemicalCompounds[[#Headers],[Fertiliser type f]], 0)</f>
        <v>Urea-ammonium nitrate (UAN)</v>
      </c>
      <c r="I24" s="65" t="str" cm="1">
        <f t="array" ref="I24">Common_InputFunctions.Utility_DisplayArrayInTable(Fertiliser_SourceData.Fertiliser_ChemicalCompoundElements_Data(),Table_Fertiliser_ChemicalCompounds[[#Headers],[Fertiliser type f]], 0)</f>
        <v>VEERG</v>
      </c>
      <c r="K24" s="10" t="str" cm="1">
        <f t="array" ref="K24">Common_InputFunctions.Utility_DisplayArrayInTable(Fertiliser_SourceData.Fertiliser_FractionNCommonFertilisers_Data(), Table2[[#Headers],[Fertiliser type f]], 0)</f>
        <v>Urea-ammonium nitrate (UAN)</v>
      </c>
      <c r="L24" s="10" cm="1">
        <f t="array" ref="L24">Common_InputFunctions.Utility_DisplayArrayInTable(Fertiliser_SourceData.Fertiliser_FractionNCommonFertilisers_Data(), Table2[[#Headers],[Fertiliser type f]], 0)</f>
        <v>0.32</v>
      </c>
      <c r="Q24" s="10" t="str" cm="1">
        <f t="array" ref="Q24">Common_InputFunctions.Utility_DisplayArrayInTable(Fertiliser_SourceData.Fertiliser_FractionUreaCommonFertilisers_Data(), Table28[[#Headers],[Fertiliser type f]], 0)</f>
        <v>Urea-ammonium nitrate (UAN)</v>
      </c>
      <c r="R24" s="10" cm="1">
        <f t="array" ref="R24">Common_InputFunctions.Utility_DisplayArrayInTable(Fertiliser_SourceData.Fertiliser_FractionUreaCommonFertilisers_Data(), Table28[[#Headers],[Fertiliser type f]], 0)</f>
        <v>0.35</v>
      </c>
    </row>
    <row r="25" spans="1:18" ht="20.100000000000001" customHeight="1" x14ac:dyDescent="0.25">
      <c r="D25" s="65" t="str" cm="1">
        <f t="array" ref="D25">Common_InputFunctions.Utility_DisplayArrayInTable(Fertiliser_SourceData.Fertiliser_ChemicalCompoundElements_Data(),Table_Fertiliser_ChemicalCompounds[[#Headers],[Fertiliser type f]], 0)</f>
        <v>Ammonium nitrate (AN)</v>
      </c>
      <c r="E25" s="65" cm="1">
        <f t="array" ref="E25">Common_InputFunctions.Utility_DisplayArrayInTable(Fertiliser_SourceData.Fertiliser_ChemicalCompoundElements_Data(),Table_Fertiliser_ChemicalCompounds[[#Headers],[Fertiliser type f]], 0)</f>
        <v>0.33700000000000002</v>
      </c>
      <c r="F25" s="65" cm="1">
        <f t="array" ref="F25">Common_InputFunctions.Utility_DisplayArrayInTable(Fertiliser_SourceData.Fertiliser_ChemicalCompoundElements_Data(),Table_Fertiliser_ChemicalCompounds[[#Headers],[Fertiliser type f]], 0)</f>
        <v>0</v>
      </c>
      <c r="G25" s="65" t="str" cm="1">
        <f t="array" ref="G25">Common_InputFunctions.Utility_DisplayArrayInTable(Fertiliser_SourceData.Fertiliser_ChemicalCompoundElements_Data(),Table_Fertiliser_ChemicalCompounds[[#Headers],[Fertiliser type f]], 0)</f>
        <v>Ammonium-nitrate based fertilisers</v>
      </c>
      <c r="H25" s="65" t="str" cm="1">
        <f t="array" ref="H25">Common_InputFunctions.Utility_DisplayArrayInTable(Fertiliser_SourceData.Fertiliser_ChemicalCompoundElements_Data(),Table_Fertiliser_ChemicalCompounds[[#Headers],[Fertiliser type f]], 0)</f>
        <v>Ammonium nitrate (AN)</v>
      </c>
      <c r="I25" s="65" t="str" cm="1">
        <f t="array" ref="I25">Common_InputFunctions.Utility_DisplayArrayInTable(Fertiliser_SourceData.Fertiliser_ChemicalCompoundElements_Data(),Table_Fertiliser_ChemicalCompounds[[#Headers],[Fertiliser type f]], 0)</f>
        <v>VEERG</v>
      </c>
      <c r="K25" s="10" t="str" cm="1">
        <f t="array" ref="K25">Common_InputFunctions.Utility_DisplayArrayInTable(Fertiliser_SourceData.Fertiliser_FractionNCommonFertilisers_Data(), Table2[[#Headers],[Fertiliser type f]], 0)</f>
        <v>Ammonium nitrate (AN)</v>
      </c>
      <c r="L25" s="10" cm="1">
        <f t="array" ref="L25">Common_InputFunctions.Utility_DisplayArrayInTable(Fertiliser_SourceData.Fertiliser_FractionNCommonFertilisers_Data(), Table2[[#Headers],[Fertiliser type f]], 0)</f>
        <v>0.33700000000000002</v>
      </c>
      <c r="Q25" s="10" t="str" cm="1">
        <f t="array" ref="Q25">Common_InputFunctions.Utility_DisplayArrayInTable(Fertiliser_SourceData.Fertiliser_FractionUreaCommonFertilisers_Data(), Table28[[#Headers],[Fertiliser type f]], 0)</f>
        <v>Ammonium nitrate (AN)</v>
      </c>
      <c r="R25" s="10" cm="1">
        <f t="array" ref="R25">Common_InputFunctions.Utility_DisplayArrayInTable(Fertiliser_SourceData.Fertiliser_FractionUreaCommonFertilisers_Data(), Table28[[#Headers],[Fertiliser type f]], 0)</f>
        <v>0</v>
      </c>
    </row>
    <row r="26" spans="1:18" ht="20.100000000000001" customHeight="1" x14ac:dyDescent="0.25">
      <c r="D26" s="65" t="str" cm="1">
        <f t="array" ref="D26">Common_InputFunctions.Utility_DisplayArrayInTable(Fertiliser_SourceData.Fertiliser_ChemicalCompoundElements_Data(),Table_Fertiliser_ChemicalCompounds[[#Headers],[Fertiliser type f]], 0)</f>
        <v>Calcium ammonium nitrate (CAN)</v>
      </c>
      <c r="E26" s="65" cm="1">
        <f t="array" ref="E26">Common_InputFunctions.Utility_DisplayArrayInTable(Fertiliser_SourceData.Fertiliser_ChemicalCompoundElements_Data(),Table_Fertiliser_ChemicalCompounds[[#Headers],[Fertiliser type f]], 0)</f>
        <v>0.27</v>
      </c>
      <c r="F26" s="65" cm="1">
        <f t="array" ref="F26">Common_InputFunctions.Utility_DisplayArrayInTable(Fertiliser_SourceData.Fertiliser_ChemicalCompoundElements_Data(),Table_Fertiliser_ChemicalCompounds[[#Headers],[Fertiliser type f]], 0)</f>
        <v>0</v>
      </c>
      <c r="G26" s="65" t="str" cm="1">
        <f t="array" ref="G26">Common_InputFunctions.Utility_DisplayArrayInTable(Fertiliser_SourceData.Fertiliser_ChemicalCompoundElements_Data(),Table_Fertiliser_ChemicalCompounds[[#Headers],[Fertiliser type f]], 0)</f>
        <v>Ammonium-nitrate based fertilisers</v>
      </c>
      <c r="H26" s="65" t="str" cm="1">
        <f t="array" ref="H26">Common_InputFunctions.Utility_DisplayArrayInTable(Fertiliser_SourceData.Fertiliser_ChemicalCompoundElements_Data(),Table_Fertiliser_ChemicalCompounds[[#Headers],[Fertiliser type f]], 0)</f>
        <v>Calcium ammonium nitrate (CAN)</v>
      </c>
      <c r="I26" s="65" t="str" cm="1">
        <f t="array" ref="I26">Common_InputFunctions.Utility_DisplayArrayInTable(Fertiliser_SourceData.Fertiliser_ChemicalCompoundElements_Data(),Table_Fertiliser_ChemicalCompounds[[#Headers],[Fertiliser type f]], 0)</f>
        <v>VEERG</v>
      </c>
      <c r="K26" s="10" t="str" cm="1">
        <f t="array" ref="K26">Common_InputFunctions.Utility_DisplayArrayInTable(Fertiliser_SourceData.Fertiliser_FractionNCommonFertilisers_Data(), Table2[[#Headers],[Fertiliser type f]], 0)</f>
        <v>Calcium ammonium nitrate (CAN)</v>
      </c>
      <c r="L26" s="10" cm="1">
        <f t="array" ref="L26">Common_InputFunctions.Utility_DisplayArrayInTable(Fertiliser_SourceData.Fertiliser_FractionNCommonFertilisers_Data(), Table2[[#Headers],[Fertiliser type f]], 0)</f>
        <v>0.27</v>
      </c>
      <c r="Q26" s="10" t="str" cm="1">
        <f t="array" ref="Q26">Common_InputFunctions.Utility_DisplayArrayInTable(Fertiliser_SourceData.Fertiliser_FractionUreaCommonFertilisers_Data(), Table28[[#Headers],[Fertiliser type f]], 0)</f>
        <v>Calcium ammonium nitrate (CAN)</v>
      </c>
      <c r="R26" s="10" cm="1">
        <f t="array" ref="R26">Common_InputFunctions.Utility_DisplayArrayInTable(Fertiliser_SourceData.Fertiliser_FractionUreaCommonFertilisers_Data(), Table28[[#Headers],[Fertiliser type f]], 0)</f>
        <v>0</v>
      </c>
    </row>
    <row r="27" spans="1:18" ht="20.100000000000001" customHeight="1" x14ac:dyDescent="0.25">
      <c r="D27" s="65" t="str" cm="1">
        <f t="array" ref="D27">Common_InputFunctions.Utility_DisplayArrayInTable(Fertiliser_SourceData.Fertiliser_ChemicalCompoundElements_Data(),Table_Fertiliser_ChemicalCompounds[[#Headers],[Fertiliser type f]], 0)</f>
        <v>Nitrogen - Ammoniacal</v>
      </c>
      <c r="E27" s="65" cm="1">
        <f t="array" ref="E27">Common_InputFunctions.Utility_DisplayArrayInTable(Fertiliser_SourceData.Fertiliser_ChemicalCompoundElements_Data(),Table_Fertiliser_ChemicalCompounds[[#Headers],[Fertiliser type f]], 0)</f>
        <v>1</v>
      </c>
      <c r="F27" s="65" cm="1">
        <f t="array" ref="F27">Common_InputFunctions.Utility_DisplayArrayInTable(Fertiliser_SourceData.Fertiliser_ChemicalCompoundElements_Data(),Table_Fertiliser_ChemicalCompounds[[#Headers],[Fertiliser type f]], 0)</f>
        <v>0</v>
      </c>
      <c r="G27" s="65" t="str" cm="1">
        <f t="array" ref="G27">Common_InputFunctions.Utility_DisplayArrayInTable(Fertiliser_SourceData.Fertiliser_ChemicalCompoundElements_Data(),Table_Fertiliser_ChemicalCompounds[[#Headers],[Fertiliser type f]], 0)</f>
        <v>Ammonium-based fertilisers</v>
      </c>
      <c r="H27" s="65" t="str" cm="1">
        <f t="array" ref="H27">Common_InputFunctions.Utility_DisplayArrayInTable(Fertiliser_SourceData.Fertiliser_ChemicalCompoundElements_Data(),Table_Fertiliser_ChemicalCompounds[[#Headers],[Fertiliser type f]], 0)</f>
        <v>Nitrogen - Ammoniacal</v>
      </c>
      <c r="I27" s="65" t="str" cm="1">
        <f t="array" ref="I27">Common_InputFunctions.Utility_DisplayArrayInTable(Fertiliser_SourceData.Fertiliser_ChemicalCompoundElements_Data(),Table_Fertiliser_ChemicalCompounds[[#Headers],[Fertiliser type f]], 0)</f>
        <v>LifeCycles</v>
      </c>
      <c r="K27" s="10" t="str" cm="1">
        <f t="array" ref="K27">Common_InputFunctions.Utility_DisplayArrayInTable(Fertiliser_SourceData.Fertiliser_FractionNCommonFertilisers_Data(), Table2[[#Headers],[Fertiliser type f]], 0)</f>
        <v>Ammonium Sulfate</v>
      </c>
      <c r="L27" s="10" cm="1">
        <f t="array" ref="L27">Common_InputFunctions.Utility_DisplayArrayInTable(Fertiliser_SourceData.Fertiliser_FractionNCommonFertilisers_Data(), Table2[[#Headers],[Fertiliser type f]], 0)</f>
        <v>0.21</v>
      </c>
      <c r="Q27" s="10" t="str" cm="1">
        <f t="array" ref="Q27">Common_InputFunctions.Utility_DisplayArrayInTable(Fertiliser_SourceData.Fertiliser_FractionUreaCommonFertilisers_Data(), Table28[[#Headers],[Fertiliser type f]], 0)</f>
        <v>Ammonium Sulfate</v>
      </c>
      <c r="R27" s="10" cm="1">
        <f t="array" ref="R27">Common_InputFunctions.Utility_DisplayArrayInTable(Fertiliser_SourceData.Fertiliser_FractionUreaCommonFertilisers_Data(), Table28[[#Headers],[Fertiliser type f]], 0)</f>
        <v>0</v>
      </c>
    </row>
    <row r="28" spans="1:18" ht="20.100000000000001" customHeight="1" x14ac:dyDescent="0.25">
      <c r="D28" s="65" t="str" cm="1">
        <f t="array" ref="D28">Common_InputFunctions.Utility_DisplayArrayInTable(Fertiliser_SourceData.Fertiliser_ChemicalCompoundElements_Data(),Table_Fertiliser_ChemicalCompounds[[#Headers],[Fertiliser type f]], 0)</f>
        <v>Nitrogen - Nitrate</v>
      </c>
      <c r="E28" s="65" cm="1">
        <f t="array" ref="E28">Common_InputFunctions.Utility_DisplayArrayInTable(Fertiliser_SourceData.Fertiliser_ChemicalCompoundElements_Data(),Table_Fertiliser_ChemicalCompounds[[#Headers],[Fertiliser type f]], 0)</f>
        <v>1</v>
      </c>
      <c r="F28" s="65" cm="1">
        <f t="array" ref="F28">Common_InputFunctions.Utility_DisplayArrayInTable(Fertiliser_SourceData.Fertiliser_ChemicalCompoundElements_Data(),Table_Fertiliser_ChemicalCompounds[[#Headers],[Fertiliser type f]], 0)</f>
        <v>0</v>
      </c>
      <c r="G28" s="65" t="str" cm="1">
        <f t="array" ref="G28">Common_InputFunctions.Utility_DisplayArrayInTable(Fertiliser_SourceData.Fertiliser_ChemicalCompoundElements_Data(),Table_Fertiliser_ChemicalCompounds[[#Headers],[Fertiliser type f]], 0)</f>
        <v>Nitrate-based fertilisers</v>
      </c>
      <c r="H28" s="65" t="str" cm="1">
        <f t="array" ref="H28">Common_InputFunctions.Utility_DisplayArrayInTable(Fertiliser_SourceData.Fertiliser_ChemicalCompoundElements_Data(),Table_Fertiliser_ChemicalCompounds[[#Headers],[Fertiliser type f]], 0)</f>
        <v>Nitrogen from Nitrate</v>
      </c>
      <c r="I28" s="65" t="str" cm="1">
        <f t="array" ref="I28">Common_InputFunctions.Utility_DisplayArrayInTable(Fertiliser_SourceData.Fertiliser_ChemicalCompoundElements_Data(),Table_Fertiliser_ChemicalCompounds[[#Headers],[Fertiliser type f]], 0)</f>
        <v>LifeCycles</v>
      </c>
      <c r="K28" s="10" t="str" cm="1">
        <f t="array" ref="K28">Common_InputFunctions.Utility_DisplayArrayInTable(Fertiliser_SourceData.Fertiliser_FractionNCommonFertilisers_Data(), Table2[[#Headers],[Fertiliser type f]], 0)</f>
        <v>Calcium Nitrate</v>
      </c>
      <c r="L28" s="10" cm="1">
        <f t="array" ref="L28">Common_InputFunctions.Utility_DisplayArrayInTable(Fertiliser_SourceData.Fertiliser_FractionNCommonFertilisers_Data(), Table2[[#Headers],[Fertiliser type f]], 0)</f>
        <v>0.155</v>
      </c>
      <c r="Q28" s="10" t="str" cm="1">
        <f t="array" ref="Q28">Common_InputFunctions.Utility_DisplayArrayInTable(Fertiliser_SourceData.Fertiliser_FractionUreaCommonFertilisers_Data(), Table28[[#Headers],[Fertiliser type f]], 0)</f>
        <v>Calcium Nitrate</v>
      </c>
      <c r="R28" s="10" cm="1">
        <f t="array" ref="R28">Common_InputFunctions.Utility_DisplayArrayInTable(Fertiliser_SourceData.Fertiliser_FractionUreaCommonFertilisers_Data(), Table28[[#Headers],[Fertiliser type f]], 0)</f>
        <v>0</v>
      </c>
    </row>
    <row r="29" spans="1:18" ht="20.100000000000001" customHeight="1" x14ac:dyDescent="0.25">
      <c r="D29" s="65" t="str" cm="1">
        <f t="array" ref="D29">Common_InputFunctions.Utility_DisplayArrayInTable(Fertiliser_SourceData.Fertiliser_ChemicalCompoundElements_Data(),Table_Fertiliser_ChemicalCompounds[[#Headers],[Fertiliser type f]], 0)</f>
        <v>Nitrogen - Generic</v>
      </c>
      <c r="E29" s="65" cm="1">
        <f t="array" ref="E29">Common_InputFunctions.Utility_DisplayArrayInTable(Fertiliser_SourceData.Fertiliser_ChemicalCompoundElements_Data(),Table_Fertiliser_ChemicalCompounds[[#Headers],[Fertiliser type f]], 0)</f>
        <v>1</v>
      </c>
      <c r="F29" s="65" cm="1">
        <f t="array" ref="F29">Common_InputFunctions.Utility_DisplayArrayInTable(Fertiliser_SourceData.Fertiliser_ChemicalCompoundElements_Data(),Table_Fertiliser_ChemicalCompounds[[#Headers],[Fertiliser type f]], 0)</f>
        <v>0</v>
      </c>
      <c r="G29" s="65" t="str" cm="1">
        <f t="array" ref="G29">Common_InputFunctions.Utility_DisplayArrayInTable(Fertiliser_SourceData.Fertiliser_ChemicalCompoundElements_Data(),Table_Fertiliser_ChemicalCompounds[[#Headers],[Fertiliser type f]], 0)</f>
        <v>Urea-based fertilisers</v>
      </c>
      <c r="H29" s="65" t="str" cm="1">
        <f t="array" ref="H29">Common_InputFunctions.Utility_DisplayArrayInTable(Fertiliser_SourceData.Fertiliser_ChemicalCompoundElements_Data(),Table_Fertiliser_ChemicalCompounds[[#Headers],[Fertiliser type f]], 0)</f>
        <v>Nitrogen from fertiliser</v>
      </c>
      <c r="I29" s="65" t="str" cm="1">
        <f t="array" ref="I29">Common_InputFunctions.Utility_DisplayArrayInTable(Fertiliser_SourceData.Fertiliser_ChemicalCompoundElements_Data(),Table_Fertiliser_ChemicalCompounds[[#Headers],[Fertiliser type f]], 0)</f>
        <v>LifeCycles</v>
      </c>
    </row>
    <row r="30" spans="1:18" ht="20.100000000000001" customHeight="1" x14ac:dyDescent="0.25">
      <c r="D30" s="65" t="str" cm="1">
        <f t="array" ref="D30">Common_InputFunctions.Utility_DisplayArrayInTable(Fertiliser_SourceData.Fertiliser_ChemicalCompoundElements_Data(),Table_Fertiliser_ChemicalCompounds[[#Headers],[Fertiliser type f]], 0)</f>
        <v>Phosphorus - Generic</v>
      </c>
      <c r="E30" s="65" cm="1">
        <f t="array" ref="E30">Common_InputFunctions.Utility_DisplayArrayInTable(Fertiliser_SourceData.Fertiliser_ChemicalCompoundElements_Data(),Table_Fertiliser_ChemicalCompounds[[#Headers],[Fertiliser type f]], 0)</f>
        <v>0</v>
      </c>
      <c r="F30" s="65" cm="1">
        <f t="array" ref="F30">Common_InputFunctions.Utility_DisplayArrayInTable(Fertiliser_SourceData.Fertiliser_ChemicalCompoundElements_Data(),Table_Fertiliser_ChemicalCompounds[[#Headers],[Fertiliser type f]], 0)</f>
        <v>0</v>
      </c>
      <c r="G30" s="65" t="str" cm="1">
        <f t="array" ref="G30">Common_InputFunctions.Utility_DisplayArrayInTable(Fertiliser_SourceData.Fertiliser_ChemicalCompoundElements_Data(),Table_Fertiliser_ChemicalCompounds[[#Headers],[Fertiliser type f]], 0)</f>
        <v>Other fertilisers</v>
      </c>
      <c r="H30" s="65" t="str" cm="1">
        <f t="array" ref="H30">Common_InputFunctions.Utility_DisplayArrayInTable(Fertiliser_SourceData.Fertiliser_ChemicalCompoundElements_Data(),Table_Fertiliser_ChemicalCompounds[[#Headers],[Fertiliser type f]], 0)</f>
        <v>Phosphorus from fertiliser</v>
      </c>
      <c r="I30" s="65" t="str" cm="1">
        <f t="array" ref="I30">Common_InputFunctions.Utility_DisplayArrayInTable(Fertiliser_SourceData.Fertiliser_ChemicalCompoundElements_Data(),Table_Fertiliser_ChemicalCompounds[[#Headers],[Fertiliser type f]], 0)</f>
        <v>LifeCycles</v>
      </c>
    </row>
    <row r="31" spans="1:18" ht="20.100000000000001" customHeight="1" x14ac:dyDescent="0.25">
      <c r="D31" s="65" t="str" cm="1">
        <f t="array" ref="D31">Common_InputFunctions.Utility_DisplayArrayInTable(Fertiliser_SourceData.Fertiliser_ChemicalCompoundElements_Data(),Table_Fertiliser_ChemicalCompounds[[#Headers],[Fertiliser type f]], 0)</f>
        <v>Potassium - Generic</v>
      </c>
      <c r="E31" s="65" cm="1">
        <f t="array" ref="E31">Common_InputFunctions.Utility_DisplayArrayInTable(Fertiliser_SourceData.Fertiliser_ChemicalCompoundElements_Data(),Table_Fertiliser_ChemicalCompounds[[#Headers],[Fertiliser type f]], 0)</f>
        <v>0</v>
      </c>
      <c r="F31" s="65" cm="1">
        <f t="array" ref="F31">Common_InputFunctions.Utility_DisplayArrayInTable(Fertiliser_SourceData.Fertiliser_ChemicalCompoundElements_Data(),Table_Fertiliser_ChemicalCompounds[[#Headers],[Fertiliser type f]], 0)</f>
        <v>0</v>
      </c>
      <c r="G31" s="65" t="str" cm="1">
        <f t="array" ref="G31">Common_InputFunctions.Utility_DisplayArrayInTable(Fertiliser_SourceData.Fertiliser_ChemicalCompoundElements_Data(),Table_Fertiliser_ChemicalCompounds[[#Headers],[Fertiliser type f]], 0)</f>
        <v>Other fertilisers</v>
      </c>
      <c r="H31" s="65" t="str" cm="1">
        <f t="array" ref="H31">Common_InputFunctions.Utility_DisplayArrayInTable(Fertiliser_SourceData.Fertiliser_ChemicalCompoundElements_Data(),Table_Fertiliser_ChemicalCompounds[[#Headers],[Fertiliser type f]], 0)</f>
        <v>Potassium from fertiliser</v>
      </c>
      <c r="I31" s="65" t="str" cm="1">
        <f t="array" ref="I31">Common_InputFunctions.Utility_DisplayArrayInTable(Fertiliser_SourceData.Fertiliser_ChemicalCompoundElements_Data(),Table_Fertiliser_ChemicalCompounds[[#Headers],[Fertiliser type f]], 0)</f>
        <v>LifeCycles</v>
      </c>
    </row>
    <row r="32" spans="1:18" ht="20.100000000000001" customHeight="1" x14ac:dyDescent="0.25">
      <c r="D32" s="65" t="str" cm="1">
        <f t="array" ref="D32">Common_InputFunctions.Utility_DisplayArrayInTable(Fertiliser_SourceData.Fertiliser_ChemicalCompoundElements_Data(),Table_Fertiliser_ChemicalCompounds[[#Headers],[Fertiliser type f]], 0)</f>
        <v>Sulfur - Generic</v>
      </c>
      <c r="E32" s="65" cm="1">
        <f t="array" ref="E32">Common_InputFunctions.Utility_DisplayArrayInTable(Fertiliser_SourceData.Fertiliser_ChemicalCompoundElements_Data(),Table_Fertiliser_ChemicalCompounds[[#Headers],[Fertiliser type f]], 0)</f>
        <v>0</v>
      </c>
      <c r="F32" s="65" cm="1">
        <f t="array" ref="F32">Common_InputFunctions.Utility_DisplayArrayInTable(Fertiliser_SourceData.Fertiliser_ChemicalCompoundElements_Data(),Table_Fertiliser_ChemicalCompounds[[#Headers],[Fertiliser type f]], 0)</f>
        <v>0</v>
      </c>
      <c r="G32" s="65" t="str" cm="1">
        <f t="array" ref="G32">Common_InputFunctions.Utility_DisplayArrayInTable(Fertiliser_SourceData.Fertiliser_ChemicalCompoundElements_Data(),Table_Fertiliser_ChemicalCompounds[[#Headers],[Fertiliser type f]], 0)</f>
        <v>Other fertilisers</v>
      </c>
      <c r="H32" s="65" t="str" cm="1">
        <f t="array" ref="H32">Common_InputFunctions.Utility_DisplayArrayInTable(Fertiliser_SourceData.Fertiliser_ChemicalCompoundElements_Data(),Table_Fertiliser_ChemicalCompounds[[#Headers],[Fertiliser type f]], 0)</f>
        <v>Sulfur from fertiliser</v>
      </c>
      <c r="I32" s="65" t="str" cm="1">
        <f t="array" ref="I32">Common_InputFunctions.Utility_DisplayArrayInTable(Fertiliser_SourceData.Fertiliser_ChemicalCompoundElements_Data(),Table_Fertiliser_ChemicalCompounds[[#Headers],[Fertiliser type f]], 0)</f>
        <v>LifeCycles</v>
      </c>
    </row>
    <row r="33" spans="4:10" ht="20.100000000000001" customHeight="1" x14ac:dyDescent="0.25">
      <c r="D33" s="65" t="str" cm="1">
        <f t="array" ref="D33">Common_InputFunctions.Utility_DisplayArrayInTable(Fertiliser_SourceData.Fertiliser_ChemicalCompoundElements_Data(),Table_Fertiliser_ChemicalCompounds[[#Headers],[Fertiliser type f]], 0)</f>
        <v>Zinc - Generic</v>
      </c>
      <c r="E33" s="65" cm="1">
        <f t="array" ref="E33">Common_InputFunctions.Utility_DisplayArrayInTable(Fertiliser_SourceData.Fertiliser_ChemicalCompoundElements_Data(),Table_Fertiliser_ChemicalCompounds[[#Headers],[Fertiliser type f]], 0)</f>
        <v>0</v>
      </c>
      <c r="F33" s="65" cm="1">
        <f t="array" ref="F33">Common_InputFunctions.Utility_DisplayArrayInTable(Fertiliser_SourceData.Fertiliser_ChemicalCompoundElements_Data(),Table_Fertiliser_ChemicalCompounds[[#Headers],[Fertiliser type f]], 0)</f>
        <v>0</v>
      </c>
      <c r="G33" s="65" t="str" cm="1">
        <f t="array" ref="G33">Common_InputFunctions.Utility_DisplayArrayInTable(Fertiliser_SourceData.Fertiliser_ChemicalCompoundElements_Data(),Table_Fertiliser_ChemicalCompounds[[#Headers],[Fertiliser type f]], 0)</f>
        <v>Other fertilisers</v>
      </c>
      <c r="H33" s="65" t="str" cm="1">
        <f t="array" ref="H33">Common_InputFunctions.Utility_DisplayArrayInTable(Fertiliser_SourceData.Fertiliser_ChemicalCompoundElements_Data(),Table_Fertiliser_ChemicalCompounds[[#Headers],[Fertiliser type f]], 0)</f>
        <v>Zinc from fertiliser</v>
      </c>
      <c r="I33" s="65" t="str" cm="1">
        <f t="array" ref="I33">Common_InputFunctions.Utility_DisplayArrayInTable(Fertiliser_SourceData.Fertiliser_ChemicalCompoundElements_Data(),Table_Fertiliser_ChemicalCompounds[[#Headers],[Fertiliser type f]], 0)</f>
        <v>LifeCycles</v>
      </c>
    </row>
    <row r="34" spans="4:10" ht="20.100000000000001" customHeight="1" x14ac:dyDescent="0.25">
      <c r="D34" s="65" t="str" cm="1">
        <f t="array" ref="D34">Common_InputFunctions.Utility_DisplayArrayInTable(Fertiliser_SourceData.Fertiliser_ChemicalCompoundElements_Data(),Table_Fertiliser_ChemicalCompounds[[#Headers],[Fertiliser type f]], 0)</f>
        <v>Muriate of potash (MOP)</v>
      </c>
      <c r="E34" s="65" cm="1">
        <f t="array" ref="E34">Common_InputFunctions.Utility_DisplayArrayInTable(Fertiliser_SourceData.Fertiliser_ChemicalCompoundElements_Data(),Table_Fertiliser_ChemicalCompounds[[#Headers],[Fertiliser type f]], 0)</f>
        <v>0</v>
      </c>
      <c r="F34" s="65" cm="1">
        <f t="array" ref="F34">Common_InputFunctions.Utility_DisplayArrayInTable(Fertiliser_SourceData.Fertiliser_ChemicalCompoundElements_Data(),Table_Fertiliser_ChemicalCompounds[[#Headers],[Fertiliser type f]], 0)</f>
        <v>0</v>
      </c>
      <c r="G34" s="65" t="str" cm="1">
        <f t="array" ref="G34">Common_InputFunctions.Utility_DisplayArrayInTable(Fertiliser_SourceData.Fertiliser_ChemicalCompoundElements_Data(),Table_Fertiliser_ChemicalCompounds[[#Headers],[Fertiliser type f]], 0)</f>
        <v>Other fertilisers</v>
      </c>
      <c r="H34" s="65" t="str" cm="1">
        <f t="array" ref="H34">Common_InputFunctions.Utility_DisplayArrayInTable(Fertiliser_SourceData.Fertiliser_ChemicalCompoundElements_Data(),Table_Fertiliser_ChemicalCompounds[[#Headers],[Fertiliser type f]], 0)</f>
        <v>Muriate of potash (MOP)</v>
      </c>
      <c r="I34" s="65" t="str" cm="1">
        <f t="array" ref="I34">Common_InputFunctions.Utility_DisplayArrayInTable(Fertiliser_SourceData.Fertiliser_ChemicalCompoundElements_Data(),Table_Fertiliser_ChemicalCompounds[[#Headers],[Fertiliser type f]], 0)</f>
        <v>LifeCycles</v>
      </c>
    </row>
    <row r="35" spans="4:10" ht="20.100000000000001" customHeight="1" x14ac:dyDescent="0.25">
      <c r="D35" s="65" t="str" cm="1">
        <f t="array" ref="D35">Common_InputFunctions.Utility_DisplayArrayInTable(Fertiliser_SourceData.Fertiliser_ChemicalCompoundElements_Data(),Table_Fertiliser_ChemicalCompounds[[#Headers],[Fertiliser type f]], 0)</f>
        <v>Double superphosphate</v>
      </c>
      <c r="E35" s="65" cm="1">
        <f t="array" ref="E35">Common_InputFunctions.Utility_DisplayArrayInTable(Fertiliser_SourceData.Fertiliser_ChemicalCompoundElements_Data(),Table_Fertiliser_ChemicalCompounds[[#Headers],[Fertiliser type f]], 0)</f>
        <v>0</v>
      </c>
      <c r="F35" s="65" cm="1">
        <f t="array" ref="F35">Common_InputFunctions.Utility_DisplayArrayInTable(Fertiliser_SourceData.Fertiliser_ChemicalCompoundElements_Data(),Table_Fertiliser_ChemicalCompounds[[#Headers],[Fertiliser type f]], 0)</f>
        <v>0</v>
      </c>
      <c r="G35" s="65" t="str" cm="1">
        <f t="array" ref="G35">Common_InputFunctions.Utility_DisplayArrayInTable(Fertiliser_SourceData.Fertiliser_ChemicalCompoundElements_Data(),Table_Fertiliser_ChemicalCompounds[[#Headers],[Fertiliser type f]], 0)</f>
        <v>Other fertilisers</v>
      </c>
      <c r="H35" s="65" t="str" cm="1">
        <f t="array" ref="H35">Common_InputFunctions.Utility_DisplayArrayInTable(Fertiliser_SourceData.Fertiliser_ChemicalCompoundElements_Data(),Table_Fertiliser_ChemicalCompounds[[#Headers],[Fertiliser type f]], 0)</f>
        <v>Double superphosphate</v>
      </c>
      <c r="I35" s="65" t="str" cm="1">
        <f t="array" ref="I35">Common_InputFunctions.Utility_DisplayArrayInTable(Fertiliser_SourceData.Fertiliser_ChemicalCompoundElements_Data(),Table_Fertiliser_ChemicalCompounds[[#Headers],[Fertiliser type f]], 0)</f>
        <v>LifeCycles</v>
      </c>
    </row>
    <row r="36" spans="4:10" ht="20.100000000000001" customHeight="1" x14ac:dyDescent="0.25">
      <c r="D36" s="65" t="str" cm="1">
        <f t="array" ref="D36">Common_InputFunctions.Utility_DisplayArrayInTable(Fertiliser_SourceData.Fertiliser_ChemicalCompoundElements_Data(),Table_Fertiliser_ChemicalCompounds[[#Headers],[Fertiliser type f]], 0)</f>
        <v>Single superphosphate (SSP)</v>
      </c>
      <c r="E36" s="65" cm="1">
        <f t="array" ref="E36">Common_InputFunctions.Utility_DisplayArrayInTable(Fertiliser_SourceData.Fertiliser_ChemicalCompoundElements_Data(),Table_Fertiliser_ChemicalCompounds[[#Headers],[Fertiliser type f]], 0)</f>
        <v>0</v>
      </c>
      <c r="F36" s="65" cm="1">
        <f t="array" ref="F36">Common_InputFunctions.Utility_DisplayArrayInTable(Fertiliser_SourceData.Fertiliser_ChemicalCompoundElements_Data(),Table_Fertiliser_ChemicalCompounds[[#Headers],[Fertiliser type f]], 0)</f>
        <v>0</v>
      </c>
      <c r="G36" s="65" t="str" cm="1">
        <f t="array" ref="G36">Common_InputFunctions.Utility_DisplayArrayInTable(Fertiliser_SourceData.Fertiliser_ChemicalCompoundElements_Data(),Table_Fertiliser_ChemicalCompounds[[#Headers],[Fertiliser type f]], 0)</f>
        <v>Other fertilisers</v>
      </c>
      <c r="H36" s="65" t="str" cm="1">
        <f t="array" ref="H36">Common_InputFunctions.Utility_DisplayArrayInTable(Fertiliser_SourceData.Fertiliser_ChemicalCompoundElements_Data(),Table_Fertiliser_ChemicalCompounds[[#Headers],[Fertiliser type f]], 0)</f>
        <v>Single superphosphate (SSP)</v>
      </c>
      <c r="I36" s="65" t="str" cm="1">
        <f t="array" ref="I36">Common_InputFunctions.Utility_DisplayArrayInTable(Fertiliser_SourceData.Fertiliser_ChemicalCompoundElements_Data(),Table_Fertiliser_ChemicalCompounds[[#Headers],[Fertiliser type f]], 0)</f>
        <v>LifeCycles</v>
      </c>
    </row>
    <row r="37" spans="4:10" ht="20.100000000000001" customHeight="1" x14ac:dyDescent="0.25">
      <c r="D37" s="65" t="str" cm="1">
        <f t="array" ref="D37">Common_InputFunctions.Utility_DisplayArrayInTable(Fertiliser_SourceData.Fertiliser_ChemicalCompoundElements_Data(),Table_Fertiliser_ChemicalCompounds[[#Headers],[Fertiliser type f]], 0)</f>
        <v>Ammonia</v>
      </c>
      <c r="E37" s="65" cm="1">
        <f t="array" ref="E37">Common_InputFunctions.Utility_DisplayArrayInTable(Fertiliser_SourceData.Fertiliser_ChemicalCompoundElements_Data(),Table_Fertiliser_ChemicalCompounds[[#Headers],[Fertiliser type f]], 0)</f>
        <v>0.82350000000000001</v>
      </c>
      <c r="F37" s="65" cm="1">
        <f t="array" ref="F37">Common_InputFunctions.Utility_DisplayArrayInTable(Fertiliser_SourceData.Fertiliser_ChemicalCompoundElements_Data(),Table_Fertiliser_ChemicalCompounds[[#Headers],[Fertiliser type f]], 0)</f>
        <v>0</v>
      </c>
      <c r="G37" s="65" t="str" cm="1">
        <f t="array" ref="G37">Common_InputFunctions.Utility_DisplayArrayInTable(Fertiliser_SourceData.Fertiliser_ChemicalCompoundElements_Data(),Table_Fertiliser_ChemicalCompounds[[#Headers],[Fertiliser type f]], 0)</f>
        <v>Ammonium-based fertilisers</v>
      </c>
      <c r="H37" s="65" t="str" cm="1">
        <f t="array" ref="H37">Common_InputFunctions.Utility_DisplayArrayInTable(Fertiliser_SourceData.Fertiliser_ChemicalCompoundElements_Data(),Table_Fertiliser_ChemicalCompounds[[#Headers],[Fertiliser type f]], 0)</f>
        <v>Ammonia</v>
      </c>
      <c r="I37" s="65" t="str" cm="1">
        <f t="array" ref="I37">Common_InputFunctions.Utility_DisplayArrayInTable(Fertiliser_SourceData.Fertiliser_ChemicalCompoundElements_Data(),Table_Fertiliser_ChemicalCompounds[[#Headers],[Fertiliser type f]], 0)</f>
        <v>LifeCycles</v>
      </c>
    </row>
    <row r="38" spans="4:10" ht="20.100000000000001" customHeight="1" x14ac:dyDescent="0.25"/>
    <row r="39" spans="4:10" ht="20.100000000000001" customHeight="1" x14ac:dyDescent="0.25"/>
    <row r="40" spans="4:10" ht="20.100000000000001" customHeight="1" x14ac:dyDescent="0.25">
      <c r="D40" s="9" t="s">
        <v>144</v>
      </c>
      <c r="F40" s="9" t="s">
        <v>145</v>
      </c>
      <c r="H40" s="9" t="s">
        <v>146</v>
      </c>
      <c r="J40" s="9" t="s">
        <v>147</v>
      </c>
    </row>
    <row r="41" spans="4:10" ht="20.100000000000001" customHeight="1" x14ac:dyDescent="0.25">
      <c r="D41" s="10" t="s">
        <v>148</v>
      </c>
      <c r="F41" s="10" t="s">
        <v>148</v>
      </c>
      <c r="H41" s="10" t="s">
        <v>43</v>
      </c>
      <c r="J41" s="10" t="s">
        <v>149</v>
      </c>
    </row>
    <row r="42" spans="4:10" ht="20.100000000000001" customHeight="1" x14ac:dyDescent="0.25">
      <c r="D42" s="10" t="s">
        <v>150</v>
      </c>
      <c r="F42" s="10" t="s">
        <v>150</v>
      </c>
      <c r="H42" s="10" t="s">
        <v>151</v>
      </c>
      <c r="J42" s="10" t="s">
        <v>152</v>
      </c>
    </row>
    <row r="43" spans="4:10" ht="20.100000000000001" customHeight="1" x14ac:dyDescent="0.25">
      <c r="D43" s="8" t="s">
        <v>153</v>
      </c>
      <c r="F43" s="8" t="s">
        <v>154</v>
      </c>
      <c r="H43" s="10" t="s">
        <v>155</v>
      </c>
      <c r="J43" s="8" t="s">
        <v>156</v>
      </c>
    </row>
    <row r="44" spans="4:10" ht="20.100000000000001" customHeight="1" x14ac:dyDescent="0.25">
      <c r="F44" s="8" t="s">
        <v>157</v>
      </c>
      <c r="H44" s="8" t="s">
        <v>158</v>
      </c>
      <c r="J44" s="8" t="s">
        <v>159</v>
      </c>
    </row>
    <row r="45" spans="4:10" ht="20.100000000000001" customHeight="1" x14ac:dyDescent="0.25">
      <c r="F45" s="8" t="s">
        <v>160</v>
      </c>
      <c r="H45" s="8" t="s">
        <v>161</v>
      </c>
      <c r="J45" s="8" t="s">
        <v>162</v>
      </c>
    </row>
    <row r="46" spans="4:10" ht="20.100000000000001" customHeight="1" x14ac:dyDescent="0.25">
      <c r="H46" s="8" t="s">
        <v>163</v>
      </c>
      <c r="J46" s="8" t="s">
        <v>164</v>
      </c>
    </row>
    <row r="47" spans="4:10" ht="20.100000000000001" customHeight="1" x14ac:dyDescent="0.25"/>
    <row r="48" spans="4:10" ht="20.100000000000001" customHeight="1" x14ac:dyDescent="0.25">
      <c r="D48" s="9" t="str" cm="1">
        <f t="array" ref="D48">Fertiliser_SourceData.Fertiliser_FracGASF_Title()</f>
        <v>Fraction of inorganic fertiliser that volatilises as NH3 and NOx</v>
      </c>
      <c r="G48" s="17"/>
    </row>
    <row r="49" spans="4:8" ht="20.100000000000001" customHeight="1" x14ac:dyDescent="0.25">
      <c r="D49" s="11" t="str" cm="1">
        <f t="array" ref="D49">Fertiliser_SourceData.Fertiliser_FracGASF_Source()</f>
        <v>Table A.2.2.6: Fraction of inorganic fertiliser f that volatilises as NH3 and NOx ((kg NH3–N + NOx–N)/kg N) (FracGASFf)</v>
      </c>
      <c r="G49" s="17"/>
    </row>
    <row r="50" spans="4:8" ht="20.100000000000001" customHeight="1" x14ac:dyDescent="0.25">
      <c r="D50" s="10" t="s">
        <v>138</v>
      </c>
      <c r="E50" s="10" t="s">
        <v>165</v>
      </c>
      <c r="G50" s="17"/>
    </row>
    <row r="51" spans="4:8" ht="20.100000000000001" customHeight="1" x14ac:dyDescent="0.25">
      <c r="D51" s="10" t="str" cm="1">
        <f t="array" ref="D51">Common_InputFunctions.Utility_DisplayArrayInTable(Fertiliser_SourceData.Fertiliser_FracGASF_Data(), Table_SourceData_Fertiliser_FracGASF[[#Headers],[Fertiliser type f]], 0)</f>
        <v>Urea-based fertilisers</v>
      </c>
      <c r="E51" s="10" cm="1">
        <f t="array" ref="E51">Common_InputFunctions.Utility_DisplayArrayInTable(Fertiliser_SourceData.Fertiliser_FracGASF_Data(), Table_SourceData_Fertiliser_FracGASF[[#Headers],[Fertiliser type f]], 0)</f>
        <v>0.15</v>
      </c>
      <c r="G51" s="17"/>
    </row>
    <row r="52" spans="4:8" ht="20.100000000000001" customHeight="1" x14ac:dyDescent="0.25">
      <c r="D52" s="8" t="str" cm="1">
        <f t="array" ref="D52">Common_InputFunctions.Utility_DisplayArrayInTable(Fertiliser_SourceData.Fertiliser_FracGASF_Data(), Table_SourceData_Fertiliser_FracGASF[[#Headers],[Fertiliser type f]], 0)</f>
        <v>Ammonium-based fertilisers</v>
      </c>
      <c r="E52" s="10" cm="1">
        <f t="array" ref="E52">Common_InputFunctions.Utility_DisplayArrayInTable(Fertiliser_SourceData.Fertiliser_FracGASF_Data(), Table_SourceData_Fertiliser_FracGASF[[#Headers],[Fertiliser type f]], 0)</f>
        <v>0.08</v>
      </c>
      <c r="G52" s="17"/>
    </row>
    <row r="53" spans="4:8" ht="20.100000000000001" customHeight="1" x14ac:dyDescent="0.25">
      <c r="D53" s="8" t="str" cm="1">
        <f t="array" ref="D53">Common_InputFunctions.Utility_DisplayArrayInTable(Fertiliser_SourceData.Fertiliser_FracGASF_Data(), Table_SourceData_Fertiliser_FracGASF[[#Headers],[Fertiliser type f]], 0)</f>
        <v>Nitrate-based fertilisers</v>
      </c>
      <c r="E53" s="10" cm="1">
        <f t="array" ref="E53">Common_InputFunctions.Utility_DisplayArrayInTable(Fertiliser_SourceData.Fertiliser_FracGASF_Data(), Table_SourceData_Fertiliser_FracGASF[[#Headers],[Fertiliser type f]], 0)</f>
        <v>0.01</v>
      </c>
      <c r="G53" s="17"/>
    </row>
    <row r="54" spans="4:8" ht="20.100000000000001" customHeight="1" x14ac:dyDescent="0.25">
      <c r="D54" s="8" t="str" cm="1">
        <f t="array" ref="D54">Common_InputFunctions.Utility_DisplayArrayInTable(Fertiliser_SourceData.Fertiliser_FracGASF_Data(), Table_SourceData_Fertiliser_FracGASF[[#Headers],[Fertiliser type f]], 0)</f>
        <v>Ammonium-nitrate based fertilisers</v>
      </c>
      <c r="E54" s="10" cm="1">
        <f t="array" ref="E54">Common_InputFunctions.Utility_DisplayArrayInTable(Fertiliser_SourceData.Fertiliser_FracGASF_Data(), Table_SourceData_Fertiliser_FracGASF[[#Headers],[Fertiliser type f]], 0)</f>
        <v>0.05</v>
      </c>
      <c r="G54" s="17"/>
      <c r="H54" s="17"/>
    </row>
    <row r="55" spans="4:8" ht="20.100000000000001" customHeight="1" x14ac:dyDescent="0.25">
      <c r="D55" s="8" t="str" cm="1">
        <f t="array" ref="D55">Common_InputFunctions.Utility_DisplayArrayInTable(Fertiliser_SourceData.Fertiliser_FracGASF_Data(), Table_SourceData_Fertiliser_FracGASF[[#Headers],[Fertiliser type f]], 0)</f>
        <v>Other fertilisers</v>
      </c>
      <c r="E55" s="10" cm="1">
        <f t="array" ref="E55">Common_InputFunctions.Utility_DisplayArrayInTable(Fertiliser_SourceData.Fertiliser_FracGASF_Data(), Table_SourceData_Fertiliser_FracGASF[[#Headers],[Fertiliser type f]], 0)</f>
        <v>0.11</v>
      </c>
      <c r="G55" s="17"/>
      <c r="H55" s="17"/>
    </row>
    <row r="56" spans="4:8" ht="20.100000000000001" customHeight="1" x14ac:dyDescent="0.25"/>
    <row r="57" spans="4:8" ht="20.100000000000001" customHeight="1" x14ac:dyDescent="0.25"/>
    <row r="58" spans="4:8" ht="20.100000000000001" customHeight="1" x14ac:dyDescent="0.25">
      <c r="D58" s="9" t="str" cm="1">
        <f t="array" ref="D58">Fertiliser_SourceData.Fertiliser_EFUreaCO2_Title()</f>
        <v>Emission factor for carbon emissions from urea application</v>
      </c>
    </row>
    <row r="59" spans="4:8" ht="20.100000000000001" customHeight="1" x14ac:dyDescent="0.25">
      <c r="D59" s="11" t="str" cm="1">
        <f t="array" ref="D59">Fertiliser_SourceData.Fertiliser_EFUreaCO2_Source()</f>
        <v>VEERG 2026: 5.1.2.2 Constant Parameters</v>
      </c>
    </row>
    <row r="60" spans="4:8" ht="20.100000000000001" customHeight="1" x14ac:dyDescent="0.25">
      <c r="D60" s="28" t="str" cm="1">
        <f t="array" ref="D60">Fertiliser_SourceData.Fertiliser_EFUreaCO2_Variable()</f>
        <v>EFureaCO2</v>
      </c>
      <c r="E60" s="8" cm="1">
        <f t="array" ref="E60">Fertiliser_SourceData.Fertiliser_EFUreaCO2_Data()</f>
        <v>0.2</v>
      </c>
      <c r="F60" s="13"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9" t="str" cm="1">
        <f t="array" ref="D63">Fertiliser_SourceData.Fertiliser_LimeDolomiteGypsumConstants_Title()</f>
        <v>Constants for lime, dolomite and gypsum</v>
      </c>
    </row>
    <row r="64" spans="4:8" ht="20.100000000000001" customHeight="1" x14ac:dyDescent="0.25">
      <c r="D64" s="11" t="str" cm="1">
        <f t="array" ref="D64">Fertiliser_SourceData.Fertiliser_LimeDolomiteGypsumConstants_Source()</f>
        <v>VEERG 2026: 5.3.2.3 Constant Parameters</v>
      </c>
    </row>
    <row r="65" spans="4:6" ht="20.100000000000001" customHeight="1" x14ac:dyDescent="0.25">
      <c r="D65" s="10" t="s">
        <v>166</v>
      </c>
      <c r="E65" s="10" t="s">
        <v>167</v>
      </c>
      <c r="F65" s="10" t="s">
        <v>168</v>
      </c>
    </row>
    <row r="66" spans="4:6" ht="20.100000000000001" customHeight="1" x14ac:dyDescent="0.25">
      <c r="D66" s="10" t="str" cm="1">
        <f t="array" ref="D66">Common_InputFunctions.Utility_DisplayArrayInTable(Fertiliser_SourceData.Fertiliser_LimeDolomiteGypsumConstants_Data(), Table_SourceData_Fertiliser_LimeDolomiteConstants[[#Headers],[Element]], 0)</f>
        <v>Lime (Calcium carbonate)</v>
      </c>
      <c r="E66" s="10" cm="1">
        <f t="array" ref="E66">Common_InputFunctions.Utility_DisplayArrayInTable(Fertiliser_SourceData.Fertiliser_LimeDolomiteGypsumConstants_Data(), Table_SourceData_Fertiliser_LimeDolomiteConstants[[#Headers],[Element]], 0)</f>
        <v>0.9</v>
      </c>
      <c r="F66" s="1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8" t="str" cm="1">
        <f t="array" ref="D67">Common_InputFunctions.Utility_DisplayArrayInTable(Fertiliser_SourceData.Fertiliser_LimeDolomiteGypsumConstants_Data(), Table_SourceData_Fertiliser_LimeDolomiteConstants[[#Headers],[Element]], 0)</f>
        <v>Dolomite (Magnesium carbonate)</v>
      </c>
      <c r="E67" s="10" cm="1">
        <f t="array" ref="E67">Common_InputFunctions.Utility_DisplayArrayInTable(Fertiliser_SourceData.Fertiliser_LimeDolomiteGypsumConstants_Data(), Table_SourceData_Fertiliser_LimeDolomiteConstants[[#Headers],[Element]], 0)</f>
        <v>0.95</v>
      </c>
      <c r="F67" s="1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8" t="str" cm="1">
        <f t="array" ref="D68">Common_InputFunctions.Utility_DisplayArrayInTable(Fertiliser_SourceData.Fertiliser_LimeDolomiteGypsumConstants_Data(), Table_SourceData_Fertiliser_LimeDolomiteConstants[[#Headers],[Element]], 0)</f>
        <v>Gypsum</v>
      </c>
      <c r="E68" s="10" cm="1">
        <f t="array" ref="E68">Common_InputFunctions.Utility_DisplayArrayInTable(Fertiliser_SourceData.Fertiliser_LimeDolomiteGypsumConstants_Data(), Table_SourceData_Fertiliser_LimeDolomiteConstants[[#Headers],[Element]], 0)</f>
        <v>0</v>
      </c>
      <c r="F68" s="1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9" t="str" cm="1">
        <f t="array" ref="D71">Fertiliser_SourceData.Fertiliser_FracGASMSoil_Title()</f>
        <v>Fraction of organic fertiliser that volatilises as NH3 and NOx</v>
      </c>
    </row>
    <row r="72" spans="4:6" ht="20.100000000000001" customHeight="1" x14ac:dyDescent="0.25">
      <c r="D72" s="11" t="str" cm="1">
        <f t="array" ref="D72">Fertiliser_SourceData.Fertiliser_FracGASMSoil_Source()</f>
        <v>VEERG 2026: 5.4.2.3 Constant Parameters</v>
      </c>
    </row>
    <row r="73" spans="4:6" ht="20.100000000000001" customHeight="1" x14ac:dyDescent="0.25">
      <c r="D73" s="28" t="str" cm="1">
        <f t="array" ref="D73">Fertiliser_SourceData.Fertiliser_FracGASMSoil_Variable()</f>
        <v>FracGASMsoil</v>
      </c>
      <c r="E73" s="8" cm="1">
        <f t="array" ref="E73">Fertiliser_SourceData.Fertiliser_FracGASMSoil_Data()</f>
        <v>0.21</v>
      </c>
      <c r="F73" s="13"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9" t="str" cm="1">
        <f t="array" ref="D76">Fertiliser_SourceData.Fertiliser_FracLEACH_Title()</f>
        <v>Fraction of nitrogen that is lost through leaching and runoff</v>
      </c>
    </row>
    <row r="77" spans="4:6" ht="20.100000000000001" customHeight="1" x14ac:dyDescent="0.25">
      <c r="D77" s="11" t="str" cm="1">
        <f t="array" ref="D77">Fertiliser_SourceData.Fertiliser_FracLEACH_Source()</f>
        <v>VEERG 2026: 5.5.2.3 Constant Parameters</v>
      </c>
    </row>
    <row r="78" spans="4:6" ht="20.100000000000001" customHeight="1" x14ac:dyDescent="0.25">
      <c r="D78" s="28" t="str" cm="1">
        <f t="array" ref="D78">Fertiliser_SourceData.Fertiliser_FracLEACH_Variable()</f>
        <v>FracLEACH</v>
      </c>
      <c r="E78" s="8" cm="1">
        <f t="array" ref="E78">Fertiliser_SourceData.Fertiliser_FracLEACH_Data()</f>
        <v>0.24</v>
      </c>
      <c r="F78" s="13"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9" t="str" cm="1">
        <f t="array" ref="D81">Fertiliser_SourceData.Fertiliser_EFLeach_Title()</f>
        <v>Emission factor for nitrogen leaching and runoff</v>
      </c>
    </row>
    <row r="82" spans="4:31" ht="20.100000000000001" customHeight="1" x14ac:dyDescent="0.25">
      <c r="D82" s="11" t="str" cm="1">
        <f t="array" ref="D82">Fertiliser_SourceData.Fertiliser_EFLeach_Source()</f>
        <v>VEERG 2026: 5.5.2.3 Constant Parameters</v>
      </c>
    </row>
    <row r="83" spans="4:31" ht="20.100000000000001" customHeight="1" x14ac:dyDescent="0.25">
      <c r="D83" s="28" t="str" cm="1">
        <f t="array" ref="D83">Fertiliser_SourceData.Fertiliser_EFLeach_Variable()</f>
        <v>EFLeach</v>
      </c>
      <c r="E83" s="8" cm="1">
        <f t="array" ref="E83">Fertiliser_SourceData.Fertiliser_EFLeach_Data()</f>
        <v>1.0999999999999999E-2</v>
      </c>
      <c r="F83" s="13"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row r="87" spans="4:31" ht="20.100000000000001" customHeight="1" x14ac:dyDescent="0.25">
      <c r="D87" s="9" t="s">
        <v>169</v>
      </c>
      <c r="E87" s="17"/>
      <c r="F87" s="17"/>
      <c r="G87" s="17"/>
      <c r="H87" s="17"/>
      <c r="I87" s="17"/>
      <c r="J87" s="17"/>
      <c r="K87" s="17"/>
      <c r="L87" s="17"/>
      <c r="N87" s="17"/>
      <c r="O87" s="17"/>
      <c r="P87" s="17"/>
      <c r="Q87" s="17"/>
      <c r="R87" s="17"/>
      <c r="S87" s="17"/>
      <c r="T87" s="17"/>
      <c r="U87" s="17"/>
    </row>
    <row r="88" spans="4:31" ht="20.100000000000001" customHeight="1" x14ac:dyDescent="0.25">
      <c r="D88" s="17"/>
    </row>
    <row r="89" spans="4:31" ht="20.100000000000001" customHeight="1" x14ac:dyDescent="0.25">
      <c r="D89" s="66" t="s">
        <v>170</v>
      </c>
      <c r="E89" s="10" t="s">
        <v>171</v>
      </c>
      <c r="F89" s="10" t="s">
        <v>172</v>
      </c>
      <c r="G89" s="67" t="s">
        <v>173</v>
      </c>
      <c r="H89" s="67" t="s">
        <v>99</v>
      </c>
      <c r="I89" s="67" t="s">
        <v>174</v>
      </c>
      <c r="J89" s="67" t="s">
        <v>175</v>
      </c>
      <c r="K89" s="67" t="s">
        <v>176</v>
      </c>
      <c r="L89" s="67" t="s">
        <v>177</v>
      </c>
      <c r="M89" s="67" t="s">
        <v>178</v>
      </c>
      <c r="N89" s="67" t="s">
        <v>179</v>
      </c>
      <c r="O89" s="10" t="s">
        <v>180</v>
      </c>
      <c r="P89" s="10" t="s">
        <v>181</v>
      </c>
      <c r="Q89" s="10" t="s">
        <v>182</v>
      </c>
      <c r="R89" s="67" t="s">
        <v>183</v>
      </c>
      <c r="S89" s="67" t="s">
        <v>184</v>
      </c>
      <c r="T89" s="10" t="s">
        <v>185</v>
      </c>
      <c r="U89" s="67" t="s">
        <v>186</v>
      </c>
      <c r="V89" s="67" t="s">
        <v>187</v>
      </c>
      <c r="W89" s="67" t="s">
        <v>188</v>
      </c>
      <c r="X89" s="67" t="s">
        <v>189</v>
      </c>
      <c r="Y89" s="67" t="s">
        <v>190</v>
      </c>
      <c r="Z89" s="10" t="s">
        <v>191</v>
      </c>
      <c r="AA89" s="10" t="s">
        <v>192</v>
      </c>
      <c r="AB89" s="10" t="s">
        <v>193</v>
      </c>
      <c r="AC89" s="10" t="s">
        <v>194</v>
      </c>
      <c r="AD89" s="10" t="s">
        <v>195</v>
      </c>
      <c r="AE89" s="10" t="s">
        <v>196</v>
      </c>
    </row>
    <row r="90" spans="4:31" ht="20.100000000000001" customHeight="1" x14ac:dyDescent="0.25">
      <c r="D90" s="65" t="str" cm="1">
        <f t="array" ref="D90">Common_InputFunctions.Utility_DisplayArrayInTable(Fertiliser_SourceData.Fertiliser_Products_Data1(),FertiliserProducts[[#Headers],[Include or Exclude]], -1)</f>
        <v>Include</v>
      </c>
      <c r="E90" s="65" t="str" cm="1">
        <f t="array" ref="E90">Common_InputFunctions.Utility_DisplayArrayInTable(Fertiliser_SourceData.Fertiliser_Products_Data1(),FertiliserProducts[[#Headers],[Include or Exclude]], 0)</f>
        <v/>
      </c>
      <c r="F90" s="65" t="str" cm="1">
        <f t="array" ref="F90">Common_InputFunctions.Utility_DisplayArrayInTable(Fertiliser_SourceData.Fertiliser_Products_Data1(),FertiliserProducts[[#Headers],[Include or Exclude]], 0)</f>
        <v>Campbells fertilisers Australia</v>
      </c>
      <c r="G90" s="65" t="str" cm="1">
        <f t="array" ref="G90">Common_InputFunctions.Utility_DisplayArrayInTable(Fertiliser_SourceData.Fertiliser_Products_Data1(),FertiliserProducts[[#Headers],[Include or Exclude]], 0)</f>
        <v>Aqua Finish</v>
      </c>
      <c r="H90" s="65" t="str" cm="1">
        <f t="array" ref="H90">Common_InputFunctions.Utility_DisplayArrayInTable(Fertiliser_SourceData.Fertiliser_Products_Data1(),FertiliserProducts[[#Headers],[Include or Exclude]], 0)</f>
        <v>L</v>
      </c>
      <c r="I90" s="65" cm="1">
        <f t="array" ref="I90">Common_InputFunctions.Utility_DisplayArrayInTable(Fertiliser_SourceData.Fertiliser_Products_Data1(),FertiliserProducts[[#Headers],[Include or Exclude]], 0)</f>
        <v>1.26</v>
      </c>
      <c r="J90" s="65" t="str" cm="1">
        <f t="array" ref="J90">Common_InputFunctions.Utility_DisplayArrayInTable(Fertiliser_SourceData.Fertiliser_Products_Data1(),FertiliserProducts[[#Headers],[Include or Exclude]], 0)</f>
        <v/>
      </c>
      <c r="K90" s="65" t="str" cm="1">
        <f t="array" ref="K90">Common_InputFunctions.Utility_DisplayArrayInTable(Fertiliser_SourceData.Fertiliser_Products_Data1(),FertiliserProducts[[#Headers],[Include or Exclude]], 0)</f>
        <v/>
      </c>
      <c r="L90" s="65" t="str" cm="1">
        <f t="array" ref="L90">Common_InputFunctions.Utility_DisplayArrayInTable(Fertiliser_SourceData.Fertiliser_Products_Data1(),FertiliserProducts[[#Headers],[Include or Exclude]], 0)</f>
        <v>Potassium - Generic</v>
      </c>
      <c r="M90" s="10" cm="1">
        <f t="array" ref="M90">Common_InputFunctions.Utility_DisplayArrayInTable(Fertiliser_SourceData.Fertiliser_Products_Data1(),FertiliserProducts[[#Headers],[Include or Exclude]], 0)</f>
        <v>0.22500000000000001</v>
      </c>
      <c r="N90" s="65" t="str" cm="1">
        <f t="array" ref="N90">Common_InputFunctions.Utility_DisplayArrayInTable(Fertiliser_SourceData.Fertiliser_Products_Data1(),FertiliserProducts[[#Headers],[Include or Exclude]], 0)</f>
        <v>Phosphorus - Generic</v>
      </c>
      <c r="O90" s="65" cm="1">
        <f t="array" ref="O90">Common_InputFunctions.Utility_DisplayArrayInTable(Fertiliser_SourceData.Fertiliser_Products_Data1(),FertiliserProducts[[#Headers],[Include or Exclude]], 0)</f>
        <v>0.04</v>
      </c>
      <c r="P90" s="65" t="str" cm="1">
        <f t="array" ref="P90">Common_InputFunctions.Utility_DisplayArrayInTable(Fertiliser_SourceData.Fertiliser_Products_Data1(),FertiliserProducts[[#Headers],[Include or Exclude]], 0)</f>
        <v>Nitrogen - Generic</v>
      </c>
      <c r="Q90" s="65" cm="1">
        <f t="array" ref="Q90">Common_InputFunctions.Utility_DisplayArrayInTable(Fertiliser_SourceData.Fertiliser_Products_Data1(),FertiliserProducts[[#Headers],[Include or Exclude]], 0)</f>
        <v>2.5999999999999999E-2</v>
      </c>
      <c r="R90" s="65" t="str" cm="1">
        <f t="array" ref="R90">Common_InputFunctions.Utility_DisplayArrayInTable(Fertiliser_SourceData.Fertiliser_Products_Data1(),FertiliserProducts[[#Headers],[Include or Exclude]], 0)</f>
        <v/>
      </c>
      <c r="S90" s="65" t="str" cm="1">
        <f t="array" ref="S90">Common_InputFunctions.Utility_DisplayArrayInTable(Fertiliser_SourceData.Fertiliser_Products_Data1(),FertiliserProducts[[#Headers],[Include or Exclude]], 0)</f>
        <v/>
      </c>
      <c r="T90" s="65" t="str" cm="1">
        <f t="array" ref="T90">Common_InputFunctions.Utility_DisplayArrayInTable(Fertiliser_SourceData.Fertiliser_Products_Data1(),FertiliserProducts[[#Headers],[Include or Exclude]], 0)</f>
        <v/>
      </c>
      <c r="U90" s="65" t="str" cm="1">
        <f t="array" ref="U90">Common_InputFunctions.Utility_DisplayArrayInTable(Fertiliser_SourceData.Fertiliser_Products_Data1(),FertiliserProducts[[#Headers],[Include or Exclude]], 0)</f>
        <v/>
      </c>
      <c r="V90" s="10" t="str" cm="1">
        <f t="array" ref="V90">Common_InputFunctions.Utility_DisplayArrayInTable(Fertiliser_SourceData.Fertiliser_Products_Data1(),FertiliserProducts[[#Headers],[Include or Exclude]], 0)</f>
        <v/>
      </c>
      <c r="W90" s="10" t="str" cm="1">
        <f t="array" ref="W90">Common_InputFunctions.Utility_DisplayArrayInTable(Fertiliser_SourceData.Fertiliser_Products_Data1(),FertiliserProducts[[#Headers],[Include or Exclude]], 0)</f>
        <v/>
      </c>
      <c r="X90" s="10" t="str" cm="1">
        <f t="array" ref="X90">Common_InputFunctions.Utility_DisplayArrayInTable(Fertiliser_SourceData.Fertiliser_Products_Data1(),FertiliserProducts[[#Headers],[Include or Exclude]], 0)</f>
        <v/>
      </c>
      <c r="Y90" s="10" t="str" cm="1">
        <f t="array" ref="Y90">Common_InputFunctions.Utility_DisplayArrayInTable(Fertiliser_SourceData.Fertiliser_Products_Data1(),FertiliserProducts[[#Headers],[Include or Exclude]], 0)</f>
        <v/>
      </c>
      <c r="Z90" s="10" t="str" cm="1">
        <f t="array" ref="Z90">Common_InputFunctions.Utility_DisplayArrayInTable(Fertiliser_SourceData.Fertiliser_Products_Data1(),FertiliserProducts[[#Headers],[Include or Exclude]], 0)</f>
        <v/>
      </c>
      <c r="AA90" s="10" t="str" cm="1">
        <f t="array" ref="AA90">Common_InputFunctions.Utility_DisplayArrayInTable(Fertiliser_SourceData.Fertiliser_Products_Data1(),FertiliserProducts[[#Headers],[Include or Exclude]], 0)</f>
        <v/>
      </c>
      <c r="AB90" s="10" t="str" cm="1">
        <f t="array" ref="AB90">Common_InputFunctions.Utility_DisplayArrayInTable(Fertiliser_SourceData.Fertiliser_Products_Data1(),FertiliserProducts[[#Headers],[Include or Exclude]], 0)</f>
        <v/>
      </c>
      <c r="AC90" s="10" t="str" cm="1">
        <f t="array" ref="AC90">Common_InputFunctions.Utility_DisplayArrayInTable(Fertiliser_SourceData.Fertiliser_Products_Data1(),FertiliserProducts[[#Headers],[Include or Exclude]], 0)</f>
        <v/>
      </c>
      <c r="AD90" s="10" t="str" cm="1">
        <f t="array" ref="AD90">Common_InputFunctions.Utility_DisplayArrayInTable(Fertiliser_SourceData.Fertiliser_Products_Data1(),FertiliserProducts[[#Headers],[Include or Exclude]], 0)</f>
        <v/>
      </c>
      <c r="AE90" s="10" t="str" cm="1">
        <f t="array" ref="AE90">Common_InputFunctions.Utility_DisplayArrayInTable(Fertiliser_SourceData.Fertiliser_Products_Data1(),FertiliserProducts[[#Headers],[Include or Exclude]], 0)</f>
        <v/>
      </c>
    </row>
    <row r="91" spans="4:31" ht="20.100000000000001" customHeight="1" x14ac:dyDescent="0.25">
      <c r="D91" s="65" t="str" cm="1">
        <f t="array" ref="D91">Common_InputFunctions.Utility_DisplayArrayInTable(Fertiliser_SourceData.Fertiliser_Products_Data1(),FertiliserProducts[[#Headers],[Include or Exclude]], 0)</f>
        <v>Include</v>
      </c>
      <c r="E91" s="65" t="str" cm="1">
        <f t="array" ref="E91">Common_InputFunctions.Utility_DisplayArrayInTable(Fertiliser_SourceData.Fertiliser_Products_Data1(),FertiliserProducts[[#Headers],[Include or Exclude]], 0)</f>
        <v/>
      </c>
      <c r="F91" s="65" t="str" cm="1">
        <f t="array" ref="F91">Common_InputFunctions.Utility_DisplayArrayInTable(Fertiliser_SourceData.Fertiliser_Products_Data1(),FertiliserProducts[[#Headers],[Include or Exclude]], 0)</f>
        <v>Campbells fertilisers Australia</v>
      </c>
      <c r="G91" s="65" t="str" cm="1">
        <f t="array" ref="G91">Common_InputFunctions.Utility_DisplayArrayInTable(Fertiliser_SourceData.Fertiliser_Products_Data1(),FertiliserProducts[[#Headers],[Include or Exclude]], 0)</f>
        <v>Aqua Grow</v>
      </c>
      <c r="H91" s="65" t="str" cm="1">
        <f t="array" ref="H91">Common_InputFunctions.Utility_DisplayArrayInTable(Fertiliser_SourceData.Fertiliser_Products_Data1(),FertiliserProducts[[#Headers],[Include or Exclude]], 0)</f>
        <v>L</v>
      </c>
      <c r="I91" s="65" cm="1">
        <f t="array" ref="I91">Common_InputFunctions.Utility_DisplayArrayInTable(Fertiliser_SourceData.Fertiliser_Products_Data1(),FertiliserProducts[[#Headers],[Include or Exclude]], 0)</f>
        <v>1.26</v>
      </c>
      <c r="J91" s="65" t="str" cm="1">
        <f t="array" ref="J91">Common_InputFunctions.Utility_DisplayArrayInTable(Fertiliser_SourceData.Fertiliser_Products_Data1(),FertiliserProducts[[#Headers],[Include or Exclude]], 0)</f>
        <v/>
      </c>
      <c r="K91" s="65" t="str" cm="1">
        <f t="array" ref="K91">Common_InputFunctions.Utility_DisplayArrayInTable(Fertiliser_SourceData.Fertiliser_Products_Data1(),FertiliserProducts[[#Headers],[Include or Exclude]], 0)</f>
        <v/>
      </c>
      <c r="L91" s="65" t="str" cm="1">
        <f t="array" ref="L91">Common_InputFunctions.Utility_DisplayArrayInTable(Fertiliser_SourceData.Fertiliser_Products_Data1(),FertiliserProducts[[#Headers],[Include or Exclude]], 0)</f>
        <v>Potassium - Generic</v>
      </c>
      <c r="M91" s="10" cm="1">
        <f t="array" ref="M91">Common_InputFunctions.Utility_DisplayArrayInTable(Fertiliser_SourceData.Fertiliser_Products_Data1(),FertiliserProducts[[#Headers],[Include or Exclude]], 0)</f>
        <v>0.105</v>
      </c>
      <c r="N91" s="65" t="str" cm="1">
        <f t="array" ref="N91">Common_InputFunctions.Utility_DisplayArrayInTable(Fertiliser_SourceData.Fertiliser_Products_Data1(),FertiliserProducts[[#Headers],[Include or Exclude]], 0)</f>
        <v>Nitrogen - Generic</v>
      </c>
      <c r="O91" s="65" cm="1">
        <f t="array" ref="O91">Common_InputFunctions.Utility_DisplayArrayInTable(Fertiliser_SourceData.Fertiliser_Products_Data1(),FertiliserProducts[[#Headers],[Include or Exclude]], 0)</f>
        <v>9.6000000000000002E-2</v>
      </c>
      <c r="P91" s="65" t="str" cm="1">
        <f t="array" ref="P91">Common_InputFunctions.Utility_DisplayArrayInTable(Fertiliser_SourceData.Fertiliser_Products_Data1(),FertiliserProducts[[#Headers],[Include or Exclude]], 0)</f>
        <v>Phosphorus - Generic</v>
      </c>
      <c r="Q91" s="65" cm="1">
        <f t="array" ref="Q91">Common_InputFunctions.Utility_DisplayArrayInTable(Fertiliser_SourceData.Fertiliser_Products_Data1(),FertiliserProducts[[#Headers],[Include or Exclude]], 0)</f>
        <v>0.05</v>
      </c>
      <c r="R91" s="65" t="str" cm="1">
        <f t="array" ref="R91">Common_InputFunctions.Utility_DisplayArrayInTable(Fertiliser_SourceData.Fertiliser_Products_Data1(),FertiliserProducts[[#Headers],[Include or Exclude]], 0)</f>
        <v/>
      </c>
      <c r="S91" s="65" t="str" cm="1">
        <f t="array" ref="S91">Common_InputFunctions.Utility_DisplayArrayInTable(Fertiliser_SourceData.Fertiliser_Products_Data1(),FertiliserProducts[[#Headers],[Include or Exclude]], 0)</f>
        <v/>
      </c>
      <c r="T91" s="65" t="str" cm="1">
        <f t="array" ref="T91">Common_InputFunctions.Utility_DisplayArrayInTable(Fertiliser_SourceData.Fertiliser_Products_Data1(),FertiliserProducts[[#Headers],[Include or Exclude]], 0)</f>
        <v/>
      </c>
      <c r="U91" s="65" t="str" cm="1">
        <f t="array" ref="U91">Common_InputFunctions.Utility_DisplayArrayInTable(Fertiliser_SourceData.Fertiliser_Products_Data1(),FertiliserProducts[[#Headers],[Include or Exclude]], 0)</f>
        <v/>
      </c>
      <c r="V91" s="10" t="str" cm="1">
        <f t="array" ref="V91">Common_InputFunctions.Utility_DisplayArrayInTable(Fertiliser_SourceData.Fertiliser_Products_Data1(),FertiliserProducts[[#Headers],[Include or Exclude]], 0)</f>
        <v/>
      </c>
      <c r="W91" s="10" t="str" cm="1">
        <f t="array" ref="W91">Common_InputFunctions.Utility_DisplayArrayInTable(Fertiliser_SourceData.Fertiliser_Products_Data1(),FertiliserProducts[[#Headers],[Include or Exclude]], 0)</f>
        <v/>
      </c>
      <c r="X91" s="10" t="str" cm="1">
        <f t="array" ref="X91">Common_InputFunctions.Utility_DisplayArrayInTable(Fertiliser_SourceData.Fertiliser_Products_Data1(),FertiliserProducts[[#Headers],[Include or Exclude]], 0)</f>
        <v/>
      </c>
      <c r="Y91" s="10" t="str" cm="1">
        <f t="array" ref="Y91">Common_InputFunctions.Utility_DisplayArrayInTable(Fertiliser_SourceData.Fertiliser_Products_Data1(),FertiliserProducts[[#Headers],[Include or Exclude]], 0)</f>
        <v/>
      </c>
      <c r="Z91" s="10" t="str" cm="1">
        <f t="array" ref="Z91">Common_InputFunctions.Utility_DisplayArrayInTable(Fertiliser_SourceData.Fertiliser_Products_Data1(),FertiliserProducts[[#Headers],[Include or Exclude]], 0)</f>
        <v/>
      </c>
      <c r="AA91" s="10" t="str" cm="1">
        <f t="array" ref="AA91">Common_InputFunctions.Utility_DisplayArrayInTable(Fertiliser_SourceData.Fertiliser_Products_Data1(),FertiliserProducts[[#Headers],[Include or Exclude]], 0)</f>
        <v/>
      </c>
      <c r="AB91" s="10" t="str" cm="1">
        <f t="array" ref="AB91">Common_InputFunctions.Utility_DisplayArrayInTable(Fertiliser_SourceData.Fertiliser_Products_Data1(),FertiliserProducts[[#Headers],[Include or Exclude]], 0)</f>
        <v/>
      </c>
      <c r="AC91" s="10" t="str" cm="1">
        <f t="array" ref="AC91">Common_InputFunctions.Utility_DisplayArrayInTable(Fertiliser_SourceData.Fertiliser_Products_Data1(),FertiliserProducts[[#Headers],[Include or Exclude]], 0)</f>
        <v/>
      </c>
      <c r="AD91" s="10" t="str" cm="1">
        <f t="array" ref="AD91">Common_InputFunctions.Utility_DisplayArrayInTable(Fertiliser_SourceData.Fertiliser_Products_Data1(),FertiliserProducts[[#Headers],[Include or Exclude]], 0)</f>
        <v/>
      </c>
      <c r="AE91" s="10" t="str" cm="1">
        <f t="array" ref="AE91">Common_InputFunctions.Utility_DisplayArrayInTable(Fertiliser_SourceData.Fertiliser_Products_Data1(),FertiliserProducts[[#Headers],[Include or Exclude]], 0)</f>
        <v/>
      </c>
    </row>
    <row r="92" spans="4:31" ht="20.100000000000001" customHeight="1" x14ac:dyDescent="0.25">
      <c r="D92" s="65" t="str" cm="1">
        <f t="array" ref="D92">Common_InputFunctions.Utility_DisplayArrayInTable(Fertiliser_SourceData.Fertiliser_Products_Data1(),FertiliserProducts[[#Headers],[Include or Exclude]], 0)</f>
        <v>Include</v>
      </c>
      <c r="E92" s="65" t="str" cm="1">
        <f t="array" ref="E92">Common_InputFunctions.Utility_DisplayArrayInTable(Fertiliser_SourceData.Fertiliser_Products_Data1(),FertiliserProducts[[#Headers],[Include or Exclude]], 0)</f>
        <v/>
      </c>
      <c r="F92" s="65" t="str" cm="1">
        <f t="array" ref="F92">Common_InputFunctions.Utility_DisplayArrayInTable(Fertiliser_SourceData.Fertiliser_Products_Data1(),FertiliserProducts[[#Headers],[Include or Exclude]], 0)</f>
        <v>Campbells fertilisers Australia</v>
      </c>
      <c r="G92" s="65" t="str" cm="1">
        <f t="array" ref="G92">Common_InputFunctions.Utility_DisplayArrayInTable(Fertiliser_SourceData.Fertiliser_Products_Data1(),FertiliserProducts[[#Headers],[Include or Exclude]], 0)</f>
        <v>Aqua Nitro AN</v>
      </c>
      <c r="H92" s="65" t="str" cm="1">
        <f t="array" ref="H92">Common_InputFunctions.Utility_DisplayArrayInTable(Fertiliser_SourceData.Fertiliser_Products_Data1(),FertiliserProducts[[#Headers],[Include or Exclude]], 0)</f>
        <v>L</v>
      </c>
      <c r="I92" s="65" cm="1">
        <f t="array" ref="I92">Common_InputFunctions.Utility_DisplayArrayInTable(Fertiliser_SourceData.Fertiliser_Products_Data1(),FertiliserProducts[[#Headers],[Include or Exclude]], 0)</f>
        <v>1.24</v>
      </c>
      <c r="J92" s="65" t="str" cm="1">
        <f t="array" ref="J92">Common_InputFunctions.Utility_DisplayArrayInTable(Fertiliser_SourceData.Fertiliser_Products_Data1(),FertiliserProducts[[#Headers],[Include or Exclude]], 0)</f>
        <v/>
      </c>
      <c r="K92" s="65" t="str" cm="1">
        <f t="array" ref="K92">Common_InputFunctions.Utility_DisplayArrayInTable(Fertiliser_SourceData.Fertiliser_Products_Data1(),FertiliserProducts[[#Headers],[Include or Exclude]], 0)</f>
        <v/>
      </c>
      <c r="L92" s="65" t="str" cm="1">
        <f t="array" ref="L92">Common_InputFunctions.Utility_DisplayArrayInTable(Fertiliser_SourceData.Fertiliser_Products_Data1(),FertiliserProducts[[#Headers],[Include or Exclude]], 0)</f>
        <v>Nitrogen - Ammoniacal</v>
      </c>
      <c r="M92" s="10" cm="1">
        <f t="array" ref="M92">Common_InputFunctions.Utility_DisplayArrayInTable(Fertiliser_SourceData.Fertiliser_Products_Data1(),FertiliserProducts[[#Headers],[Include or Exclude]], 0)</f>
        <v>0.223</v>
      </c>
      <c r="N92" s="65" t="str" cm="1">
        <f t="array" ref="N92">Common_InputFunctions.Utility_DisplayArrayInTable(Fertiliser_SourceData.Fertiliser_Products_Data1(),FertiliserProducts[[#Headers],[Include or Exclude]], 0)</f>
        <v/>
      </c>
      <c r="O92" s="65" t="str" cm="1">
        <f t="array" ref="O92">Common_InputFunctions.Utility_DisplayArrayInTable(Fertiliser_SourceData.Fertiliser_Products_Data1(),FertiliserProducts[[#Headers],[Include or Exclude]], 0)</f>
        <v/>
      </c>
      <c r="P92" s="65" t="str" cm="1">
        <f t="array" ref="P92">Common_InputFunctions.Utility_DisplayArrayInTable(Fertiliser_SourceData.Fertiliser_Products_Data1(),FertiliserProducts[[#Headers],[Include or Exclude]], 0)</f>
        <v/>
      </c>
      <c r="Q92" s="65" t="str" cm="1">
        <f t="array" ref="Q92">Common_InputFunctions.Utility_DisplayArrayInTable(Fertiliser_SourceData.Fertiliser_Products_Data1(),FertiliserProducts[[#Headers],[Include or Exclude]], 0)</f>
        <v/>
      </c>
      <c r="R92" s="65" t="str" cm="1">
        <f t="array" ref="R92">Common_InputFunctions.Utility_DisplayArrayInTable(Fertiliser_SourceData.Fertiliser_Products_Data1(),FertiliserProducts[[#Headers],[Include or Exclude]], 0)</f>
        <v/>
      </c>
      <c r="S92" s="65" t="str" cm="1">
        <f t="array" ref="S92">Common_InputFunctions.Utility_DisplayArrayInTable(Fertiliser_SourceData.Fertiliser_Products_Data1(),FertiliserProducts[[#Headers],[Include or Exclude]], 0)</f>
        <v/>
      </c>
      <c r="T92" s="65" t="str" cm="1">
        <f t="array" ref="T92">Common_InputFunctions.Utility_DisplayArrayInTable(Fertiliser_SourceData.Fertiliser_Products_Data1(),FertiliserProducts[[#Headers],[Include or Exclude]], 0)</f>
        <v/>
      </c>
      <c r="U92" s="65" t="str" cm="1">
        <f t="array" ref="U92">Common_InputFunctions.Utility_DisplayArrayInTable(Fertiliser_SourceData.Fertiliser_Products_Data1(),FertiliserProducts[[#Headers],[Include or Exclude]], 0)</f>
        <v/>
      </c>
      <c r="V92" s="10" t="str" cm="1">
        <f t="array" ref="V92">Common_InputFunctions.Utility_DisplayArrayInTable(Fertiliser_SourceData.Fertiliser_Products_Data1(),FertiliserProducts[[#Headers],[Include or Exclude]], 0)</f>
        <v/>
      </c>
      <c r="W92" s="10" t="str" cm="1">
        <f t="array" ref="W92">Common_InputFunctions.Utility_DisplayArrayInTable(Fertiliser_SourceData.Fertiliser_Products_Data1(),FertiliserProducts[[#Headers],[Include or Exclude]], 0)</f>
        <v/>
      </c>
      <c r="X92" s="10" t="str" cm="1">
        <f t="array" ref="X92">Common_InputFunctions.Utility_DisplayArrayInTable(Fertiliser_SourceData.Fertiliser_Products_Data1(),FertiliserProducts[[#Headers],[Include or Exclude]], 0)</f>
        <v/>
      </c>
      <c r="Y92" s="10" t="str" cm="1">
        <f t="array" ref="Y92">Common_InputFunctions.Utility_DisplayArrayInTable(Fertiliser_SourceData.Fertiliser_Products_Data1(),FertiliserProducts[[#Headers],[Include or Exclude]], 0)</f>
        <v/>
      </c>
      <c r="Z92" s="10" t="str" cm="1">
        <f t="array" ref="Z92">Common_InputFunctions.Utility_DisplayArrayInTable(Fertiliser_SourceData.Fertiliser_Products_Data1(),FertiliserProducts[[#Headers],[Include or Exclude]], 0)</f>
        <v/>
      </c>
      <c r="AA92" s="10" t="str" cm="1">
        <f t="array" ref="AA92">Common_InputFunctions.Utility_DisplayArrayInTable(Fertiliser_SourceData.Fertiliser_Products_Data1(),FertiliserProducts[[#Headers],[Include or Exclude]], 0)</f>
        <v/>
      </c>
      <c r="AB92" s="10" t="str" cm="1">
        <f t="array" ref="AB92">Common_InputFunctions.Utility_DisplayArrayInTable(Fertiliser_SourceData.Fertiliser_Products_Data1(),FertiliserProducts[[#Headers],[Include or Exclude]], 0)</f>
        <v/>
      </c>
      <c r="AC92" s="10" t="str" cm="1">
        <f t="array" ref="AC92">Common_InputFunctions.Utility_DisplayArrayInTable(Fertiliser_SourceData.Fertiliser_Products_Data1(),FertiliserProducts[[#Headers],[Include or Exclude]], 0)</f>
        <v/>
      </c>
      <c r="AD92" s="10" t="str" cm="1">
        <f t="array" ref="AD92">Common_InputFunctions.Utility_DisplayArrayInTable(Fertiliser_SourceData.Fertiliser_Products_Data1(),FertiliserProducts[[#Headers],[Include or Exclude]], 0)</f>
        <v/>
      </c>
      <c r="AE92" s="10" t="str" cm="1">
        <f t="array" ref="AE92">Common_InputFunctions.Utility_DisplayArrayInTable(Fertiliser_SourceData.Fertiliser_Products_Data1(),FertiliserProducts[[#Headers],[Include or Exclude]], 0)</f>
        <v/>
      </c>
    </row>
    <row r="93" spans="4:31" ht="20.100000000000001" customHeight="1" x14ac:dyDescent="0.25">
      <c r="D93" s="65" t="str" cm="1">
        <f t="array" ref="D93">Common_InputFunctions.Utility_DisplayArrayInTable(Fertiliser_SourceData.Fertiliser_Products_Data1(),FertiliserProducts[[#Headers],[Include or Exclude]], 0)</f>
        <v>Include</v>
      </c>
      <c r="E93" s="65" t="str" cm="1">
        <f t="array" ref="E93">Common_InputFunctions.Utility_DisplayArrayInTable(Fertiliser_SourceData.Fertiliser_Products_Data1(),FertiliserProducts[[#Headers],[Include or Exclude]], 0)</f>
        <v/>
      </c>
      <c r="F93" s="65" t="str" cm="1">
        <f t="array" ref="F93">Common_InputFunctions.Utility_DisplayArrayInTable(Fertiliser_SourceData.Fertiliser_Products_Data1(),FertiliserProducts[[#Headers],[Include or Exclude]], 0)</f>
        <v>Campbells fertilisers Australia</v>
      </c>
      <c r="G93" s="65" t="str" cm="1">
        <f t="array" ref="G93">Common_InputFunctions.Utility_DisplayArrayInTable(Fertiliser_SourceData.Fertiliser_Products_Data1(),FertiliserProducts[[#Headers],[Include or Exclude]], 0)</f>
        <v>Aqua Start</v>
      </c>
      <c r="H93" s="65" t="str" cm="1">
        <f t="array" ref="H93">Common_InputFunctions.Utility_DisplayArrayInTable(Fertiliser_SourceData.Fertiliser_Products_Data1(),FertiliserProducts[[#Headers],[Include or Exclude]], 0)</f>
        <v>L</v>
      </c>
      <c r="I93" s="65" cm="1">
        <f t="array" ref="I93">Common_InputFunctions.Utility_DisplayArrayInTable(Fertiliser_SourceData.Fertiliser_Products_Data1(),FertiliserProducts[[#Headers],[Include or Exclude]], 0)</f>
        <v>1.25</v>
      </c>
      <c r="J93" s="65" t="str" cm="1">
        <f t="array" ref="J93">Common_InputFunctions.Utility_DisplayArrayInTable(Fertiliser_SourceData.Fertiliser_Products_Data1(),FertiliserProducts[[#Headers],[Include or Exclude]], 0)</f>
        <v/>
      </c>
      <c r="K93" s="65" t="str" cm="1">
        <f t="array" ref="K93">Common_InputFunctions.Utility_DisplayArrayInTable(Fertiliser_SourceData.Fertiliser_Products_Data1(),FertiliserProducts[[#Headers],[Include or Exclude]], 0)</f>
        <v/>
      </c>
      <c r="L93" s="65" t="str" cm="1">
        <f t="array" ref="L93">Common_InputFunctions.Utility_DisplayArrayInTable(Fertiliser_SourceData.Fertiliser_Products_Data1(),FertiliserProducts[[#Headers],[Include or Exclude]], 0)</f>
        <v>Nitrogen - Generic</v>
      </c>
      <c r="M93" s="10" cm="1">
        <f t="array" ref="M93">Common_InputFunctions.Utility_DisplayArrayInTable(Fertiliser_SourceData.Fertiliser_Products_Data1(),FertiliserProducts[[#Headers],[Include or Exclude]], 0)</f>
        <v>0.10299999999999999</v>
      </c>
      <c r="N93" s="65" t="str" cm="1">
        <f t="array" ref="N93">Common_InputFunctions.Utility_DisplayArrayInTable(Fertiliser_SourceData.Fertiliser_Products_Data1(),FertiliserProducts[[#Headers],[Include or Exclude]], 0)</f>
        <v>Phosphorus - Generic</v>
      </c>
      <c r="O93" s="65" cm="1">
        <f t="array" ref="O93">Common_InputFunctions.Utility_DisplayArrayInTable(Fertiliser_SourceData.Fertiliser_Products_Data1(),FertiliserProducts[[#Headers],[Include or Exclude]], 0)</f>
        <v>0.1</v>
      </c>
      <c r="P93" s="65" t="str" cm="1">
        <f t="array" ref="P93">Common_InputFunctions.Utility_DisplayArrayInTable(Fertiliser_SourceData.Fertiliser_Products_Data1(),FertiliserProducts[[#Headers],[Include or Exclude]], 0)</f>
        <v>Potassium - Generic</v>
      </c>
      <c r="Q93" s="65" cm="1">
        <f t="array" ref="Q93">Common_InputFunctions.Utility_DisplayArrayInTable(Fertiliser_SourceData.Fertiliser_Products_Data1(),FertiliserProducts[[#Headers],[Include or Exclude]], 0)</f>
        <v>3.4000000000000002E-2</v>
      </c>
      <c r="R93" s="65" t="str" cm="1">
        <f t="array" ref="R93">Common_InputFunctions.Utility_DisplayArrayInTable(Fertiliser_SourceData.Fertiliser_Products_Data1(),FertiliserProducts[[#Headers],[Include or Exclude]], 0)</f>
        <v/>
      </c>
      <c r="S93" s="65" t="str" cm="1">
        <f t="array" ref="S93">Common_InputFunctions.Utility_DisplayArrayInTable(Fertiliser_SourceData.Fertiliser_Products_Data1(),FertiliserProducts[[#Headers],[Include or Exclude]], 0)</f>
        <v/>
      </c>
      <c r="T93" s="65" t="str" cm="1">
        <f t="array" ref="T93">Common_InputFunctions.Utility_DisplayArrayInTable(Fertiliser_SourceData.Fertiliser_Products_Data1(),FertiliserProducts[[#Headers],[Include or Exclude]], 0)</f>
        <v/>
      </c>
      <c r="U93" s="65" t="str" cm="1">
        <f t="array" ref="U93">Common_InputFunctions.Utility_DisplayArrayInTable(Fertiliser_SourceData.Fertiliser_Products_Data1(),FertiliserProducts[[#Headers],[Include or Exclude]], 0)</f>
        <v/>
      </c>
      <c r="V93" s="10" t="str" cm="1">
        <f t="array" ref="V93">Common_InputFunctions.Utility_DisplayArrayInTable(Fertiliser_SourceData.Fertiliser_Products_Data1(),FertiliserProducts[[#Headers],[Include or Exclude]], 0)</f>
        <v/>
      </c>
      <c r="W93" s="10" t="str" cm="1">
        <f t="array" ref="W93">Common_InputFunctions.Utility_DisplayArrayInTable(Fertiliser_SourceData.Fertiliser_Products_Data1(),FertiliserProducts[[#Headers],[Include or Exclude]], 0)</f>
        <v/>
      </c>
      <c r="X93" s="10" t="str" cm="1">
        <f t="array" ref="X93">Common_InputFunctions.Utility_DisplayArrayInTable(Fertiliser_SourceData.Fertiliser_Products_Data1(),FertiliserProducts[[#Headers],[Include or Exclude]], 0)</f>
        <v/>
      </c>
      <c r="Y93" s="10" t="str" cm="1">
        <f t="array" ref="Y93">Common_InputFunctions.Utility_DisplayArrayInTable(Fertiliser_SourceData.Fertiliser_Products_Data1(),FertiliserProducts[[#Headers],[Include or Exclude]], 0)</f>
        <v/>
      </c>
      <c r="Z93" s="10" t="str" cm="1">
        <f t="array" ref="Z93">Common_InputFunctions.Utility_DisplayArrayInTable(Fertiliser_SourceData.Fertiliser_Products_Data1(),FertiliserProducts[[#Headers],[Include or Exclude]], 0)</f>
        <v/>
      </c>
      <c r="AA93" s="10" t="str" cm="1">
        <f t="array" ref="AA93">Common_InputFunctions.Utility_DisplayArrayInTable(Fertiliser_SourceData.Fertiliser_Products_Data1(),FertiliserProducts[[#Headers],[Include or Exclude]], 0)</f>
        <v/>
      </c>
      <c r="AB93" s="10" t="str" cm="1">
        <f t="array" ref="AB93">Common_InputFunctions.Utility_DisplayArrayInTable(Fertiliser_SourceData.Fertiliser_Products_Data1(),FertiliserProducts[[#Headers],[Include or Exclude]], 0)</f>
        <v/>
      </c>
      <c r="AC93" s="10" t="str" cm="1">
        <f t="array" ref="AC93">Common_InputFunctions.Utility_DisplayArrayInTable(Fertiliser_SourceData.Fertiliser_Products_Data1(),FertiliserProducts[[#Headers],[Include or Exclude]], 0)</f>
        <v/>
      </c>
      <c r="AD93" s="10" t="str" cm="1">
        <f t="array" ref="AD93">Common_InputFunctions.Utility_DisplayArrayInTable(Fertiliser_SourceData.Fertiliser_Products_Data1(),FertiliserProducts[[#Headers],[Include or Exclude]], 0)</f>
        <v/>
      </c>
      <c r="AE93" s="10" t="str" cm="1">
        <f t="array" ref="AE93">Common_InputFunctions.Utility_DisplayArrayInTable(Fertiliser_SourceData.Fertiliser_Products_Data1(),FertiliserProducts[[#Headers],[Include or Exclude]], 0)</f>
        <v/>
      </c>
    </row>
    <row r="94" spans="4:31" ht="20.100000000000001" customHeight="1" x14ac:dyDescent="0.25">
      <c r="D94" s="65" t="str" cm="1">
        <f t="array" ref="D94">Common_InputFunctions.Utility_DisplayArrayInTable(Fertiliser_SourceData.Fertiliser_Products_Data1(),FertiliserProducts[[#Headers],[Include or Exclude]], 0)</f>
        <v>Include</v>
      </c>
      <c r="E94" s="65" t="str" cm="1">
        <f t="array" ref="E94">Common_InputFunctions.Utility_DisplayArrayInTable(Fertiliser_SourceData.Fertiliser_Products_Data1(),FertiliserProducts[[#Headers],[Include or Exclude]], 0)</f>
        <v/>
      </c>
      <c r="F94" s="65" t="str" cm="1">
        <f t="array" ref="F94">Common_InputFunctions.Utility_DisplayArrayInTable(Fertiliser_SourceData.Fertiliser_Products_Data1(),FertiliserProducts[[#Headers],[Include or Exclude]], 0)</f>
        <v>Campbells fertilisers Australia</v>
      </c>
      <c r="G94" s="65" t="str" cm="1">
        <f t="array" ref="G94">Common_InputFunctions.Utility_DisplayArrayInTable(Fertiliser_SourceData.Fertiliser_Products_Data1(),FertiliserProducts[[#Headers],[Include or Exclude]], 0)</f>
        <v>Aqua Thio-Complete</v>
      </c>
      <c r="H94" s="65" t="str" cm="1">
        <f t="array" ref="H94">Common_InputFunctions.Utility_DisplayArrayInTable(Fertiliser_SourceData.Fertiliser_Products_Data1(),FertiliserProducts[[#Headers],[Include or Exclude]], 0)</f>
        <v>L</v>
      </c>
      <c r="I94" s="65" cm="1">
        <f t="array" ref="I94">Common_InputFunctions.Utility_DisplayArrayInTable(Fertiliser_SourceData.Fertiliser_Products_Data1(),FertiliserProducts[[#Headers],[Include or Exclude]], 0)</f>
        <v>1.43</v>
      </c>
      <c r="J94" s="65" t="str" cm="1">
        <f t="array" ref="J94">Common_InputFunctions.Utility_DisplayArrayInTable(Fertiliser_SourceData.Fertiliser_Products_Data1(),FertiliserProducts[[#Headers],[Include or Exclude]], 0)</f>
        <v/>
      </c>
      <c r="K94" s="65" t="str" cm="1">
        <f t="array" ref="K94">Common_InputFunctions.Utility_DisplayArrayInTable(Fertiliser_SourceData.Fertiliser_Products_Data1(),FertiliserProducts[[#Headers],[Include or Exclude]], 0)</f>
        <v/>
      </c>
      <c r="L94" s="65" t="str" cm="1">
        <f t="array" ref="L94">Common_InputFunctions.Utility_DisplayArrayInTable(Fertiliser_SourceData.Fertiliser_Products_Data1(),FertiliserProducts[[#Headers],[Include or Exclude]], 0)</f>
        <v>Potassium - Generic</v>
      </c>
      <c r="M94" s="10" cm="1">
        <f t="array" ref="M94">Common_InputFunctions.Utility_DisplayArrayInTable(Fertiliser_SourceData.Fertiliser_Products_Data1(),FertiliserProducts[[#Headers],[Include or Exclude]], 0)</f>
        <v>0.22500000000000001</v>
      </c>
      <c r="N94" s="65" t="str" cm="1">
        <f t="array" ref="N94">Common_InputFunctions.Utility_DisplayArrayInTable(Fertiliser_SourceData.Fertiliser_Products_Data1(),FertiliserProducts[[#Headers],[Include or Exclude]], 0)</f>
        <v>Phosphorus - Generic</v>
      </c>
      <c r="O94" s="65" cm="1">
        <f t="array" ref="O94">Common_InputFunctions.Utility_DisplayArrayInTable(Fertiliser_SourceData.Fertiliser_Products_Data1(),FertiliserProducts[[#Headers],[Include or Exclude]], 0)</f>
        <v>3.7999999999999999E-2</v>
      </c>
      <c r="P94" s="65" t="str" cm="1">
        <f t="array" ref="P94">Common_InputFunctions.Utility_DisplayArrayInTable(Fertiliser_SourceData.Fertiliser_Products_Data1(),FertiliserProducts[[#Headers],[Include or Exclude]], 0)</f>
        <v>Nitrogen - Generic</v>
      </c>
      <c r="Q94" s="65" cm="1">
        <f t="array" ref="Q94">Common_InputFunctions.Utility_DisplayArrayInTable(Fertiliser_SourceData.Fertiliser_Products_Data1(),FertiliserProducts[[#Headers],[Include or Exclude]], 0)</f>
        <v>2.5000000000000001E-2</v>
      </c>
      <c r="R94" s="65" t="str" cm="1">
        <f t="array" ref="R94">Common_InputFunctions.Utility_DisplayArrayInTable(Fertiliser_SourceData.Fertiliser_Products_Data1(),FertiliserProducts[[#Headers],[Include or Exclude]], 0)</f>
        <v/>
      </c>
      <c r="S94" s="65" t="str" cm="1">
        <f t="array" ref="S94">Common_InputFunctions.Utility_DisplayArrayInTable(Fertiliser_SourceData.Fertiliser_Products_Data1(),FertiliserProducts[[#Headers],[Include or Exclude]], 0)</f>
        <v/>
      </c>
      <c r="T94" s="65" t="str" cm="1">
        <f t="array" ref="T94">Common_InputFunctions.Utility_DisplayArrayInTable(Fertiliser_SourceData.Fertiliser_Products_Data1(),FertiliserProducts[[#Headers],[Include or Exclude]], 0)</f>
        <v/>
      </c>
      <c r="U94" s="65" t="str" cm="1">
        <f t="array" ref="U94">Common_InputFunctions.Utility_DisplayArrayInTable(Fertiliser_SourceData.Fertiliser_Products_Data1(),FertiliserProducts[[#Headers],[Include or Exclude]], 0)</f>
        <v/>
      </c>
      <c r="V94" s="10" t="str" cm="1">
        <f t="array" ref="V94">Common_InputFunctions.Utility_DisplayArrayInTable(Fertiliser_SourceData.Fertiliser_Products_Data1(),FertiliserProducts[[#Headers],[Include or Exclude]], 0)</f>
        <v/>
      </c>
      <c r="W94" s="10" t="str" cm="1">
        <f t="array" ref="W94">Common_InputFunctions.Utility_DisplayArrayInTable(Fertiliser_SourceData.Fertiliser_Products_Data1(),FertiliserProducts[[#Headers],[Include or Exclude]], 0)</f>
        <v/>
      </c>
      <c r="X94" s="10" t="str" cm="1">
        <f t="array" ref="X94">Common_InputFunctions.Utility_DisplayArrayInTable(Fertiliser_SourceData.Fertiliser_Products_Data1(),FertiliserProducts[[#Headers],[Include or Exclude]], 0)</f>
        <v/>
      </c>
      <c r="Y94" s="10" t="str" cm="1">
        <f t="array" ref="Y94">Common_InputFunctions.Utility_DisplayArrayInTable(Fertiliser_SourceData.Fertiliser_Products_Data1(),FertiliserProducts[[#Headers],[Include or Exclude]], 0)</f>
        <v/>
      </c>
      <c r="Z94" s="10" t="str" cm="1">
        <f t="array" ref="Z94">Common_InputFunctions.Utility_DisplayArrayInTable(Fertiliser_SourceData.Fertiliser_Products_Data1(),FertiliserProducts[[#Headers],[Include or Exclude]], 0)</f>
        <v/>
      </c>
      <c r="AA94" s="10" t="str" cm="1">
        <f t="array" ref="AA94">Common_InputFunctions.Utility_DisplayArrayInTable(Fertiliser_SourceData.Fertiliser_Products_Data1(),FertiliserProducts[[#Headers],[Include or Exclude]], 0)</f>
        <v/>
      </c>
      <c r="AB94" s="10" t="str" cm="1">
        <f t="array" ref="AB94">Common_InputFunctions.Utility_DisplayArrayInTable(Fertiliser_SourceData.Fertiliser_Products_Data1(),FertiliserProducts[[#Headers],[Include or Exclude]], 0)</f>
        <v/>
      </c>
      <c r="AC94" s="10" t="str" cm="1">
        <f t="array" ref="AC94">Common_InputFunctions.Utility_DisplayArrayInTable(Fertiliser_SourceData.Fertiliser_Products_Data1(),FertiliserProducts[[#Headers],[Include or Exclude]], 0)</f>
        <v/>
      </c>
      <c r="AD94" s="10" t="str" cm="1">
        <f t="array" ref="AD94">Common_InputFunctions.Utility_DisplayArrayInTable(Fertiliser_SourceData.Fertiliser_Products_Data1(),FertiliserProducts[[#Headers],[Include or Exclude]], 0)</f>
        <v/>
      </c>
      <c r="AE94" s="10" t="str" cm="1">
        <f t="array" ref="AE94">Common_InputFunctions.Utility_DisplayArrayInTable(Fertiliser_SourceData.Fertiliser_Products_Data1(),FertiliserProducts[[#Headers],[Include or Exclude]], 0)</f>
        <v/>
      </c>
    </row>
    <row r="95" spans="4:31" ht="20.100000000000001" customHeight="1" x14ac:dyDescent="0.25">
      <c r="D95" s="65" t="str" cm="1">
        <f t="array" ref="D95">Common_InputFunctions.Utility_DisplayArrayInTable(Fertiliser_SourceData.Fertiliser_Products_Data1(),FertiliserProducts[[#Headers],[Include or Exclude]], 0)</f>
        <v>Include</v>
      </c>
      <c r="E95" s="65" t="str" cm="1">
        <f t="array" ref="E95">Common_InputFunctions.Utility_DisplayArrayInTable(Fertiliser_SourceData.Fertiliser_Products_Data1(),FertiliserProducts[[#Headers],[Include or Exclude]], 0)</f>
        <v/>
      </c>
      <c r="F95" s="65" t="str" cm="1">
        <f t="array" ref="F95">Common_InputFunctions.Utility_DisplayArrayInTable(Fertiliser_SourceData.Fertiliser_Products_Data1(),FertiliserProducts[[#Headers],[Include or Exclude]], 0)</f>
        <v>Campbells fertilisers Australia</v>
      </c>
      <c r="G95" s="65" t="str" cm="1">
        <f t="array" ref="G95">Common_InputFunctions.Utility_DisplayArrayInTable(Fertiliser_SourceData.Fertiliser_Products_Data1(),FertiliserProducts[[#Headers],[Include or Exclude]], 0)</f>
        <v>Aqua Thio-Emerge</v>
      </c>
      <c r="H95" s="65" t="str" cm="1">
        <f t="array" ref="H95">Common_InputFunctions.Utility_DisplayArrayInTable(Fertiliser_SourceData.Fertiliser_Products_Data1(),FertiliserProducts[[#Headers],[Include or Exclude]], 0)</f>
        <v>L</v>
      </c>
      <c r="I95" s="65" cm="1">
        <f t="array" ref="I95">Common_InputFunctions.Utility_DisplayArrayInTable(Fertiliser_SourceData.Fertiliser_Products_Data1(),FertiliserProducts[[#Headers],[Include or Exclude]], 0)</f>
        <v>1.29</v>
      </c>
      <c r="J95" s="65" t="str" cm="1">
        <f t="array" ref="J95">Common_InputFunctions.Utility_DisplayArrayInTable(Fertiliser_SourceData.Fertiliser_Products_Data1(),FertiliserProducts[[#Headers],[Include or Exclude]], 0)</f>
        <v/>
      </c>
      <c r="K95" s="65" t="str" cm="1">
        <f t="array" ref="K95">Common_InputFunctions.Utility_DisplayArrayInTable(Fertiliser_SourceData.Fertiliser_Products_Data1(),FertiliserProducts[[#Headers],[Include or Exclude]], 0)</f>
        <v/>
      </c>
      <c r="L95" s="65" t="str" cm="1">
        <f t="array" ref="L95">Common_InputFunctions.Utility_DisplayArrayInTable(Fertiliser_SourceData.Fertiliser_Products_Data1(),FertiliserProducts[[#Headers],[Include or Exclude]], 0)</f>
        <v>Nitrogen - Generic</v>
      </c>
      <c r="M95" s="10" cm="1">
        <f t="array" ref="M95">Common_InputFunctions.Utility_DisplayArrayInTable(Fertiliser_SourceData.Fertiliser_Products_Data1(),FertiliserProducts[[#Headers],[Include or Exclude]], 0)</f>
        <v>0.105</v>
      </c>
      <c r="N95" s="65" t="str" cm="1">
        <f t="array" ref="N95">Common_InputFunctions.Utility_DisplayArrayInTable(Fertiliser_SourceData.Fertiliser_Products_Data1(),FertiliserProducts[[#Headers],[Include or Exclude]], 0)</f>
        <v>Phosphorus - Generic</v>
      </c>
      <c r="O95" s="65" cm="1">
        <f t="array" ref="O95">Common_InputFunctions.Utility_DisplayArrayInTable(Fertiliser_SourceData.Fertiliser_Products_Data1(),FertiliserProducts[[#Headers],[Include or Exclude]], 0)</f>
        <v>9.4E-2</v>
      </c>
      <c r="P95" s="65" t="str" cm="1">
        <f t="array" ref="P95">Common_InputFunctions.Utility_DisplayArrayInTable(Fertiliser_SourceData.Fertiliser_Products_Data1(),FertiliserProducts[[#Headers],[Include or Exclude]], 0)</f>
        <v>Potassium - Generic</v>
      </c>
      <c r="Q95" s="65" cm="1">
        <f t="array" ref="Q95">Common_InputFunctions.Utility_DisplayArrayInTable(Fertiliser_SourceData.Fertiliser_Products_Data1(),FertiliserProducts[[#Headers],[Include or Exclude]], 0)</f>
        <v>0.04</v>
      </c>
      <c r="R95" s="65" t="str" cm="1">
        <f t="array" ref="R95">Common_InputFunctions.Utility_DisplayArrayInTable(Fertiliser_SourceData.Fertiliser_Products_Data1(),FertiliserProducts[[#Headers],[Include or Exclude]], 0)</f>
        <v>Sulfur - Generic</v>
      </c>
      <c r="S95" s="65" cm="1">
        <f t="array" ref="S95">Common_InputFunctions.Utility_DisplayArrayInTable(Fertiliser_SourceData.Fertiliser_Products_Data1(),FertiliserProducts[[#Headers],[Include or Exclude]], 0)</f>
        <v>0.03</v>
      </c>
      <c r="T95" s="65" t="str" cm="1">
        <f t="array" ref="T95">Common_InputFunctions.Utility_DisplayArrayInTable(Fertiliser_SourceData.Fertiliser_Products_Data1(),FertiliserProducts[[#Headers],[Include or Exclude]], 0)</f>
        <v/>
      </c>
      <c r="U95" s="65" t="str" cm="1">
        <f t="array" ref="U95">Common_InputFunctions.Utility_DisplayArrayInTable(Fertiliser_SourceData.Fertiliser_Products_Data1(),FertiliserProducts[[#Headers],[Include or Exclude]], 0)</f>
        <v/>
      </c>
      <c r="V95" s="10" t="str" cm="1">
        <f t="array" ref="V95">Common_InputFunctions.Utility_DisplayArrayInTable(Fertiliser_SourceData.Fertiliser_Products_Data1(),FertiliserProducts[[#Headers],[Include or Exclude]], 0)</f>
        <v/>
      </c>
      <c r="W95" s="10" t="str" cm="1">
        <f t="array" ref="W95">Common_InputFunctions.Utility_DisplayArrayInTable(Fertiliser_SourceData.Fertiliser_Products_Data1(),FertiliserProducts[[#Headers],[Include or Exclude]], 0)</f>
        <v/>
      </c>
      <c r="X95" s="10" t="str" cm="1">
        <f t="array" ref="X95">Common_InputFunctions.Utility_DisplayArrayInTable(Fertiliser_SourceData.Fertiliser_Products_Data1(),FertiliserProducts[[#Headers],[Include or Exclude]], 0)</f>
        <v/>
      </c>
      <c r="Y95" s="10" t="str" cm="1">
        <f t="array" ref="Y95">Common_InputFunctions.Utility_DisplayArrayInTable(Fertiliser_SourceData.Fertiliser_Products_Data1(),FertiliserProducts[[#Headers],[Include or Exclude]], 0)</f>
        <v/>
      </c>
      <c r="Z95" s="10" t="str" cm="1">
        <f t="array" ref="Z95">Common_InputFunctions.Utility_DisplayArrayInTable(Fertiliser_SourceData.Fertiliser_Products_Data1(),FertiliserProducts[[#Headers],[Include or Exclude]], 0)</f>
        <v/>
      </c>
      <c r="AA95" s="10" t="str" cm="1">
        <f t="array" ref="AA95">Common_InputFunctions.Utility_DisplayArrayInTable(Fertiliser_SourceData.Fertiliser_Products_Data1(),FertiliserProducts[[#Headers],[Include or Exclude]], 0)</f>
        <v/>
      </c>
      <c r="AB95" s="10" t="str" cm="1">
        <f t="array" ref="AB95">Common_InputFunctions.Utility_DisplayArrayInTable(Fertiliser_SourceData.Fertiliser_Products_Data1(),FertiliserProducts[[#Headers],[Include or Exclude]], 0)</f>
        <v/>
      </c>
      <c r="AC95" s="10" t="str" cm="1">
        <f t="array" ref="AC95">Common_InputFunctions.Utility_DisplayArrayInTable(Fertiliser_SourceData.Fertiliser_Products_Data1(),FertiliserProducts[[#Headers],[Include or Exclude]], 0)</f>
        <v/>
      </c>
      <c r="AD95" s="10" t="str" cm="1">
        <f t="array" ref="AD95">Common_InputFunctions.Utility_DisplayArrayInTable(Fertiliser_SourceData.Fertiliser_Products_Data1(),FertiliserProducts[[#Headers],[Include or Exclude]], 0)</f>
        <v/>
      </c>
      <c r="AE95" s="10" t="str" cm="1">
        <f t="array" ref="AE95">Common_InputFunctions.Utility_DisplayArrayInTable(Fertiliser_SourceData.Fertiliser_Products_Data1(),FertiliserProducts[[#Headers],[Include or Exclude]], 0)</f>
        <v/>
      </c>
    </row>
    <row r="96" spans="4:31" ht="20.100000000000001" customHeight="1" x14ac:dyDescent="0.25">
      <c r="D96" s="65" t="str" cm="1">
        <f t="array" ref="D96">Common_InputFunctions.Utility_DisplayArrayInTable(Fertiliser_SourceData.Fertiliser_Products_Data1(),FertiliserProducts[[#Headers],[Include or Exclude]], 0)</f>
        <v>Include</v>
      </c>
      <c r="E96" s="65" t="str" cm="1">
        <f t="array" ref="E96">Common_InputFunctions.Utility_DisplayArrayInTable(Fertiliser_SourceData.Fertiliser_Products_Data1(),FertiliserProducts[[#Headers],[Include or Exclude]], 0)</f>
        <v/>
      </c>
      <c r="F96" s="65" t="str" cm="1">
        <f t="array" ref="F96">Common_InputFunctions.Utility_DisplayArrayInTable(Fertiliser_SourceData.Fertiliser_Products_Data1(),FertiliserProducts[[#Headers],[Include or Exclude]], 0)</f>
        <v>Campbells fertilisers Australia</v>
      </c>
      <c r="G96" s="65" t="str" cm="1">
        <f t="array" ref="G96">Common_InputFunctions.Utility_DisplayArrayInTable(Fertiliser_SourceData.Fertiliser_Products_Data1(),FertiliserProducts[[#Headers],[Include or Exclude]], 0)</f>
        <v>Aqua Thio-Flourish</v>
      </c>
      <c r="H96" s="65" t="str" cm="1">
        <f t="array" ref="H96">Common_InputFunctions.Utility_DisplayArrayInTable(Fertiliser_SourceData.Fertiliser_Products_Data1(),FertiliserProducts[[#Headers],[Include or Exclude]], 0)</f>
        <v>L</v>
      </c>
      <c r="I96" s="65" cm="1">
        <f t="array" ref="I96">Common_InputFunctions.Utility_DisplayArrayInTable(Fertiliser_SourceData.Fertiliser_Products_Data1(),FertiliserProducts[[#Headers],[Include or Exclude]], 0)</f>
        <v>1.32</v>
      </c>
      <c r="J96" s="65" t="str" cm="1">
        <f t="array" ref="J96">Common_InputFunctions.Utility_DisplayArrayInTable(Fertiliser_SourceData.Fertiliser_Products_Data1(),FertiliserProducts[[#Headers],[Include or Exclude]], 0)</f>
        <v/>
      </c>
      <c r="K96" s="65" t="str" cm="1">
        <f t="array" ref="K96">Common_InputFunctions.Utility_DisplayArrayInTable(Fertiliser_SourceData.Fertiliser_Products_Data1(),FertiliserProducts[[#Headers],[Include or Exclude]], 0)</f>
        <v/>
      </c>
      <c r="L96" s="65" t="str" cm="1">
        <f t="array" ref="L96">Common_InputFunctions.Utility_DisplayArrayInTable(Fertiliser_SourceData.Fertiliser_Products_Data1(),FertiliserProducts[[#Headers],[Include or Exclude]], 0)</f>
        <v>Potassium - Generic</v>
      </c>
      <c r="M96" s="10" cm="1">
        <f t="array" ref="M96">Common_InputFunctions.Utility_DisplayArrayInTable(Fertiliser_SourceData.Fertiliser_Products_Data1(),FertiliserProducts[[#Headers],[Include or Exclude]], 0)</f>
        <v>0.108</v>
      </c>
      <c r="N96" s="65" t="str" cm="1">
        <f t="array" ref="N96">Common_InputFunctions.Utility_DisplayArrayInTable(Fertiliser_SourceData.Fertiliser_Products_Data1(),FertiliserProducts[[#Headers],[Include or Exclude]], 0)</f>
        <v>Nitrogen - Generic</v>
      </c>
      <c r="O96" s="65" cm="1">
        <f t="array" ref="O96">Common_InputFunctions.Utility_DisplayArrayInTable(Fertiliser_SourceData.Fertiliser_Products_Data1(),FertiliserProducts[[#Headers],[Include or Exclude]], 0)</f>
        <v>9.5000000000000001E-2</v>
      </c>
      <c r="P96" s="65" t="str" cm="1">
        <f t="array" ref="P96">Common_InputFunctions.Utility_DisplayArrayInTable(Fertiliser_SourceData.Fertiliser_Products_Data1(),FertiliserProducts[[#Headers],[Include or Exclude]], 0)</f>
        <v>Sulfur - Generic</v>
      </c>
      <c r="Q96" s="65" cm="1">
        <f t="array" ref="Q96">Common_InputFunctions.Utility_DisplayArrayInTable(Fertiliser_SourceData.Fertiliser_Products_Data1(),FertiliserProducts[[#Headers],[Include or Exclude]], 0)</f>
        <v>8.1000000000000003E-2</v>
      </c>
      <c r="R96" s="65" t="str" cm="1">
        <f t="array" ref="R96">Common_InputFunctions.Utility_DisplayArrayInTable(Fertiliser_SourceData.Fertiliser_Products_Data1(),FertiliserProducts[[#Headers],[Include or Exclude]], 0)</f>
        <v>Phosphorus - Generic</v>
      </c>
      <c r="S96" s="65" cm="1">
        <f t="array" ref="S96">Common_InputFunctions.Utility_DisplayArrayInTable(Fertiliser_SourceData.Fertiliser_Products_Data1(),FertiliserProducts[[#Headers],[Include or Exclude]], 0)</f>
        <v>4.7E-2</v>
      </c>
      <c r="T96" s="65" t="str" cm="1">
        <f t="array" ref="T96">Common_InputFunctions.Utility_DisplayArrayInTable(Fertiliser_SourceData.Fertiliser_Products_Data1(),FertiliserProducts[[#Headers],[Include or Exclude]], 0)</f>
        <v/>
      </c>
      <c r="U96" s="65" t="str" cm="1">
        <f t="array" ref="U96">Common_InputFunctions.Utility_DisplayArrayInTable(Fertiliser_SourceData.Fertiliser_Products_Data1(),FertiliserProducts[[#Headers],[Include or Exclude]], 0)</f>
        <v/>
      </c>
      <c r="V96" s="10" t="str" cm="1">
        <f t="array" ref="V96">Common_InputFunctions.Utility_DisplayArrayInTable(Fertiliser_SourceData.Fertiliser_Products_Data1(),FertiliserProducts[[#Headers],[Include or Exclude]], 0)</f>
        <v/>
      </c>
      <c r="W96" s="10" t="str" cm="1">
        <f t="array" ref="W96">Common_InputFunctions.Utility_DisplayArrayInTable(Fertiliser_SourceData.Fertiliser_Products_Data1(),FertiliserProducts[[#Headers],[Include or Exclude]], 0)</f>
        <v/>
      </c>
      <c r="X96" s="10" t="str" cm="1">
        <f t="array" ref="X96">Common_InputFunctions.Utility_DisplayArrayInTable(Fertiliser_SourceData.Fertiliser_Products_Data1(),FertiliserProducts[[#Headers],[Include or Exclude]], 0)</f>
        <v/>
      </c>
      <c r="Y96" s="10" t="str" cm="1">
        <f t="array" ref="Y96">Common_InputFunctions.Utility_DisplayArrayInTable(Fertiliser_SourceData.Fertiliser_Products_Data1(),FertiliserProducts[[#Headers],[Include or Exclude]], 0)</f>
        <v/>
      </c>
      <c r="Z96" s="10" t="str" cm="1">
        <f t="array" ref="Z96">Common_InputFunctions.Utility_DisplayArrayInTable(Fertiliser_SourceData.Fertiliser_Products_Data1(),FertiliserProducts[[#Headers],[Include or Exclude]], 0)</f>
        <v/>
      </c>
      <c r="AA96" s="10" t="str" cm="1">
        <f t="array" ref="AA96">Common_InputFunctions.Utility_DisplayArrayInTable(Fertiliser_SourceData.Fertiliser_Products_Data1(),FertiliserProducts[[#Headers],[Include or Exclude]], 0)</f>
        <v/>
      </c>
      <c r="AB96" s="10" t="str" cm="1">
        <f t="array" ref="AB96">Common_InputFunctions.Utility_DisplayArrayInTable(Fertiliser_SourceData.Fertiliser_Products_Data1(),FertiliserProducts[[#Headers],[Include or Exclude]], 0)</f>
        <v/>
      </c>
      <c r="AC96" s="10" t="str" cm="1">
        <f t="array" ref="AC96">Common_InputFunctions.Utility_DisplayArrayInTable(Fertiliser_SourceData.Fertiliser_Products_Data1(),FertiliserProducts[[#Headers],[Include or Exclude]], 0)</f>
        <v/>
      </c>
      <c r="AD96" s="10" t="str" cm="1">
        <f t="array" ref="AD96">Common_InputFunctions.Utility_DisplayArrayInTable(Fertiliser_SourceData.Fertiliser_Products_Data1(),FertiliserProducts[[#Headers],[Include or Exclude]], 0)</f>
        <v/>
      </c>
      <c r="AE96" s="10" t="str" cm="1">
        <f t="array" ref="AE96">Common_InputFunctions.Utility_DisplayArrayInTable(Fertiliser_SourceData.Fertiliser_Products_Data1(),FertiliserProducts[[#Headers],[Include or Exclude]], 0)</f>
        <v/>
      </c>
    </row>
    <row r="97" spans="4:31" ht="20.100000000000001" customHeight="1" x14ac:dyDescent="0.25">
      <c r="D97" s="65" t="str" cm="1">
        <f t="array" ref="D97">Common_InputFunctions.Utility_DisplayArrayInTable(Fertiliser_SourceData.Fertiliser_Products_Data1(),FertiliserProducts[[#Headers],[Include or Exclude]], 0)</f>
        <v>Include - Absent ingredients &lt; 2%</v>
      </c>
      <c r="E97" s="65" t="str" cm="1">
        <f t="array" ref="E97">Common_InputFunctions.Utility_DisplayArrayInTable(Fertiliser_SourceData.Fertiliser_Products_Data1(),FertiliserProducts[[#Headers],[Include or Exclude]], 0)</f>
        <v>Amount of urea calculated from urea nitrogen amount</v>
      </c>
      <c r="F97" s="65" t="str" cm="1">
        <f t="array" ref="F97">Common_InputFunctions.Utility_DisplayArrayInTable(Fertiliser_SourceData.Fertiliser_Products_Data1(),FertiliserProducts[[#Headers],[Include or Exclude]], 0)</f>
        <v>Campbells fertilisers Australia</v>
      </c>
      <c r="G97" s="65" t="str" cm="1">
        <f t="array" ref="G97">Common_InputFunctions.Utility_DisplayArrayInTable(Fertiliser_SourceData.Fertiliser_Products_Data1(),FertiliserProducts[[#Headers],[Include or Exclude]], 0)</f>
        <v>Boost-It</v>
      </c>
      <c r="H97" s="65" t="str" cm="1">
        <f t="array" ref="H97">Common_InputFunctions.Utility_DisplayArrayInTable(Fertiliser_SourceData.Fertiliser_Products_Data1(),FertiliserProducts[[#Headers],[Include or Exclude]], 0)</f>
        <v>kg</v>
      </c>
      <c r="I97" s="65" cm="1">
        <f t="array" ref="I97">Common_InputFunctions.Utility_DisplayArrayInTable(Fertiliser_SourceData.Fertiliser_Products_Data1(),FertiliserProducts[[#Headers],[Include or Exclude]], 0)</f>
        <v>1</v>
      </c>
      <c r="J97" s="65" t="str" cm="1">
        <f t="array" ref="J97">Common_InputFunctions.Utility_DisplayArrayInTable(Fertiliser_SourceData.Fertiliser_Products_Data1(),FertiliserProducts[[#Headers],[Include or Exclude]], 0)</f>
        <v/>
      </c>
      <c r="K97" s="65" t="str" cm="1">
        <f t="array" ref="K97">Common_InputFunctions.Utility_DisplayArrayInTable(Fertiliser_SourceData.Fertiliser_Products_Data1(),FertiliserProducts[[#Headers],[Include or Exclude]], 0)</f>
        <v/>
      </c>
      <c r="L97" s="65" t="str" cm="1">
        <f t="array" ref="L97">Common_InputFunctions.Utility_DisplayArrayInTable(Fertiliser_SourceData.Fertiliser_Products_Data1(),FertiliserProducts[[#Headers],[Include or Exclude]], 0)</f>
        <v>Urea</v>
      </c>
      <c r="M97" s="10" cm="1">
        <f t="array" ref="M97">Common_InputFunctions.Utility_DisplayArrayInTable(Fertiliser_SourceData.Fertiliser_Products_Data1(),FertiliserProducts[[#Headers],[Include or Exclude]], 0)</f>
        <v>0.52173913000000005</v>
      </c>
      <c r="N97" s="65" t="str" cm="1">
        <f t="array" ref="N97">Common_InputFunctions.Utility_DisplayArrayInTable(Fertiliser_SourceData.Fertiliser_Products_Data1(),FertiliserProducts[[#Headers],[Include or Exclude]], 0)</f>
        <v>Potassium - Generic</v>
      </c>
      <c r="O97" s="65" cm="1">
        <f t="array" ref="O97">Common_InputFunctions.Utility_DisplayArrayInTable(Fertiliser_SourceData.Fertiliser_Products_Data1(),FertiliserProducts[[#Headers],[Include or Exclude]], 0)</f>
        <v>0.08</v>
      </c>
      <c r="P97" s="65" t="str" cm="1">
        <f t="array" ref="P97">Common_InputFunctions.Utility_DisplayArrayInTable(Fertiliser_SourceData.Fertiliser_Products_Data1(),FertiliserProducts[[#Headers],[Include or Exclude]], 0)</f>
        <v>Sulfur - Generic</v>
      </c>
      <c r="Q97" s="65" cm="1">
        <f t="array" ref="Q97">Common_InputFunctions.Utility_DisplayArrayInTable(Fertiliser_SourceData.Fertiliser_Products_Data1(),FertiliserProducts[[#Headers],[Include or Exclude]], 0)</f>
        <v>5.2999999999999999E-2</v>
      </c>
      <c r="R97" s="65" t="str" cm="1">
        <f t="array" ref="R97">Common_InputFunctions.Utility_DisplayArrayInTable(Fertiliser_SourceData.Fertiliser_Products_Data1(),FertiliserProducts[[#Headers],[Include or Exclude]], 0)</f>
        <v>Phosphorus - Generic</v>
      </c>
      <c r="S97" s="65" cm="1">
        <f t="array" ref="S97">Common_InputFunctions.Utility_DisplayArrayInTable(Fertiliser_SourceData.Fertiliser_Products_Data1(),FertiliserProducts[[#Headers],[Include or Exclude]], 0)</f>
        <v>5.1999999999999998E-2</v>
      </c>
      <c r="T97" s="65" t="str" cm="1">
        <f t="array" ref="T97">Common_InputFunctions.Utility_DisplayArrayInTable(Fertiliser_SourceData.Fertiliser_Products_Data1(),FertiliserProducts[[#Headers],[Include or Exclude]], 0)</f>
        <v>Magnesium</v>
      </c>
      <c r="U97" s="65" cm="1">
        <f t="array" ref="U97">Common_InputFunctions.Utility_DisplayArrayInTable(Fertiliser_SourceData.Fertiliser_Products_Data1(),FertiliserProducts[[#Headers],[Include or Exclude]], 0)</f>
        <v>1.2999999999999999E-2</v>
      </c>
      <c r="V97" s="10" t="str" cm="1">
        <f t="array" ref="V97">Common_InputFunctions.Utility_DisplayArrayInTable(Fertiliser_SourceData.Fertiliser_Products_Data1(),FertiliserProducts[[#Headers],[Include or Exclude]], 0)</f>
        <v>Zinc</v>
      </c>
      <c r="W97" s="10" cm="1">
        <f t="array" ref="W97">Common_InputFunctions.Utility_DisplayArrayInTable(Fertiliser_SourceData.Fertiliser_Products_Data1(),FertiliserProducts[[#Headers],[Include or Exclude]], 0)</f>
        <v>2E-3</v>
      </c>
      <c r="X97" s="10" t="str" cm="1">
        <f t="array" ref="X97">Common_InputFunctions.Utility_DisplayArrayInTable(Fertiliser_SourceData.Fertiliser_Products_Data1(),FertiliserProducts[[#Headers],[Include or Exclude]], 0)</f>
        <v>Manganese</v>
      </c>
      <c r="Y97" s="10" cm="1">
        <f t="array" ref="Y97">Common_InputFunctions.Utility_DisplayArrayInTable(Fertiliser_SourceData.Fertiliser_Products_Data1(),FertiliserProducts[[#Headers],[Include or Exclude]], 0)</f>
        <v>3.5000000000000001E-3</v>
      </c>
      <c r="Z97" s="10" t="str" cm="1">
        <f t="array" ref="Z97">Common_InputFunctions.Utility_DisplayArrayInTable(Fertiliser_SourceData.Fertiliser_Products_Data1(),FertiliserProducts[[#Headers],[Include or Exclude]], 0)</f>
        <v>Iron</v>
      </c>
      <c r="AA97" s="10" cm="1">
        <f t="array" ref="AA97">Common_InputFunctions.Utility_DisplayArrayInTable(Fertiliser_SourceData.Fertiliser_Products_Data1(),FertiliserProducts[[#Headers],[Include or Exclude]], 0)</f>
        <v>1.2999999999999999E-3</v>
      </c>
      <c r="AB97" s="10" t="str" cm="1">
        <f t="array" ref="AB97">Common_InputFunctions.Utility_DisplayArrayInTable(Fertiliser_SourceData.Fertiliser_Products_Data1(),FertiliserProducts[[#Headers],[Include or Exclude]], 0)</f>
        <v>Copper</v>
      </c>
      <c r="AC97" s="10" cm="1">
        <f t="array" ref="AC97">Common_InputFunctions.Utility_DisplayArrayInTable(Fertiliser_SourceData.Fertiliser_Products_Data1(),FertiliserProducts[[#Headers],[Include or Exclude]], 0)</f>
        <v>6.9999999999999999E-4</v>
      </c>
      <c r="AD97" s="10" t="str" cm="1">
        <f t="array" ref="AD97">Common_InputFunctions.Utility_DisplayArrayInTable(Fertiliser_SourceData.Fertiliser_Products_Data1(),FertiliserProducts[[#Headers],[Include or Exclude]], 0)</f>
        <v>Boron</v>
      </c>
      <c r="AE97" s="10" cm="1">
        <f t="array" ref="AE97">Common_InputFunctions.Utility_DisplayArrayInTable(Fertiliser_SourceData.Fertiliser_Products_Data1(),FertiliserProducts[[#Headers],[Include or Exclude]], 0)</f>
        <v>6.9999999999999999E-4</v>
      </c>
    </row>
    <row r="98" spans="4:31" ht="20.100000000000001" customHeight="1" x14ac:dyDescent="0.25">
      <c r="D98" s="65" t="str" cm="1">
        <f t="array" ref="D98">Common_InputFunctions.Utility_DisplayArrayInTable(Fertiliser_SourceData.Fertiliser_Products_Data1(),FertiliserProducts[[#Headers],[Include or Exclude]], 0)</f>
        <v>Include</v>
      </c>
      <c r="E98" s="65" t="str" cm="1">
        <f t="array" ref="E98">Common_InputFunctions.Utility_DisplayArrayInTable(Fertiliser_SourceData.Fertiliser_Products_Data1(),FertiliserProducts[[#Headers],[Include or Exclude]], 0)</f>
        <v/>
      </c>
      <c r="F98" s="65" t="str" cm="1">
        <f t="array" ref="F98">Common_InputFunctions.Utility_DisplayArrayInTable(Fertiliser_SourceData.Fertiliser_Products_Data1(),FertiliserProducts[[#Headers],[Include or Exclude]], 0)</f>
        <v>Campbells fertilisers Australia</v>
      </c>
      <c r="G98" s="65" t="str" cm="1">
        <f t="array" ref="G98">Common_InputFunctions.Utility_DisplayArrayInTable(Fertiliser_SourceData.Fertiliser_Products_Data1(),FertiliserProducts[[#Headers],[Include or Exclude]], 0)</f>
        <v>Bronze</v>
      </c>
      <c r="H98" s="65" t="str" cm="1">
        <f t="array" ref="H98">Common_InputFunctions.Utility_DisplayArrayInTable(Fertiliser_SourceData.Fertiliser_Products_Data1(),FertiliserProducts[[#Headers],[Include or Exclude]], 0)</f>
        <v>kg</v>
      </c>
      <c r="I98" s="65" cm="1">
        <f t="array" ref="I98">Common_InputFunctions.Utility_DisplayArrayInTable(Fertiliser_SourceData.Fertiliser_Products_Data1(),FertiliserProducts[[#Headers],[Include or Exclude]], 0)</f>
        <v>1</v>
      </c>
      <c r="J98" s="65" t="str" cm="1">
        <f t="array" ref="J98">Common_InputFunctions.Utility_DisplayArrayInTable(Fertiliser_SourceData.Fertiliser_Products_Data1(),FertiliserProducts[[#Headers],[Include or Exclude]], 0)</f>
        <v/>
      </c>
      <c r="K98" s="65" t="str" cm="1">
        <f t="array" ref="K98">Common_InputFunctions.Utility_DisplayArrayInTable(Fertiliser_SourceData.Fertiliser_Products_Data1(),FertiliserProducts[[#Headers],[Include or Exclude]], 0)</f>
        <v/>
      </c>
      <c r="L98" s="65" t="str" cm="1">
        <f t="array" ref="L98">Common_InputFunctions.Utility_DisplayArrayInTable(Fertiliser_SourceData.Fertiliser_Products_Data1(),FertiliserProducts[[#Headers],[Include or Exclude]], 0)</f>
        <v>Muriate of Potash (MOP)</v>
      </c>
      <c r="M98" s="10" cm="1">
        <f t="array" ref="M98">Common_InputFunctions.Utility_DisplayArrayInTable(Fertiliser_SourceData.Fertiliser_Products_Data1(),FertiliserProducts[[#Headers],[Include or Exclude]], 0)</f>
        <v>0.23200000000000001</v>
      </c>
      <c r="N98" s="65" t="str" cm="1">
        <f t="array" ref="N98">Common_InputFunctions.Utility_DisplayArrayInTable(Fertiliser_SourceData.Fertiliser_Products_Data1(),FertiliserProducts[[#Headers],[Include or Exclude]], 0)</f>
        <v>Nitrogen - Generic</v>
      </c>
      <c r="O98" s="65" cm="1">
        <f t="array" ref="O98">Common_InputFunctions.Utility_DisplayArrayInTable(Fertiliser_SourceData.Fertiliser_Products_Data1(),FertiliserProducts[[#Headers],[Include or Exclude]], 0)</f>
        <v>0.17</v>
      </c>
      <c r="P98" s="65" t="str" cm="1">
        <f t="array" ref="P98">Common_InputFunctions.Utility_DisplayArrayInTable(Fertiliser_SourceData.Fertiliser_Products_Data1(),FertiliserProducts[[#Headers],[Include or Exclude]], 0)</f>
        <v>Sulfur - Generic</v>
      </c>
      <c r="Q98" s="65" cm="1">
        <f t="array" ref="Q98">Common_InputFunctions.Utility_DisplayArrayInTable(Fertiliser_SourceData.Fertiliser_Products_Data1(),FertiliserProducts[[#Headers],[Include or Exclude]], 0)</f>
        <v>5.0000000000000001E-3</v>
      </c>
      <c r="R98" s="65" t="str" cm="1">
        <f t="array" ref="R98">Common_InputFunctions.Utility_DisplayArrayInTable(Fertiliser_SourceData.Fertiliser_Products_Data1(),FertiliserProducts[[#Headers],[Include or Exclude]], 0)</f>
        <v>Magnesium</v>
      </c>
      <c r="S98" s="65" cm="1">
        <f t="array" ref="S98">Common_InputFunctions.Utility_DisplayArrayInTable(Fertiliser_SourceData.Fertiliser_Products_Data1(),FertiliserProducts[[#Headers],[Include or Exclude]], 0)</f>
        <v>2.3999999999999998E-3</v>
      </c>
      <c r="T98" s="65" t="str" cm="1">
        <f t="array" ref="T98">Common_InputFunctions.Utility_DisplayArrayInTable(Fertiliser_SourceData.Fertiliser_Products_Data1(),FertiliserProducts[[#Headers],[Include or Exclude]], 0)</f>
        <v>Phosphorus - Generic</v>
      </c>
      <c r="U98" s="65" cm="1">
        <f t="array" ref="U98">Common_InputFunctions.Utility_DisplayArrayInTable(Fertiliser_SourceData.Fertiliser_Products_Data1(),FertiliserProducts[[#Headers],[Include or Exclude]], 0)</f>
        <v>4.0000000000000002E-4</v>
      </c>
      <c r="V98" s="10" t="str" cm="1">
        <f t="array" ref="V98">Common_InputFunctions.Utility_DisplayArrayInTable(Fertiliser_SourceData.Fertiliser_Products_Data1(),FertiliserProducts[[#Headers],[Include or Exclude]], 0)</f>
        <v/>
      </c>
      <c r="W98" s="10" t="str" cm="1">
        <f t="array" ref="W98">Common_InputFunctions.Utility_DisplayArrayInTable(Fertiliser_SourceData.Fertiliser_Products_Data1(),FertiliserProducts[[#Headers],[Include or Exclude]], 0)</f>
        <v/>
      </c>
      <c r="X98" s="10" t="str" cm="1">
        <f t="array" ref="X98">Common_InputFunctions.Utility_DisplayArrayInTable(Fertiliser_SourceData.Fertiliser_Products_Data1(),FertiliserProducts[[#Headers],[Include or Exclude]], 0)</f>
        <v/>
      </c>
      <c r="Y98" s="10" t="str" cm="1">
        <f t="array" ref="Y98">Common_InputFunctions.Utility_DisplayArrayInTable(Fertiliser_SourceData.Fertiliser_Products_Data1(),FertiliserProducts[[#Headers],[Include or Exclude]], 0)</f>
        <v/>
      </c>
      <c r="Z98" s="10" t="str" cm="1">
        <f t="array" ref="Z98">Common_InputFunctions.Utility_DisplayArrayInTable(Fertiliser_SourceData.Fertiliser_Products_Data1(),FertiliserProducts[[#Headers],[Include or Exclude]], 0)</f>
        <v/>
      </c>
      <c r="AA98" s="10" t="str" cm="1">
        <f t="array" ref="AA98">Common_InputFunctions.Utility_DisplayArrayInTable(Fertiliser_SourceData.Fertiliser_Products_Data1(),FertiliserProducts[[#Headers],[Include or Exclude]], 0)</f>
        <v/>
      </c>
      <c r="AB98" s="10" t="str" cm="1">
        <f t="array" ref="AB98">Common_InputFunctions.Utility_DisplayArrayInTable(Fertiliser_SourceData.Fertiliser_Products_Data1(),FertiliserProducts[[#Headers],[Include or Exclude]], 0)</f>
        <v/>
      </c>
      <c r="AC98" s="10" t="str" cm="1">
        <f t="array" ref="AC98">Common_InputFunctions.Utility_DisplayArrayInTable(Fertiliser_SourceData.Fertiliser_Products_Data1(),FertiliserProducts[[#Headers],[Include or Exclude]], 0)</f>
        <v/>
      </c>
      <c r="AD98" s="10" t="str" cm="1">
        <f t="array" ref="AD98">Common_InputFunctions.Utility_DisplayArrayInTable(Fertiliser_SourceData.Fertiliser_Products_Data1(),FertiliserProducts[[#Headers],[Include or Exclude]], 0)</f>
        <v/>
      </c>
      <c r="AE98" s="10" t="str" cm="1">
        <f t="array" ref="AE98">Common_InputFunctions.Utility_DisplayArrayInTable(Fertiliser_SourceData.Fertiliser_Products_Data1(),FertiliserProducts[[#Headers],[Include or Exclude]], 0)</f>
        <v/>
      </c>
    </row>
    <row r="99" spans="4:31" ht="20.100000000000001" customHeight="1" x14ac:dyDescent="0.25">
      <c r="D99" s="65" t="str" cm="1">
        <f t="array" ref="D99">Common_InputFunctions.Utility_DisplayArrayInTable(Fertiliser_SourceData.Fertiliser_Products_Data1(),FertiliserProducts[[#Headers],[Include or Exclude]], 0)</f>
        <v>Include</v>
      </c>
      <c r="E99" s="65" t="str" cm="1">
        <f t="array" ref="E99">Common_InputFunctions.Utility_DisplayArrayInTable(Fertiliser_SourceData.Fertiliser_Products_Data1(),FertiliserProducts[[#Headers],[Include or Exclude]], 0)</f>
        <v>50/50 nitrate and ammoniacal nitrogen (ammonium nitrate)</v>
      </c>
      <c r="F99" s="65" t="str" cm="1">
        <f t="array" ref="F99">Common_InputFunctions.Utility_DisplayArrayInTable(Fertiliser_SourceData.Fertiliser_Products_Data1(),FertiliserProducts[[#Headers],[Include or Exclude]], 0)</f>
        <v>Campbells fertilisers Australia</v>
      </c>
      <c r="G99" s="65" t="str" cm="1">
        <f t="array" ref="G99">Common_InputFunctions.Utility_DisplayArrayInTable(Fertiliser_SourceData.Fertiliser_Products_Data1(),FertiliserProducts[[#Headers],[Include or Exclude]], 0)</f>
        <v>Compass</v>
      </c>
      <c r="H99" s="65" t="str" cm="1">
        <f t="array" ref="H99">Common_InputFunctions.Utility_DisplayArrayInTable(Fertiliser_SourceData.Fertiliser_Products_Data1(),FertiliserProducts[[#Headers],[Include or Exclude]], 0)</f>
        <v>kg</v>
      </c>
      <c r="I99" s="65" cm="1">
        <f t="array" ref="I99">Common_InputFunctions.Utility_DisplayArrayInTable(Fertiliser_SourceData.Fertiliser_Products_Data1(),FertiliserProducts[[#Headers],[Include or Exclude]], 0)</f>
        <v>1</v>
      </c>
      <c r="J99" s="65" t="str" cm="1">
        <f t="array" ref="J99">Common_InputFunctions.Utility_DisplayArrayInTable(Fertiliser_SourceData.Fertiliser_Products_Data1(),FertiliserProducts[[#Headers],[Include or Exclude]], 0)</f>
        <v/>
      </c>
      <c r="K99" s="65" t="str" cm="1">
        <f t="array" ref="K99">Common_InputFunctions.Utility_DisplayArrayInTable(Fertiliser_SourceData.Fertiliser_Products_Data1(),FertiliserProducts[[#Headers],[Include or Exclude]], 0)</f>
        <v/>
      </c>
      <c r="L99" s="65" t="str" cm="1">
        <f t="array" ref="L99">Common_InputFunctions.Utility_DisplayArrayInTable(Fertiliser_SourceData.Fertiliser_Products_Data1(),FertiliserProducts[[#Headers],[Include or Exclude]], 0)</f>
        <v>Nitrogen - Ammoniacal</v>
      </c>
      <c r="M99" s="10" cm="1">
        <f t="array" ref="M99">Common_InputFunctions.Utility_DisplayArrayInTable(Fertiliser_SourceData.Fertiliser_Products_Data1(),FertiliserProducts[[#Headers],[Include or Exclude]], 0)</f>
        <v>7.4999999999999997E-2</v>
      </c>
      <c r="N99" s="65" t="str" cm="1">
        <f t="array" ref="N99">Common_InputFunctions.Utility_DisplayArrayInTable(Fertiliser_SourceData.Fertiliser_Products_Data1(),FertiliserProducts[[#Headers],[Include or Exclude]], 0)</f>
        <v>Nitrogen - Nitrate</v>
      </c>
      <c r="O99" s="65" cm="1">
        <f t="array" ref="O99">Common_InputFunctions.Utility_DisplayArrayInTable(Fertiliser_SourceData.Fertiliser_Products_Data1(),FertiliserProducts[[#Headers],[Include or Exclude]], 0)</f>
        <v>7.4999999999999997E-2</v>
      </c>
      <c r="P99" s="65" t="str" cm="1">
        <f t="array" ref="P99">Common_InputFunctions.Utility_DisplayArrayInTable(Fertiliser_SourceData.Fertiliser_Products_Data1(),FertiliserProducts[[#Headers],[Include or Exclude]], 0)</f>
        <v>Potassium - Generic</v>
      </c>
      <c r="Q99" s="65" cm="1">
        <f t="array" ref="Q99">Common_InputFunctions.Utility_DisplayArrayInTable(Fertiliser_SourceData.Fertiliser_Products_Data1(),FertiliserProducts[[#Headers],[Include or Exclude]], 0)</f>
        <v>0.125</v>
      </c>
      <c r="R99" s="65" t="str" cm="1">
        <f t="array" ref="R99">Common_InputFunctions.Utility_DisplayArrayInTable(Fertiliser_SourceData.Fertiliser_Products_Data1(),FertiliserProducts[[#Headers],[Include or Exclude]], 0)</f>
        <v>Phosphorus-Generic</v>
      </c>
      <c r="S99" s="65" cm="1">
        <f t="array" ref="S99">Common_InputFunctions.Utility_DisplayArrayInTable(Fertiliser_SourceData.Fertiliser_Products_Data1(),FertiliserProducts[[#Headers],[Include or Exclude]], 0)</f>
        <v>6.5000000000000002E-2</v>
      </c>
      <c r="T99" s="65" t="str" cm="1">
        <f t="array" ref="T99">Common_InputFunctions.Utility_DisplayArrayInTable(Fertiliser_SourceData.Fertiliser_Products_Data1(),FertiliserProducts[[#Headers],[Include or Exclude]], 0)</f>
        <v>Sulfur - Generic</v>
      </c>
      <c r="U99" s="65" cm="1">
        <f t="array" ref="U99">Common_InputFunctions.Utility_DisplayArrayInTable(Fertiliser_SourceData.Fertiliser_Products_Data1(),FertiliserProducts[[#Headers],[Include or Exclude]], 0)</f>
        <v>0.06</v>
      </c>
      <c r="V99" s="10" t="str" cm="1">
        <f t="array" ref="V99">Common_InputFunctions.Utility_DisplayArrayInTable(Fertiliser_SourceData.Fertiliser_Products_Data1(),FertiliserProducts[[#Headers],[Include or Exclude]], 0)</f>
        <v/>
      </c>
      <c r="W99" s="10" t="str" cm="1">
        <f t="array" ref="W99">Common_InputFunctions.Utility_DisplayArrayInTable(Fertiliser_SourceData.Fertiliser_Products_Data1(),FertiliserProducts[[#Headers],[Include or Exclude]], 0)</f>
        <v/>
      </c>
      <c r="X99" s="10" t="str" cm="1">
        <f t="array" ref="X99">Common_InputFunctions.Utility_DisplayArrayInTable(Fertiliser_SourceData.Fertiliser_Products_Data1(),FertiliserProducts[[#Headers],[Include or Exclude]], 0)</f>
        <v/>
      </c>
      <c r="Y99" s="10" t="str" cm="1">
        <f t="array" ref="Y99">Common_InputFunctions.Utility_DisplayArrayInTable(Fertiliser_SourceData.Fertiliser_Products_Data1(),FertiliserProducts[[#Headers],[Include or Exclude]], 0)</f>
        <v/>
      </c>
      <c r="Z99" s="10" t="str" cm="1">
        <f t="array" ref="Z99">Common_InputFunctions.Utility_DisplayArrayInTable(Fertiliser_SourceData.Fertiliser_Products_Data1(),FertiliserProducts[[#Headers],[Include or Exclude]], 0)</f>
        <v/>
      </c>
      <c r="AA99" s="10" t="str" cm="1">
        <f t="array" ref="AA99">Common_InputFunctions.Utility_DisplayArrayInTable(Fertiliser_SourceData.Fertiliser_Products_Data1(),FertiliserProducts[[#Headers],[Include or Exclude]], 0)</f>
        <v/>
      </c>
      <c r="AB99" s="10" t="str" cm="1">
        <f t="array" ref="AB99">Common_InputFunctions.Utility_DisplayArrayInTable(Fertiliser_SourceData.Fertiliser_Products_Data1(),FertiliserProducts[[#Headers],[Include or Exclude]], 0)</f>
        <v/>
      </c>
      <c r="AC99" s="10" t="str" cm="1">
        <f t="array" ref="AC99">Common_InputFunctions.Utility_DisplayArrayInTable(Fertiliser_SourceData.Fertiliser_Products_Data1(),FertiliserProducts[[#Headers],[Include or Exclude]], 0)</f>
        <v/>
      </c>
      <c r="AD99" s="10" t="str" cm="1">
        <f t="array" ref="AD99">Common_InputFunctions.Utility_DisplayArrayInTable(Fertiliser_SourceData.Fertiliser_Products_Data1(),FertiliserProducts[[#Headers],[Include or Exclude]], 0)</f>
        <v/>
      </c>
      <c r="AE99" s="10" t="str" cm="1">
        <f t="array" ref="AE99">Common_InputFunctions.Utility_DisplayArrayInTable(Fertiliser_SourceData.Fertiliser_Products_Data1(),FertiliserProducts[[#Headers],[Include or Exclude]], 0)</f>
        <v/>
      </c>
    </row>
    <row r="100" spans="4:31" ht="20.100000000000001" customHeight="1" x14ac:dyDescent="0.25">
      <c r="D100" s="65" t="str" cm="1">
        <f t="array" ref="D100">Common_InputFunctions.Utility_DisplayArrayInTable(Fertiliser_SourceData.Fertiliser_Products_Data1(),FertiliserProducts[[#Headers],[Include or Exclude]], 0)</f>
        <v>Include - Absent ingredients &lt; 2%</v>
      </c>
      <c r="E100" s="65" t="str" cm="1">
        <f t="array" ref="E100">Common_InputFunctions.Utility_DisplayArrayInTable(Fertiliser_SourceData.Fertiliser_Products_Data1(),FertiliserProducts[[#Headers],[Include or Exclude]], 0)</f>
        <v>Controlled release N treated as generic, Amount of urea calculated from urea nitrogen amount</v>
      </c>
      <c r="F100" s="65" t="str" cm="1">
        <f t="array" ref="F100">Common_InputFunctions.Utility_DisplayArrayInTable(Fertiliser_SourceData.Fertiliser_Products_Data1(),FertiliserProducts[[#Headers],[Include or Exclude]], 0)</f>
        <v>Campbells fertilisers Australia</v>
      </c>
      <c r="G100" s="65" t="str" cm="1">
        <f t="array" ref="G100">Common_InputFunctions.Utility_DisplayArrayInTable(Fertiliser_SourceData.Fertiliser_Products_Data1(),FertiliserProducts[[#Headers],[Include or Exclude]], 0)</f>
        <v>CoRoN 12-0-10</v>
      </c>
      <c r="H100" s="65" t="str" cm="1">
        <f t="array" ref="H100">Common_InputFunctions.Utility_DisplayArrayInTable(Fertiliser_SourceData.Fertiliser_Products_Data1(),FertiliserProducts[[#Headers],[Include or Exclude]], 0)</f>
        <v>L</v>
      </c>
      <c r="I100" s="65" cm="1">
        <f t="array" ref="I100">Common_InputFunctions.Utility_DisplayArrayInTable(Fertiliser_SourceData.Fertiliser_Products_Data1(),FertiliserProducts[[#Headers],[Include or Exclude]], 0)</f>
        <v>1.2150000000000001</v>
      </c>
      <c r="J100" s="65" t="str" cm="1">
        <f t="array" ref="J100">Common_InputFunctions.Utility_DisplayArrayInTable(Fertiliser_SourceData.Fertiliser_Products_Data1(),FertiliserProducts[[#Headers],[Include or Exclude]], 0)</f>
        <v/>
      </c>
      <c r="K100" s="65" t="str" cm="1">
        <f t="array" ref="K100">Common_InputFunctions.Utility_DisplayArrayInTable(Fertiliser_SourceData.Fertiliser_Products_Data1(),FertiliserProducts[[#Headers],[Include or Exclude]], 0)</f>
        <v/>
      </c>
      <c r="L100" s="65" t="str" cm="1">
        <f t="array" ref="L100">Common_InputFunctions.Utility_DisplayArrayInTable(Fertiliser_SourceData.Fertiliser_Products_Data1(),FertiliserProducts[[#Headers],[Include or Exclude]], 0)</f>
        <v>Urea</v>
      </c>
      <c r="M100" s="10" cm="1">
        <f t="array" ref="M100">Common_InputFunctions.Utility_DisplayArrayInTable(Fertiliser_SourceData.Fertiliser_Products_Data1(),FertiliserProducts[[#Headers],[Include or Exclude]], 0)</f>
        <v>0.19565217400000001</v>
      </c>
      <c r="N100" s="65" t="str" cm="1">
        <f t="array" ref="N100">Common_InputFunctions.Utility_DisplayArrayInTable(Fertiliser_SourceData.Fertiliser_Products_Data1(),FertiliserProducts[[#Headers],[Include or Exclude]], 0)</f>
        <v>Potassium - Generic</v>
      </c>
      <c r="O100" s="65" cm="1">
        <f t="array" ref="O100">Common_InputFunctions.Utility_DisplayArrayInTable(Fertiliser_SourceData.Fertiliser_Products_Data1(),FertiliserProducts[[#Headers],[Include or Exclude]], 0)</f>
        <v>0.1</v>
      </c>
      <c r="P100" s="65" t="str" cm="1">
        <f t="array" ref="P100">Common_InputFunctions.Utility_DisplayArrayInTable(Fertiliser_SourceData.Fertiliser_Products_Data1(),FertiliserProducts[[#Headers],[Include or Exclude]], 0)</f>
        <v>Nitrogen - Generic</v>
      </c>
      <c r="Q100" s="65" cm="1">
        <f t="array" ref="Q100">Common_InputFunctions.Utility_DisplayArrayInTable(Fertiliser_SourceData.Fertiliser_Products_Data1(),FertiliserProducts[[#Headers],[Include or Exclude]], 0)</f>
        <v>0.03</v>
      </c>
      <c r="R100" s="65" t="str" cm="1">
        <f t="array" ref="R100">Common_InputFunctions.Utility_DisplayArrayInTable(Fertiliser_SourceData.Fertiliser_Products_Data1(),FertiliserProducts[[#Headers],[Include or Exclude]], 0)</f>
        <v>Boron</v>
      </c>
      <c r="S100" s="65" cm="1">
        <f t="array" ref="S100">Common_InputFunctions.Utility_DisplayArrayInTable(Fertiliser_SourceData.Fertiliser_Products_Data1(),FertiliserProducts[[#Headers],[Include or Exclude]], 0)</f>
        <v>5.0000000000000001E-3</v>
      </c>
      <c r="T100" s="65" t="str" cm="1">
        <f t="array" ref="T100">Common_InputFunctions.Utility_DisplayArrayInTable(Fertiliser_SourceData.Fertiliser_Products_Data1(),FertiliserProducts[[#Headers],[Include or Exclude]], 0)</f>
        <v/>
      </c>
      <c r="U100" s="65" t="str" cm="1">
        <f t="array" ref="U100">Common_InputFunctions.Utility_DisplayArrayInTable(Fertiliser_SourceData.Fertiliser_Products_Data1(),FertiliserProducts[[#Headers],[Include or Exclude]], 0)</f>
        <v/>
      </c>
      <c r="V100" s="10" t="str" cm="1">
        <f t="array" ref="V100">Common_InputFunctions.Utility_DisplayArrayInTable(Fertiliser_SourceData.Fertiliser_Products_Data1(),FertiliserProducts[[#Headers],[Include or Exclude]], 0)</f>
        <v/>
      </c>
      <c r="W100" s="10" t="str" cm="1">
        <f t="array" ref="W100">Common_InputFunctions.Utility_DisplayArrayInTable(Fertiliser_SourceData.Fertiliser_Products_Data1(),FertiliserProducts[[#Headers],[Include or Exclude]], 0)</f>
        <v/>
      </c>
      <c r="X100" s="10" t="str" cm="1">
        <f t="array" ref="X100">Common_InputFunctions.Utility_DisplayArrayInTable(Fertiliser_SourceData.Fertiliser_Products_Data1(),FertiliserProducts[[#Headers],[Include or Exclude]], 0)</f>
        <v/>
      </c>
      <c r="Y100" s="10" t="str" cm="1">
        <f t="array" ref="Y100">Common_InputFunctions.Utility_DisplayArrayInTable(Fertiliser_SourceData.Fertiliser_Products_Data1(),FertiliserProducts[[#Headers],[Include or Exclude]], 0)</f>
        <v/>
      </c>
      <c r="Z100" s="10" t="str" cm="1">
        <f t="array" ref="Z100">Common_InputFunctions.Utility_DisplayArrayInTable(Fertiliser_SourceData.Fertiliser_Products_Data1(),FertiliserProducts[[#Headers],[Include or Exclude]], 0)</f>
        <v/>
      </c>
      <c r="AA100" s="10" t="str" cm="1">
        <f t="array" ref="AA100">Common_InputFunctions.Utility_DisplayArrayInTable(Fertiliser_SourceData.Fertiliser_Products_Data1(),FertiliserProducts[[#Headers],[Include or Exclude]], 0)</f>
        <v/>
      </c>
      <c r="AB100" s="10" t="str" cm="1">
        <f t="array" ref="AB100">Common_InputFunctions.Utility_DisplayArrayInTable(Fertiliser_SourceData.Fertiliser_Products_Data1(),FertiliserProducts[[#Headers],[Include or Exclude]], 0)</f>
        <v/>
      </c>
      <c r="AC100" s="10" t="str" cm="1">
        <f t="array" ref="AC100">Common_InputFunctions.Utility_DisplayArrayInTable(Fertiliser_SourceData.Fertiliser_Products_Data1(),FertiliserProducts[[#Headers],[Include or Exclude]], 0)</f>
        <v/>
      </c>
      <c r="AD100" s="10" t="str" cm="1">
        <f t="array" ref="AD100">Common_InputFunctions.Utility_DisplayArrayInTable(Fertiliser_SourceData.Fertiliser_Products_Data1(),FertiliserProducts[[#Headers],[Include or Exclude]], 0)</f>
        <v/>
      </c>
      <c r="AE100" s="10" t="str" cm="1">
        <f t="array" ref="AE100">Common_InputFunctions.Utility_DisplayArrayInTable(Fertiliser_SourceData.Fertiliser_Products_Data1(),FertiliserProducts[[#Headers],[Include or Exclude]], 0)</f>
        <v/>
      </c>
    </row>
    <row r="101" spans="4:31" ht="20.100000000000001" customHeight="1" x14ac:dyDescent="0.25">
      <c r="D101" s="65" t="str" cm="1">
        <f t="array" ref="D101">Common_InputFunctions.Utility_DisplayArrayInTable(Fertiliser_SourceData.Fertiliser_Products_Data1(),FertiliserProducts[[#Headers],[Include or Exclude]], 0)</f>
        <v/>
      </c>
      <c r="E101" s="65" t="str" cm="1">
        <f t="array" ref="E101">Common_InputFunctions.Utility_DisplayArrayInTable(Fertiliser_SourceData.Fertiliser_Products_Data1(),FertiliserProducts[[#Headers],[Include or Exclude]], 0)</f>
        <v/>
      </c>
      <c r="F101" s="65" t="str" cm="1">
        <f t="array" ref="F101">Common_InputFunctions.Utility_DisplayArrayInTable(Fertiliser_SourceData.Fertiliser_Products_Data1(),FertiliserProducts[[#Headers],[Include or Exclude]], 0)</f>
        <v/>
      </c>
      <c r="G101" s="65" t="str" cm="1">
        <f t="array" ref="G101">Common_InputFunctions.Utility_DisplayArrayInTable(Fertiliser_SourceData.Fertiliser_Products_Data1(),FertiliserProducts[[#Headers],[Include or Exclude]], 0)</f>
        <v/>
      </c>
      <c r="H101" s="65" t="str" cm="1">
        <f t="array" ref="H101">Common_InputFunctions.Utility_DisplayArrayInTable(Fertiliser_SourceData.Fertiliser_Products_Data1(),FertiliserProducts[[#Headers],[Include or Exclude]], 0)</f>
        <v/>
      </c>
      <c r="I101" s="65" t="str" cm="1">
        <f t="array" ref="I101">Common_InputFunctions.Utility_DisplayArrayInTable(Fertiliser_SourceData.Fertiliser_Products_Data1(),FertiliserProducts[[#Headers],[Include or Exclude]], 0)</f>
        <v/>
      </c>
      <c r="J101" s="65" t="str" cm="1">
        <f t="array" ref="J101">Common_InputFunctions.Utility_DisplayArrayInTable(Fertiliser_SourceData.Fertiliser_Products_Data1(),FertiliserProducts[[#Headers],[Include or Exclude]], 0)</f>
        <v/>
      </c>
      <c r="K101" s="65" t="str" cm="1">
        <f t="array" ref="K101">Common_InputFunctions.Utility_DisplayArrayInTable(Fertiliser_SourceData.Fertiliser_Products_Data1(),FertiliserProducts[[#Headers],[Include or Exclude]], 0)</f>
        <v/>
      </c>
      <c r="L101" s="65" t="str" cm="1">
        <f t="array" ref="L101">Common_InputFunctions.Utility_DisplayArrayInTable(Fertiliser_SourceData.Fertiliser_Products_Data1(),FertiliserProducts[[#Headers],[Include or Exclude]], 0)</f>
        <v/>
      </c>
      <c r="M101" s="10" t="str" cm="1">
        <f t="array" ref="M101">Common_InputFunctions.Utility_DisplayArrayInTable(Fertiliser_SourceData.Fertiliser_Products_Data1(),FertiliserProducts[[#Headers],[Include or Exclude]], 0)</f>
        <v/>
      </c>
      <c r="N101" s="65" t="str" cm="1">
        <f t="array" ref="N101">Common_InputFunctions.Utility_DisplayArrayInTable(Fertiliser_SourceData.Fertiliser_Products_Data1(),FertiliserProducts[[#Headers],[Include or Exclude]], 0)</f>
        <v/>
      </c>
      <c r="O101" s="65" t="str" cm="1">
        <f t="array" ref="O101">Common_InputFunctions.Utility_DisplayArrayInTable(Fertiliser_SourceData.Fertiliser_Products_Data1(),FertiliserProducts[[#Headers],[Include or Exclude]], 0)</f>
        <v/>
      </c>
      <c r="P101" s="65" t="str" cm="1">
        <f t="array" ref="P101">Common_InputFunctions.Utility_DisplayArrayInTable(Fertiliser_SourceData.Fertiliser_Products_Data1(),FertiliserProducts[[#Headers],[Include or Exclude]], 0)</f>
        <v/>
      </c>
      <c r="Q101" s="65" t="str" cm="1">
        <f t="array" ref="Q101">Common_InputFunctions.Utility_DisplayArrayInTable(Fertiliser_SourceData.Fertiliser_Products_Data1(),FertiliserProducts[[#Headers],[Include or Exclude]], 0)</f>
        <v/>
      </c>
      <c r="R101" s="65" t="str" cm="1">
        <f t="array" ref="R101">Common_InputFunctions.Utility_DisplayArrayInTable(Fertiliser_SourceData.Fertiliser_Products_Data1(),FertiliserProducts[[#Headers],[Include or Exclude]], 0)</f>
        <v/>
      </c>
      <c r="S101" s="65" t="str" cm="1">
        <f t="array" ref="S101">Common_InputFunctions.Utility_DisplayArrayInTable(Fertiliser_SourceData.Fertiliser_Products_Data1(),FertiliserProducts[[#Headers],[Include or Exclude]], 0)</f>
        <v/>
      </c>
      <c r="T101" s="65" t="str" cm="1">
        <f t="array" ref="T101">Common_InputFunctions.Utility_DisplayArrayInTable(Fertiliser_SourceData.Fertiliser_Products_Data1(),FertiliserProducts[[#Headers],[Include or Exclude]], 0)</f>
        <v/>
      </c>
      <c r="U101" s="65" t="str" cm="1">
        <f t="array" ref="U101">Common_InputFunctions.Utility_DisplayArrayInTable(Fertiliser_SourceData.Fertiliser_Products_Data1(),FertiliserProducts[[#Headers],[Include or Exclude]], 0)</f>
        <v/>
      </c>
      <c r="V101" s="10" t="str" cm="1">
        <f t="array" ref="V101">Common_InputFunctions.Utility_DisplayArrayInTable(Fertiliser_SourceData.Fertiliser_Products_Data1(),FertiliserProducts[[#Headers],[Include or Exclude]], 0)</f>
        <v/>
      </c>
      <c r="W101" s="10" t="str" cm="1">
        <f t="array" ref="W101">Common_InputFunctions.Utility_DisplayArrayInTable(Fertiliser_SourceData.Fertiliser_Products_Data1(),FertiliserProducts[[#Headers],[Include or Exclude]], 0)</f>
        <v/>
      </c>
      <c r="X101" s="10" t="str" cm="1">
        <f t="array" ref="X101">Common_InputFunctions.Utility_DisplayArrayInTable(Fertiliser_SourceData.Fertiliser_Products_Data1(),FertiliserProducts[[#Headers],[Include or Exclude]], 0)</f>
        <v/>
      </c>
      <c r="Y101" s="10" t="str" cm="1">
        <f t="array" ref="Y101">Common_InputFunctions.Utility_DisplayArrayInTable(Fertiliser_SourceData.Fertiliser_Products_Data1(),FertiliserProducts[[#Headers],[Include or Exclude]], 0)</f>
        <v/>
      </c>
      <c r="Z101" s="10" t="str" cm="1">
        <f t="array" ref="Z101">Common_InputFunctions.Utility_DisplayArrayInTable(Fertiliser_SourceData.Fertiliser_Products_Data1(),FertiliserProducts[[#Headers],[Include or Exclude]], 0)</f>
        <v/>
      </c>
      <c r="AA101" s="10" t="str" cm="1">
        <f t="array" ref="AA101">Common_InputFunctions.Utility_DisplayArrayInTable(Fertiliser_SourceData.Fertiliser_Products_Data1(),FertiliserProducts[[#Headers],[Include or Exclude]], 0)</f>
        <v/>
      </c>
      <c r="AB101" s="10" t="str" cm="1">
        <f t="array" ref="AB101">Common_InputFunctions.Utility_DisplayArrayInTable(Fertiliser_SourceData.Fertiliser_Products_Data1(),FertiliserProducts[[#Headers],[Include or Exclude]], 0)</f>
        <v/>
      </c>
      <c r="AC101" s="10" t="str" cm="1">
        <f t="array" ref="AC101">Common_InputFunctions.Utility_DisplayArrayInTable(Fertiliser_SourceData.Fertiliser_Products_Data1(),FertiliserProducts[[#Headers],[Include or Exclude]], 0)</f>
        <v/>
      </c>
      <c r="AD101" s="10" t="str" cm="1">
        <f t="array" ref="AD101">Common_InputFunctions.Utility_DisplayArrayInTable(Fertiliser_SourceData.Fertiliser_Products_Data1(),FertiliserProducts[[#Headers],[Include or Exclude]], 0)</f>
        <v/>
      </c>
      <c r="AE101" s="10" t="str" cm="1">
        <f t="array" ref="AE101">Common_InputFunctions.Utility_DisplayArrayInTable(Fertiliser_SourceData.Fertiliser_Products_Data1(),FertiliserProducts[[#Headers],[Include or Exclude]], 0)</f>
        <v/>
      </c>
    </row>
    <row r="102" spans="4:31" ht="20.100000000000001" customHeight="1" x14ac:dyDescent="0.25">
      <c r="D102" s="65" t="str" cm="1">
        <f t="array" ref="D102">Common_InputFunctions.Utility_DisplayArrayInTable(Fertiliser_SourceData.Fertiliser_Products_Data1(),FertiliserProducts[[#Headers],[Include or Exclude]], 0)</f>
        <v/>
      </c>
      <c r="E102" s="65" t="str" cm="1">
        <f t="array" ref="E102">Common_InputFunctions.Utility_DisplayArrayInTable(Fertiliser_SourceData.Fertiliser_Products_Data1(),FertiliserProducts[[#Headers],[Include or Exclude]], 0)</f>
        <v/>
      </c>
      <c r="F102" s="65" t="str" cm="1">
        <f t="array" ref="F102">Common_InputFunctions.Utility_DisplayArrayInTable(Fertiliser_SourceData.Fertiliser_Products_Data1(),FertiliserProducts[[#Headers],[Include or Exclude]], 0)</f>
        <v/>
      </c>
      <c r="G102" s="65" t="str" cm="1">
        <f t="array" ref="G102">Common_InputFunctions.Utility_DisplayArrayInTable(Fertiliser_SourceData.Fertiliser_Products_Data1(),FertiliserProducts[[#Headers],[Include or Exclude]], 0)</f>
        <v/>
      </c>
      <c r="H102" s="65" t="str" cm="1">
        <f t="array" ref="H102">Common_InputFunctions.Utility_DisplayArrayInTable(Fertiliser_SourceData.Fertiliser_Products_Data1(),FertiliserProducts[[#Headers],[Include or Exclude]], 0)</f>
        <v/>
      </c>
      <c r="I102" s="65" t="str" cm="1">
        <f t="array" ref="I102">Common_InputFunctions.Utility_DisplayArrayInTable(Fertiliser_SourceData.Fertiliser_Products_Data1(),FertiliserProducts[[#Headers],[Include or Exclude]], 0)</f>
        <v/>
      </c>
      <c r="J102" s="65" t="str" cm="1">
        <f t="array" ref="J102">Common_InputFunctions.Utility_DisplayArrayInTable(Fertiliser_SourceData.Fertiliser_Products_Data1(),FertiliserProducts[[#Headers],[Include or Exclude]], 0)</f>
        <v/>
      </c>
      <c r="K102" s="65" t="str" cm="1">
        <f t="array" ref="K102">Common_InputFunctions.Utility_DisplayArrayInTable(Fertiliser_SourceData.Fertiliser_Products_Data1(),FertiliserProducts[[#Headers],[Include or Exclude]], 0)</f>
        <v/>
      </c>
      <c r="L102" s="65" t="str" cm="1">
        <f t="array" ref="L102">Common_InputFunctions.Utility_DisplayArrayInTable(Fertiliser_SourceData.Fertiliser_Products_Data1(),FertiliserProducts[[#Headers],[Include or Exclude]], 0)</f>
        <v/>
      </c>
      <c r="M102" s="10" t="str" cm="1">
        <f t="array" ref="M102">Common_InputFunctions.Utility_DisplayArrayInTable(Fertiliser_SourceData.Fertiliser_Products_Data1(),FertiliserProducts[[#Headers],[Include or Exclude]], 0)</f>
        <v/>
      </c>
      <c r="N102" s="65" t="str" cm="1">
        <f t="array" ref="N102">Common_InputFunctions.Utility_DisplayArrayInTable(Fertiliser_SourceData.Fertiliser_Products_Data1(),FertiliserProducts[[#Headers],[Include or Exclude]], 0)</f>
        <v/>
      </c>
      <c r="O102" s="65" t="str" cm="1">
        <f t="array" ref="O102">Common_InputFunctions.Utility_DisplayArrayInTable(Fertiliser_SourceData.Fertiliser_Products_Data1(),FertiliserProducts[[#Headers],[Include or Exclude]], 0)</f>
        <v/>
      </c>
      <c r="P102" s="65" t="str" cm="1">
        <f t="array" ref="P102">Common_InputFunctions.Utility_DisplayArrayInTable(Fertiliser_SourceData.Fertiliser_Products_Data1(),FertiliserProducts[[#Headers],[Include or Exclude]], 0)</f>
        <v/>
      </c>
      <c r="Q102" s="65" t="str" cm="1">
        <f t="array" ref="Q102">Common_InputFunctions.Utility_DisplayArrayInTable(Fertiliser_SourceData.Fertiliser_Products_Data1(),FertiliserProducts[[#Headers],[Include or Exclude]], 0)</f>
        <v/>
      </c>
      <c r="R102" s="65" t="str" cm="1">
        <f t="array" ref="R102">Common_InputFunctions.Utility_DisplayArrayInTable(Fertiliser_SourceData.Fertiliser_Products_Data1(),FertiliserProducts[[#Headers],[Include or Exclude]], 0)</f>
        <v/>
      </c>
      <c r="S102" s="65" t="str" cm="1">
        <f t="array" ref="S102">Common_InputFunctions.Utility_DisplayArrayInTable(Fertiliser_SourceData.Fertiliser_Products_Data1(),FertiliserProducts[[#Headers],[Include or Exclude]], 0)</f>
        <v/>
      </c>
      <c r="T102" s="65" t="str" cm="1">
        <f t="array" ref="T102">Common_InputFunctions.Utility_DisplayArrayInTable(Fertiliser_SourceData.Fertiliser_Products_Data1(),FertiliserProducts[[#Headers],[Include or Exclude]], 0)</f>
        <v/>
      </c>
      <c r="U102" s="65" t="str" cm="1">
        <f t="array" ref="U102">Common_InputFunctions.Utility_DisplayArrayInTable(Fertiliser_SourceData.Fertiliser_Products_Data1(),FertiliserProducts[[#Headers],[Include or Exclude]], 0)</f>
        <v/>
      </c>
      <c r="V102" s="10" t="str" cm="1">
        <f t="array" ref="V102">Common_InputFunctions.Utility_DisplayArrayInTable(Fertiliser_SourceData.Fertiliser_Products_Data1(),FertiliserProducts[[#Headers],[Include or Exclude]], 0)</f>
        <v/>
      </c>
      <c r="W102" s="10" t="str" cm="1">
        <f t="array" ref="W102">Common_InputFunctions.Utility_DisplayArrayInTable(Fertiliser_SourceData.Fertiliser_Products_Data1(),FertiliserProducts[[#Headers],[Include or Exclude]], 0)</f>
        <v/>
      </c>
      <c r="X102" s="10" t="str" cm="1">
        <f t="array" ref="X102">Common_InputFunctions.Utility_DisplayArrayInTable(Fertiliser_SourceData.Fertiliser_Products_Data1(),FertiliserProducts[[#Headers],[Include or Exclude]], 0)</f>
        <v/>
      </c>
      <c r="Y102" s="10" t="str" cm="1">
        <f t="array" ref="Y102">Common_InputFunctions.Utility_DisplayArrayInTable(Fertiliser_SourceData.Fertiliser_Products_Data1(),FertiliserProducts[[#Headers],[Include or Exclude]], 0)</f>
        <v/>
      </c>
      <c r="Z102" s="10" t="str" cm="1">
        <f t="array" ref="Z102">Common_InputFunctions.Utility_DisplayArrayInTable(Fertiliser_SourceData.Fertiliser_Products_Data1(),FertiliserProducts[[#Headers],[Include or Exclude]], 0)</f>
        <v/>
      </c>
      <c r="AA102" s="10" t="str" cm="1">
        <f t="array" ref="AA102">Common_InputFunctions.Utility_DisplayArrayInTable(Fertiliser_SourceData.Fertiliser_Products_Data1(),FertiliserProducts[[#Headers],[Include or Exclude]], 0)</f>
        <v/>
      </c>
      <c r="AB102" s="10" t="str" cm="1">
        <f t="array" ref="AB102">Common_InputFunctions.Utility_DisplayArrayInTable(Fertiliser_SourceData.Fertiliser_Products_Data1(),FertiliserProducts[[#Headers],[Include or Exclude]], 0)</f>
        <v/>
      </c>
      <c r="AC102" s="10" t="str" cm="1">
        <f t="array" ref="AC102">Common_InputFunctions.Utility_DisplayArrayInTable(Fertiliser_SourceData.Fertiliser_Products_Data1(),FertiliserProducts[[#Headers],[Include or Exclude]], 0)</f>
        <v/>
      </c>
      <c r="AD102" s="10" t="str" cm="1">
        <f t="array" ref="AD102">Common_InputFunctions.Utility_DisplayArrayInTable(Fertiliser_SourceData.Fertiliser_Products_Data1(),FertiliserProducts[[#Headers],[Include or Exclude]], 0)</f>
        <v/>
      </c>
      <c r="AE102" s="10" t="str" cm="1">
        <f t="array" ref="AE102">Common_InputFunctions.Utility_DisplayArrayInTable(Fertiliser_SourceData.Fertiliser_Products_Data1(),FertiliserProducts[[#Headers],[Include or Exclude]], 0)</f>
        <v/>
      </c>
    </row>
    <row r="103" spans="4:31" ht="20.100000000000001" customHeight="1" x14ac:dyDescent="0.25">
      <c r="D103" s="65" t="str" cm="1">
        <f t="array" ref="D103">Common_InputFunctions.Utility_DisplayArrayInTable(Fertiliser_SourceData.Fertiliser_Products_Data1(),FertiliserProducts[[#Headers],[Include or Exclude]], 0)</f>
        <v/>
      </c>
      <c r="E103" s="65" t="str" cm="1">
        <f t="array" ref="E103">Common_InputFunctions.Utility_DisplayArrayInTable(Fertiliser_SourceData.Fertiliser_Products_Data1(),FertiliserProducts[[#Headers],[Include or Exclude]], 0)</f>
        <v/>
      </c>
      <c r="F103" s="65" t="str" cm="1">
        <f t="array" ref="F103">Common_InputFunctions.Utility_DisplayArrayInTable(Fertiliser_SourceData.Fertiliser_Products_Data1(),FertiliserProducts[[#Headers],[Include or Exclude]], 0)</f>
        <v/>
      </c>
      <c r="G103" s="65" t="str" cm="1">
        <f t="array" ref="G103">Common_InputFunctions.Utility_DisplayArrayInTable(Fertiliser_SourceData.Fertiliser_Products_Data1(),FertiliserProducts[[#Headers],[Include or Exclude]], 0)</f>
        <v/>
      </c>
      <c r="H103" s="65" t="str" cm="1">
        <f t="array" ref="H103">Common_InputFunctions.Utility_DisplayArrayInTable(Fertiliser_SourceData.Fertiliser_Products_Data1(),FertiliserProducts[[#Headers],[Include or Exclude]], 0)</f>
        <v/>
      </c>
      <c r="I103" s="65" t="str" cm="1">
        <f t="array" ref="I103">Common_InputFunctions.Utility_DisplayArrayInTable(Fertiliser_SourceData.Fertiliser_Products_Data1(),FertiliserProducts[[#Headers],[Include or Exclude]], 0)</f>
        <v/>
      </c>
      <c r="J103" s="65" t="str" cm="1">
        <f t="array" ref="J103">Common_InputFunctions.Utility_DisplayArrayInTable(Fertiliser_SourceData.Fertiliser_Products_Data1(),FertiliserProducts[[#Headers],[Include or Exclude]], 0)</f>
        <v/>
      </c>
      <c r="K103" s="65" t="str" cm="1">
        <f t="array" ref="K103">Common_InputFunctions.Utility_DisplayArrayInTable(Fertiliser_SourceData.Fertiliser_Products_Data1(),FertiliserProducts[[#Headers],[Include or Exclude]], 0)</f>
        <v/>
      </c>
      <c r="L103" s="65" t="str" cm="1">
        <f t="array" ref="L103">Common_InputFunctions.Utility_DisplayArrayInTable(Fertiliser_SourceData.Fertiliser_Products_Data1(),FertiliserProducts[[#Headers],[Include or Exclude]], 0)</f>
        <v/>
      </c>
      <c r="M103" s="10" t="str" cm="1">
        <f t="array" ref="M103">Common_InputFunctions.Utility_DisplayArrayInTable(Fertiliser_SourceData.Fertiliser_Products_Data1(),FertiliserProducts[[#Headers],[Include or Exclude]], 0)</f>
        <v/>
      </c>
      <c r="N103" s="65" t="str" cm="1">
        <f t="array" ref="N103">Common_InputFunctions.Utility_DisplayArrayInTable(Fertiliser_SourceData.Fertiliser_Products_Data1(),FertiliserProducts[[#Headers],[Include or Exclude]], 0)</f>
        <v/>
      </c>
      <c r="O103" s="65" t="str" cm="1">
        <f t="array" ref="O103">Common_InputFunctions.Utility_DisplayArrayInTable(Fertiliser_SourceData.Fertiliser_Products_Data1(),FertiliserProducts[[#Headers],[Include or Exclude]], 0)</f>
        <v/>
      </c>
      <c r="P103" s="65" t="str" cm="1">
        <f t="array" ref="P103">Common_InputFunctions.Utility_DisplayArrayInTable(Fertiliser_SourceData.Fertiliser_Products_Data1(),FertiliserProducts[[#Headers],[Include or Exclude]], 0)</f>
        <v/>
      </c>
      <c r="Q103" s="65" t="str" cm="1">
        <f t="array" ref="Q103">Common_InputFunctions.Utility_DisplayArrayInTable(Fertiliser_SourceData.Fertiliser_Products_Data1(),FertiliserProducts[[#Headers],[Include or Exclude]], 0)</f>
        <v/>
      </c>
      <c r="R103" s="65" t="str" cm="1">
        <f t="array" ref="R103">Common_InputFunctions.Utility_DisplayArrayInTable(Fertiliser_SourceData.Fertiliser_Products_Data1(),FertiliserProducts[[#Headers],[Include or Exclude]], 0)</f>
        <v/>
      </c>
      <c r="S103" s="65" t="str" cm="1">
        <f t="array" ref="S103">Common_InputFunctions.Utility_DisplayArrayInTable(Fertiliser_SourceData.Fertiliser_Products_Data1(),FertiliserProducts[[#Headers],[Include or Exclude]], 0)</f>
        <v/>
      </c>
      <c r="T103" s="65" t="str" cm="1">
        <f t="array" ref="T103">Common_InputFunctions.Utility_DisplayArrayInTable(Fertiliser_SourceData.Fertiliser_Products_Data1(),FertiliserProducts[[#Headers],[Include or Exclude]], 0)</f>
        <v/>
      </c>
      <c r="U103" s="65" t="str" cm="1">
        <f t="array" ref="U103">Common_InputFunctions.Utility_DisplayArrayInTable(Fertiliser_SourceData.Fertiliser_Products_Data1(),FertiliserProducts[[#Headers],[Include or Exclude]], 0)</f>
        <v/>
      </c>
      <c r="V103" s="10" t="str" cm="1">
        <f t="array" ref="V103">Common_InputFunctions.Utility_DisplayArrayInTable(Fertiliser_SourceData.Fertiliser_Products_Data1(),FertiliserProducts[[#Headers],[Include or Exclude]], 0)</f>
        <v/>
      </c>
      <c r="W103" s="10" t="str" cm="1">
        <f t="array" ref="W103">Common_InputFunctions.Utility_DisplayArrayInTable(Fertiliser_SourceData.Fertiliser_Products_Data1(),FertiliserProducts[[#Headers],[Include or Exclude]], 0)</f>
        <v/>
      </c>
      <c r="X103" s="10" t="str" cm="1">
        <f t="array" ref="X103">Common_InputFunctions.Utility_DisplayArrayInTable(Fertiliser_SourceData.Fertiliser_Products_Data1(),FertiliserProducts[[#Headers],[Include or Exclude]], 0)</f>
        <v/>
      </c>
      <c r="Y103" s="10" t="str" cm="1">
        <f t="array" ref="Y103">Common_InputFunctions.Utility_DisplayArrayInTable(Fertiliser_SourceData.Fertiliser_Products_Data1(),FertiliserProducts[[#Headers],[Include or Exclude]], 0)</f>
        <v/>
      </c>
      <c r="Z103" s="10" t="str" cm="1">
        <f t="array" ref="Z103">Common_InputFunctions.Utility_DisplayArrayInTable(Fertiliser_SourceData.Fertiliser_Products_Data1(),FertiliserProducts[[#Headers],[Include or Exclude]], 0)</f>
        <v/>
      </c>
      <c r="AA103" s="10" t="str" cm="1">
        <f t="array" ref="AA103">Common_InputFunctions.Utility_DisplayArrayInTable(Fertiliser_SourceData.Fertiliser_Products_Data1(),FertiliserProducts[[#Headers],[Include or Exclude]], 0)</f>
        <v/>
      </c>
      <c r="AB103" s="10" t="str" cm="1">
        <f t="array" ref="AB103">Common_InputFunctions.Utility_DisplayArrayInTable(Fertiliser_SourceData.Fertiliser_Products_Data1(),FertiliserProducts[[#Headers],[Include or Exclude]], 0)</f>
        <v/>
      </c>
      <c r="AC103" s="10" t="str" cm="1">
        <f t="array" ref="AC103">Common_InputFunctions.Utility_DisplayArrayInTable(Fertiliser_SourceData.Fertiliser_Products_Data1(),FertiliserProducts[[#Headers],[Include or Exclude]], 0)</f>
        <v/>
      </c>
      <c r="AD103" s="10" t="str" cm="1">
        <f t="array" ref="AD103">Common_InputFunctions.Utility_DisplayArrayInTable(Fertiliser_SourceData.Fertiliser_Products_Data1(),FertiliserProducts[[#Headers],[Include or Exclude]], 0)</f>
        <v/>
      </c>
      <c r="AE103" s="10" t="str" cm="1">
        <f t="array" ref="AE103">Common_InputFunctions.Utility_DisplayArrayInTable(Fertiliser_SourceData.Fertiliser_Products_Data1(),FertiliserProducts[[#Headers],[Include or Exclude]], 0)</f>
        <v/>
      </c>
    </row>
    <row r="104" spans="4:31" ht="20.100000000000001" customHeight="1" x14ac:dyDescent="0.25">
      <c r="D104" s="65" t="str" cm="1">
        <f t="array" ref="D104">Common_InputFunctions.Utility_DisplayArrayInTable(Fertiliser_SourceData.Fertiliser_Products_Data1(),FertiliserProducts[[#Headers],[Include or Exclude]], 0)</f>
        <v/>
      </c>
      <c r="E104" s="65" t="str" cm="1">
        <f t="array" ref="E104">Common_InputFunctions.Utility_DisplayArrayInTable(Fertiliser_SourceData.Fertiliser_Products_Data1(),FertiliserProducts[[#Headers],[Include or Exclude]], 0)</f>
        <v/>
      </c>
      <c r="F104" s="65" t="str" cm="1">
        <f t="array" ref="F104">Common_InputFunctions.Utility_DisplayArrayInTable(Fertiliser_SourceData.Fertiliser_Products_Data1(),FertiliserProducts[[#Headers],[Include or Exclude]], 0)</f>
        <v/>
      </c>
      <c r="G104" s="65" t="str" cm="1">
        <f t="array" ref="G104">Common_InputFunctions.Utility_DisplayArrayInTable(Fertiliser_SourceData.Fertiliser_Products_Data1(),FertiliserProducts[[#Headers],[Include or Exclude]], 0)</f>
        <v/>
      </c>
      <c r="H104" s="65" t="str" cm="1">
        <f t="array" ref="H104">Common_InputFunctions.Utility_DisplayArrayInTable(Fertiliser_SourceData.Fertiliser_Products_Data1(),FertiliserProducts[[#Headers],[Include or Exclude]], 0)</f>
        <v/>
      </c>
      <c r="I104" s="65" t="str" cm="1">
        <f t="array" ref="I104">Common_InputFunctions.Utility_DisplayArrayInTable(Fertiliser_SourceData.Fertiliser_Products_Data1(),FertiliserProducts[[#Headers],[Include or Exclude]], 0)</f>
        <v/>
      </c>
      <c r="J104" s="65" t="str" cm="1">
        <f t="array" ref="J104">Common_InputFunctions.Utility_DisplayArrayInTable(Fertiliser_SourceData.Fertiliser_Products_Data1(),FertiliserProducts[[#Headers],[Include or Exclude]], 0)</f>
        <v/>
      </c>
      <c r="K104" s="65" t="str" cm="1">
        <f t="array" ref="K104">Common_InputFunctions.Utility_DisplayArrayInTable(Fertiliser_SourceData.Fertiliser_Products_Data1(),FertiliserProducts[[#Headers],[Include or Exclude]], 0)</f>
        <v/>
      </c>
      <c r="L104" s="65" t="str" cm="1">
        <f t="array" ref="L104">Common_InputFunctions.Utility_DisplayArrayInTable(Fertiliser_SourceData.Fertiliser_Products_Data1(),FertiliserProducts[[#Headers],[Include or Exclude]], 0)</f>
        <v/>
      </c>
      <c r="M104" s="10" t="str" cm="1">
        <f t="array" ref="M104">Common_InputFunctions.Utility_DisplayArrayInTable(Fertiliser_SourceData.Fertiliser_Products_Data1(),FertiliserProducts[[#Headers],[Include or Exclude]], 0)</f>
        <v/>
      </c>
      <c r="N104" s="65" t="str" cm="1">
        <f t="array" ref="N104">Common_InputFunctions.Utility_DisplayArrayInTable(Fertiliser_SourceData.Fertiliser_Products_Data1(),FertiliserProducts[[#Headers],[Include or Exclude]], 0)</f>
        <v/>
      </c>
      <c r="O104" s="65" t="str" cm="1">
        <f t="array" ref="O104">Common_InputFunctions.Utility_DisplayArrayInTable(Fertiliser_SourceData.Fertiliser_Products_Data1(),FertiliserProducts[[#Headers],[Include or Exclude]], 0)</f>
        <v/>
      </c>
      <c r="P104" s="65" t="str" cm="1">
        <f t="array" ref="P104">Common_InputFunctions.Utility_DisplayArrayInTable(Fertiliser_SourceData.Fertiliser_Products_Data1(),FertiliserProducts[[#Headers],[Include or Exclude]], 0)</f>
        <v/>
      </c>
      <c r="Q104" s="65" t="str" cm="1">
        <f t="array" ref="Q104">Common_InputFunctions.Utility_DisplayArrayInTable(Fertiliser_SourceData.Fertiliser_Products_Data1(),FertiliserProducts[[#Headers],[Include or Exclude]], 0)</f>
        <v/>
      </c>
      <c r="R104" s="65" t="str" cm="1">
        <f t="array" ref="R104">Common_InputFunctions.Utility_DisplayArrayInTable(Fertiliser_SourceData.Fertiliser_Products_Data1(),FertiliserProducts[[#Headers],[Include or Exclude]], 0)</f>
        <v/>
      </c>
      <c r="S104" s="65" t="str" cm="1">
        <f t="array" ref="S104">Common_InputFunctions.Utility_DisplayArrayInTable(Fertiliser_SourceData.Fertiliser_Products_Data1(),FertiliserProducts[[#Headers],[Include or Exclude]], 0)</f>
        <v/>
      </c>
      <c r="T104" s="65" t="str" cm="1">
        <f t="array" ref="T104">Common_InputFunctions.Utility_DisplayArrayInTable(Fertiliser_SourceData.Fertiliser_Products_Data1(),FertiliserProducts[[#Headers],[Include or Exclude]], 0)</f>
        <v/>
      </c>
      <c r="U104" s="65" t="str" cm="1">
        <f t="array" ref="U104">Common_InputFunctions.Utility_DisplayArrayInTable(Fertiliser_SourceData.Fertiliser_Products_Data1(),FertiliserProducts[[#Headers],[Include or Exclude]], 0)</f>
        <v/>
      </c>
      <c r="V104" s="10" t="str" cm="1">
        <f t="array" ref="V104">Common_InputFunctions.Utility_DisplayArrayInTable(Fertiliser_SourceData.Fertiliser_Products_Data1(),FertiliserProducts[[#Headers],[Include or Exclude]], 0)</f>
        <v/>
      </c>
      <c r="W104" s="10" t="str" cm="1">
        <f t="array" ref="W104">Common_InputFunctions.Utility_DisplayArrayInTable(Fertiliser_SourceData.Fertiliser_Products_Data1(),FertiliserProducts[[#Headers],[Include or Exclude]], 0)</f>
        <v/>
      </c>
      <c r="X104" s="10" t="str" cm="1">
        <f t="array" ref="X104">Common_InputFunctions.Utility_DisplayArrayInTable(Fertiliser_SourceData.Fertiliser_Products_Data1(),FertiliserProducts[[#Headers],[Include or Exclude]], 0)</f>
        <v/>
      </c>
      <c r="Y104" s="10" t="str" cm="1">
        <f t="array" ref="Y104">Common_InputFunctions.Utility_DisplayArrayInTable(Fertiliser_SourceData.Fertiliser_Products_Data1(),FertiliserProducts[[#Headers],[Include or Exclude]], 0)</f>
        <v/>
      </c>
      <c r="Z104" s="10" t="str" cm="1">
        <f t="array" ref="Z104">Common_InputFunctions.Utility_DisplayArrayInTable(Fertiliser_SourceData.Fertiliser_Products_Data1(),FertiliserProducts[[#Headers],[Include or Exclude]], 0)</f>
        <v/>
      </c>
      <c r="AA104" s="10" t="str" cm="1">
        <f t="array" ref="AA104">Common_InputFunctions.Utility_DisplayArrayInTable(Fertiliser_SourceData.Fertiliser_Products_Data1(),FertiliserProducts[[#Headers],[Include or Exclude]], 0)</f>
        <v/>
      </c>
      <c r="AB104" s="10" t="str" cm="1">
        <f t="array" ref="AB104">Common_InputFunctions.Utility_DisplayArrayInTable(Fertiliser_SourceData.Fertiliser_Products_Data1(),FertiliserProducts[[#Headers],[Include or Exclude]], 0)</f>
        <v/>
      </c>
      <c r="AC104" s="10" t="str" cm="1">
        <f t="array" ref="AC104">Common_InputFunctions.Utility_DisplayArrayInTable(Fertiliser_SourceData.Fertiliser_Products_Data1(),FertiliserProducts[[#Headers],[Include or Exclude]], 0)</f>
        <v/>
      </c>
      <c r="AD104" s="10" t="str" cm="1">
        <f t="array" ref="AD104">Common_InputFunctions.Utility_DisplayArrayInTable(Fertiliser_SourceData.Fertiliser_Products_Data1(),FertiliserProducts[[#Headers],[Include or Exclude]], 0)</f>
        <v/>
      </c>
      <c r="AE104" s="10" t="str" cm="1">
        <f t="array" ref="AE104">Common_InputFunctions.Utility_DisplayArrayInTable(Fertiliser_SourceData.Fertiliser_Products_Data1(),FertiliserProducts[[#Headers],[Include or Exclude]], 0)</f>
        <v/>
      </c>
    </row>
    <row r="105" spans="4:31" ht="20.100000000000001" customHeight="1" x14ac:dyDescent="0.25">
      <c r="D105" s="65" t="str" cm="1">
        <f t="array" ref="D105">Common_InputFunctions.Utility_DisplayArrayInTable(Fertiliser_SourceData.Fertiliser_Products_Data1(),FertiliserProducts[[#Headers],[Include or Exclude]], 0)</f>
        <v/>
      </c>
      <c r="E105" s="65" t="str" cm="1">
        <f t="array" ref="E105">Common_InputFunctions.Utility_DisplayArrayInTable(Fertiliser_SourceData.Fertiliser_Products_Data1(),FertiliserProducts[[#Headers],[Include or Exclude]], 0)</f>
        <v/>
      </c>
      <c r="F105" s="65" t="str" cm="1">
        <f t="array" ref="F105">Common_InputFunctions.Utility_DisplayArrayInTable(Fertiliser_SourceData.Fertiliser_Products_Data1(),FertiliserProducts[[#Headers],[Include or Exclude]], 0)</f>
        <v/>
      </c>
      <c r="G105" s="65" t="str" cm="1">
        <f t="array" ref="G105">Common_InputFunctions.Utility_DisplayArrayInTable(Fertiliser_SourceData.Fertiliser_Products_Data1(),FertiliserProducts[[#Headers],[Include or Exclude]], 0)</f>
        <v/>
      </c>
      <c r="H105" s="65" t="str" cm="1">
        <f t="array" ref="H105">Common_InputFunctions.Utility_DisplayArrayInTable(Fertiliser_SourceData.Fertiliser_Products_Data1(),FertiliserProducts[[#Headers],[Include or Exclude]], 0)</f>
        <v/>
      </c>
      <c r="I105" s="65" t="str" cm="1">
        <f t="array" ref="I105">Common_InputFunctions.Utility_DisplayArrayInTable(Fertiliser_SourceData.Fertiliser_Products_Data1(),FertiliserProducts[[#Headers],[Include or Exclude]], 0)</f>
        <v/>
      </c>
      <c r="J105" s="65" t="str" cm="1">
        <f t="array" ref="J105">Common_InputFunctions.Utility_DisplayArrayInTable(Fertiliser_SourceData.Fertiliser_Products_Data1(),FertiliserProducts[[#Headers],[Include or Exclude]], 0)</f>
        <v/>
      </c>
      <c r="K105" s="65" t="str" cm="1">
        <f t="array" ref="K105">Common_InputFunctions.Utility_DisplayArrayInTable(Fertiliser_SourceData.Fertiliser_Products_Data1(),FertiliserProducts[[#Headers],[Include or Exclude]], 0)</f>
        <v/>
      </c>
      <c r="L105" s="65" t="str" cm="1">
        <f t="array" ref="L105">Common_InputFunctions.Utility_DisplayArrayInTable(Fertiliser_SourceData.Fertiliser_Products_Data1(),FertiliserProducts[[#Headers],[Include or Exclude]], 0)</f>
        <v/>
      </c>
      <c r="M105" s="10" t="str" cm="1">
        <f t="array" ref="M105">Common_InputFunctions.Utility_DisplayArrayInTable(Fertiliser_SourceData.Fertiliser_Products_Data1(),FertiliserProducts[[#Headers],[Include or Exclude]], 0)</f>
        <v/>
      </c>
      <c r="N105" s="65" t="str" cm="1">
        <f t="array" ref="N105">Common_InputFunctions.Utility_DisplayArrayInTable(Fertiliser_SourceData.Fertiliser_Products_Data1(),FertiliserProducts[[#Headers],[Include or Exclude]], 0)</f>
        <v/>
      </c>
      <c r="O105" s="65" t="str" cm="1">
        <f t="array" ref="O105">Common_InputFunctions.Utility_DisplayArrayInTable(Fertiliser_SourceData.Fertiliser_Products_Data1(),FertiliserProducts[[#Headers],[Include or Exclude]], 0)</f>
        <v/>
      </c>
      <c r="P105" s="65" t="str" cm="1">
        <f t="array" ref="P105">Common_InputFunctions.Utility_DisplayArrayInTable(Fertiliser_SourceData.Fertiliser_Products_Data1(),FertiliserProducts[[#Headers],[Include or Exclude]], 0)</f>
        <v/>
      </c>
      <c r="Q105" s="65" t="str" cm="1">
        <f t="array" ref="Q105">Common_InputFunctions.Utility_DisplayArrayInTable(Fertiliser_SourceData.Fertiliser_Products_Data1(),FertiliserProducts[[#Headers],[Include or Exclude]], 0)</f>
        <v/>
      </c>
      <c r="R105" s="65" t="str" cm="1">
        <f t="array" ref="R105">Common_InputFunctions.Utility_DisplayArrayInTable(Fertiliser_SourceData.Fertiliser_Products_Data1(),FertiliserProducts[[#Headers],[Include or Exclude]], 0)</f>
        <v/>
      </c>
      <c r="S105" s="65" t="str" cm="1">
        <f t="array" ref="S105">Common_InputFunctions.Utility_DisplayArrayInTable(Fertiliser_SourceData.Fertiliser_Products_Data1(),FertiliserProducts[[#Headers],[Include or Exclude]], 0)</f>
        <v/>
      </c>
      <c r="T105" s="65" t="str" cm="1">
        <f t="array" ref="T105">Common_InputFunctions.Utility_DisplayArrayInTable(Fertiliser_SourceData.Fertiliser_Products_Data1(),FertiliserProducts[[#Headers],[Include or Exclude]], 0)</f>
        <v/>
      </c>
      <c r="U105" s="65" t="str" cm="1">
        <f t="array" ref="U105">Common_InputFunctions.Utility_DisplayArrayInTable(Fertiliser_SourceData.Fertiliser_Products_Data1(),FertiliserProducts[[#Headers],[Include or Exclude]], 0)</f>
        <v/>
      </c>
      <c r="V105" s="10" t="str" cm="1">
        <f t="array" ref="V105">Common_InputFunctions.Utility_DisplayArrayInTable(Fertiliser_SourceData.Fertiliser_Products_Data1(),FertiliserProducts[[#Headers],[Include or Exclude]], 0)</f>
        <v/>
      </c>
      <c r="W105" s="10" t="str" cm="1">
        <f t="array" ref="W105">Common_InputFunctions.Utility_DisplayArrayInTable(Fertiliser_SourceData.Fertiliser_Products_Data1(),FertiliserProducts[[#Headers],[Include or Exclude]], 0)</f>
        <v/>
      </c>
      <c r="X105" s="10" t="str" cm="1">
        <f t="array" ref="X105">Common_InputFunctions.Utility_DisplayArrayInTable(Fertiliser_SourceData.Fertiliser_Products_Data1(),FertiliserProducts[[#Headers],[Include or Exclude]], 0)</f>
        <v/>
      </c>
      <c r="Y105" s="10" t="str" cm="1">
        <f t="array" ref="Y105">Common_InputFunctions.Utility_DisplayArrayInTable(Fertiliser_SourceData.Fertiliser_Products_Data1(),FertiliserProducts[[#Headers],[Include or Exclude]], 0)</f>
        <v/>
      </c>
      <c r="Z105" s="10" t="str" cm="1">
        <f t="array" ref="Z105">Common_InputFunctions.Utility_DisplayArrayInTable(Fertiliser_SourceData.Fertiliser_Products_Data1(),FertiliserProducts[[#Headers],[Include or Exclude]], 0)</f>
        <v/>
      </c>
      <c r="AA105" s="10" t="str" cm="1">
        <f t="array" ref="AA105">Common_InputFunctions.Utility_DisplayArrayInTable(Fertiliser_SourceData.Fertiliser_Products_Data1(),FertiliserProducts[[#Headers],[Include or Exclude]], 0)</f>
        <v/>
      </c>
      <c r="AB105" s="10" t="str" cm="1">
        <f t="array" ref="AB105">Common_InputFunctions.Utility_DisplayArrayInTable(Fertiliser_SourceData.Fertiliser_Products_Data1(),FertiliserProducts[[#Headers],[Include or Exclude]], 0)</f>
        <v/>
      </c>
      <c r="AC105" s="10" t="str" cm="1">
        <f t="array" ref="AC105">Common_InputFunctions.Utility_DisplayArrayInTable(Fertiliser_SourceData.Fertiliser_Products_Data1(),FertiliserProducts[[#Headers],[Include or Exclude]], 0)</f>
        <v/>
      </c>
      <c r="AD105" s="10" t="str" cm="1">
        <f t="array" ref="AD105">Common_InputFunctions.Utility_DisplayArrayInTable(Fertiliser_SourceData.Fertiliser_Products_Data1(),FertiliserProducts[[#Headers],[Include or Exclude]], 0)</f>
        <v/>
      </c>
      <c r="AE105" s="10" t="str" cm="1">
        <f t="array" ref="AE105">Common_InputFunctions.Utility_DisplayArrayInTable(Fertiliser_SourceData.Fertiliser_Products_Data1(),FertiliserProducts[[#Headers],[Include or Exclude]], 0)</f>
        <v/>
      </c>
    </row>
    <row r="106" spans="4:31" ht="20.100000000000001" customHeight="1" x14ac:dyDescent="0.25">
      <c r="D106" s="65" t="str" cm="1">
        <f t="array" ref="D106">Common_InputFunctions.Utility_DisplayArrayInTable(Fertiliser_SourceData.Fertiliser_Products_Data1(),FertiliserProducts[[#Headers],[Include or Exclude]], 0)</f>
        <v/>
      </c>
      <c r="E106" s="65" t="str" cm="1">
        <f t="array" ref="E106">Common_InputFunctions.Utility_DisplayArrayInTable(Fertiliser_SourceData.Fertiliser_Products_Data1(),FertiliserProducts[[#Headers],[Include or Exclude]], 0)</f>
        <v/>
      </c>
      <c r="F106" s="65" t="str" cm="1">
        <f t="array" ref="F106">Common_InputFunctions.Utility_DisplayArrayInTable(Fertiliser_SourceData.Fertiliser_Products_Data1(),FertiliserProducts[[#Headers],[Include or Exclude]], 0)</f>
        <v/>
      </c>
      <c r="G106" s="65" t="str" cm="1">
        <f t="array" ref="G106">Common_InputFunctions.Utility_DisplayArrayInTable(Fertiliser_SourceData.Fertiliser_Products_Data1(),FertiliserProducts[[#Headers],[Include or Exclude]], 0)</f>
        <v/>
      </c>
      <c r="H106" s="65" t="str" cm="1">
        <f t="array" ref="H106">Common_InputFunctions.Utility_DisplayArrayInTable(Fertiliser_SourceData.Fertiliser_Products_Data1(),FertiliserProducts[[#Headers],[Include or Exclude]], 0)</f>
        <v/>
      </c>
      <c r="I106" s="65" t="str" cm="1">
        <f t="array" ref="I106">Common_InputFunctions.Utility_DisplayArrayInTable(Fertiliser_SourceData.Fertiliser_Products_Data1(),FertiliserProducts[[#Headers],[Include or Exclude]], 0)</f>
        <v/>
      </c>
      <c r="J106" s="65" t="str" cm="1">
        <f t="array" ref="J106">Common_InputFunctions.Utility_DisplayArrayInTable(Fertiliser_SourceData.Fertiliser_Products_Data1(),FertiliserProducts[[#Headers],[Include or Exclude]], 0)</f>
        <v/>
      </c>
      <c r="K106" s="65" t="str" cm="1">
        <f t="array" ref="K106">Common_InputFunctions.Utility_DisplayArrayInTable(Fertiliser_SourceData.Fertiliser_Products_Data1(),FertiliserProducts[[#Headers],[Include or Exclude]], 0)</f>
        <v/>
      </c>
      <c r="L106" s="65" t="str" cm="1">
        <f t="array" ref="L106">Common_InputFunctions.Utility_DisplayArrayInTable(Fertiliser_SourceData.Fertiliser_Products_Data1(),FertiliserProducts[[#Headers],[Include or Exclude]], 0)</f>
        <v/>
      </c>
      <c r="M106" s="10" t="str" cm="1">
        <f t="array" ref="M106">Common_InputFunctions.Utility_DisplayArrayInTable(Fertiliser_SourceData.Fertiliser_Products_Data1(),FertiliserProducts[[#Headers],[Include or Exclude]], 0)</f>
        <v/>
      </c>
      <c r="N106" s="65" t="str" cm="1">
        <f t="array" ref="N106">Common_InputFunctions.Utility_DisplayArrayInTable(Fertiliser_SourceData.Fertiliser_Products_Data1(),FertiliserProducts[[#Headers],[Include or Exclude]], 0)</f>
        <v/>
      </c>
      <c r="O106" s="65" t="str" cm="1">
        <f t="array" ref="O106">Common_InputFunctions.Utility_DisplayArrayInTable(Fertiliser_SourceData.Fertiliser_Products_Data1(),FertiliserProducts[[#Headers],[Include or Exclude]], 0)</f>
        <v/>
      </c>
      <c r="P106" s="65" t="str" cm="1">
        <f t="array" ref="P106">Common_InputFunctions.Utility_DisplayArrayInTable(Fertiliser_SourceData.Fertiliser_Products_Data1(),FertiliserProducts[[#Headers],[Include or Exclude]], 0)</f>
        <v/>
      </c>
      <c r="Q106" s="65" t="str" cm="1">
        <f t="array" ref="Q106">Common_InputFunctions.Utility_DisplayArrayInTable(Fertiliser_SourceData.Fertiliser_Products_Data1(),FertiliserProducts[[#Headers],[Include or Exclude]], 0)</f>
        <v/>
      </c>
      <c r="R106" s="65" t="str" cm="1">
        <f t="array" ref="R106">Common_InputFunctions.Utility_DisplayArrayInTable(Fertiliser_SourceData.Fertiliser_Products_Data1(),FertiliserProducts[[#Headers],[Include or Exclude]], 0)</f>
        <v/>
      </c>
      <c r="S106" s="65" t="str" cm="1">
        <f t="array" ref="S106">Common_InputFunctions.Utility_DisplayArrayInTable(Fertiliser_SourceData.Fertiliser_Products_Data1(),FertiliserProducts[[#Headers],[Include or Exclude]], 0)</f>
        <v/>
      </c>
      <c r="T106" s="65" t="str" cm="1">
        <f t="array" ref="T106">Common_InputFunctions.Utility_DisplayArrayInTable(Fertiliser_SourceData.Fertiliser_Products_Data1(),FertiliserProducts[[#Headers],[Include or Exclude]], 0)</f>
        <v/>
      </c>
      <c r="U106" s="65" t="str" cm="1">
        <f t="array" ref="U106">Common_InputFunctions.Utility_DisplayArrayInTable(Fertiliser_SourceData.Fertiliser_Products_Data1(),FertiliserProducts[[#Headers],[Include or Exclude]], 0)</f>
        <v/>
      </c>
      <c r="V106" s="10" t="str" cm="1">
        <f t="array" ref="V106">Common_InputFunctions.Utility_DisplayArrayInTable(Fertiliser_SourceData.Fertiliser_Products_Data1(),FertiliserProducts[[#Headers],[Include or Exclude]], 0)</f>
        <v/>
      </c>
      <c r="W106" s="10" t="str" cm="1">
        <f t="array" ref="W106">Common_InputFunctions.Utility_DisplayArrayInTable(Fertiliser_SourceData.Fertiliser_Products_Data1(),FertiliserProducts[[#Headers],[Include or Exclude]], 0)</f>
        <v/>
      </c>
      <c r="X106" s="10" t="str" cm="1">
        <f t="array" ref="X106">Common_InputFunctions.Utility_DisplayArrayInTable(Fertiliser_SourceData.Fertiliser_Products_Data1(),FertiliserProducts[[#Headers],[Include or Exclude]], 0)</f>
        <v/>
      </c>
      <c r="Y106" s="10" t="str" cm="1">
        <f t="array" ref="Y106">Common_InputFunctions.Utility_DisplayArrayInTable(Fertiliser_SourceData.Fertiliser_Products_Data1(),FertiliserProducts[[#Headers],[Include or Exclude]], 0)</f>
        <v/>
      </c>
      <c r="Z106" s="10" t="str" cm="1">
        <f t="array" ref="Z106">Common_InputFunctions.Utility_DisplayArrayInTable(Fertiliser_SourceData.Fertiliser_Products_Data1(),FertiliserProducts[[#Headers],[Include or Exclude]], 0)</f>
        <v/>
      </c>
      <c r="AA106" s="10" t="str" cm="1">
        <f t="array" ref="AA106">Common_InputFunctions.Utility_DisplayArrayInTable(Fertiliser_SourceData.Fertiliser_Products_Data1(),FertiliserProducts[[#Headers],[Include or Exclude]], 0)</f>
        <v/>
      </c>
      <c r="AB106" s="10" t="str" cm="1">
        <f t="array" ref="AB106">Common_InputFunctions.Utility_DisplayArrayInTable(Fertiliser_SourceData.Fertiliser_Products_Data1(),FertiliserProducts[[#Headers],[Include or Exclude]], 0)</f>
        <v/>
      </c>
      <c r="AC106" s="10" t="str" cm="1">
        <f t="array" ref="AC106">Common_InputFunctions.Utility_DisplayArrayInTable(Fertiliser_SourceData.Fertiliser_Products_Data1(),FertiliserProducts[[#Headers],[Include or Exclude]], 0)</f>
        <v/>
      </c>
      <c r="AD106" s="10" t="str" cm="1">
        <f t="array" ref="AD106">Common_InputFunctions.Utility_DisplayArrayInTable(Fertiliser_SourceData.Fertiliser_Products_Data1(),FertiliserProducts[[#Headers],[Include or Exclude]], 0)</f>
        <v/>
      </c>
      <c r="AE106" s="10" t="str" cm="1">
        <f t="array" ref="AE106">Common_InputFunctions.Utility_DisplayArrayInTable(Fertiliser_SourceData.Fertiliser_Products_Data1(),FertiliserProducts[[#Headers],[Include or Exclude]], 0)</f>
        <v/>
      </c>
    </row>
    <row r="107" spans="4:31" ht="20.100000000000001" customHeight="1" x14ac:dyDescent="0.25">
      <c r="D107" s="65" t="str" cm="1">
        <f t="array" ref="D107">Common_InputFunctions.Utility_DisplayArrayInTable(Fertiliser_SourceData.Fertiliser_Products_Data1(),FertiliserProducts[[#Headers],[Include or Exclude]], 0)</f>
        <v/>
      </c>
      <c r="E107" s="65" t="str" cm="1">
        <f t="array" ref="E107">Common_InputFunctions.Utility_DisplayArrayInTable(Fertiliser_SourceData.Fertiliser_Products_Data1(),FertiliserProducts[[#Headers],[Include or Exclude]], 0)</f>
        <v/>
      </c>
      <c r="F107" s="65" t="str" cm="1">
        <f t="array" ref="F107">Common_InputFunctions.Utility_DisplayArrayInTable(Fertiliser_SourceData.Fertiliser_Products_Data1(),FertiliserProducts[[#Headers],[Include or Exclude]], 0)</f>
        <v/>
      </c>
      <c r="G107" s="65" t="str" cm="1">
        <f t="array" ref="G107">Common_InputFunctions.Utility_DisplayArrayInTable(Fertiliser_SourceData.Fertiliser_Products_Data1(),FertiliserProducts[[#Headers],[Include or Exclude]], 0)</f>
        <v/>
      </c>
      <c r="H107" s="65" t="str" cm="1">
        <f t="array" ref="H107">Common_InputFunctions.Utility_DisplayArrayInTable(Fertiliser_SourceData.Fertiliser_Products_Data1(),FertiliserProducts[[#Headers],[Include or Exclude]], 0)</f>
        <v/>
      </c>
      <c r="I107" s="65" t="str" cm="1">
        <f t="array" ref="I107">Common_InputFunctions.Utility_DisplayArrayInTable(Fertiliser_SourceData.Fertiliser_Products_Data1(),FertiliserProducts[[#Headers],[Include or Exclude]], 0)</f>
        <v/>
      </c>
      <c r="J107" s="65" t="str" cm="1">
        <f t="array" ref="J107">Common_InputFunctions.Utility_DisplayArrayInTable(Fertiliser_SourceData.Fertiliser_Products_Data1(),FertiliserProducts[[#Headers],[Include or Exclude]], 0)</f>
        <v/>
      </c>
      <c r="K107" s="65" t="str" cm="1">
        <f t="array" ref="K107">Common_InputFunctions.Utility_DisplayArrayInTable(Fertiliser_SourceData.Fertiliser_Products_Data1(),FertiliserProducts[[#Headers],[Include or Exclude]], 0)</f>
        <v/>
      </c>
      <c r="L107" s="65" t="str" cm="1">
        <f t="array" ref="L107">Common_InputFunctions.Utility_DisplayArrayInTable(Fertiliser_SourceData.Fertiliser_Products_Data1(),FertiliserProducts[[#Headers],[Include or Exclude]], 0)</f>
        <v/>
      </c>
      <c r="M107" s="10" t="str" cm="1">
        <f t="array" ref="M107">Common_InputFunctions.Utility_DisplayArrayInTable(Fertiliser_SourceData.Fertiliser_Products_Data1(),FertiliserProducts[[#Headers],[Include or Exclude]], 0)</f>
        <v/>
      </c>
      <c r="N107" s="65" t="str" cm="1">
        <f t="array" ref="N107">Common_InputFunctions.Utility_DisplayArrayInTable(Fertiliser_SourceData.Fertiliser_Products_Data1(),FertiliserProducts[[#Headers],[Include or Exclude]], 0)</f>
        <v/>
      </c>
      <c r="O107" s="65" t="str" cm="1">
        <f t="array" ref="O107">Common_InputFunctions.Utility_DisplayArrayInTable(Fertiliser_SourceData.Fertiliser_Products_Data1(),FertiliserProducts[[#Headers],[Include or Exclude]], 0)</f>
        <v/>
      </c>
      <c r="P107" s="65" t="str" cm="1">
        <f t="array" ref="P107">Common_InputFunctions.Utility_DisplayArrayInTable(Fertiliser_SourceData.Fertiliser_Products_Data1(),FertiliserProducts[[#Headers],[Include or Exclude]], 0)</f>
        <v/>
      </c>
      <c r="Q107" s="65" t="str" cm="1">
        <f t="array" ref="Q107">Common_InputFunctions.Utility_DisplayArrayInTable(Fertiliser_SourceData.Fertiliser_Products_Data1(),FertiliserProducts[[#Headers],[Include or Exclude]], 0)</f>
        <v/>
      </c>
      <c r="R107" s="65" t="str" cm="1">
        <f t="array" ref="R107">Common_InputFunctions.Utility_DisplayArrayInTable(Fertiliser_SourceData.Fertiliser_Products_Data1(),FertiliserProducts[[#Headers],[Include or Exclude]], 0)</f>
        <v/>
      </c>
      <c r="S107" s="65" t="str" cm="1">
        <f t="array" ref="S107">Common_InputFunctions.Utility_DisplayArrayInTable(Fertiliser_SourceData.Fertiliser_Products_Data1(),FertiliserProducts[[#Headers],[Include or Exclude]], 0)</f>
        <v/>
      </c>
      <c r="T107" s="65" t="str" cm="1">
        <f t="array" ref="T107">Common_InputFunctions.Utility_DisplayArrayInTable(Fertiliser_SourceData.Fertiliser_Products_Data1(),FertiliserProducts[[#Headers],[Include or Exclude]], 0)</f>
        <v/>
      </c>
      <c r="U107" s="65" t="str" cm="1">
        <f t="array" ref="U107">Common_InputFunctions.Utility_DisplayArrayInTable(Fertiliser_SourceData.Fertiliser_Products_Data1(),FertiliserProducts[[#Headers],[Include or Exclude]], 0)</f>
        <v/>
      </c>
      <c r="V107" s="10" t="str" cm="1">
        <f t="array" ref="V107">Common_InputFunctions.Utility_DisplayArrayInTable(Fertiliser_SourceData.Fertiliser_Products_Data1(),FertiliserProducts[[#Headers],[Include or Exclude]], 0)</f>
        <v/>
      </c>
      <c r="W107" s="10" t="str" cm="1">
        <f t="array" ref="W107">Common_InputFunctions.Utility_DisplayArrayInTable(Fertiliser_SourceData.Fertiliser_Products_Data1(),FertiliserProducts[[#Headers],[Include or Exclude]], 0)</f>
        <v/>
      </c>
      <c r="X107" s="10" t="str" cm="1">
        <f t="array" ref="X107">Common_InputFunctions.Utility_DisplayArrayInTable(Fertiliser_SourceData.Fertiliser_Products_Data1(),FertiliserProducts[[#Headers],[Include or Exclude]], 0)</f>
        <v/>
      </c>
      <c r="Y107" s="10" t="str" cm="1">
        <f t="array" ref="Y107">Common_InputFunctions.Utility_DisplayArrayInTable(Fertiliser_SourceData.Fertiliser_Products_Data1(),FertiliserProducts[[#Headers],[Include or Exclude]], 0)</f>
        <v/>
      </c>
      <c r="Z107" s="10" t="str" cm="1">
        <f t="array" ref="Z107">Common_InputFunctions.Utility_DisplayArrayInTable(Fertiliser_SourceData.Fertiliser_Products_Data1(),FertiliserProducts[[#Headers],[Include or Exclude]], 0)</f>
        <v/>
      </c>
      <c r="AA107" s="10" t="str" cm="1">
        <f t="array" ref="AA107">Common_InputFunctions.Utility_DisplayArrayInTable(Fertiliser_SourceData.Fertiliser_Products_Data1(),FertiliserProducts[[#Headers],[Include or Exclude]], 0)</f>
        <v/>
      </c>
      <c r="AB107" s="10" t="str" cm="1">
        <f t="array" ref="AB107">Common_InputFunctions.Utility_DisplayArrayInTable(Fertiliser_SourceData.Fertiliser_Products_Data1(),FertiliserProducts[[#Headers],[Include or Exclude]], 0)</f>
        <v/>
      </c>
      <c r="AC107" s="10" t="str" cm="1">
        <f t="array" ref="AC107">Common_InputFunctions.Utility_DisplayArrayInTable(Fertiliser_SourceData.Fertiliser_Products_Data1(),FertiliserProducts[[#Headers],[Include or Exclude]], 0)</f>
        <v/>
      </c>
      <c r="AD107" s="10" t="str" cm="1">
        <f t="array" ref="AD107">Common_InputFunctions.Utility_DisplayArrayInTable(Fertiliser_SourceData.Fertiliser_Products_Data1(),FertiliserProducts[[#Headers],[Include or Exclude]], 0)</f>
        <v/>
      </c>
      <c r="AE107" s="10" t="str" cm="1">
        <f t="array" ref="AE107">Common_InputFunctions.Utility_DisplayArrayInTable(Fertiliser_SourceData.Fertiliser_Products_Data1(),FertiliserProducts[[#Headers],[Include or Exclude]], 0)</f>
        <v/>
      </c>
    </row>
    <row r="108" spans="4:31" ht="20.100000000000001" customHeight="1" x14ac:dyDescent="0.25">
      <c r="D108" s="65" t="str" cm="1">
        <f t="array" ref="D108">Common_InputFunctions.Utility_DisplayArrayInTable(Fertiliser_SourceData.Fertiliser_Products_Data1(),FertiliserProducts[[#Headers],[Include or Exclude]], 0)</f>
        <v/>
      </c>
      <c r="E108" s="65" t="str" cm="1">
        <f t="array" ref="E108">Common_InputFunctions.Utility_DisplayArrayInTable(Fertiliser_SourceData.Fertiliser_Products_Data1(),FertiliserProducts[[#Headers],[Include or Exclude]], 0)</f>
        <v/>
      </c>
      <c r="F108" s="65" t="str" cm="1">
        <f t="array" ref="F108">Common_InputFunctions.Utility_DisplayArrayInTable(Fertiliser_SourceData.Fertiliser_Products_Data1(),FertiliserProducts[[#Headers],[Include or Exclude]], 0)</f>
        <v/>
      </c>
      <c r="G108" s="65" t="str" cm="1">
        <f t="array" ref="G108">Common_InputFunctions.Utility_DisplayArrayInTable(Fertiliser_SourceData.Fertiliser_Products_Data1(),FertiliserProducts[[#Headers],[Include or Exclude]], 0)</f>
        <v/>
      </c>
      <c r="H108" s="65" t="str" cm="1">
        <f t="array" ref="H108">Common_InputFunctions.Utility_DisplayArrayInTable(Fertiliser_SourceData.Fertiliser_Products_Data1(),FertiliserProducts[[#Headers],[Include or Exclude]], 0)</f>
        <v/>
      </c>
      <c r="I108" s="65" t="str" cm="1">
        <f t="array" ref="I108">Common_InputFunctions.Utility_DisplayArrayInTable(Fertiliser_SourceData.Fertiliser_Products_Data1(),FertiliserProducts[[#Headers],[Include or Exclude]], 0)</f>
        <v/>
      </c>
      <c r="J108" s="65" t="str" cm="1">
        <f t="array" ref="J108">Common_InputFunctions.Utility_DisplayArrayInTable(Fertiliser_SourceData.Fertiliser_Products_Data1(),FertiliserProducts[[#Headers],[Include or Exclude]], 0)</f>
        <v/>
      </c>
      <c r="K108" s="65" t="str" cm="1">
        <f t="array" ref="K108">Common_InputFunctions.Utility_DisplayArrayInTable(Fertiliser_SourceData.Fertiliser_Products_Data1(),FertiliserProducts[[#Headers],[Include or Exclude]], 0)</f>
        <v/>
      </c>
      <c r="L108" s="65" t="str" cm="1">
        <f t="array" ref="L108">Common_InputFunctions.Utility_DisplayArrayInTable(Fertiliser_SourceData.Fertiliser_Products_Data1(),FertiliserProducts[[#Headers],[Include or Exclude]], 0)</f>
        <v/>
      </c>
      <c r="M108" s="10" t="str" cm="1">
        <f t="array" ref="M108">Common_InputFunctions.Utility_DisplayArrayInTable(Fertiliser_SourceData.Fertiliser_Products_Data1(),FertiliserProducts[[#Headers],[Include or Exclude]], 0)</f>
        <v/>
      </c>
      <c r="N108" s="65" t="str" cm="1">
        <f t="array" ref="N108">Common_InputFunctions.Utility_DisplayArrayInTable(Fertiliser_SourceData.Fertiliser_Products_Data1(),FertiliserProducts[[#Headers],[Include or Exclude]], 0)</f>
        <v/>
      </c>
      <c r="O108" s="65" t="str" cm="1">
        <f t="array" ref="O108">Common_InputFunctions.Utility_DisplayArrayInTable(Fertiliser_SourceData.Fertiliser_Products_Data1(),FertiliserProducts[[#Headers],[Include or Exclude]], 0)</f>
        <v/>
      </c>
      <c r="P108" s="65" t="str" cm="1">
        <f t="array" ref="P108">Common_InputFunctions.Utility_DisplayArrayInTable(Fertiliser_SourceData.Fertiliser_Products_Data1(),FertiliserProducts[[#Headers],[Include or Exclude]], 0)</f>
        <v/>
      </c>
      <c r="Q108" s="65" t="str" cm="1">
        <f t="array" ref="Q108">Common_InputFunctions.Utility_DisplayArrayInTable(Fertiliser_SourceData.Fertiliser_Products_Data1(),FertiliserProducts[[#Headers],[Include or Exclude]], 0)</f>
        <v/>
      </c>
      <c r="R108" s="65" t="str" cm="1">
        <f t="array" ref="R108">Common_InputFunctions.Utility_DisplayArrayInTable(Fertiliser_SourceData.Fertiliser_Products_Data1(),FertiliserProducts[[#Headers],[Include or Exclude]], 0)</f>
        <v/>
      </c>
      <c r="S108" s="65" t="str" cm="1">
        <f t="array" ref="S108">Common_InputFunctions.Utility_DisplayArrayInTable(Fertiliser_SourceData.Fertiliser_Products_Data1(),FertiliserProducts[[#Headers],[Include or Exclude]], 0)</f>
        <v/>
      </c>
      <c r="T108" s="65" t="str" cm="1">
        <f t="array" ref="T108">Common_InputFunctions.Utility_DisplayArrayInTable(Fertiliser_SourceData.Fertiliser_Products_Data1(),FertiliserProducts[[#Headers],[Include or Exclude]], 0)</f>
        <v/>
      </c>
      <c r="U108" s="65" t="str" cm="1">
        <f t="array" ref="U108">Common_InputFunctions.Utility_DisplayArrayInTable(Fertiliser_SourceData.Fertiliser_Products_Data1(),FertiliserProducts[[#Headers],[Include or Exclude]], 0)</f>
        <v/>
      </c>
      <c r="V108" s="10" t="str" cm="1">
        <f t="array" ref="V108">Common_InputFunctions.Utility_DisplayArrayInTable(Fertiliser_SourceData.Fertiliser_Products_Data1(),FertiliserProducts[[#Headers],[Include or Exclude]], 0)</f>
        <v/>
      </c>
      <c r="W108" s="10" t="str" cm="1">
        <f t="array" ref="W108">Common_InputFunctions.Utility_DisplayArrayInTable(Fertiliser_SourceData.Fertiliser_Products_Data1(),FertiliserProducts[[#Headers],[Include or Exclude]], 0)</f>
        <v/>
      </c>
      <c r="X108" s="10" t="str" cm="1">
        <f t="array" ref="X108">Common_InputFunctions.Utility_DisplayArrayInTable(Fertiliser_SourceData.Fertiliser_Products_Data1(),FertiliserProducts[[#Headers],[Include or Exclude]], 0)</f>
        <v/>
      </c>
      <c r="Y108" s="10" t="str" cm="1">
        <f t="array" ref="Y108">Common_InputFunctions.Utility_DisplayArrayInTable(Fertiliser_SourceData.Fertiliser_Products_Data1(),FertiliserProducts[[#Headers],[Include or Exclude]], 0)</f>
        <v/>
      </c>
      <c r="Z108" s="10" t="str" cm="1">
        <f t="array" ref="Z108">Common_InputFunctions.Utility_DisplayArrayInTable(Fertiliser_SourceData.Fertiliser_Products_Data1(),FertiliserProducts[[#Headers],[Include or Exclude]], 0)</f>
        <v/>
      </c>
      <c r="AA108" s="10" t="str" cm="1">
        <f t="array" ref="AA108">Common_InputFunctions.Utility_DisplayArrayInTable(Fertiliser_SourceData.Fertiliser_Products_Data1(),FertiliserProducts[[#Headers],[Include or Exclude]], 0)</f>
        <v/>
      </c>
      <c r="AB108" s="10" t="str" cm="1">
        <f t="array" ref="AB108">Common_InputFunctions.Utility_DisplayArrayInTable(Fertiliser_SourceData.Fertiliser_Products_Data1(),FertiliserProducts[[#Headers],[Include or Exclude]], 0)</f>
        <v/>
      </c>
      <c r="AC108" s="10" t="str" cm="1">
        <f t="array" ref="AC108">Common_InputFunctions.Utility_DisplayArrayInTable(Fertiliser_SourceData.Fertiliser_Products_Data1(),FertiliserProducts[[#Headers],[Include or Exclude]], 0)</f>
        <v/>
      </c>
      <c r="AD108" s="10" t="str" cm="1">
        <f t="array" ref="AD108">Common_InputFunctions.Utility_DisplayArrayInTable(Fertiliser_SourceData.Fertiliser_Products_Data1(),FertiliserProducts[[#Headers],[Include or Exclude]], 0)</f>
        <v/>
      </c>
      <c r="AE108" s="10" t="str" cm="1">
        <f t="array" ref="AE108">Common_InputFunctions.Utility_DisplayArrayInTable(Fertiliser_SourceData.Fertiliser_Products_Data1(),FertiliserProducts[[#Headers],[Include or Exclude]], 0)</f>
        <v/>
      </c>
    </row>
    <row r="109" spans="4:31" ht="20.100000000000001" customHeight="1" x14ac:dyDescent="0.25">
      <c r="D109" s="65" t="str" cm="1">
        <f t="array" aca="1" ref="D109" ca="1">Common_InputFunctions.Utility_DisplayArrayInTable(Fertiliser_SourceData.Fertiliser_Products_Data2(),FertiliserProducts[[#Headers],[Include or Exclude]], 20)</f>
        <v/>
      </c>
      <c r="E109" s="65" t="str" cm="1">
        <f t="array" aca="1" ref="E109" ca="1">Common_InputFunctions.Utility_DisplayArrayInTable(Fertiliser_SourceData.Fertiliser_Products_Data2(),FertiliserProducts[[#Headers],[Include or Exclude]], 20)</f>
        <v/>
      </c>
      <c r="F109" s="65" t="str" cm="1">
        <f t="array" aca="1" ref="F109" ca="1">Common_InputFunctions.Utility_DisplayArrayInTable(Fertiliser_SourceData.Fertiliser_Products_Data2(),FertiliserProducts[[#Headers],[Include or Exclude]], 20)</f>
        <v/>
      </c>
      <c r="G109" s="65" t="str" cm="1">
        <f t="array" aca="1" ref="G109" ca="1">Common_InputFunctions.Utility_DisplayArrayInTable(Fertiliser_SourceData.Fertiliser_Products_Data2(),FertiliserProducts[[#Headers],[Include or Exclude]], 20)</f>
        <v/>
      </c>
      <c r="H109" s="65" t="str" cm="1">
        <f t="array" aca="1" ref="H109" ca="1">Common_InputFunctions.Utility_DisplayArrayInTable(Fertiliser_SourceData.Fertiliser_Products_Data2(),FertiliserProducts[[#Headers],[Include or Exclude]], 20)</f>
        <v/>
      </c>
      <c r="I109" s="65" t="str" cm="1">
        <f t="array" aca="1" ref="I109" ca="1">Common_InputFunctions.Utility_DisplayArrayInTable(Fertiliser_SourceData.Fertiliser_Products_Data2(),FertiliserProducts[[#Headers],[Include or Exclude]], 20)</f>
        <v/>
      </c>
      <c r="J109" s="65" t="str" cm="1">
        <f t="array" aca="1" ref="J109" ca="1">Common_InputFunctions.Utility_DisplayArrayInTable(Fertiliser_SourceData.Fertiliser_Products_Data2(),FertiliserProducts[[#Headers],[Include or Exclude]], 20)</f>
        <v/>
      </c>
      <c r="K109" s="65" t="str" cm="1">
        <f t="array" aca="1" ref="K109" ca="1">Common_InputFunctions.Utility_DisplayArrayInTable(Fertiliser_SourceData.Fertiliser_Products_Data2(),FertiliserProducts[[#Headers],[Include or Exclude]], 20)</f>
        <v/>
      </c>
      <c r="L109" s="65" t="str" cm="1">
        <f t="array" aca="1" ref="L109" ca="1">Common_InputFunctions.Utility_DisplayArrayInTable(Fertiliser_SourceData.Fertiliser_Products_Data2(),FertiliserProducts[[#Headers],[Include or Exclude]], 20)</f>
        <v/>
      </c>
      <c r="M109" s="65" t="str" cm="1">
        <f t="array" aca="1" ref="M109" ca="1">Common_InputFunctions.Utility_DisplayArrayInTable(Fertiliser_SourceData.Fertiliser_Products_Data2(),FertiliserProducts[[#Headers],[Include or Exclude]], 20)</f>
        <v/>
      </c>
      <c r="N109" s="65" t="str" cm="1">
        <f t="array" aca="1" ref="N109" ca="1">Common_InputFunctions.Utility_DisplayArrayInTable(Fertiliser_SourceData.Fertiliser_Products_Data2(),FertiliserProducts[[#Headers],[Include or Exclude]], 20)</f>
        <v/>
      </c>
      <c r="O109" s="65" t="str" cm="1">
        <f t="array" aca="1" ref="O109" ca="1">Common_InputFunctions.Utility_DisplayArrayInTable(Fertiliser_SourceData.Fertiliser_Products_Data2(),FertiliserProducts[[#Headers],[Include or Exclude]], 20)</f>
        <v/>
      </c>
      <c r="P109" s="65" t="str" cm="1">
        <f t="array" aca="1" ref="P109" ca="1">Common_InputFunctions.Utility_DisplayArrayInTable(Fertiliser_SourceData.Fertiliser_Products_Data2(),FertiliserProducts[[#Headers],[Include or Exclude]], 20)</f>
        <v/>
      </c>
      <c r="Q109" s="65" t="str" cm="1">
        <f t="array" aca="1" ref="Q109" ca="1">Common_InputFunctions.Utility_DisplayArrayInTable(Fertiliser_SourceData.Fertiliser_Products_Data2(),FertiliserProducts[[#Headers],[Include or Exclude]], 20)</f>
        <v/>
      </c>
      <c r="R109" s="65" t="str" cm="1">
        <f t="array" aca="1" ref="R109" ca="1">Common_InputFunctions.Utility_DisplayArrayInTable(Fertiliser_SourceData.Fertiliser_Products_Data2(),FertiliserProducts[[#Headers],[Include or Exclude]], 20)</f>
        <v/>
      </c>
      <c r="S109" s="65" t="str" cm="1">
        <f t="array" aca="1" ref="S109" ca="1">Common_InputFunctions.Utility_DisplayArrayInTable(Fertiliser_SourceData.Fertiliser_Products_Data2(),FertiliserProducts[[#Headers],[Include or Exclude]], 20)</f>
        <v/>
      </c>
      <c r="T109" s="65" t="str" cm="1">
        <f t="array" aca="1" ref="T109" ca="1">Common_InputFunctions.Utility_DisplayArrayInTable(Fertiliser_SourceData.Fertiliser_Products_Data2(),FertiliserProducts[[#Headers],[Include or Exclude]], 20)</f>
        <v/>
      </c>
      <c r="U109" s="65" t="str" cm="1">
        <f t="array" aca="1" ref="U109" ca="1">Common_InputFunctions.Utility_DisplayArrayInTable(Fertiliser_SourceData.Fertiliser_Products_Data2(),FertiliserProducts[[#Headers],[Include or Exclude]], 20)</f>
        <v/>
      </c>
      <c r="V109" s="65" t="str" cm="1">
        <f t="array" aca="1" ref="V109" ca="1">Common_InputFunctions.Utility_DisplayArrayInTable(Fertiliser_SourceData.Fertiliser_Products_Data2(),FertiliserProducts[[#Headers],[Include or Exclude]], 20)</f>
        <v/>
      </c>
      <c r="W109" s="65" t="str" cm="1">
        <f t="array" aca="1" ref="W109" ca="1">Common_InputFunctions.Utility_DisplayArrayInTable(Fertiliser_SourceData.Fertiliser_Products_Data2(),FertiliserProducts[[#Headers],[Include or Exclude]], 20)</f>
        <v/>
      </c>
      <c r="X109" s="65" t="str" cm="1">
        <f t="array" aca="1" ref="X109" ca="1">Common_InputFunctions.Utility_DisplayArrayInTable(Fertiliser_SourceData.Fertiliser_Products_Data2(),FertiliserProducts[[#Headers],[Include or Exclude]], 20)</f>
        <v/>
      </c>
      <c r="Y109" s="65" t="str" cm="1">
        <f t="array" aca="1" ref="Y109" ca="1">Common_InputFunctions.Utility_DisplayArrayInTable(Fertiliser_SourceData.Fertiliser_Products_Data2(),FertiliserProducts[[#Headers],[Include or Exclude]], 20)</f>
        <v/>
      </c>
      <c r="Z109" s="65" t="str" cm="1">
        <f t="array" aca="1" ref="Z109" ca="1">Common_InputFunctions.Utility_DisplayArrayInTable(Fertiliser_SourceData.Fertiliser_Products_Data2(),FertiliserProducts[[#Headers],[Include or Exclude]], 20)</f>
        <v/>
      </c>
      <c r="AA109" s="10" t="str" cm="1">
        <f t="array" aca="1" ref="AA109" ca="1">Common_InputFunctions.Utility_DisplayArrayInTable(Fertiliser_SourceData.Fertiliser_Products_Data2(),FertiliserProducts[[#Headers],[Include or Exclude]], 20)</f>
        <v/>
      </c>
      <c r="AB109" s="10" t="str" cm="1">
        <f t="array" aca="1" ref="AB109" ca="1">Common_InputFunctions.Utility_DisplayArrayInTable(Fertiliser_SourceData.Fertiliser_Products_Data2(),FertiliserProducts[[#Headers],[Include or Exclude]], 20)</f>
        <v/>
      </c>
      <c r="AC109" s="10" t="str" cm="1">
        <f t="array" aca="1" ref="AC109" ca="1">Common_InputFunctions.Utility_DisplayArrayInTable(Fertiliser_SourceData.Fertiliser_Products_Data2(),FertiliserProducts[[#Headers],[Include or Exclude]], 20)</f>
        <v/>
      </c>
      <c r="AD109" s="10" t="str" cm="1">
        <f t="array" aca="1" ref="AD109" ca="1">Common_InputFunctions.Utility_DisplayArrayInTable(Fertiliser_SourceData.Fertiliser_Products_Data2(),FertiliserProducts[[#Headers],[Include or Exclude]], 20)</f>
        <v/>
      </c>
      <c r="AE109" s="10" t="str" cm="1">
        <f t="array" aca="1" ref="AE109" ca="1">Common_InputFunctions.Utility_DisplayArrayInTable(Fertiliser_SourceData.Fertiliser_Products_Data2(),FertiliserProducts[[#Headers],[Include or Exclude]], 20)</f>
        <v/>
      </c>
    </row>
    <row r="110" spans="4:31" ht="20.100000000000001" customHeight="1" x14ac:dyDescent="0.25">
      <c r="D110" s="65" t="str" cm="1">
        <f t="array" aca="1" ref="D110" ca="1">Common_InputFunctions.Utility_DisplayArrayInTable(Fertiliser_SourceData.Fertiliser_Products_Data2(),FertiliserProducts[[#Headers],[Include or Exclude]], 20)</f>
        <v/>
      </c>
      <c r="E110" s="65" t="str" cm="1">
        <f t="array" aca="1" ref="E110" ca="1">Common_InputFunctions.Utility_DisplayArrayInTable(Fertiliser_SourceData.Fertiliser_Products_Data2(),FertiliserProducts[[#Headers],[Include or Exclude]], 20)</f>
        <v/>
      </c>
      <c r="F110" s="65" t="str" cm="1">
        <f t="array" aca="1" ref="F110" ca="1">Common_InputFunctions.Utility_DisplayArrayInTable(Fertiliser_SourceData.Fertiliser_Products_Data2(),FertiliserProducts[[#Headers],[Include or Exclude]], 20)</f>
        <v/>
      </c>
      <c r="G110" s="65" t="str" cm="1">
        <f t="array" aca="1" ref="G110" ca="1">Common_InputFunctions.Utility_DisplayArrayInTable(Fertiliser_SourceData.Fertiliser_Products_Data2(),FertiliserProducts[[#Headers],[Include or Exclude]], 20)</f>
        <v/>
      </c>
      <c r="H110" s="65" t="str" cm="1">
        <f t="array" aca="1" ref="H110" ca="1">Common_InputFunctions.Utility_DisplayArrayInTable(Fertiliser_SourceData.Fertiliser_Products_Data2(),FertiliserProducts[[#Headers],[Include or Exclude]], 20)</f>
        <v/>
      </c>
      <c r="I110" s="65" t="str" cm="1">
        <f t="array" aca="1" ref="I110" ca="1">Common_InputFunctions.Utility_DisplayArrayInTable(Fertiliser_SourceData.Fertiliser_Products_Data2(),FertiliserProducts[[#Headers],[Include or Exclude]], 20)</f>
        <v/>
      </c>
      <c r="J110" s="65" t="str" cm="1">
        <f t="array" aca="1" ref="J110" ca="1">Common_InputFunctions.Utility_DisplayArrayInTable(Fertiliser_SourceData.Fertiliser_Products_Data2(),FertiliserProducts[[#Headers],[Include or Exclude]], 20)</f>
        <v/>
      </c>
      <c r="K110" s="65" t="str" cm="1">
        <f t="array" aca="1" ref="K110" ca="1">Common_InputFunctions.Utility_DisplayArrayInTable(Fertiliser_SourceData.Fertiliser_Products_Data2(),FertiliserProducts[[#Headers],[Include or Exclude]], 20)</f>
        <v/>
      </c>
      <c r="L110" s="65" t="str" cm="1">
        <f t="array" aca="1" ref="L110" ca="1">Common_InputFunctions.Utility_DisplayArrayInTable(Fertiliser_SourceData.Fertiliser_Products_Data2(),FertiliserProducts[[#Headers],[Include or Exclude]], 20)</f>
        <v/>
      </c>
      <c r="M110" s="65" t="str" cm="1">
        <f t="array" aca="1" ref="M110" ca="1">Common_InputFunctions.Utility_DisplayArrayInTable(Fertiliser_SourceData.Fertiliser_Products_Data2(),FertiliserProducts[[#Headers],[Include or Exclude]], 20)</f>
        <v/>
      </c>
      <c r="N110" s="65" t="str" cm="1">
        <f t="array" aca="1" ref="N110" ca="1">Common_InputFunctions.Utility_DisplayArrayInTable(Fertiliser_SourceData.Fertiliser_Products_Data2(),FertiliserProducts[[#Headers],[Include or Exclude]], 20)</f>
        <v/>
      </c>
      <c r="O110" s="65" t="str" cm="1">
        <f t="array" aca="1" ref="O110" ca="1">Common_InputFunctions.Utility_DisplayArrayInTable(Fertiliser_SourceData.Fertiliser_Products_Data2(),FertiliserProducts[[#Headers],[Include or Exclude]], 20)</f>
        <v/>
      </c>
      <c r="P110" s="65" t="str" cm="1">
        <f t="array" aca="1" ref="P110" ca="1">Common_InputFunctions.Utility_DisplayArrayInTable(Fertiliser_SourceData.Fertiliser_Products_Data2(),FertiliserProducts[[#Headers],[Include or Exclude]], 20)</f>
        <v/>
      </c>
      <c r="Q110" s="65" t="str" cm="1">
        <f t="array" aca="1" ref="Q110" ca="1">Common_InputFunctions.Utility_DisplayArrayInTable(Fertiliser_SourceData.Fertiliser_Products_Data2(),FertiliserProducts[[#Headers],[Include or Exclude]], 20)</f>
        <v/>
      </c>
      <c r="R110" s="65" t="str" cm="1">
        <f t="array" aca="1" ref="R110" ca="1">Common_InputFunctions.Utility_DisplayArrayInTable(Fertiliser_SourceData.Fertiliser_Products_Data2(),FertiliserProducts[[#Headers],[Include or Exclude]], 20)</f>
        <v/>
      </c>
      <c r="S110" s="65" t="str" cm="1">
        <f t="array" aca="1" ref="S110" ca="1">Common_InputFunctions.Utility_DisplayArrayInTable(Fertiliser_SourceData.Fertiliser_Products_Data2(),FertiliserProducts[[#Headers],[Include or Exclude]], 20)</f>
        <v/>
      </c>
      <c r="T110" s="65" t="str" cm="1">
        <f t="array" aca="1" ref="T110" ca="1">Common_InputFunctions.Utility_DisplayArrayInTable(Fertiliser_SourceData.Fertiliser_Products_Data2(),FertiliserProducts[[#Headers],[Include or Exclude]], 20)</f>
        <v/>
      </c>
      <c r="U110" s="65" t="str" cm="1">
        <f t="array" aca="1" ref="U110" ca="1">Common_InputFunctions.Utility_DisplayArrayInTable(Fertiliser_SourceData.Fertiliser_Products_Data2(),FertiliserProducts[[#Headers],[Include or Exclude]], 20)</f>
        <v/>
      </c>
      <c r="V110" s="65" t="str" cm="1">
        <f t="array" aca="1" ref="V110" ca="1">Common_InputFunctions.Utility_DisplayArrayInTable(Fertiliser_SourceData.Fertiliser_Products_Data2(),FertiliserProducts[[#Headers],[Include or Exclude]], 20)</f>
        <v/>
      </c>
      <c r="W110" s="65" t="str" cm="1">
        <f t="array" aca="1" ref="W110" ca="1">Common_InputFunctions.Utility_DisplayArrayInTable(Fertiliser_SourceData.Fertiliser_Products_Data2(),FertiliserProducts[[#Headers],[Include or Exclude]], 20)</f>
        <v/>
      </c>
      <c r="X110" s="65" t="str" cm="1">
        <f t="array" aca="1" ref="X110" ca="1">Common_InputFunctions.Utility_DisplayArrayInTable(Fertiliser_SourceData.Fertiliser_Products_Data2(),FertiliserProducts[[#Headers],[Include or Exclude]], 20)</f>
        <v/>
      </c>
      <c r="Y110" s="65" t="str" cm="1">
        <f t="array" aca="1" ref="Y110" ca="1">Common_InputFunctions.Utility_DisplayArrayInTable(Fertiliser_SourceData.Fertiliser_Products_Data2(),FertiliserProducts[[#Headers],[Include or Exclude]], 20)</f>
        <v/>
      </c>
      <c r="Z110" s="65" t="str" cm="1">
        <f t="array" aca="1" ref="Z110" ca="1">Common_InputFunctions.Utility_DisplayArrayInTable(Fertiliser_SourceData.Fertiliser_Products_Data2(),FertiliserProducts[[#Headers],[Include or Exclude]], 20)</f>
        <v/>
      </c>
      <c r="AA110" s="10" t="str" cm="1">
        <f t="array" aca="1" ref="AA110" ca="1">Common_InputFunctions.Utility_DisplayArrayInTable(Fertiliser_SourceData.Fertiliser_Products_Data2(),FertiliserProducts[[#Headers],[Include or Exclude]], 20)</f>
        <v/>
      </c>
      <c r="AB110" s="10" t="str" cm="1">
        <f t="array" aca="1" ref="AB110" ca="1">Common_InputFunctions.Utility_DisplayArrayInTable(Fertiliser_SourceData.Fertiliser_Products_Data2(),FertiliserProducts[[#Headers],[Include or Exclude]], 20)</f>
        <v/>
      </c>
      <c r="AC110" s="10" t="str" cm="1">
        <f t="array" aca="1" ref="AC110" ca="1">Common_InputFunctions.Utility_DisplayArrayInTable(Fertiliser_SourceData.Fertiliser_Products_Data2(),FertiliserProducts[[#Headers],[Include or Exclude]], 20)</f>
        <v/>
      </c>
      <c r="AD110" s="10" t="str" cm="1">
        <f t="array" aca="1" ref="AD110" ca="1">Common_InputFunctions.Utility_DisplayArrayInTable(Fertiliser_SourceData.Fertiliser_Products_Data2(),FertiliserProducts[[#Headers],[Include or Exclude]], 20)</f>
        <v/>
      </c>
      <c r="AE110" s="10" t="str" cm="1">
        <f t="array" aca="1" ref="AE110" ca="1">Common_InputFunctions.Utility_DisplayArrayInTable(Fertiliser_SourceData.Fertiliser_Products_Data2(),FertiliserProducts[[#Headers],[Include or Exclude]], 20)</f>
        <v/>
      </c>
    </row>
    <row r="111" spans="4:31" ht="20.100000000000001" customHeight="1" x14ac:dyDescent="0.25">
      <c r="D111" s="65" t="str" cm="1">
        <f t="array" aca="1" ref="D111" ca="1">Common_InputFunctions.Utility_DisplayArrayInTable(Fertiliser_SourceData.Fertiliser_Products_Data2(),FertiliserProducts[[#Headers],[Include or Exclude]], 20)</f>
        <v/>
      </c>
      <c r="E111" s="65" t="str" cm="1">
        <f t="array" aca="1" ref="E111" ca="1">Common_InputFunctions.Utility_DisplayArrayInTable(Fertiliser_SourceData.Fertiliser_Products_Data2(),FertiliserProducts[[#Headers],[Include or Exclude]], 20)</f>
        <v/>
      </c>
      <c r="F111" s="65" t="str" cm="1">
        <f t="array" aca="1" ref="F111" ca="1">Common_InputFunctions.Utility_DisplayArrayInTable(Fertiliser_SourceData.Fertiliser_Products_Data2(),FertiliserProducts[[#Headers],[Include or Exclude]], 20)</f>
        <v/>
      </c>
      <c r="G111" s="65" t="str" cm="1">
        <f t="array" aca="1" ref="G111" ca="1">Common_InputFunctions.Utility_DisplayArrayInTable(Fertiliser_SourceData.Fertiliser_Products_Data2(),FertiliserProducts[[#Headers],[Include or Exclude]], 20)</f>
        <v/>
      </c>
      <c r="H111" s="65" t="str" cm="1">
        <f t="array" aca="1" ref="H111" ca="1">Common_InputFunctions.Utility_DisplayArrayInTable(Fertiliser_SourceData.Fertiliser_Products_Data2(),FertiliserProducts[[#Headers],[Include or Exclude]], 20)</f>
        <v/>
      </c>
      <c r="I111" s="65" t="str" cm="1">
        <f t="array" aca="1" ref="I111" ca="1">Common_InputFunctions.Utility_DisplayArrayInTable(Fertiliser_SourceData.Fertiliser_Products_Data2(),FertiliserProducts[[#Headers],[Include or Exclude]], 20)</f>
        <v/>
      </c>
      <c r="J111" s="65" t="str" cm="1">
        <f t="array" aca="1" ref="J111" ca="1">Common_InputFunctions.Utility_DisplayArrayInTable(Fertiliser_SourceData.Fertiliser_Products_Data2(),FertiliserProducts[[#Headers],[Include or Exclude]], 20)</f>
        <v/>
      </c>
      <c r="K111" s="65" t="str" cm="1">
        <f t="array" aca="1" ref="K111" ca="1">Common_InputFunctions.Utility_DisplayArrayInTable(Fertiliser_SourceData.Fertiliser_Products_Data2(),FertiliserProducts[[#Headers],[Include or Exclude]], 20)</f>
        <v/>
      </c>
      <c r="L111" s="65" t="str" cm="1">
        <f t="array" aca="1" ref="L111" ca="1">Common_InputFunctions.Utility_DisplayArrayInTable(Fertiliser_SourceData.Fertiliser_Products_Data2(),FertiliserProducts[[#Headers],[Include or Exclude]], 20)</f>
        <v/>
      </c>
      <c r="M111" s="65" t="str" cm="1">
        <f t="array" aca="1" ref="M111" ca="1">Common_InputFunctions.Utility_DisplayArrayInTable(Fertiliser_SourceData.Fertiliser_Products_Data2(),FertiliserProducts[[#Headers],[Include or Exclude]], 20)</f>
        <v/>
      </c>
      <c r="N111" s="65" t="str" cm="1">
        <f t="array" aca="1" ref="N111" ca="1">Common_InputFunctions.Utility_DisplayArrayInTable(Fertiliser_SourceData.Fertiliser_Products_Data2(),FertiliserProducts[[#Headers],[Include or Exclude]], 20)</f>
        <v/>
      </c>
      <c r="O111" s="65" t="str" cm="1">
        <f t="array" aca="1" ref="O111" ca="1">Common_InputFunctions.Utility_DisplayArrayInTable(Fertiliser_SourceData.Fertiliser_Products_Data2(),FertiliserProducts[[#Headers],[Include or Exclude]], 20)</f>
        <v/>
      </c>
      <c r="P111" s="65" t="str" cm="1">
        <f t="array" aca="1" ref="P111" ca="1">Common_InputFunctions.Utility_DisplayArrayInTable(Fertiliser_SourceData.Fertiliser_Products_Data2(),FertiliserProducts[[#Headers],[Include or Exclude]], 20)</f>
        <v/>
      </c>
      <c r="Q111" s="65" t="str" cm="1">
        <f t="array" aca="1" ref="Q111" ca="1">Common_InputFunctions.Utility_DisplayArrayInTable(Fertiliser_SourceData.Fertiliser_Products_Data2(),FertiliserProducts[[#Headers],[Include or Exclude]], 20)</f>
        <v/>
      </c>
      <c r="R111" s="65" t="str" cm="1">
        <f t="array" aca="1" ref="R111" ca="1">Common_InputFunctions.Utility_DisplayArrayInTable(Fertiliser_SourceData.Fertiliser_Products_Data2(),FertiliserProducts[[#Headers],[Include or Exclude]], 20)</f>
        <v/>
      </c>
      <c r="S111" s="65" t="str" cm="1">
        <f t="array" aca="1" ref="S111" ca="1">Common_InputFunctions.Utility_DisplayArrayInTable(Fertiliser_SourceData.Fertiliser_Products_Data2(),FertiliserProducts[[#Headers],[Include or Exclude]], 20)</f>
        <v/>
      </c>
      <c r="T111" s="65" t="str" cm="1">
        <f t="array" aca="1" ref="T111" ca="1">Common_InputFunctions.Utility_DisplayArrayInTable(Fertiliser_SourceData.Fertiliser_Products_Data2(),FertiliserProducts[[#Headers],[Include or Exclude]], 20)</f>
        <v/>
      </c>
      <c r="U111" s="65" t="str" cm="1">
        <f t="array" aca="1" ref="U111" ca="1">Common_InputFunctions.Utility_DisplayArrayInTable(Fertiliser_SourceData.Fertiliser_Products_Data2(),FertiliserProducts[[#Headers],[Include or Exclude]], 20)</f>
        <v/>
      </c>
      <c r="V111" s="65" t="str" cm="1">
        <f t="array" aca="1" ref="V111" ca="1">Common_InputFunctions.Utility_DisplayArrayInTable(Fertiliser_SourceData.Fertiliser_Products_Data2(),FertiliserProducts[[#Headers],[Include or Exclude]], 20)</f>
        <v/>
      </c>
      <c r="W111" s="65" t="str" cm="1">
        <f t="array" aca="1" ref="W111" ca="1">Common_InputFunctions.Utility_DisplayArrayInTable(Fertiliser_SourceData.Fertiliser_Products_Data2(),FertiliserProducts[[#Headers],[Include or Exclude]], 20)</f>
        <v/>
      </c>
      <c r="X111" s="65" t="str" cm="1">
        <f t="array" aca="1" ref="X111" ca="1">Common_InputFunctions.Utility_DisplayArrayInTable(Fertiliser_SourceData.Fertiliser_Products_Data2(),FertiliserProducts[[#Headers],[Include or Exclude]], 20)</f>
        <v/>
      </c>
      <c r="Y111" s="65" t="str" cm="1">
        <f t="array" aca="1" ref="Y111" ca="1">Common_InputFunctions.Utility_DisplayArrayInTable(Fertiliser_SourceData.Fertiliser_Products_Data2(),FertiliserProducts[[#Headers],[Include or Exclude]], 20)</f>
        <v/>
      </c>
      <c r="Z111" s="65" t="str" cm="1">
        <f t="array" aca="1" ref="Z111" ca="1">Common_InputFunctions.Utility_DisplayArrayInTable(Fertiliser_SourceData.Fertiliser_Products_Data2(),FertiliserProducts[[#Headers],[Include or Exclude]], 20)</f>
        <v/>
      </c>
      <c r="AA111" s="10" t="str" cm="1">
        <f t="array" aca="1" ref="AA111" ca="1">Common_InputFunctions.Utility_DisplayArrayInTable(Fertiliser_SourceData.Fertiliser_Products_Data2(),FertiliserProducts[[#Headers],[Include or Exclude]], 20)</f>
        <v/>
      </c>
      <c r="AB111" s="10" t="str" cm="1">
        <f t="array" aca="1" ref="AB111" ca="1">Common_InputFunctions.Utility_DisplayArrayInTable(Fertiliser_SourceData.Fertiliser_Products_Data2(),FertiliserProducts[[#Headers],[Include or Exclude]], 20)</f>
        <v/>
      </c>
      <c r="AC111" s="10" t="str" cm="1">
        <f t="array" aca="1" ref="AC111" ca="1">Common_InputFunctions.Utility_DisplayArrayInTable(Fertiliser_SourceData.Fertiliser_Products_Data2(),FertiliserProducts[[#Headers],[Include or Exclude]], 20)</f>
        <v/>
      </c>
      <c r="AD111" s="10" t="str" cm="1">
        <f t="array" aca="1" ref="AD111" ca="1">Common_InputFunctions.Utility_DisplayArrayInTable(Fertiliser_SourceData.Fertiliser_Products_Data2(),FertiliserProducts[[#Headers],[Include or Exclude]], 20)</f>
        <v/>
      </c>
      <c r="AE111" s="10" t="str" cm="1">
        <f t="array" aca="1" ref="AE111" ca="1">Common_InputFunctions.Utility_DisplayArrayInTable(Fertiliser_SourceData.Fertiliser_Products_Data2(),FertiliserProducts[[#Headers],[Include or Exclude]], 20)</f>
        <v/>
      </c>
    </row>
    <row r="112" spans="4:31" ht="20.100000000000001" customHeight="1" x14ac:dyDescent="0.25">
      <c r="D112" s="65" t="str" cm="1">
        <f t="array" aca="1" ref="D112" ca="1">Common_InputFunctions.Utility_DisplayArrayInTable(Fertiliser_SourceData.Fertiliser_Products_Data2(),FertiliserProducts[[#Headers],[Include or Exclude]], 20)</f>
        <v/>
      </c>
      <c r="E112" s="65" t="str" cm="1">
        <f t="array" aca="1" ref="E112" ca="1">Common_InputFunctions.Utility_DisplayArrayInTable(Fertiliser_SourceData.Fertiliser_Products_Data2(),FertiliserProducts[[#Headers],[Include or Exclude]], 20)</f>
        <v/>
      </c>
      <c r="F112" s="65" t="str" cm="1">
        <f t="array" aca="1" ref="F112" ca="1">Common_InputFunctions.Utility_DisplayArrayInTable(Fertiliser_SourceData.Fertiliser_Products_Data2(),FertiliserProducts[[#Headers],[Include or Exclude]], 20)</f>
        <v/>
      </c>
      <c r="G112" s="65" t="str" cm="1">
        <f t="array" aca="1" ref="G112" ca="1">Common_InputFunctions.Utility_DisplayArrayInTable(Fertiliser_SourceData.Fertiliser_Products_Data2(),FertiliserProducts[[#Headers],[Include or Exclude]], 20)</f>
        <v/>
      </c>
      <c r="H112" s="65" t="str" cm="1">
        <f t="array" aca="1" ref="H112" ca="1">Common_InputFunctions.Utility_DisplayArrayInTable(Fertiliser_SourceData.Fertiliser_Products_Data2(),FertiliserProducts[[#Headers],[Include or Exclude]], 20)</f>
        <v/>
      </c>
      <c r="I112" s="65" t="str" cm="1">
        <f t="array" aca="1" ref="I112" ca="1">Common_InputFunctions.Utility_DisplayArrayInTable(Fertiliser_SourceData.Fertiliser_Products_Data2(),FertiliserProducts[[#Headers],[Include or Exclude]], 20)</f>
        <v/>
      </c>
      <c r="J112" s="65" t="str" cm="1">
        <f t="array" aca="1" ref="J112" ca="1">Common_InputFunctions.Utility_DisplayArrayInTable(Fertiliser_SourceData.Fertiliser_Products_Data2(),FertiliserProducts[[#Headers],[Include or Exclude]], 20)</f>
        <v/>
      </c>
      <c r="K112" s="65" t="str" cm="1">
        <f t="array" aca="1" ref="K112" ca="1">Common_InputFunctions.Utility_DisplayArrayInTable(Fertiliser_SourceData.Fertiliser_Products_Data2(),FertiliserProducts[[#Headers],[Include or Exclude]], 20)</f>
        <v/>
      </c>
      <c r="L112" s="65" t="str" cm="1">
        <f t="array" aca="1" ref="L112" ca="1">Common_InputFunctions.Utility_DisplayArrayInTable(Fertiliser_SourceData.Fertiliser_Products_Data2(),FertiliserProducts[[#Headers],[Include or Exclude]], 20)</f>
        <v/>
      </c>
      <c r="M112" s="65" t="str" cm="1">
        <f t="array" aca="1" ref="M112" ca="1">Common_InputFunctions.Utility_DisplayArrayInTable(Fertiliser_SourceData.Fertiliser_Products_Data2(),FertiliserProducts[[#Headers],[Include or Exclude]], 20)</f>
        <v/>
      </c>
      <c r="N112" s="65" t="str" cm="1">
        <f t="array" aca="1" ref="N112" ca="1">Common_InputFunctions.Utility_DisplayArrayInTable(Fertiliser_SourceData.Fertiliser_Products_Data2(),FertiliserProducts[[#Headers],[Include or Exclude]], 20)</f>
        <v/>
      </c>
      <c r="O112" s="65" t="str" cm="1">
        <f t="array" aca="1" ref="O112" ca="1">Common_InputFunctions.Utility_DisplayArrayInTable(Fertiliser_SourceData.Fertiliser_Products_Data2(),FertiliserProducts[[#Headers],[Include or Exclude]], 20)</f>
        <v/>
      </c>
      <c r="P112" s="65" t="str" cm="1">
        <f t="array" aca="1" ref="P112" ca="1">Common_InputFunctions.Utility_DisplayArrayInTable(Fertiliser_SourceData.Fertiliser_Products_Data2(),FertiliserProducts[[#Headers],[Include or Exclude]], 20)</f>
        <v/>
      </c>
      <c r="Q112" s="65" t="str" cm="1">
        <f t="array" aca="1" ref="Q112" ca="1">Common_InputFunctions.Utility_DisplayArrayInTable(Fertiliser_SourceData.Fertiliser_Products_Data2(),FertiliserProducts[[#Headers],[Include or Exclude]], 20)</f>
        <v/>
      </c>
      <c r="R112" s="65" t="str" cm="1">
        <f t="array" aca="1" ref="R112" ca="1">Common_InputFunctions.Utility_DisplayArrayInTable(Fertiliser_SourceData.Fertiliser_Products_Data2(),FertiliserProducts[[#Headers],[Include or Exclude]], 20)</f>
        <v/>
      </c>
      <c r="S112" s="65" t="str" cm="1">
        <f t="array" aca="1" ref="S112" ca="1">Common_InputFunctions.Utility_DisplayArrayInTable(Fertiliser_SourceData.Fertiliser_Products_Data2(),FertiliserProducts[[#Headers],[Include or Exclude]], 20)</f>
        <v/>
      </c>
      <c r="T112" s="65" t="str" cm="1">
        <f t="array" aca="1" ref="T112" ca="1">Common_InputFunctions.Utility_DisplayArrayInTable(Fertiliser_SourceData.Fertiliser_Products_Data2(),FertiliserProducts[[#Headers],[Include or Exclude]], 20)</f>
        <v/>
      </c>
      <c r="U112" s="65" t="str" cm="1">
        <f t="array" aca="1" ref="U112" ca="1">Common_InputFunctions.Utility_DisplayArrayInTable(Fertiliser_SourceData.Fertiliser_Products_Data2(),FertiliserProducts[[#Headers],[Include or Exclude]], 20)</f>
        <v/>
      </c>
      <c r="V112" s="65" t="str" cm="1">
        <f t="array" aca="1" ref="V112" ca="1">Common_InputFunctions.Utility_DisplayArrayInTable(Fertiliser_SourceData.Fertiliser_Products_Data2(),FertiliserProducts[[#Headers],[Include or Exclude]], 20)</f>
        <v/>
      </c>
      <c r="W112" s="65" t="str" cm="1">
        <f t="array" aca="1" ref="W112" ca="1">Common_InputFunctions.Utility_DisplayArrayInTable(Fertiliser_SourceData.Fertiliser_Products_Data2(),FertiliserProducts[[#Headers],[Include or Exclude]], 20)</f>
        <v/>
      </c>
      <c r="X112" s="65" t="str" cm="1">
        <f t="array" aca="1" ref="X112" ca="1">Common_InputFunctions.Utility_DisplayArrayInTable(Fertiliser_SourceData.Fertiliser_Products_Data2(),FertiliserProducts[[#Headers],[Include or Exclude]], 20)</f>
        <v/>
      </c>
      <c r="Y112" s="65" t="str" cm="1">
        <f t="array" aca="1" ref="Y112" ca="1">Common_InputFunctions.Utility_DisplayArrayInTable(Fertiliser_SourceData.Fertiliser_Products_Data2(),FertiliserProducts[[#Headers],[Include or Exclude]], 20)</f>
        <v/>
      </c>
      <c r="Z112" s="65" t="str" cm="1">
        <f t="array" aca="1" ref="Z112" ca="1">Common_InputFunctions.Utility_DisplayArrayInTable(Fertiliser_SourceData.Fertiliser_Products_Data2(),FertiliserProducts[[#Headers],[Include or Exclude]], 20)</f>
        <v/>
      </c>
      <c r="AA112" s="10" t="str" cm="1">
        <f t="array" aca="1" ref="AA112" ca="1">Common_InputFunctions.Utility_DisplayArrayInTable(Fertiliser_SourceData.Fertiliser_Products_Data2(),FertiliserProducts[[#Headers],[Include or Exclude]], 20)</f>
        <v/>
      </c>
      <c r="AB112" s="10" t="str" cm="1">
        <f t="array" aca="1" ref="AB112" ca="1">Common_InputFunctions.Utility_DisplayArrayInTable(Fertiliser_SourceData.Fertiliser_Products_Data2(),FertiliserProducts[[#Headers],[Include or Exclude]], 20)</f>
        <v/>
      </c>
      <c r="AC112" s="10" t="str" cm="1">
        <f t="array" aca="1" ref="AC112" ca="1">Common_InputFunctions.Utility_DisplayArrayInTable(Fertiliser_SourceData.Fertiliser_Products_Data2(),FertiliserProducts[[#Headers],[Include or Exclude]], 20)</f>
        <v/>
      </c>
      <c r="AD112" s="10" t="str" cm="1">
        <f t="array" aca="1" ref="AD112" ca="1">Common_InputFunctions.Utility_DisplayArrayInTable(Fertiliser_SourceData.Fertiliser_Products_Data2(),FertiliserProducts[[#Headers],[Include or Exclude]], 20)</f>
        <v/>
      </c>
      <c r="AE112" s="10" t="str" cm="1">
        <f t="array" aca="1" ref="AE112" ca="1">Common_InputFunctions.Utility_DisplayArrayInTable(Fertiliser_SourceData.Fertiliser_Products_Data2(),FertiliserProducts[[#Headers],[Include or Exclude]], 20)</f>
        <v/>
      </c>
    </row>
    <row r="113" spans="4:31" ht="20.100000000000001" customHeight="1" x14ac:dyDescent="0.25">
      <c r="D113" s="65" t="str" cm="1">
        <f t="array" aca="1" ref="D113" ca="1">Common_InputFunctions.Utility_DisplayArrayInTable(Fertiliser_SourceData.Fertiliser_Products_Data2(),FertiliserProducts[[#Headers],[Include or Exclude]], 20)</f>
        <v/>
      </c>
      <c r="E113" s="65" t="str" cm="1">
        <f t="array" aca="1" ref="E113" ca="1">Common_InputFunctions.Utility_DisplayArrayInTable(Fertiliser_SourceData.Fertiliser_Products_Data2(),FertiliserProducts[[#Headers],[Include or Exclude]], 20)</f>
        <v/>
      </c>
      <c r="F113" s="65" t="str" cm="1">
        <f t="array" aca="1" ref="F113" ca="1">Common_InputFunctions.Utility_DisplayArrayInTable(Fertiliser_SourceData.Fertiliser_Products_Data2(),FertiliserProducts[[#Headers],[Include or Exclude]], 20)</f>
        <v/>
      </c>
      <c r="G113" s="65" t="str" cm="1">
        <f t="array" aca="1" ref="G113" ca="1">Common_InputFunctions.Utility_DisplayArrayInTable(Fertiliser_SourceData.Fertiliser_Products_Data2(),FertiliserProducts[[#Headers],[Include or Exclude]], 20)</f>
        <v/>
      </c>
      <c r="H113" s="65" t="str" cm="1">
        <f t="array" aca="1" ref="H113" ca="1">Common_InputFunctions.Utility_DisplayArrayInTable(Fertiliser_SourceData.Fertiliser_Products_Data2(),FertiliserProducts[[#Headers],[Include or Exclude]], 20)</f>
        <v/>
      </c>
      <c r="I113" s="65" t="str" cm="1">
        <f t="array" aca="1" ref="I113" ca="1">Common_InputFunctions.Utility_DisplayArrayInTable(Fertiliser_SourceData.Fertiliser_Products_Data2(),FertiliserProducts[[#Headers],[Include or Exclude]], 20)</f>
        <v/>
      </c>
      <c r="J113" s="65" t="str" cm="1">
        <f t="array" aca="1" ref="J113" ca="1">Common_InputFunctions.Utility_DisplayArrayInTable(Fertiliser_SourceData.Fertiliser_Products_Data2(),FertiliserProducts[[#Headers],[Include or Exclude]], 20)</f>
        <v/>
      </c>
      <c r="K113" s="65" t="str" cm="1">
        <f t="array" aca="1" ref="K113" ca="1">Common_InputFunctions.Utility_DisplayArrayInTable(Fertiliser_SourceData.Fertiliser_Products_Data2(),FertiliserProducts[[#Headers],[Include or Exclude]], 20)</f>
        <v/>
      </c>
      <c r="L113" s="65" t="str" cm="1">
        <f t="array" aca="1" ref="L113" ca="1">Common_InputFunctions.Utility_DisplayArrayInTable(Fertiliser_SourceData.Fertiliser_Products_Data2(),FertiliserProducts[[#Headers],[Include or Exclude]], 20)</f>
        <v/>
      </c>
      <c r="M113" s="65" t="str" cm="1">
        <f t="array" aca="1" ref="M113" ca="1">Common_InputFunctions.Utility_DisplayArrayInTable(Fertiliser_SourceData.Fertiliser_Products_Data2(),FertiliserProducts[[#Headers],[Include or Exclude]], 20)</f>
        <v/>
      </c>
      <c r="N113" s="65" t="str" cm="1">
        <f t="array" aca="1" ref="N113" ca="1">Common_InputFunctions.Utility_DisplayArrayInTable(Fertiliser_SourceData.Fertiliser_Products_Data2(),FertiliserProducts[[#Headers],[Include or Exclude]], 20)</f>
        <v/>
      </c>
      <c r="O113" s="65" t="str" cm="1">
        <f t="array" aca="1" ref="O113" ca="1">Common_InputFunctions.Utility_DisplayArrayInTable(Fertiliser_SourceData.Fertiliser_Products_Data2(),FertiliserProducts[[#Headers],[Include or Exclude]], 20)</f>
        <v/>
      </c>
      <c r="P113" s="65" t="str" cm="1">
        <f t="array" aca="1" ref="P113" ca="1">Common_InputFunctions.Utility_DisplayArrayInTable(Fertiliser_SourceData.Fertiliser_Products_Data2(),FertiliserProducts[[#Headers],[Include or Exclude]], 20)</f>
        <v/>
      </c>
      <c r="Q113" s="65" t="str" cm="1">
        <f t="array" aca="1" ref="Q113" ca="1">Common_InputFunctions.Utility_DisplayArrayInTable(Fertiliser_SourceData.Fertiliser_Products_Data2(),FertiliserProducts[[#Headers],[Include or Exclude]], 20)</f>
        <v/>
      </c>
      <c r="R113" s="65" t="str" cm="1">
        <f t="array" aca="1" ref="R113" ca="1">Common_InputFunctions.Utility_DisplayArrayInTable(Fertiliser_SourceData.Fertiliser_Products_Data2(),FertiliserProducts[[#Headers],[Include or Exclude]], 20)</f>
        <v/>
      </c>
      <c r="S113" s="65" t="str" cm="1">
        <f t="array" aca="1" ref="S113" ca="1">Common_InputFunctions.Utility_DisplayArrayInTable(Fertiliser_SourceData.Fertiliser_Products_Data2(),FertiliserProducts[[#Headers],[Include or Exclude]], 20)</f>
        <v/>
      </c>
      <c r="T113" s="65" t="str" cm="1">
        <f t="array" aca="1" ref="T113" ca="1">Common_InputFunctions.Utility_DisplayArrayInTable(Fertiliser_SourceData.Fertiliser_Products_Data2(),FertiliserProducts[[#Headers],[Include or Exclude]], 20)</f>
        <v/>
      </c>
      <c r="U113" s="65" t="str" cm="1">
        <f t="array" aca="1" ref="U113" ca="1">Common_InputFunctions.Utility_DisplayArrayInTable(Fertiliser_SourceData.Fertiliser_Products_Data2(),FertiliserProducts[[#Headers],[Include or Exclude]], 20)</f>
        <v/>
      </c>
      <c r="V113" s="65" t="str" cm="1">
        <f t="array" aca="1" ref="V113" ca="1">Common_InputFunctions.Utility_DisplayArrayInTable(Fertiliser_SourceData.Fertiliser_Products_Data2(),FertiliserProducts[[#Headers],[Include or Exclude]], 20)</f>
        <v/>
      </c>
      <c r="W113" s="65" t="str" cm="1">
        <f t="array" aca="1" ref="W113" ca="1">Common_InputFunctions.Utility_DisplayArrayInTable(Fertiliser_SourceData.Fertiliser_Products_Data2(),FertiliserProducts[[#Headers],[Include or Exclude]], 20)</f>
        <v/>
      </c>
      <c r="X113" s="65" t="str" cm="1">
        <f t="array" aca="1" ref="X113" ca="1">Common_InputFunctions.Utility_DisplayArrayInTable(Fertiliser_SourceData.Fertiliser_Products_Data2(),FertiliserProducts[[#Headers],[Include or Exclude]], 20)</f>
        <v/>
      </c>
      <c r="Y113" s="65" t="str" cm="1">
        <f t="array" aca="1" ref="Y113" ca="1">Common_InputFunctions.Utility_DisplayArrayInTable(Fertiliser_SourceData.Fertiliser_Products_Data2(),FertiliserProducts[[#Headers],[Include or Exclude]], 20)</f>
        <v/>
      </c>
      <c r="Z113" s="65" t="str" cm="1">
        <f t="array" aca="1" ref="Z113" ca="1">Common_InputFunctions.Utility_DisplayArrayInTable(Fertiliser_SourceData.Fertiliser_Products_Data2(),FertiliserProducts[[#Headers],[Include or Exclude]], 20)</f>
        <v/>
      </c>
      <c r="AA113" s="10" t="str" cm="1">
        <f t="array" aca="1" ref="AA113" ca="1">Common_InputFunctions.Utility_DisplayArrayInTable(Fertiliser_SourceData.Fertiliser_Products_Data2(),FertiliserProducts[[#Headers],[Include or Exclude]], 20)</f>
        <v/>
      </c>
      <c r="AB113" s="10" t="str" cm="1">
        <f t="array" aca="1" ref="AB113" ca="1">Common_InputFunctions.Utility_DisplayArrayInTable(Fertiliser_SourceData.Fertiliser_Products_Data2(),FertiliserProducts[[#Headers],[Include or Exclude]], 20)</f>
        <v/>
      </c>
      <c r="AC113" s="10" t="str" cm="1">
        <f t="array" aca="1" ref="AC113" ca="1">Common_InputFunctions.Utility_DisplayArrayInTable(Fertiliser_SourceData.Fertiliser_Products_Data2(),FertiliserProducts[[#Headers],[Include or Exclude]], 20)</f>
        <v/>
      </c>
      <c r="AD113" s="10" t="str" cm="1">
        <f t="array" aca="1" ref="AD113" ca="1">Common_InputFunctions.Utility_DisplayArrayInTable(Fertiliser_SourceData.Fertiliser_Products_Data2(),FertiliserProducts[[#Headers],[Include or Exclude]], 20)</f>
        <v/>
      </c>
      <c r="AE113" s="10" t="str" cm="1">
        <f t="array" aca="1" ref="AE113" ca="1">Common_InputFunctions.Utility_DisplayArrayInTable(Fertiliser_SourceData.Fertiliser_Products_Data2(),FertiliserProducts[[#Headers],[Include or Exclude]], 20)</f>
        <v/>
      </c>
    </row>
    <row r="114" spans="4:31" ht="20.100000000000001" customHeight="1" x14ac:dyDescent="0.25">
      <c r="D114" s="65" t="str" cm="1">
        <f t="array" aca="1" ref="D114" ca="1">Common_InputFunctions.Utility_DisplayArrayInTable(Fertiliser_SourceData.Fertiliser_Products_Data2(),FertiliserProducts[[#Headers],[Include or Exclude]], 20)</f>
        <v/>
      </c>
      <c r="E114" s="65" t="str" cm="1">
        <f t="array" aca="1" ref="E114" ca="1">Common_InputFunctions.Utility_DisplayArrayInTable(Fertiliser_SourceData.Fertiliser_Products_Data2(),FertiliserProducts[[#Headers],[Include or Exclude]], 20)</f>
        <v/>
      </c>
      <c r="F114" s="65" t="str" cm="1">
        <f t="array" aca="1" ref="F114" ca="1">Common_InputFunctions.Utility_DisplayArrayInTable(Fertiliser_SourceData.Fertiliser_Products_Data2(),FertiliserProducts[[#Headers],[Include or Exclude]], 20)</f>
        <v/>
      </c>
      <c r="G114" s="65" t="str" cm="1">
        <f t="array" aca="1" ref="G114" ca="1">Common_InputFunctions.Utility_DisplayArrayInTable(Fertiliser_SourceData.Fertiliser_Products_Data2(),FertiliserProducts[[#Headers],[Include or Exclude]], 20)</f>
        <v/>
      </c>
      <c r="H114" s="65" t="str" cm="1">
        <f t="array" aca="1" ref="H114" ca="1">Common_InputFunctions.Utility_DisplayArrayInTable(Fertiliser_SourceData.Fertiliser_Products_Data2(),FertiliserProducts[[#Headers],[Include or Exclude]], 20)</f>
        <v/>
      </c>
      <c r="I114" s="65" t="str" cm="1">
        <f t="array" aca="1" ref="I114" ca="1">Common_InputFunctions.Utility_DisplayArrayInTable(Fertiliser_SourceData.Fertiliser_Products_Data2(),FertiliserProducts[[#Headers],[Include or Exclude]], 20)</f>
        <v/>
      </c>
      <c r="J114" s="65" t="str" cm="1">
        <f t="array" aca="1" ref="J114" ca="1">Common_InputFunctions.Utility_DisplayArrayInTable(Fertiliser_SourceData.Fertiliser_Products_Data2(),FertiliserProducts[[#Headers],[Include or Exclude]], 20)</f>
        <v/>
      </c>
      <c r="K114" s="65" t="str" cm="1">
        <f t="array" aca="1" ref="K114" ca="1">Common_InputFunctions.Utility_DisplayArrayInTable(Fertiliser_SourceData.Fertiliser_Products_Data2(),FertiliserProducts[[#Headers],[Include or Exclude]], 20)</f>
        <v/>
      </c>
      <c r="L114" s="65" t="str" cm="1">
        <f t="array" aca="1" ref="L114" ca="1">Common_InputFunctions.Utility_DisplayArrayInTable(Fertiliser_SourceData.Fertiliser_Products_Data2(),FertiliserProducts[[#Headers],[Include or Exclude]], 20)</f>
        <v/>
      </c>
      <c r="M114" s="65" t="str" cm="1">
        <f t="array" aca="1" ref="M114" ca="1">Common_InputFunctions.Utility_DisplayArrayInTable(Fertiliser_SourceData.Fertiliser_Products_Data2(),FertiliserProducts[[#Headers],[Include or Exclude]], 20)</f>
        <v/>
      </c>
      <c r="N114" s="65" t="str" cm="1">
        <f t="array" aca="1" ref="N114" ca="1">Common_InputFunctions.Utility_DisplayArrayInTable(Fertiliser_SourceData.Fertiliser_Products_Data2(),FertiliserProducts[[#Headers],[Include or Exclude]], 20)</f>
        <v/>
      </c>
      <c r="O114" s="65" t="str" cm="1">
        <f t="array" aca="1" ref="O114" ca="1">Common_InputFunctions.Utility_DisplayArrayInTable(Fertiliser_SourceData.Fertiliser_Products_Data2(),FertiliserProducts[[#Headers],[Include or Exclude]], 20)</f>
        <v/>
      </c>
      <c r="P114" s="65" t="str" cm="1">
        <f t="array" aca="1" ref="P114" ca="1">Common_InputFunctions.Utility_DisplayArrayInTable(Fertiliser_SourceData.Fertiliser_Products_Data2(),FertiliserProducts[[#Headers],[Include or Exclude]], 20)</f>
        <v/>
      </c>
      <c r="Q114" s="65" t="str" cm="1">
        <f t="array" aca="1" ref="Q114" ca="1">Common_InputFunctions.Utility_DisplayArrayInTable(Fertiliser_SourceData.Fertiliser_Products_Data2(),FertiliserProducts[[#Headers],[Include or Exclude]], 20)</f>
        <v/>
      </c>
      <c r="R114" s="65" t="str" cm="1">
        <f t="array" aca="1" ref="R114" ca="1">Common_InputFunctions.Utility_DisplayArrayInTable(Fertiliser_SourceData.Fertiliser_Products_Data2(),FertiliserProducts[[#Headers],[Include or Exclude]], 20)</f>
        <v/>
      </c>
      <c r="S114" s="65" t="str" cm="1">
        <f t="array" aca="1" ref="S114" ca="1">Common_InputFunctions.Utility_DisplayArrayInTable(Fertiliser_SourceData.Fertiliser_Products_Data2(),FertiliserProducts[[#Headers],[Include or Exclude]], 20)</f>
        <v/>
      </c>
      <c r="T114" s="65" t="str" cm="1">
        <f t="array" aca="1" ref="T114" ca="1">Common_InputFunctions.Utility_DisplayArrayInTable(Fertiliser_SourceData.Fertiliser_Products_Data2(),FertiliserProducts[[#Headers],[Include or Exclude]], 20)</f>
        <v/>
      </c>
      <c r="U114" s="65" t="str" cm="1">
        <f t="array" aca="1" ref="U114" ca="1">Common_InputFunctions.Utility_DisplayArrayInTable(Fertiliser_SourceData.Fertiliser_Products_Data2(),FertiliserProducts[[#Headers],[Include or Exclude]], 20)</f>
        <v/>
      </c>
      <c r="V114" s="65" t="str" cm="1">
        <f t="array" aca="1" ref="V114" ca="1">Common_InputFunctions.Utility_DisplayArrayInTable(Fertiliser_SourceData.Fertiliser_Products_Data2(),FertiliserProducts[[#Headers],[Include or Exclude]], 20)</f>
        <v/>
      </c>
      <c r="W114" s="65" t="str" cm="1">
        <f t="array" aca="1" ref="W114" ca="1">Common_InputFunctions.Utility_DisplayArrayInTable(Fertiliser_SourceData.Fertiliser_Products_Data2(),FertiliserProducts[[#Headers],[Include or Exclude]], 20)</f>
        <v/>
      </c>
      <c r="X114" s="65" t="str" cm="1">
        <f t="array" aca="1" ref="X114" ca="1">Common_InputFunctions.Utility_DisplayArrayInTable(Fertiliser_SourceData.Fertiliser_Products_Data2(),FertiliserProducts[[#Headers],[Include or Exclude]], 20)</f>
        <v/>
      </c>
      <c r="Y114" s="65" t="str" cm="1">
        <f t="array" aca="1" ref="Y114" ca="1">Common_InputFunctions.Utility_DisplayArrayInTable(Fertiliser_SourceData.Fertiliser_Products_Data2(),FertiliserProducts[[#Headers],[Include or Exclude]], 20)</f>
        <v/>
      </c>
      <c r="Z114" s="65" t="str" cm="1">
        <f t="array" aca="1" ref="Z114" ca="1">Common_InputFunctions.Utility_DisplayArrayInTable(Fertiliser_SourceData.Fertiliser_Products_Data2(),FertiliserProducts[[#Headers],[Include or Exclude]], 20)</f>
        <v/>
      </c>
      <c r="AA114" s="10" t="str" cm="1">
        <f t="array" aca="1" ref="AA114" ca="1">Common_InputFunctions.Utility_DisplayArrayInTable(Fertiliser_SourceData.Fertiliser_Products_Data2(),FertiliserProducts[[#Headers],[Include or Exclude]], 20)</f>
        <v/>
      </c>
      <c r="AB114" s="10" t="str" cm="1">
        <f t="array" aca="1" ref="AB114" ca="1">Common_InputFunctions.Utility_DisplayArrayInTable(Fertiliser_SourceData.Fertiliser_Products_Data2(),FertiliserProducts[[#Headers],[Include or Exclude]], 20)</f>
        <v/>
      </c>
      <c r="AC114" s="10" t="str" cm="1">
        <f t="array" aca="1" ref="AC114" ca="1">Common_InputFunctions.Utility_DisplayArrayInTable(Fertiliser_SourceData.Fertiliser_Products_Data2(),FertiliserProducts[[#Headers],[Include or Exclude]], 20)</f>
        <v/>
      </c>
      <c r="AD114" s="10" t="str" cm="1">
        <f t="array" aca="1" ref="AD114" ca="1">Common_InputFunctions.Utility_DisplayArrayInTable(Fertiliser_SourceData.Fertiliser_Products_Data2(),FertiliserProducts[[#Headers],[Include or Exclude]], 20)</f>
        <v/>
      </c>
      <c r="AE114" s="10" t="str" cm="1">
        <f t="array" aca="1" ref="AE114" ca="1">Common_InputFunctions.Utility_DisplayArrayInTable(Fertiliser_SourceData.Fertiliser_Products_Data2(),FertiliserProducts[[#Headers],[Include or Exclude]], 20)</f>
        <v/>
      </c>
    </row>
    <row r="115" spans="4:31" ht="20.100000000000001" customHeight="1" x14ac:dyDescent="0.25">
      <c r="D115" s="65" t="str" cm="1">
        <f t="array" aca="1" ref="D115" ca="1">Common_InputFunctions.Utility_DisplayArrayInTable(Fertiliser_SourceData.Fertiliser_Products_Data2(),FertiliserProducts[[#Headers],[Include or Exclude]], 20)</f>
        <v/>
      </c>
      <c r="E115" s="65" t="str" cm="1">
        <f t="array" aca="1" ref="E115" ca="1">Common_InputFunctions.Utility_DisplayArrayInTable(Fertiliser_SourceData.Fertiliser_Products_Data2(),FertiliserProducts[[#Headers],[Include or Exclude]], 20)</f>
        <v/>
      </c>
      <c r="F115" s="65" t="str" cm="1">
        <f t="array" aca="1" ref="F115" ca="1">Common_InputFunctions.Utility_DisplayArrayInTable(Fertiliser_SourceData.Fertiliser_Products_Data2(),FertiliserProducts[[#Headers],[Include or Exclude]], 20)</f>
        <v/>
      </c>
      <c r="G115" s="65" t="str" cm="1">
        <f t="array" aca="1" ref="G115" ca="1">Common_InputFunctions.Utility_DisplayArrayInTable(Fertiliser_SourceData.Fertiliser_Products_Data2(),FertiliserProducts[[#Headers],[Include or Exclude]], 20)</f>
        <v/>
      </c>
      <c r="H115" s="65" t="str" cm="1">
        <f t="array" aca="1" ref="H115" ca="1">Common_InputFunctions.Utility_DisplayArrayInTable(Fertiliser_SourceData.Fertiliser_Products_Data2(),FertiliserProducts[[#Headers],[Include or Exclude]], 20)</f>
        <v/>
      </c>
      <c r="I115" s="65" t="str" cm="1">
        <f t="array" aca="1" ref="I115" ca="1">Common_InputFunctions.Utility_DisplayArrayInTable(Fertiliser_SourceData.Fertiliser_Products_Data2(),FertiliserProducts[[#Headers],[Include or Exclude]], 20)</f>
        <v/>
      </c>
      <c r="J115" s="65" t="str" cm="1">
        <f t="array" aca="1" ref="J115" ca="1">Common_InputFunctions.Utility_DisplayArrayInTable(Fertiliser_SourceData.Fertiliser_Products_Data2(),FertiliserProducts[[#Headers],[Include or Exclude]], 20)</f>
        <v/>
      </c>
      <c r="K115" s="65" t="str" cm="1">
        <f t="array" aca="1" ref="K115" ca="1">Common_InputFunctions.Utility_DisplayArrayInTable(Fertiliser_SourceData.Fertiliser_Products_Data2(),FertiliserProducts[[#Headers],[Include or Exclude]], 20)</f>
        <v/>
      </c>
      <c r="L115" s="65" t="str" cm="1">
        <f t="array" aca="1" ref="L115" ca="1">Common_InputFunctions.Utility_DisplayArrayInTable(Fertiliser_SourceData.Fertiliser_Products_Data2(),FertiliserProducts[[#Headers],[Include or Exclude]], 20)</f>
        <v/>
      </c>
      <c r="M115" s="65" t="str" cm="1">
        <f t="array" aca="1" ref="M115" ca="1">Common_InputFunctions.Utility_DisplayArrayInTable(Fertiliser_SourceData.Fertiliser_Products_Data2(),FertiliserProducts[[#Headers],[Include or Exclude]], 20)</f>
        <v/>
      </c>
      <c r="N115" s="65" t="str" cm="1">
        <f t="array" aca="1" ref="N115" ca="1">Common_InputFunctions.Utility_DisplayArrayInTable(Fertiliser_SourceData.Fertiliser_Products_Data2(),FertiliserProducts[[#Headers],[Include or Exclude]], 20)</f>
        <v/>
      </c>
      <c r="O115" s="65" t="str" cm="1">
        <f t="array" aca="1" ref="O115" ca="1">Common_InputFunctions.Utility_DisplayArrayInTable(Fertiliser_SourceData.Fertiliser_Products_Data2(),FertiliserProducts[[#Headers],[Include or Exclude]], 20)</f>
        <v/>
      </c>
      <c r="P115" s="65" t="str" cm="1">
        <f t="array" aca="1" ref="P115" ca="1">Common_InputFunctions.Utility_DisplayArrayInTable(Fertiliser_SourceData.Fertiliser_Products_Data2(),FertiliserProducts[[#Headers],[Include or Exclude]], 20)</f>
        <v/>
      </c>
      <c r="Q115" s="65" t="str" cm="1">
        <f t="array" aca="1" ref="Q115" ca="1">Common_InputFunctions.Utility_DisplayArrayInTable(Fertiliser_SourceData.Fertiliser_Products_Data2(),FertiliserProducts[[#Headers],[Include or Exclude]], 20)</f>
        <v/>
      </c>
      <c r="R115" s="65" t="str" cm="1">
        <f t="array" aca="1" ref="R115" ca="1">Common_InputFunctions.Utility_DisplayArrayInTable(Fertiliser_SourceData.Fertiliser_Products_Data2(),FertiliserProducts[[#Headers],[Include or Exclude]], 20)</f>
        <v/>
      </c>
      <c r="S115" s="65" t="str" cm="1">
        <f t="array" aca="1" ref="S115" ca="1">Common_InputFunctions.Utility_DisplayArrayInTable(Fertiliser_SourceData.Fertiliser_Products_Data2(),FertiliserProducts[[#Headers],[Include or Exclude]], 20)</f>
        <v/>
      </c>
      <c r="T115" s="65" t="str" cm="1">
        <f t="array" aca="1" ref="T115" ca="1">Common_InputFunctions.Utility_DisplayArrayInTable(Fertiliser_SourceData.Fertiliser_Products_Data2(),FertiliserProducts[[#Headers],[Include or Exclude]], 20)</f>
        <v/>
      </c>
      <c r="U115" s="65" t="str" cm="1">
        <f t="array" aca="1" ref="U115" ca="1">Common_InputFunctions.Utility_DisplayArrayInTable(Fertiliser_SourceData.Fertiliser_Products_Data2(),FertiliserProducts[[#Headers],[Include or Exclude]], 20)</f>
        <v/>
      </c>
      <c r="V115" s="65" t="str" cm="1">
        <f t="array" aca="1" ref="V115" ca="1">Common_InputFunctions.Utility_DisplayArrayInTable(Fertiliser_SourceData.Fertiliser_Products_Data2(),FertiliserProducts[[#Headers],[Include or Exclude]], 20)</f>
        <v/>
      </c>
      <c r="W115" s="65" t="str" cm="1">
        <f t="array" aca="1" ref="W115" ca="1">Common_InputFunctions.Utility_DisplayArrayInTable(Fertiliser_SourceData.Fertiliser_Products_Data2(),FertiliserProducts[[#Headers],[Include or Exclude]], 20)</f>
        <v/>
      </c>
      <c r="X115" s="65" t="str" cm="1">
        <f t="array" aca="1" ref="X115" ca="1">Common_InputFunctions.Utility_DisplayArrayInTable(Fertiliser_SourceData.Fertiliser_Products_Data2(),FertiliserProducts[[#Headers],[Include or Exclude]], 20)</f>
        <v/>
      </c>
      <c r="Y115" s="65" t="str" cm="1">
        <f t="array" aca="1" ref="Y115" ca="1">Common_InputFunctions.Utility_DisplayArrayInTable(Fertiliser_SourceData.Fertiliser_Products_Data2(),FertiliserProducts[[#Headers],[Include or Exclude]], 20)</f>
        <v/>
      </c>
      <c r="Z115" s="65" t="str" cm="1">
        <f t="array" aca="1" ref="Z115" ca="1">Common_InputFunctions.Utility_DisplayArrayInTable(Fertiliser_SourceData.Fertiliser_Products_Data2(),FertiliserProducts[[#Headers],[Include or Exclude]], 20)</f>
        <v/>
      </c>
      <c r="AA115" s="10" t="str" cm="1">
        <f t="array" aca="1" ref="AA115" ca="1">Common_InputFunctions.Utility_DisplayArrayInTable(Fertiliser_SourceData.Fertiliser_Products_Data2(),FertiliserProducts[[#Headers],[Include or Exclude]], 20)</f>
        <v/>
      </c>
      <c r="AB115" s="10" t="str" cm="1">
        <f t="array" aca="1" ref="AB115" ca="1">Common_InputFunctions.Utility_DisplayArrayInTable(Fertiliser_SourceData.Fertiliser_Products_Data2(),FertiliserProducts[[#Headers],[Include or Exclude]], 20)</f>
        <v/>
      </c>
      <c r="AC115" s="10" t="str" cm="1">
        <f t="array" aca="1" ref="AC115" ca="1">Common_InputFunctions.Utility_DisplayArrayInTable(Fertiliser_SourceData.Fertiliser_Products_Data2(),FertiliserProducts[[#Headers],[Include or Exclude]], 20)</f>
        <v/>
      </c>
      <c r="AD115" s="10" t="str" cm="1">
        <f t="array" aca="1" ref="AD115" ca="1">Common_InputFunctions.Utility_DisplayArrayInTable(Fertiliser_SourceData.Fertiliser_Products_Data2(),FertiliserProducts[[#Headers],[Include or Exclude]], 20)</f>
        <v/>
      </c>
      <c r="AE115" s="10" t="str" cm="1">
        <f t="array" aca="1" ref="AE115" ca="1">Common_InputFunctions.Utility_DisplayArrayInTable(Fertiliser_SourceData.Fertiliser_Products_Data2(),FertiliserProducts[[#Headers],[Include or Exclude]], 20)</f>
        <v/>
      </c>
    </row>
    <row r="116" spans="4:31" ht="20.100000000000001" customHeight="1" x14ac:dyDescent="0.25">
      <c r="D116" s="65" t="str" cm="1">
        <f t="array" aca="1" ref="D116" ca="1">Common_InputFunctions.Utility_DisplayArrayInTable(Fertiliser_SourceData.Fertiliser_Products_Data2(),FertiliserProducts[[#Headers],[Include or Exclude]], 20)</f>
        <v/>
      </c>
      <c r="E116" s="65" t="str" cm="1">
        <f t="array" aca="1" ref="E116" ca="1">Common_InputFunctions.Utility_DisplayArrayInTable(Fertiliser_SourceData.Fertiliser_Products_Data2(),FertiliserProducts[[#Headers],[Include or Exclude]], 20)</f>
        <v/>
      </c>
      <c r="F116" s="65" t="str" cm="1">
        <f t="array" aca="1" ref="F116" ca="1">Common_InputFunctions.Utility_DisplayArrayInTable(Fertiliser_SourceData.Fertiliser_Products_Data2(),FertiliserProducts[[#Headers],[Include or Exclude]], 20)</f>
        <v/>
      </c>
      <c r="G116" s="65" t="str" cm="1">
        <f t="array" aca="1" ref="G116" ca="1">Common_InputFunctions.Utility_DisplayArrayInTable(Fertiliser_SourceData.Fertiliser_Products_Data2(),FertiliserProducts[[#Headers],[Include or Exclude]], 20)</f>
        <v/>
      </c>
      <c r="H116" s="65" t="str" cm="1">
        <f t="array" aca="1" ref="H116" ca="1">Common_InputFunctions.Utility_DisplayArrayInTable(Fertiliser_SourceData.Fertiliser_Products_Data2(),FertiliserProducts[[#Headers],[Include or Exclude]], 20)</f>
        <v/>
      </c>
      <c r="I116" s="65" t="str" cm="1">
        <f t="array" aca="1" ref="I116" ca="1">Common_InputFunctions.Utility_DisplayArrayInTable(Fertiliser_SourceData.Fertiliser_Products_Data2(),FertiliserProducts[[#Headers],[Include or Exclude]], 20)</f>
        <v/>
      </c>
      <c r="J116" s="65" t="str" cm="1">
        <f t="array" aca="1" ref="J116" ca="1">Common_InputFunctions.Utility_DisplayArrayInTable(Fertiliser_SourceData.Fertiliser_Products_Data2(),FertiliserProducts[[#Headers],[Include or Exclude]], 20)</f>
        <v/>
      </c>
      <c r="K116" s="65" t="str" cm="1">
        <f t="array" aca="1" ref="K116" ca="1">Common_InputFunctions.Utility_DisplayArrayInTable(Fertiliser_SourceData.Fertiliser_Products_Data2(),FertiliserProducts[[#Headers],[Include or Exclude]], 20)</f>
        <v/>
      </c>
      <c r="L116" s="65" t="str" cm="1">
        <f t="array" aca="1" ref="L116" ca="1">Common_InputFunctions.Utility_DisplayArrayInTable(Fertiliser_SourceData.Fertiliser_Products_Data2(),FertiliserProducts[[#Headers],[Include or Exclude]], 20)</f>
        <v/>
      </c>
      <c r="M116" s="65" t="str" cm="1">
        <f t="array" aca="1" ref="M116" ca="1">Common_InputFunctions.Utility_DisplayArrayInTable(Fertiliser_SourceData.Fertiliser_Products_Data2(),FertiliserProducts[[#Headers],[Include or Exclude]], 20)</f>
        <v/>
      </c>
      <c r="N116" s="65" t="str" cm="1">
        <f t="array" aca="1" ref="N116" ca="1">Common_InputFunctions.Utility_DisplayArrayInTable(Fertiliser_SourceData.Fertiliser_Products_Data2(),FertiliserProducts[[#Headers],[Include or Exclude]], 20)</f>
        <v/>
      </c>
      <c r="O116" s="65" t="str" cm="1">
        <f t="array" aca="1" ref="O116" ca="1">Common_InputFunctions.Utility_DisplayArrayInTable(Fertiliser_SourceData.Fertiliser_Products_Data2(),FertiliserProducts[[#Headers],[Include or Exclude]], 20)</f>
        <v/>
      </c>
      <c r="P116" s="65" t="str" cm="1">
        <f t="array" aca="1" ref="P116" ca="1">Common_InputFunctions.Utility_DisplayArrayInTable(Fertiliser_SourceData.Fertiliser_Products_Data2(),FertiliserProducts[[#Headers],[Include or Exclude]], 20)</f>
        <v/>
      </c>
      <c r="Q116" s="65" t="str" cm="1">
        <f t="array" aca="1" ref="Q116" ca="1">Common_InputFunctions.Utility_DisplayArrayInTable(Fertiliser_SourceData.Fertiliser_Products_Data2(),FertiliserProducts[[#Headers],[Include or Exclude]], 20)</f>
        <v/>
      </c>
      <c r="R116" s="65" t="str" cm="1">
        <f t="array" aca="1" ref="R116" ca="1">Common_InputFunctions.Utility_DisplayArrayInTable(Fertiliser_SourceData.Fertiliser_Products_Data2(),FertiliserProducts[[#Headers],[Include or Exclude]], 20)</f>
        <v/>
      </c>
      <c r="S116" s="65" t="str" cm="1">
        <f t="array" aca="1" ref="S116" ca="1">Common_InputFunctions.Utility_DisplayArrayInTable(Fertiliser_SourceData.Fertiliser_Products_Data2(),FertiliserProducts[[#Headers],[Include or Exclude]], 20)</f>
        <v/>
      </c>
      <c r="T116" s="65" t="str" cm="1">
        <f t="array" aca="1" ref="T116" ca="1">Common_InputFunctions.Utility_DisplayArrayInTable(Fertiliser_SourceData.Fertiliser_Products_Data2(),FertiliserProducts[[#Headers],[Include or Exclude]], 20)</f>
        <v/>
      </c>
      <c r="U116" s="65" t="str" cm="1">
        <f t="array" aca="1" ref="U116" ca="1">Common_InputFunctions.Utility_DisplayArrayInTable(Fertiliser_SourceData.Fertiliser_Products_Data2(),FertiliserProducts[[#Headers],[Include or Exclude]], 20)</f>
        <v/>
      </c>
      <c r="V116" s="65" t="str" cm="1">
        <f t="array" aca="1" ref="V116" ca="1">Common_InputFunctions.Utility_DisplayArrayInTable(Fertiliser_SourceData.Fertiliser_Products_Data2(),FertiliserProducts[[#Headers],[Include or Exclude]], 20)</f>
        <v/>
      </c>
      <c r="W116" s="65" t="str" cm="1">
        <f t="array" aca="1" ref="W116" ca="1">Common_InputFunctions.Utility_DisplayArrayInTable(Fertiliser_SourceData.Fertiliser_Products_Data2(),FertiliserProducts[[#Headers],[Include or Exclude]], 20)</f>
        <v/>
      </c>
      <c r="X116" s="65" t="str" cm="1">
        <f t="array" aca="1" ref="X116" ca="1">Common_InputFunctions.Utility_DisplayArrayInTable(Fertiliser_SourceData.Fertiliser_Products_Data2(),FertiliserProducts[[#Headers],[Include or Exclude]], 20)</f>
        <v/>
      </c>
      <c r="Y116" s="65" t="str" cm="1">
        <f t="array" aca="1" ref="Y116" ca="1">Common_InputFunctions.Utility_DisplayArrayInTable(Fertiliser_SourceData.Fertiliser_Products_Data2(),FertiliserProducts[[#Headers],[Include or Exclude]], 20)</f>
        <v/>
      </c>
      <c r="Z116" s="65" t="str" cm="1">
        <f t="array" aca="1" ref="Z116" ca="1">Common_InputFunctions.Utility_DisplayArrayInTable(Fertiliser_SourceData.Fertiliser_Products_Data2(),FertiliserProducts[[#Headers],[Include or Exclude]], 20)</f>
        <v/>
      </c>
      <c r="AA116" s="10" t="str" cm="1">
        <f t="array" aca="1" ref="AA116" ca="1">Common_InputFunctions.Utility_DisplayArrayInTable(Fertiliser_SourceData.Fertiliser_Products_Data2(),FertiliserProducts[[#Headers],[Include or Exclude]], 20)</f>
        <v/>
      </c>
      <c r="AB116" s="10" t="str" cm="1">
        <f t="array" aca="1" ref="AB116" ca="1">Common_InputFunctions.Utility_DisplayArrayInTable(Fertiliser_SourceData.Fertiliser_Products_Data2(),FertiliserProducts[[#Headers],[Include or Exclude]], 20)</f>
        <v/>
      </c>
      <c r="AC116" s="10" t="str" cm="1">
        <f t="array" aca="1" ref="AC116" ca="1">Common_InputFunctions.Utility_DisplayArrayInTable(Fertiliser_SourceData.Fertiliser_Products_Data2(),FertiliserProducts[[#Headers],[Include or Exclude]], 20)</f>
        <v/>
      </c>
      <c r="AD116" s="10" t="str" cm="1">
        <f t="array" aca="1" ref="AD116" ca="1">Common_InputFunctions.Utility_DisplayArrayInTable(Fertiliser_SourceData.Fertiliser_Products_Data2(),FertiliserProducts[[#Headers],[Include or Exclude]], 20)</f>
        <v/>
      </c>
      <c r="AE116" s="10" t="str" cm="1">
        <f t="array" aca="1" ref="AE116" ca="1">Common_InputFunctions.Utility_DisplayArrayInTable(Fertiliser_SourceData.Fertiliser_Products_Data2(),FertiliserProducts[[#Headers],[Include or Exclude]], 20)</f>
        <v/>
      </c>
    </row>
    <row r="117" spans="4:31" ht="20.100000000000001" customHeight="1" x14ac:dyDescent="0.25">
      <c r="D117" s="65" t="str" cm="1">
        <f t="array" aca="1" ref="D117" ca="1">Common_InputFunctions.Utility_DisplayArrayInTable(Fertiliser_SourceData.Fertiliser_Products_Data2(),FertiliserProducts[[#Headers],[Include or Exclude]], 20)</f>
        <v/>
      </c>
      <c r="E117" s="65" t="str" cm="1">
        <f t="array" aca="1" ref="E117" ca="1">Common_InputFunctions.Utility_DisplayArrayInTable(Fertiliser_SourceData.Fertiliser_Products_Data2(),FertiliserProducts[[#Headers],[Include or Exclude]], 20)</f>
        <v/>
      </c>
      <c r="F117" s="65" t="str" cm="1">
        <f t="array" aca="1" ref="F117" ca="1">Common_InputFunctions.Utility_DisplayArrayInTable(Fertiliser_SourceData.Fertiliser_Products_Data2(),FertiliserProducts[[#Headers],[Include or Exclude]], 20)</f>
        <v/>
      </c>
      <c r="G117" s="65" t="str" cm="1">
        <f t="array" aca="1" ref="G117" ca="1">Common_InputFunctions.Utility_DisplayArrayInTable(Fertiliser_SourceData.Fertiliser_Products_Data2(),FertiliserProducts[[#Headers],[Include or Exclude]], 20)</f>
        <v/>
      </c>
      <c r="H117" s="65" t="str" cm="1">
        <f t="array" aca="1" ref="H117" ca="1">Common_InputFunctions.Utility_DisplayArrayInTable(Fertiliser_SourceData.Fertiliser_Products_Data2(),FertiliserProducts[[#Headers],[Include or Exclude]], 20)</f>
        <v/>
      </c>
      <c r="I117" s="65" t="str" cm="1">
        <f t="array" aca="1" ref="I117" ca="1">Common_InputFunctions.Utility_DisplayArrayInTable(Fertiliser_SourceData.Fertiliser_Products_Data2(),FertiliserProducts[[#Headers],[Include or Exclude]], 20)</f>
        <v/>
      </c>
      <c r="J117" s="65" t="str" cm="1">
        <f t="array" aca="1" ref="J117" ca="1">Common_InputFunctions.Utility_DisplayArrayInTable(Fertiliser_SourceData.Fertiliser_Products_Data2(),FertiliserProducts[[#Headers],[Include or Exclude]], 20)</f>
        <v/>
      </c>
      <c r="K117" s="65" t="str" cm="1">
        <f t="array" aca="1" ref="K117" ca="1">Common_InputFunctions.Utility_DisplayArrayInTable(Fertiliser_SourceData.Fertiliser_Products_Data2(),FertiliserProducts[[#Headers],[Include or Exclude]], 20)</f>
        <v/>
      </c>
      <c r="L117" s="65" t="str" cm="1">
        <f t="array" aca="1" ref="L117" ca="1">Common_InputFunctions.Utility_DisplayArrayInTable(Fertiliser_SourceData.Fertiliser_Products_Data2(),FertiliserProducts[[#Headers],[Include or Exclude]], 20)</f>
        <v/>
      </c>
      <c r="M117" s="65" t="str" cm="1">
        <f t="array" aca="1" ref="M117" ca="1">Common_InputFunctions.Utility_DisplayArrayInTable(Fertiliser_SourceData.Fertiliser_Products_Data2(),FertiliserProducts[[#Headers],[Include or Exclude]], 20)</f>
        <v/>
      </c>
      <c r="N117" s="65" t="str" cm="1">
        <f t="array" aca="1" ref="N117" ca="1">Common_InputFunctions.Utility_DisplayArrayInTable(Fertiliser_SourceData.Fertiliser_Products_Data2(),FertiliserProducts[[#Headers],[Include or Exclude]], 20)</f>
        <v/>
      </c>
      <c r="O117" s="65" t="str" cm="1">
        <f t="array" aca="1" ref="O117" ca="1">Common_InputFunctions.Utility_DisplayArrayInTable(Fertiliser_SourceData.Fertiliser_Products_Data2(),FertiliserProducts[[#Headers],[Include or Exclude]], 20)</f>
        <v/>
      </c>
      <c r="P117" s="65" t="str" cm="1">
        <f t="array" aca="1" ref="P117" ca="1">Common_InputFunctions.Utility_DisplayArrayInTable(Fertiliser_SourceData.Fertiliser_Products_Data2(),FertiliserProducts[[#Headers],[Include or Exclude]], 20)</f>
        <v/>
      </c>
      <c r="Q117" s="65" t="str" cm="1">
        <f t="array" aca="1" ref="Q117" ca="1">Common_InputFunctions.Utility_DisplayArrayInTable(Fertiliser_SourceData.Fertiliser_Products_Data2(),FertiliserProducts[[#Headers],[Include or Exclude]], 20)</f>
        <v/>
      </c>
      <c r="R117" s="65" t="str" cm="1">
        <f t="array" aca="1" ref="R117" ca="1">Common_InputFunctions.Utility_DisplayArrayInTable(Fertiliser_SourceData.Fertiliser_Products_Data2(),FertiliserProducts[[#Headers],[Include or Exclude]], 20)</f>
        <v/>
      </c>
      <c r="S117" s="65" t="str" cm="1">
        <f t="array" aca="1" ref="S117" ca="1">Common_InputFunctions.Utility_DisplayArrayInTable(Fertiliser_SourceData.Fertiliser_Products_Data2(),FertiliserProducts[[#Headers],[Include or Exclude]], 20)</f>
        <v/>
      </c>
      <c r="T117" s="65" t="str" cm="1">
        <f t="array" aca="1" ref="T117" ca="1">Common_InputFunctions.Utility_DisplayArrayInTable(Fertiliser_SourceData.Fertiliser_Products_Data2(),FertiliserProducts[[#Headers],[Include or Exclude]], 20)</f>
        <v/>
      </c>
      <c r="U117" s="65" t="str" cm="1">
        <f t="array" aca="1" ref="U117" ca="1">Common_InputFunctions.Utility_DisplayArrayInTable(Fertiliser_SourceData.Fertiliser_Products_Data2(),FertiliserProducts[[#Headers],[Include or Exclude]], 20)</f>
        <v/>
      </c>
      <c r="V117" s="65" t="str" cm="1">
        <f t="array" aca="1" ref="V117" ca="1">Common_InputFunctions.Utility_DisplayArrayInTable(Fertiliser_SourceData.Fertiliser_Products_Data2(),FertiliserProducts[[#Headers],[Include or Exclude]], 20)</f>
        <v/>
      </c>
      <c r="W117" s="65" t="str" cm="1">
        <f t="array" aca="1" ref="W117" ca="1">Common_InputFunctions.Utility_DisplayArrayInTable(Fertiliser_SourceData.Fertiliser_Products_Data2(),FertiliserProducts[[#Headers],[Include or Exclude]], 20)</f>
        <v/>
      </c>
      <c r="X117" s="65" t="str" cm="1">
        <f t="array" aca="1" ref="X117" ca="1">Common_InputFunctions.Utility_DisplayArrayInTable(Fertiliser_SourceData.Fertiliser_Products_Data2(),FertiliserProducts[[#Headers],[Include or Exclude]], 20)</f>
        <v/>
      </c>
      <c r="Y117" s="65" t="str" cm="1">
        <f t="array" aca="1" ref="Y117" ca="1">Common_InputFunctions.Utility_DisplayArrayInTable(Fertiliser_SourceData.Fertiliser_Products_Data2(),FertiliserProducts[[#Headers],[Include or Exclude]], 20)</f>
        <v/>
      </c>
      <c r="Z117" s="65" t="str" cm="1">
        <f t="array" aca="1" ref="Z117" ca="1">Common_InputFunctions.Utility_DisplayArrayInTable(Fertiliser_SourceData.Fertiliser_Products_Data2(),FertiliserProducts[[#Headers],[Include or Exclude]], 20)</f>
        <v/>
      </c>
      <c r="AA117" s="10" t="str" cm="1">
        <f t="array" aca="1" ref="AA117" ca="1">Common_InputFunctions.Utility_DisplayArrayInTable(Fertiliser_SourceData.Fertiliser_Products_Data2(),FertiliserProducts[[#Headers],[Include or Exclude]], 20)</f>
        <v/>
      </c>
      <c r="AB117" s="10" t="str" cm="1">
        <f t="array" aca="1" ref="AB117" ca="1">Common_InputFunctions.Utility_DisplayArrayInTable(Fertiliser_SourceData.Fertiliser_Products_Data2(),FertiliserProducts[[#Headers],[Include or Exclude]], 20)</f>
        <v/>
      </c>
      <c r="AC117" s="10" t="str" cm="1">
        <f t="array" aca="1" ref="AC117" ca="1">Common_InputFunctions.Utility_DisplayArrayInTable(Fertiliser_SourceData.Fertiliser_Products_Data2(),FertiliserProducts[[#Headers],[Include or Exclude]], 20)</f>
        <v/>
      </c>
      <c r="AD117" s="10" t="str" cm="1">
        <f t="array" aca="1" ref="AD117" ca="1">Common_InputFunctions.Utility_DisplayArrayInTable(Fertiliser_SourceData.Fertiliser_Products_Data2(),FertiliserProducts[[#Headers],[Include or Exclude]], 20)</f>
        <v/>
      </c>
      <c r="AE117" s="10" t="str" cm="1">
        <f t="array" aca="1" ref="AE117" ca="1">Common_InputFunctions.Utility_DisplayArrayInTable(Fertiliser_SourceData.Fertiliser_Products_Data2(),FertiliserProducts[[#Headers],[Include or Exclude]], 20)</f>
        <v/>
      </c>
    </row>
    <row r="118" spans="4:31" ht="20.100000000000001" customHeight="1" x14ac:dyDescent="0.25">
      <c r="D118" s="65" t="str" cm="1">
        <f t="array" aca="1" ref="D118" ca="1">Common_InputFunctions.Utility_DisplayArrayInTable(Fertiliser_SourceData.Fertiliser_Products_Data2(),FertiliserProducts[[#Headers],[Include or Exclude]], 20)</f>
        <v/>
      </c>
      <c r="E118" s="65" t="str" cm="1">
        <f t="array" aca="1" ref="E118" ca="1">Common_InputFunctions.Utility_DisplayArrayInTable(Fertiliser_SourceData.Fertiliser_Products_Data2(),FertiliserProducts[[#Headers],[Include or Exclude]], 20)</f>
        <v/>
      </c>
      <c r="F118" s="65" t="str" cm="1">
        <f t="array" aca="1" ref="F118" ca="1">Common_InputFunctions.Utility_DisplayArrayInTable(Fertiliser_SourceData.Fertiliser_Products_Data2(),FertiliserProducts[[#Headers],[Include or Exclude]], 20)</f>
        <v/>
      </c>
      <c r="G118" s="65" t="str" cm="1">
        <f t="array" aca="1" ref="G118" ca="1">Common_InputFunctions.Utility_DisplayArrayInTable(Fertiliser_SourceData.Fertiliser_Products_Data2(),FertiliserProducts[[#Headers],[Include or Exclude]], 20)</f>
        <v/>
      </c>
      <c r="H118" s="65" t="str" cm="1">
        <f t="array" aca="1" ref="H118" ca="1">Common_InputFunctions.Utility_DisplayArrayInTable(Fertiliser_SourceData.Fertiliser_Products_Data2(),FertiliserProducts[[#Headers],[Include or Exclude]], 20)</f>
        <v/>
      </c>
      <c r="I118" s="65" t="str" cm="1">
        <f t="array" aca="1" ref="I118" ca="1">Common_InputFunctions.Utility_DisplayArrayInTable(Fertiliser_SourceData.Fertiliser_Products_Data2(),FertiliserProducts[[#Headers],[Include or Exclude]], 20)</f>
        <v/>
      </c>
      <c r="J118" s="65" t="str" cm="1">
        <f t="array" aca="1" ref="J118" ca="1">Common_InputFunctions.Utility_DisplayArrayInTable(Fertiliser_SourceData.Fertiliser_Products_Data2(),FertiliserProducts[[#Headers],[Include or Exclude]], 20)</f>
        <v/>
      </c>
      <c r="K118" s="65" t="str" cm="1">
        <f t="array" aca="1" ref="K118" ca="1">Common_InputFunctions.Utility_DisplayArrayInTable(Fertiliser_SourceData.Fertiliser_Products_Data2(),FertiliserProducts[[#Headers],[Include or Exclude]], 20)</f>
        <v/>
      </c>
      <c r="L118" s="65" t="str" cm="1">
        <f t="array" aca="1" ref="L118" ca="1">Common_InputFunctions.Utility_DisplayArrayInTable(Fertiliser_SourceData.Fertiliser_Products_Data2(),FertiliserProducts[[#Headers],[Include or Exclude]], 20)</f>
        <v/>
      </c>
      <c r="M118" s="65" t="str" cm="1">
        <f t="array" aca="1" ref="M118" ca="1">Common_InputFunctions.Utility_DisplayArrayInTable(Fertiliser_SourceData.Fertiliser_Products_Data2(),FertiliserProducts[[#Headers],[Include or Exclude]], 20)</f>
        <v/>
      </c>
      <c r="N118" s="65" t="str" cm="1">
        <f t="array" aca="1" ref="N118" ca="1">Common_InputFunctions.Utility_DisplayArrayInTable(Fertiliser_SourceData.Fertiliser_Products_Data2(),FertiliserProducts[[#Headers],[Include or Exclude]], 20)</f>
        <v/>
      </c>
      <c r="O118" s="65" t="str" cm="1">
        <f t="array" aca="1" ref="O118" ca="1">Common_InputFunctions.Utility_DisplayArrayInTable(Fertiliser_SourceData.Fertiliser_Products_Data2(),FertiliserProducts[[#Headers],[Include or Exclude]], 20)</f>
        <v/>
      </c>
      <c r="P118" s="65" t="str" cm="1">
        <f t="array" aca="1" ref="P118" ca="1">Common_InputFunctions.Utility_DisplayArrayInTable(Fertiliser_SourceData.Fertiliser_Products_Data2(),FertiliserProducts[[#Headers],[Include or Exclude]], 20)</f>
        <v/>
      </c>
      <c r="Q118" s="65" t="str" cm="1">
        <f t="array" aca="1" ref="Q118" ca="1">Common_InputFunctions.Utility_DisplayArrayInTable(Fertiliser_SourceData.Fertiliser_Products_Data2(),FertiliserProducts[[#Headers],[Include or Exclude]], 20)</f>
        <v/>
      </c>
      <c r="R118" s="65" t="str" cm="1">
        <f t="array" aca="1" ref="R118" ca="1">Common_InputFunctions.Utility_DisplayArrayInTable(Fertiliser_SourceData.Fertiliser_Products_Data2(),FertiliserProducts[[#Headers],[Include or Exclude]], 20)</f>
        <v/>
      </c>
      <c r="S118" s="65" t="str" cm="1">
        <f t="array" aca="1" ref="S118" ca="1">Common_InputFunctions.Utility_DisplayArrayInTable(Fertiliser_SourceData.Fertiliser_Products_Data2(),FertiliserProducts[[#Headers],[Include or Exclude]], 20)</f>
        <v/>
      </c>
      <c r="T118" s="65" t="str" cm="1">
        <f t="array" aca="1" ref="T118" ca="1">Common_InputFunctions.Utility_DisplayArrayInTable(Fertiliser_SourceData.Fertiliser_Products_Data2(),FertiliserProducts[[#Headers],[Include or Exclude]], 20)</f>
        <v/>
      </c>
      <c r="U118" s="65" t="str" cm="1">
        <f t="array" aca="1" ref="U118" ca="1">Common_InputFunctions.Utility_DisplayArrayInTable(Fertiliser_SourceData.Fertiliser_Products_Data2(),FertiliserProducts[[#Headers],[Include or Exclude]], 20)</f>
        <v/>
      </c>
      <c r="V118" s="65" t="str" cm="1">
        <f t="array" aca="1" ref="V118" ca="1">Common_InputFunctions.Utility_DisplayArrayInTable(Fertiliser_SourceData.Fertiliser_Products_Data2(),FertiliserProducts[[#Headers],[Include or Exclude]], 20)</f>
        <v/>
      </c>
      <c r="W118" s="65" t="str" cm="1">
        <f t="array" aca="1" ref="W118" ca="1">Common_InputFunctions.Utility_DisplayArrayInTable(Fertiliser_SourceData.Fertiliser_Products_Data2(),FertiliserProducts[[#Headers],[Include or Exclude]], 20)</f>
        <v/>
      </c>
      <c r="X118" s="65" t="str" cm="1">
        <f t="array" aca="1" ref="X118" ca="1">Common_InputFunctions.Utility_DisplayArrayInTable(Fertiliser_SourceData.Fertiliser_Products_Data2(),FertiliserProducts[[#Headers],[Include or Exclude]], 20)</f>
        <v/>
      </c>
      <c r="Y118" s="65" t="str" cm="1">
        <f t="array" aca="1" ref="Y118" ca="1">Common_InputFunctions.Utility_DisplayArrayInTable(Fertiliser_SourceData.Fertiliser_Products_Data2(),FertiliserProducts[[#Headers],[Include or Exclude]], 20)</f>
        <v/>
      </c>
      <c r="Z118" s="65" t="str" cm="1">
        <f t="array" aca="1" ref="Z118" ca="1">Common_InputFunctions.Utility_DisplayArrayInTable(Fertiliser_SourceData.Fertiliser_Products_Data2(),FertiliserProducts[[#Headers],[Include or Exclude]], 20)</f>
        <v/>
      </c>
      <c r="AA118" s="10" t="str" cm="1">
        <f t="array" aca="1" ref="AA118" ca="1">Common_InputFunctions.Utility_DisplayArrayInTable(Fertiliser_SourceData.Fertiliser_Products_Data2(),FertiliserProducts[[#Headers],[Include or Exclude]], 20)</f>
        <v/>
      </c>
      <c r="AB118" s="10" t="str" cm="1">
        <f t="array" aca="1" ref="AB118" ca="1">Common_InputFunctions.Utility_DisplayArrayInTable(Fertiliser_SourceData.Fertiliser_Products_Data2(),FertiliserProducts[[#Headers],[Include or Exclude]], 20)</f>
        <v/>
      </c>
      <c r="AC118" s="10" t="str" cm="1">
        <f t="array" aca="1" ref="AC118" ca="1">Common_InputFunctions.Utility_DisplayArrayInTable(Fertiliser_SourceData.Fertiliser_Products_Data2(),FertiliserProducts[[#Headers],[Include or Exclude]], 20)</f>
        <v/>
      </c>
      <c r="AD118" s="10" t="str" cm="1">
        <f t="array" aca="1" ref="AD118" ca="1">Common_InputFunctions.Utility_DisplayArrayInTable(Fertiliser_SourceData.Fertiliser_Products_Data2(),FertiliserProducts[[#Headers],[Include or Exclude]], 20)</f>
        <v/>
      </c>
      <c r="AE118" s="10" t="str" cm="1">
        <f t="array" aca="1" ref="AE118" ca="1">Common_InputFunctions.Utility_DisplayArrayInTable(Fertiliser_SourceData.Fertiliser_Products_Data2(),FertiliserProducts[[#Headers],[Include or Exclude]], 20)</f>
        <v/>
      </c>
    </row>
    <row r="119" spans="4:31" ht="20.100000000000001" customHeight="1" x14ac:dyDescent="0.25">
      <c r="D119" s="65" t="str" cm="1">
        <f t="array" aca="1" ref="D119" ca="1">Common_InputFunctions.Utility_DisplayArrayInTable(Fertiliser_SourceData.Fertiliser_Products_Data2(),FertiliserProducts[[#Headers],[Include or Exclude]], 20)</f>
        <v/>
      </c>
      <c r="E119" s="65" t="str" cm="1">
        <f t="array" aca="1" ref="E119" ca="1">Common_InputFunctions.Utility_DisplayArrayInTable(Fertiliser_SourceData.Fertiliser_Products_Data2(),FertiliserProducts[[#Headers],[Include or Exclude]], 20)</f>
        <v/>
      </c>
      <c r="F119" s="65" t="str" cm="1">
        <f t="array" aca="1" ref="F119" ca="1">Common_InputFunctions.Utility_DisplayArrayInTable(Fertiliser_SourceData.Fertiliser_Products_Data2(),FertiliserProducts[[#Headers],[Include or Exclude]], 20)</f>
        <v/>
      </c>
      <c r="G119" s="65" t="str" cm="1">
        <f t="array" aca="1" ref="G119" ca="1">Common_InputFunctions.Utility_DisplayArrayInTable(Fertiliser_SourceData.Fertiliser_Products_Data2(),FertiliserProducts[[#Headers],[Include or Exclude]], 20)</f>
        <v/>
      </c>
      <c r="H119" s="65" t="str" cm="1">
        <f t="array" aca="1" ref="H119" ca="1">Common_InputFunctions.Utility_DisplayArrayInTable(Fertiliser_SourceData.Fertiliser_Products_Data2(),FertiliserProducts[[#Headers],[Include or Exclude]], 20)</f>
        <v/>
      </c>
      <c r="I119" s="65" t="str" cm="1">
        <f t="array" aca="1" ref="I119" ca="1">Common_InputFunctions.Utility_DisplayArrayInTable(Fertiliser_SourceData.Fertiliser_Products_Data2(),FertiliserProducts[[#Headers],[Include or Exclude]], 20)</f>
        <v/>
      </c>
      <c r="J119" s="65" t="str" cm="1">
        <f t="array" aca="1" ref="J119" ca="1">Common_InputFunctions.Utility_DisplayArrayInTable(Fertiliser_SourceData.Fertiliser_Products_Data2(),FertiliserProducts[[#Headers],[Include or Exclude]], 20)</f>
        <v/>
      </c>
      <c r="K119" s="65" t="str" cm="1">
        <f t="array" aca="1" ref="K119" ca="1">Common_InputFunctions.Utility_DisplayArrayInTable(Fertiliser_SourceData.Fertiliser_Products_Data2(),FertiliserProducts[[#Headers],[Include or Exclude]], 20)</f>
        <v/>
      </c>
      <c r="L119" s="65" t="str" cm="1">
        <f t="array" aca="1" ref="L119" ca="1">Common_InputFunctions.Utility_DisplayArrayInTable(Fertiliser_SourceData.Fertiliser_Products_Data2(),FertiliserProducts[[#Headers],[Include or Exclude]], 20)</f>
        <v/>
      </c>
      <c r="M119" s="65" t="str" cm="1">
        <f t="array" aca="1" ref="M119" ca="1">Common_InputFunctions.Utility_DisplayArrayInTable(Fertiliser_SourceData.Fertiliser_Products_Data2(),FertiliserProducts[[#Headers],[Include or Exclude]], 20)</f>
        <v/>
      </c>
      <c r="N119" s="65" t="str" cm="1">
        <f t="array" aca="1" ref="N119" ca="1">Common_InputFunctions.Utility_DisplayArrayInTable(Fertiliser_SourceData.Fertiliser_Products_Data2(),FertiliserProducts[[#Headers],[Include or Exclude]], 20)</f>
        <v/>
      </c>
      <c r="O119" s="65" t="str" cm="1">
        <f t="array" aca="1" ref="O119" ca="1">Common_InputFunctions.Utility_DisplayArrayInTable(Fertiliser_SourceData.Fertiliser_Products_Data2(),FertiliserProducts[[#Headers],[Include or Exclude]], 20)</f>
        <v/>
      </c>
      <c r="P119" s="65" t="str" cm="1">
        <f t="array" aca="1" ref="P119" ca="1">Common_InputFunctions.Utility_DisplayArrayInTable(Fertiliser_SourceData.Fertiliser_Products_Data2(),FertiliserProducts[[#Headers],[Include or Exclude]], 20)</f>
        <v/>
      </c>
      <c r="Q119" s="65" t="str" cm="1">
        <f t="array" aca="1" ref="Q119" ca="1">Common_InputFunctions.Utility_DisplayArrayInTable(Fertiliser_SourceData.Fertiliser_Products_Data2(),FertiliserProducts[[#Headers],[Include or Exclude]], 20)</f>
        <v/>
      </c>
      <c r="R119" s="65" t="str" cm="1">
        <f t="array" aca="1" ref="R119" ca="1">Common_InputFunctions.Utility_DisplayArrayInTable(Fertiliser_SourceData.Fertiliser_Products_Data2(),FertiliserProducts[[#Headers],[Include or Exclude]], 20)</f>
        <v/>
      </c>
      <c r="S119" s="65" t="str" cm="1">
        <f t="array" aca="1" ref="S119" ca="1">Common_InputFunctions.Utility_DisplayArrayInTable(Fertiliser_SourceData.Fertiliser_Products_Data2(),FertiliserProducts[[#Headers],[Include or Exclude]], 20)</f>
        <v/>
      </c>
      <c r="T119" s="65" t="str" cm="1">
        <f t="array" aca="1" ref="T119" ca="1">Common_InputFunctions.Utility_DisplayArrayInTable(Fertiliser_SourceData.Fertiliser_Products_Data2(),FertiliserProducts[[#Headers],[Include or Exclude]], 20)</f>
        <v/>
      </c>
      <c r="U119" s="65" t="str" cm="1">
        <f t="array" aca="1" ref="U119" ca="1">Common_InputFunctions.Utility_DisplayArrayInTable(Fertiliser_SourceData.Fertiliser_Products_Data2(),FertiliserProducts[[#Headers],[Include or Exclude]], 20)</f>
        <v/>
      </c>
      <c r="V119" s="65" t="str" cm="1">
        <f t="array" aca="1" ref="V119" ca="1">Common_InputFunctions.Utility_DisplayArrayInTable(Fertiliser_SourceData.Fertiliser_Products_Data2(),FertiliserProducts[[#Headers],[Include or Exclude]], 20)</f>
        <v/>
      </c>
      <c r="W119" s="65" t="str" cm="1">
        <f t="array" aca="1" ref="W119" ca="1">Common_InputFunctions.Utility_DisplayArrayInTable(Fertiliser_SourceData.Fertiliser_Products_Data2(),FertiliserProducts[[#Headers],[Include or Exclude]], 20)</f>
        <v/>
      </c>
      <c r="X119" s="65" t="str" cm="1">
        <f t="array" aca="1" ref="X119" ca="1">Common_InputFunctions.Utility_DisplayArrayInTable(Fertiliser_SourceData.Fertiliser_Products_Data2(),FertiliserProducts[[#Headers],[Include or Exclude]], 20)</f>
        <v/>
      </c>
      <c r="Y119" s="65" t="str" cm="1">
        <f t="array" aca="1" ref="Y119" ca="1">Common_InputFunctions.Utility_DisplayArrayInTable(Fertiliser_SourceData.Fertiliser_Products_Data2(),FertiliserProducts[[#Headers],[Include or Exclude]], 20)</f>
        <v/>
      </c>
      <c r="Z119" s="65" t="str" cm="1">
        <f t="array" aca="1" ref="Z119" ca="1">Common_InputFunctions.Utility_DisplayArrayInTable(Fertiliser_SourceData.Fertiliser_Products_Data2(),FertiliserProducts[[#Headers],[Include or Exclude]], 20)</f>
        <v/>
      </c>
      <c r="AA119" s="10" t="str" cm="1">
        <f t="array" aca="1" ref="AA119" ca="1">Common_InputFunctions.Utility_DisplayArrayInTable(Fertiliser_SourceData.Fertiliser_Products_Data2(),FertiliserProducts[[#Headers],[Include or Exclude]], 20)</f>
        <v/>
      </c>
      <c r="AB119" s="10" t="str" cm="1">
        <f t="array" aca="1" ref="AB119" ca="1">Common_InputFunctions.Utility_DisplayArrayInTable(Fertiliser_SourceData.Fertiliser_Products_Data2(),FertiliserProducts[[#Headers],[Include or Exclude]], 20)</f>
        <v/>
      </c>
      <c r="AC119" s="10" t="str" cm="1">
        <f t="array" aca="1" ref="AC119" ca="1">Common_InputFunctions.Utility_DisplayArrayInTable(Fertiliser_SourceData.Fertiliser_Products_Data2(),FertiliserProducts[[#Headers],[Include or Exclude]], 20)</f>
        <v/>
      </c>
      <c r="AD119" s="10" t="str" cm="1">
        <f t="array" aca="1" ref="AD119" ca="1">Common_InputFunctions.Utility_DisplayArrayInTable(Fertiliser_SourceData.Fertiliser_Products_Data2(),FertiliserProducts[[#Headers],[Include or Exclude]], 20)</f>
        <v/>
      </c>
      <c r="AE119" s="10" t="str" cm="1">
        <f t="array" aca="1" ref="AE119" ca="1">Common_InputFunctions.Utility_DisplayArrayInTable(Fertiliser_SourceData.Fertiliser_Products_Data2(),FertiliserProducts[[#Headers],[Include or Exclude]], 20)</f>
        <v/>
      </c>
    </row>
    <row r="120" spans="4:31" ht="20.100000000000001" customHeight="1" x14ac:dyDescent="0.25">
      <c r="D120" s="65" t="str" cm="1">
        <f t="array" aca="1" ref="D120" ca="1">Common_InputFunctions.Utility_DisplayArrayInTable(Fertiliser_SourceData.Fertiliser_Products_Data2(),FertiliserProducts[[#Headers],[Include or Exclude]], 20)</f>
        <v/>
      </c>
      <c r="E120" s="65" t="str" cm="1">
        <f t="array" aca="1" ref="E120" ca="1">Common_InputFunctions.Utility_DisplayArrayInTable(Fertiliser_SourceData.Fertiliser_Products_Data2(),FertiliserProducts[[#Headers],[Include or Exclude]], 20)</f>
        <v/>
      </c>
      <c r="F120" s="65" t="str" cm="1">
        <f t="array" aca="1" ref="F120" ca="1">Common_InputFunctions.Utility_DisplayArrayInTable(Fertiliser_SourceData.Fertiliser_Products_Data2(),FertiliserProducts[[#Headers],[Include or Exclude]], 20)</f>
        <v/>
      </c>
      <c r="G120" s="65" t="str" cm="1">
        <f t="array" aca="1" ref="G120" ca="1">Common_InputFunctions.Utility_DisplayArrayInTable(Fertiliser_SourceData.Fertiliser_Products_Data2(),FertiliserProducts[[#Headers],[Include or Exclude]], 20)</f>
        <v/>
      </c>
      <c r="H120" s="65" t="str" cm="1">
        <f t="array" aca="1" ref="H120" ca="1">Common_InputFunctions.Utility_DisplayArrayInTable(Fertiliser_SourceData.Fertiliser_Products_Data2(),FertiliserProducts[[#Headers],[Include or Exclude]], 20)</f>
        <v/>
      </c>
      <c r="I120" s="65" t="str" cm="1">
        <f t="array" aca="1" ref="I120" ca="1">Common_InputFunctions.Utility_DisplayArrayInTable(Fertiliser_SourceData.Fertiliser_Products_Data2(),FertiliserProducts[[#Headers],[Include or Exclude]], 20)</f>
        <v/>
      </c>
      <c r="J120" s="65" t="str" cm="1">
        <f t="array" aca="1" ref="J120" ca="1">Common_InputFunctions.Utility_DisplayArrayInTable(Fertiliser_SourceData.Fertiliser_Products_Data2(),FertiliserProducts[[#Headers],[Include or Exclude]], 20)</f>
        <v/>
      </c>
      <c r="K120" s="65" t="str" cm="1">
        <f t="array" aca="1" ref="K120" ca="1">Common_InputFunctions.Utility_DisplayArrayInTable(Fertiliser_SourceData.Fertiliser_Products_Data2(),FertiliserProducts[[#Headers],[Include or Exclude]], 20)</f>
        <v/>
      </c>
      <c r="L120" s="65" t="str" cm="1">
        <f t="array" aca="1" ref="L120" ca="1">Common_InputFunctions.Utility_DisplayArrayInTable(Fertiliser_SourceData.Fertiliser_Products_Data2(),FertiliserProducts[[#Headers],[Include or Exclude]], 20)</f>
        <v/>
      </c>
      <c r="M120" s="65" t="str" cm="1">
        <f t="array" aca="1" ref="M120" ca="1">Common_InputFunctions.Utility_DisplayArrayInTable(Fertiliser_SourceData.Fertiliser_Products_Data2(),FertiliserProducts[[#Headers],[Include or Exclude]], 20)</f>
        <v/>
      </c>
      <c r="N120" s="65" t="str" cm="1">
        <f t="array" aca="1" ref="N120" ca="1">Common_InputFunctions.Utility_DisplayArrayInTable(Fertiliser_SourceData.Fertiliser_Products_Data2(),FertiliserProducts[[#Headers],[Include or Exclude]], 20)</f>
        <v/>
      </c>
      <c r="O120" s="65" t="str" cm="1">
        <f t="array" aca="1" ref="O120" ca="1">Common_InputFunctions.Utility_DisplayArrayInTable(Fertiliser_SourceData.Fertiliser_Products_Data2(),FertiliserProducts[[#Headers],[Include or Exclude]], 20)</f>
        <v/>
      </c>
      <c r="P120" s="65" t="str" cm="1">
        <f t="array" aca="1" ref="P120" ca="1">Common_InputFunctions.Utility_DisplayArrayInTable(Fertiliser_SourceData.Fertiliser_Products_Data2(),FertiliserProducts[[#Headers],[Include or Exclude]], 20)</f>
        <v/>
      </c>
      <c r="Q120" s="65" t="str" cm="1">
        <f t="array" aca="1" ref="Q120" ca="1">Common_InputFunctions.Utility_DisplayArrayInTable(Fertiliser_SourceData.Fertiliser_Products_Data2(),FertiliserProducts[[#Headers],[Include or Exclude]], 20)</f>
        <v/>
      </c>
      <c r="R120" s="65" t="str" cm="1">
        <f t="array" aca="1" ref="R120" ca="1">Common_InputFunctions.Utility_DisplayArrayInTable(Fertiliser_SourceData.Fertiliser_Products_Data2(),FertiliserProducts[[#Headers],[Include or Exclude]], 20)</f>
        <v/>
      </c>
      <c r="S120" s="65" t="str" cm="1">
        <f t="array" aca="1" ref="S120" ca="1">Common_InputFunctions.Utility_DisplayArrayInTable(Fertiliser_SourceData.Fertiliser_Products_Data2(),FertiliserProducts[[#Headers],[Include or Exclude]], 20)</f>
        <v/>
      </c>
      <c r="T120" s="65" t="str" cm="1">
        <f t="array" aca="1" ref="T120" ca="1">Common_InputFunctions.Utility_DisplayArrayInTable(Fertiliser_SourceData.Fertiliser_Products_Data2(),FertiliserProducts[[#Headers],[Include or Exclude]], 20)</f>
        <v/>
      </c>
      <c r="U120" s="65" t="str" cm="1">
        <f t="array" aca="1" ref="U120" ca="1">Common_InputFunctions.Utility_DisplayArrayInTable(Fertiliser_SourceData.Fertiliser_Products_Data2(),FertiliserProducts[[#Headers],[Include or Exclude]], 20)</f>
        <v/>
      </c>
      <c r="V120" s="65" t="str" cm="1">
        <f t="array" aca="1" ref="V120" ca="1">Common_InputFunctions.Utility_DisplayArrayInTable(Fertiliser_SourceData.Fertiliser_Products_Data2(),FertiliserProducts[[#Headers],[Include or Exclude]], 20)</f>
        <v/>
      </c>
      <c r="W120" s="65" t="str" cm="1">
        <f t="array" aca="1" ref="W120" ca="1">Common_InputFunctions.Utility_DisplayArrayInTable(Fertiliser_SourceData.Fertiliser_Products_Data2(),FertiliserProducts[[#Headers],[Include or Exclude]], 20)</f>
        <v/>
      </c>
      <c r="X120" s="65" t="str" cm="1">
        <f t="array" aca="1" ref="X120" ca="1">Common_InputFunctions.Utility_DisplayArrayInTable(Fertiliser_SourceData.Fertiliser_Products_Data2(),FertiliserProducts[[#Headers],[Include or Exclude]], 20)</f>
        <v/>
      </c>
      <c r="Y120" s="65" t="str" cm="1">
        <f t="array" aca="1" ref="Y120" ca="1">Common_InputFunctions.Utility_DisplayArrayInTable(Fertiliser_SourceData.Fertiliser_Products_Data2(),FertiliserProducts[[#Headers],[Include or Exclude]], 20)</f>
        <v/>
      </c>
      <c r="Z120" s="65" t="str" cm="1">
        <f t="array" aca="1" ref="Z120" ca="1">Common_InputFunctions.Utility_DisplayArrayInTable(Fertiliser_SourceData.Fertiliser_Products_Data2(),FertiliserProducts[[#Headers],[Include or Exclude]], 20)</f>
        <v/>
      </c>
      <c r="AA120" s="10" t="str" cm="1">
        <f t="array" aca="1" ref="AA120" ca="1">Common_InputFunctions.Utility_DisplayArrayInTable(Fertiliser_SourceData.Fertiliser_Products_Data2(),FertiliserProducts[[#Headers],[Include or Exclude]], 20)</f>
        <v/>
      </c>
      <c r="AB120" s="10" t="str" cm="1">
        <f t="array" aca="1" ref="AB120" ca="1">Common_InputFunctions.Utility_DisplayArrayInTable(Fertiliser_SourceData.Fertiliser_Products_Data2(),FertiliserProducts[[#Headers],[Include or Exclude]], 20)</f>
        <v/>
      </c>
      <c r="AC120" s="10" t="str" cm="1">
        <f t="array" aca="1" ref="AC120" ca="1">Common_InputFunctions.Utility_DisplayArrayInTable(Fertiliser_SourceData.Fertiliser_Products_Data2(),FertiliserProducts[[#Headers],[Include or Exclude]], 20)</f>
        <v/>
      </c>
      <c r="AD120" s="10" t="str" cm="1">
        <f t="array" aca="1" ref="AD120" ca="1">Common_InputFunctions.Utility_DisplayArrayInTable(Fertiliser_SourceData.Fertiliser_Products_Data2(),FertiliserProducts[[#Headers],[Include or Exclude]], 20)</f>
        <v/>
      </c>
      <c r="AE120" s="10" t="str" cm="1">
        <f t="array" aca="1" ref="AE120" ca="1">Common_InputFunctions.Utility_DisplayArrayInTable(Fertiliser_SourceData.Fertiliser_Products_Data2(),FertiliserProducts[[#Headers],[Include or Exclude]], 20)</f>
        <v/>
      </c>
    </row>
    <row r="121" spans="4:31" ht="20.100000000000001" customHeight="1" x14ac:dyDescent="0.25">
      <c r="D121" s="65" t="str" cm="1">
        <f t="array" aca="1" ref="D121" ca="1">Common_InputFunctions.Utility_DisplayArrayInTable(Fertiliser_SourceData.Fertiliser_Products_Data2(),FertiliserProducts[[#Headers],[Include or Exclude]], 20)</f>
        <v/>
      </c>
      <c r="E121" s="65" t="str" cm="1">
        <f t="array" aca="1" ref="E121" ca="1">Common_InputFunctions.Utility_DisplayArrayInTable(Fertiliser_SourceData.Fertiliser_Products_Data2(),FertiliserProducts[[#Headers],[Include or Exclude]], 20)</f>
        <v/>
      </c>
      <c r="F121" s="65" t="str" cm="1">
        <f t="array" aca="1" ref="F121" ca="1">Common_InputFunctions.Utility_DisplayArrayInTable(Fertiliser_SourceData.Fertiliser_Products_Data2(),FertiliserProducts[[#Headers],[Include or Exclude]], 20)</f>
        <v/>
      </c>
      <c r="G121" s="65" t="str" cm="1">
        <f t="array" aca="1" ref="G121" ca="1">Common_InputFunctions.Utility_DisplayArrayInTable(Fertiliser_SourceData.Fertiliser_Products_Data2(),FertiliserProducts[[#Headers],[Include or Exclude]], 20)</f>
        <v/>
      </c>
      <c r="H121" s="65" t="str" cm="1">
        <f t="array" aca="1" ref="H121" ca="1">Common_InputFunctions.Utility_DisplayArrayInTable(Fertiliser_SourceData.Fertiliser_Products_Data2(),FertiliserProducts[[#Headers],[Include or Exclude]], 20)</f>
        <v/>
      </c>
      <c r="I121" s="65" t="str" cm="1">
        <f t="array" aca="1" ref="I121" ca="1">Common_InputFunctions.Utility_DisplayArrayInTable(Fertiliser_SourceData.Fertiliser_Products_Data2(),FertiliserProducts[[#Headers],[Include or Exclude]], 20)</f>
        <v/>
      </c>
      <c r="J121" s="65" t="str" cm="1">
        <f t="array" aca="1" ref="J121" ca="1">Common_InputFunctions.Utility_DisplayArrayInTable(Fertiliser_SourceData.Fertiliser_Products_Data2(),FertiliserProducts[[#Headers],[Include or Exclude]], 20)</f>
        <v/>
      </c>
      <c r="K121" s="65" t="str" cm="1">
        <f t="array" aca="1" ref="K121" ca="1">Common_InputFunctions.Utility_DisplayArrayInTable(Fertiliser_SourceData.Fertiliser_Products_Data2(),FertiliserProducts[[#Headers],[Include or Exclude]], 20)</f>
        <v/>
      </c>
      <c r="L121" s="65" t="str" cm="1">
        <f t="array" aca="1" ref="L121" ca="1">Common_InputFunctions.Utility_DisplayArrayInTable(Fertiliser_SourceData.Fertiliser_Products_Data2(),FertiliserProducts[[#Headers],[Include or Exclude]], 20)</f>
        <v/>
      </c>
      <c r="M121" s="65" t="str" cm="1">
        <f t="array" aca="1" ref="M121" ca="1">Common_InputFunctions.Utility_DisplayArrayInTable(Fertiliser_SourceData.Fertiliser_Products_Data2(),FertiliserProducts[[#Headers],[Include or Exclude]], 20)</f>
        <v/>
      </c>
      <c r="N121" s="65" t="str" cm="1">
        <f t="array" aca="1" ref="N121" ca="1">Common_InputFunctions.Utility_DisplayArrayInTable(Fertiliser_SourceData.Fertiliser_Products_Data2(),FertiliserProducts[[#Headers],[Include or Exclude]], 20)</f>
        <v/>
      </c>
      <c r="O121" s="65" t="str" cm="1">
        <f t="array" aca="1" ref="O121" ca="1">Common_InputFunctions.Utility_DisplayArrayInTable(Fertiliser_SourceData.Fertiliser_Products_Data2(),FertiliserProducts[[#Headers],[Include or Exclude]], 20)</f>
        <v/>
      </c>
      <c r="P121" s="65" t="str" cm="1">
        <f t="array" aca="1" ref="P121" ca="1">Common_InputFunctions.Utility_DisplayArrayInTable(Fertiliser_SourceData.Fertiliser_Products_Data2(),FertiliserProducts[[#Headers],[Include or Exclude]], 20)</f>
        <v/>
      </c>
      <c r="Q121" s="65" t="str" cm="1">
        <f t="array" aca="1" ref="Q121" ca="1">Common_InputFunctions.Utility_DisplayArrayInTable(Fertiliser_SourceData.Fertiliser_Products_Data2(),FertiliserProducts[[#Headers],[Include or Exclude]], 20)</f>
        <v/>
      </c>
      <c r="R121" s="65" t="str" cm="1">
        <f t="array" aca="1" ref="R121" ca="1">Common_InputFunctions.Utility_DisplayArrayInTable(Fertiliser_SourceData.Fertiliser_Products_Data2(),FertiliserProducts[[#Headers],[Include or Exclude]], 20)</f>
        <v/>
      </c>
      <c r="S121" s="65" t="str" cm="1">
        <f t="array" aca="1" ref="S121" ca="1">Common_InputFunctions.Utility_DisplayArrayInTable(Fertiliser_SourceData.Fertiliser_Products_Data2(),FertiliserProducts[[#Headers],[Include or Exclude]], 20)</f>
        <v/>
      </c>
      <c r="T121" s="65" t="str" cm="1">
        <f t="array" aca="1" ref="T121" ca="1">Common_InputFunctions.Utility_DisplayArrayInTable(Fertiliser_SourceData.Fertiliser_Products_Data2(),FertiliserProducts[[#Headers],[Include or Exclude]], 20)</f>
        <v/>
      </c>
      <c r="U121" s="65" t="str" cm="1">
        <f t="array" aca="1" ref="U121" ca="1">Common_InputFunctions.Utility_DisplayArrayInTable(Fertiliser_SourceData.Fertiliser_Products_Data2(),FertiliserProducts[[#Headers],[Include or Exclude]], 20)</f>
        <v/>
      </c>
      <c r="V121" s="65" t="str" cm="1">
        <f t="array" aca="1" ref="V121" ca="1">Common_InputFunctions.Utility_DisplayArrayInTable(Fertiliser_SourceData.Fertiliser_Products_Data2(),FertiliserProducts[[#Headers],[Include or Exclude]], 20)</f>
        <v/>
      </c>
      <c r="W121" s="65" t="str" cm="1">
        <f t="array" aca="1" ref="W121" ca="1">Common_InputFunctions.Utility_DisplayArrayInTable(Fertiliser_SourceData.Fertiliser_Products_Data2(),FertiliserProducts[[#Headers],[Include or Exclude]], 20)</f>
        <v/>
      </c>
      <c r="X121" s="65" t="str" cm="1">
        <f t="array" aca="1" ref="X121" ca="1">Common_InputFunctions.Utility_DisplayArrayInTable(Fertiliser_SourceData.Fertiliser_Products_Data2(),FertiliserProducts[[#Headers],[Include or Exclude]], 20)</f>
        <v/>
      </c>
      <c r="Y121" s="65" t="str" cm="1">
        <f t="array" aca="1" ref="Y121" ca="1">Common_InputFunctions.Utility_DisplayArrayInTable(Fertiliser_SourceData.Fertiliser_Products_Data2(),FertiliserProducts[[#Headers],[Include or Exclude]], 20)</f>
        <v/>
      </c>
      <c r="Z121" s="65" t="str" cm="1">
        <f t="array" aca="1" ref="Z121" ca="1">Common_InputFunctions.Utility_DisplayArrayInTable(Fertiliser_SourceData.Fertiliser_Products_Data2(),FertiliserProducts[[#Headers],[Include or Exclude]], 20)</f>
        <v/>
      </c>
      <c r="AA121" s="10" t="str" cm="1">
        <f t="array" aca="1" ref="AA121" ca="1">Common_InputFunctions.Utility_DisplayArrayInTable(Fertiliser_SourceData.Fertiliser_Products_Data2(),FertiliserProducts[[#Headers],[Include or Exclude]], 20)</f>
        <v/>
      </c>
      <c r="AB121" s="10" t="str" cm="1">
        <f t="array" aca="1" ref="AB121" ca="1">Common_InputFunctions.Utility_DisplayArrayInTable(Fertiliser_SourceData.Fertiliser_Products_Data2(),FertiliserProducts[[#Headers],[Include or Exclude]], 20)</f>
        <v/>
      </c>
      <c r="AC121" s="10" t="str" cm="1">
        <f t="array" aca="1" ref="AC121" ca="1">Common_InputFunctions.Utility_DisplayArrayInTable(Fertiliser_SourceData.Fertiliser_Products_Data2(),FertiliserProducts[[#Headers],[Include or Exclude]], 20)</f>
        <v/>
      </c>
      <c r="AD121" s="10" t="str" cm="1">
        <f t="array" aca="1" ref="AD121" ca="1">Common_InputFunctions.Utility_DisplayArrayInTable(Fertiliser_SourceData.Fertiliser_Products_Data2(),FertiliserProducts[[#Headers],[Include or Exclude]], 20)</f>
        <v/>
      </c>
      <c r="AE121" s="10" t="str" cm="1">
        <f t="array" aca="1" ref="AE121" ca="1">Common_InputFunctions.Utility_DisplayArrayInTable(Fertiliser_SourceData.Fertiliser_Products_Data2(),FertiliserProducts[[#Headers],[Include or Exclude]], 20)</f>
        <v/>
      </c>
    </row>
    <row r="122" spans="4:31" ht="20.100000000000001" customHeight="1" x14ac:dyDescent="0.25">
      <c r="D122" s="65" t="str" cm="1">
        <f t="array" aca="1" ref="D122" ca="1">Common_InputFunctions.Utility_DisplayArrayInTable(Fertiliser_SourceData.Fertiliser_Products_Data2(),FertiliserProducts[[#Headers],[Include or Exclude]], 20)</f>
        <v/>
      </c>
      <c r="E122" s="65" t="str" cm="1">
        <f t="array" aca="1" ref="E122" ca="1">Common_InputFunctions.Utility_DisplayArrayInTable(Fertiliser_SourceData.Fertiliser_Products_Data2(),FertiliserProducts[[#Headers],[Include or Exclude]], 20)</f>
        <v/>
      </c>
      <c r="F122" s="65" t="str" cm="1">
        <f t="array" aca="1" ref="F122" ca="1">Common_InputFunctions.Utility_DisplayArrayInTable(Fertiliser_SourceData.Fertiliser_Products_Data2(),FertiliserProducts[[#Headers],[Include or Exclude]], 20)</f>
        <v/>
      </c>
      <c r="G122" s="65" t="str" cm="1">
        <f t="array" aca="1" ref="G122" ca="1">Common_InputFunctions.Utility_DisplayArrayInTable(Fertiliser_SourceData.Fertiliser_Products_Data2(),FertiliserProducts[[#Headers],[Include or Exclude]], 20)</f>
        <v/>
      </c>
      <c r="H122" s="65" t="str" cm="1">
        <f t="array" aca="1" ref="H122" ca="1">Common_InputFunctions.Utility_DisplayArrayInTable(Fertiliser_SourceData.Fertiliser_Products_Data2(),FertiliserProducts[[#Headers],[Include or Exclude]], 20)</f>
        <v/>
      </c>
      <c r="I122" s="65" t="str" cm="1">
        <f t="array" aca="1" ref="I122" ca="1">Common_InputFunctions.Utility_DisplayArrayInTable(Fertiliser_SourceData.Fertiliser_Products_Data2(),FertiliserProducts[[#Headers],[Include or Exclude]], 20)</f>
        <v/>
      </c>
      <c r="J122" s="65" t="str" cm="1">
        <f t="array" aca="1" ref="J122" ca="1">Common_InputFunctions.Utility_DisplayArrayInTable(Fertiliser_SourceData.Fertiliser_Products_Data2(),FertiliserProducts[[#Headers],[Include or Exclude]], 20)</f>
        <v/>
      </c>
      <c r="K122" s="65" t="str" cm="1">
        <f t="array" aca="1" ref="K122" ca="1">Common_InputFunctions.Utility_DisplayArrayInTable(Fertiliser_SourceData.Fertiliser_Products_Data2(),FertiliserProducts[[#Headers],[Include or Exclude]], 20)</f>
        <v/>
      </c>
      <c r="L122" s="65" t="str" cm="1">
        <f t="array" aca="1" ref="L122" ca="1">Common_InputFunctions.Utility_DisplayArrayInTable(Fertiliser_SourceData.Fertiliser_Products_Data2(),FertiliserProducts[[#Headers],[Include or Exclude]], 20)</f>
        <v/>
      </c>
      <c r="M122" s="65" t="str" cm="1">
        <f t="array" aca="1" ref="M122" ca="1">Common_InputFunctions.Utility_DisplayArrayInTable(Fertiliser_SourceData.Fertiliser_Products_Data2(),FertiliserProducts[[#Headers],[Include or Exclude]], 20)</f>
        <v/>
      </c>
      <c r="N122" s="65" t="str" cm="1">
        <f t="array" aca="1" ref="N122" ca="1">Common_InputFunctions.Utility_DisplayArrayInTable(Fertiliser_SourceData.Fertiliser_Products_Data2(),FertiliserProducts[[#Headers],[Include or Exclude]], 20)</f>
        <v/>
      </c>
      <c r="O122" s="65" t="str" cm="1">
        <f t="array" aca="1" ref="O122" ca="1">Common_InputFunctions.Utility_DisplayArrayInTable(Fertiliser_SourceData.Fertiliser_Products_Data2(),FertiliserProducts[[#Headers],[Include or Exclude]], 20)</f>
        <v/>
      </c>
      <c r="P122" s="65" t="str" cm="1">
        <f t="array" aca="1" ref="P122" ca="1">Common_InputFunctions.Utility_DisplayArrayInTable(Fertiliser_SourceData.Fertiliser_Products_Data2(),FertiliserProducts[[#Headers],[Include or Exclude]], 20)</f>
        <v/>
      </c>
      <c r="Q122" s="65" t="str" cm="1">
        <f t="array" aca="1" ref="Q122" ca="1">Common_InputFunctions.Utility_DisplayArrayInTable(Fertiliser_SourceData.Fertiliser_Products_Data2(),FertiliserProducts[[#Headers],[Include or Exclude]], 20)</f>
        <v/>
      </c>
      <c r="R122" s="65" t="str" cm="1">
        <f t="array" aca="1" ref="R122" ca="1">Common_InputFunctions.Utility_DisplayArrayInTable(Fertiliser_SourceData.Fertiliser_Products_Data2(),FertiliserProducts[[#Headers],[Include or Exclude]], 20)</f>
        <v/>
      </c>
      <c r="S122" s="65" t="str" cm="1">
        <f t="array" aca="1" ref="S122" ca="1">Common_InputFunctions.Utility_DisplayArrayInTable(Fertiliser_SourceData.Fertiliser_Products_Data2(),FertiliserProducts[[#Headers],[Include or Exclude]], 20)</f>
        <v/>
      </c>
      <c r="T122" s="65" t="str" cm="1">
        <f t="array" aca="1" ref="T122" ca="1">Common_InputFunctions.Utility_DisplayArrayInTable(Fertiliser_SourceData.Fertiliser_Products_Data2(),FertiliserProducts[[#Headers],[Include or Exclude]], 20)</f>
        <v/>
      </c>
      <c r="U122" s="65" t="str" cm="1">
        <f t="array" aca="1" ref="U122" ca="1">Common_InputFunctions.Utility_DisplayArrayInTable(Fertiliser_SourceData.Fertiliser_Products_Data2(),FertiliserProducts[[#Headers],[Include or Exclude]], 20)</f>
        <v/>
      </c>
      <c r="V122" s="65" t="str" cm="1">
        <f t="array" aca="1" ref="V122" ca="1">Common_InputFunctions.Utility_DisplayArrayInTable(Fertiliser_SourceData.Fertiliser_Products_Data2(),FertiliserProducts[[#Headers],[Include or Exclude]], 20)</f>
        <v/>
      </c>
      <c r="W122" s="65" t="str" cm="1">
        <f t="array" aca="1" ref="W122" ca="1">Common_InputFunctions.Utility_DisplayArrayInTable(Fertiliser_SourceData.Fertiliser_Products_Data2(),FertiliserProducts[[#Headers],[Include or Exclude]], 20)</f>
        <v/>
      </c>
      <c r="X122" s="65" t="str" cm="1">
        <f t="array" aca="1" ref="X122" ca="1">Common_InputFunctions.Utility_DisplayArrayInTable(Fertiliser_SourceData.Fertiliser_Products_Data2(),FertiliserProducts[[#Headers],[Include or Exclude]], 20)</f>
        <v/>
      </c>
      <c r="Y122" s="65" t="str" cm="1">
        <f t="array" aca="1" ref="Y122" ca="1">Common_InputFunctions.Utility_DisplayArrayInTable(Fertiliser_SourceData.Fertiliser_Products_Data2(),FertiliserProducts[[#Headers],[Include or Exclude]], 20)</f>
        <v/>
      </c>
      <c r="Z122" s="65" t="str" cm="1">
        <f t="array" aca="1" ref="Z122" ca="1">Common_InputFunctions.Utility_DisplayArrayInTable(Fertiliser_SourceData.Fertiliser_Products_Data2(),FertiliserProducts[[#Headers],[Include or Exclude]], 20)</f>
        <v/>
      </c>
      <c r="AA122" s="10" t="str" cm="1">
        <f t="array" aca="1" ref="AA122" ca="1">Common_InputFunctions.Utility_DisplayArrayInTable(Fertiliser_SourceData.Fertiliser_Products_Data2(),FertiliserProducts[[#Headers],[Include or Exclude]], 20)</f>
        <v/>
      </c>
      <c r="AB122" s="10" t="str" cm="1">
        <f t="array" aca="1" ref="AB122" ca="1">Common_InputFunctions.Utility_DisplayArrayInTable(Fertiliser_SourceData.Fertiliser_Products_Data2(),FertiliserProducts[[#Headers],[Include or Exclude]], 20)</f>
        <v/>
      </c>
      <c r="AC122" s="10" t="str" cm="1">
        <f t="array" aca="1" ref="AC122" ca="1">Common_InputFunctions.Utility_DisplayArrayInTable(Fertiliser_SourceData.Fertiliser_Products_Data2(),FertiliserProducts[[#Headers],[Include or Exclude]], 20)</f>
        <v/>
      </c>
      <c r="AD122" s="10" t="str" cm="1">
        <f t="array" aca="1" ref="AD122" ca="1">Common_InputFunctions.Utility_DisplayArrayInTable(Fertiliser_SourceData.Fertiliser_Products_Data2(),FertiliserProducts[[#Headers],[Include or Exclude]], 20)</f>
        <v/>
      </c>
      <c r="AE122" s="10" t="str" cm="1">
        <f t="array" aca="1" ref="AE122" ca="1">Common_InputFunctions.Utility_DisplayArrayInTable(Fertiliser_SourceData.Fertiliser_Products_Data2(),FertiliserProducts[[#Headers],[Include or Exclude]], 20)</f>
        <v/>
      </c>
    </row>
    <row r="123" spans="4:31" ht="20.100000000000001" customHeight="1" x14ac:dyDescent="0.25">
      <c r="D123" s="65" t="str" cm="1">
        <f t="array" aca="1" ref="D123" ca="1">Common_InputFunctions.Utility_DisplayArrayInTable(Fertiliser_SourceData.Fertiliser_Products_Data2(),FertiliserProducts[[#Headers],[Include or Exclude]], 20)</f>
        <v/>
      </c>
      <c r="E123" s="65" t="str" cm="1">
        <f t="array" aca="1" ref="E123" ca="1">Common_InputFunctions.Utility_DisplayArrayInTable(Fertiliser_SourceData.Fertiliser_Products_Data2(),FertiliserProducts[[#Headers],[Include or Exclude]], 20)</f>
        <v/>
      </c>
      <c r="F123" s="65" t="str" cm="1">
        <f t="array" aca="1" ref="F123" ca="1">Common_InputFunctions.Utility_DisplayArrayInTable(Fertiliser_SourceData.Fertiliser_Products_Data2(),FertiliserProducts[[#Headers],[Include or Exclude]], 20)</f>
        <v/>
      </c>
      <c r="G123" s="65" t="str" cm="1">
        <f t="array" aca="1" ref="G123" ca="1">Common_InputFunctions.Utility_DisplayArrayInTable(Fertiliser_SourceData.Fertiliser_Products_Data2(),FertiliserProducts[[#Headers],[Include or Exclude]], 20)</f>
        <v/>
      </c>
      <c r="H123" s="65" t="str" cm="1">
        <f t="array" aca="1" ref="H123" ca="1">Common_InputFunctions.Utility_DisplayArrayInTable(Fertiliser_SourceData.Fertiliser_Products_Data2(),FertiliserProducts[[#Headers],[Include or Exclude]], 20)</f>
        <v/>
      </c>
      <c r="I123" s="65" t="str" cm="1">
        <f t="array" aca="1" ref="I123" ca="1">Common_InputFunctions.Utility_DisplayArrayInTable(Fertiliser_SourceData.Fertiliser_Products_Data2(),FertiliserProducts[[#Headers],[Include or Exclude]], 20)</f>
        <v/>
      </c>
      <c r="J123" s="65" t="str" cm="1">
        <f t="array" aca="1" ref="J123" ca="1">Common_InputFunctions.Utility_DisplayArrayInTable(Fertiliser_SourceData.Fertiliser_Products_Data2(),FertiliserProducts[[#Headers],[Include or Exclude]], 20)</f>
        <v/>
      </c>
      <c r="K123" s="65" t="str" cm="1">
        <f t="array" aca="1" ref="K123" ca="1">Common_InputFunctions.Utility_DisplayArrayInTable(Fertiliser_SourceData.Fertiliser_Products_Data2(),FertiliserProducts[[#Headers],[Include or Exclude]], 20)</f>
        <v/>
      </c>
      <c r="L123" s="65" t="str" cm="1">
        <f t="array" aca="1" ref="L123" ca="1">Common_InputFunctions.Utility_DisplayArrayInTable(Fertiliser_SourceData.Fertiliser_Products_Data2(),FertiliserProducts[[#Headers],[Include or Exclude]], 20)</f>
        <v/>
      </c>
      <c r="M123" s="65" t="str" cm="1">
        <f t="array" aca="1" ref="M123" ca="1">Common_InputFunctions.Utility_DisplayArrayInTable(Fertiliser_SourceData.Fertiliser_Products_Data2(),FertiliserProducts[[#Headers],[Include or Exclude]], 20)</f>
        <v/>
      </c>
      <c r="N123" s="65" t="str" cm="1">
        <f t="array" aca="1" ref="N123" ca="1">Common_InputFunctions.Utility_DisplayArrayInTable(Fertiliser_SourceData.Fertiliser_Products_Data2(),FertiliserProducts[[#Headers],[Include or Exclude]], 20)</f>
        <v/>
      </c>
      <c r="O123" s="65" t="str" cm="1">
        <f t="array" aca="1" ref="O123" ca="1">Common_InputFunctions.Utility_DisplayArrayInTable(Fertiliser_SourceData.Fertiliser_Products_Data2(),FertiliserProducts[[#Headers],[Include or Exclude]], 20)</f>
        <v/>
      </c>
      <c r="P123" s="65" t="str" cm="1">
        <f t="array" aca="1" ref="P123" ca="1">Common_InputFunctions.Utility_DisplayArrayInTable(Fertiliser_SourceData.Fertiliser_Products_Data2(),FertiliserProducts[[#Headers],[Include or Exclude]], 20)</f>
        <v/>
      </c>
      <c r="Q123" s="65" t="str" cm="1">
        <f t="array" aca="1" ref="Q123" ca="1">Common_InputFunctions.Utility_DisplayArrayInTable(Fertiliser_SourceData.Fertiliser_Products_Data2(),FertiliserProducts[[#Headers],[Include or Exclude]], 20)</f>
        <v/>
      </c>
      <c r="R123" s="65" t="str" cm="1">
        <f t="array" aca="1" ref="R123" ca="1">Common_InputFunctions.Utility_DisplayArrayInTable(Fertiliser_SourceData.Fertiliser_Products_Data2(),FertiliserProducts[[#Headers],[Include or Exclude]], 20)</f>
        <v/>
      </c>
      <c r="S123" s="65" t="str" cm="1">
        <f t="array" aca="1" ref="S123" ca="1">Common_InputFunctions.Utility_DisplayArrayInTable(Fertiliser_SourceData.Fertiliser_Products_Data2(),FertiliserProducts[[#Headers],[Include or Exclude]], 20)</f>
        <v/>
      </c>
      <c r="T123" s="65" t="str" cm="1">
        <f t="array" aca="1" ref="T123" ca="1">Common_InputFunctions.Utility_DisplayArrayInTable(Fertiliser_SourceData.Fertiliser_Products_Data2(),FertiliserProducts[[#Headers],[Include or Exclude]], 20)</f>
        <v/>
      </c>
      <c r="U123" s="65" t="str" cm="1">
        <f t="array" aca="1" ref="U123" ca="1">Common_InputFunctions.Utility_DisplayArrayInTable(Fertiliser_SourceData.Fertiliser_Products_Data2(),FertiliserProducts[[#Headers],[Include or Exclude]], 20)</f>
        <v/>
      </c>
      <c r="V123" s="65" t="str" cm="1">
        <f t="array" aca="1" ref="V123" ca="1">Common_InputFunctions.Utility_DisplayArrayInTable(Fertiliser_SourceData.Fertiliser_Products_Data2(),FertiliserProducts[[#Headers],[Include or Exclude]], 20)</f>
        <v/>
      </c>
      <c r="W123" s="65" t="str" cm="1">
        <f t="array" aca="1" ref="W123" ca="1">Common_InputFunctions.Utility_DisplayArrayInTable(Fertiliser_SourceData.Fertiliser_Products_Data2(),FertiliserProducts[[#Headers],[Include or Exclude]], 20)</f>
        <v/>
      </c>
      <c r="X123" s="65" t="str" cm="1">
        <f t="array" aca="1" ref="X123" ca="1">Common_InputFunctions.Utility_DisplayArrayInTable(Fertiliser_SourceData.Fertiliser_Products_Data2(),FertiliserProducts[[#Headers],[Include or Exclude]], 20)</f>
        <v/>
      </c>
      <c r="Y123" s="65" t="str" cm="1">
        <f t="array" aca="1" ref="Y123" ca="1">Common_InputFunctions.Utility_DisplayArrayInTable(Fertiliser_SourceData.Fertiliser_Products_Data2(),FertiliserProducts[[#Headers],[Include or Exclude]], 20)</f>
        <v/>
      </c>
      <c r="Z123" s="65" t="str" cm="1">
        <f t="array" aca="1" ref="Z123" ca="1">Common_InputFunctions.Utility_DisplayArrayInTable(Fertiliser_SourceData.Fertiliser_Products_Data2(),FertiliserProducts[[#Headers],[Include or Exclude]], 20)</f>
        <v/>
      </c>
      <c r="AA123" s="10" t="str" cm="1">
        <f t="array" aca="1" ref="AA123" ca="1">Common_InputFunctions.Utility_DisplayArrayInTable(Fertiliser_SourceData.Fertiliser_Products_Data2(),FertiliserProducts[[#Headers],[Include or Exclude]], 20)</f>
        <v/>
      </c>
      <c r="AB123" s="10" t="str" cm="1">
        <f t="array" aca="1" ref="AB123" ca="1">Common_InputFunctions.Utility_DisplayArrayInTable(Fertiliser_SourceData.Fertiliser_Products_Data2(),FertiliserProducts[[#Headers],[Include or Exclude]], 20)</f>
        <v/>
      </c>
      <c r="AC123" s="10" t="str" cm="1">
        <f t="array" aca="1" ref="AC123" ca="1">Common_InputFunctions.Utility_DisplayArrayInTable(Fertiliser_SourceData.Fertiliser_Products_Data2(),FertiliserProducts[[#Headers],[Include or Exclude]], 20)</f>
        <v/>
      </c>
      <c r="AD123" s="10" t="str" cm="1">
        <f t="array" aca="1" ref="AD123" ca="1">Common_InputFunctions.Utility_DisplayArrayInTable(Fertiliser_SourceData.Fertiliser_Products_Data2(),FertiliserProducts[[#Headers],[Include or Exclude]], 20)</f>
        <v/>
      </c>
      <c r="AE123" s="10" t="str" cm="1">
        <f t="array" aca="1" ref="AE123" ca="1">Common_InputFunctions.Utility_DisplayArrayInTable(Fertiliser_SourceData.Fertiliser_Products_Data2(),FertiliserProducts[[#Headers],[Include or Exclude]], 20)</f>
        <v/>
      </c>
    </row>
    <row r="124" spans="4:31" ht="20.100000000000001" customHeight="1" x14ac:dyDescent="0.25">
      <c r="D124" s="65" t="str" cm="1">
        <f t="array" aca="1" ref="D124" ca="1">Common_InputFunctions.Utility_DisplayArrayInTable(Fertiliser_SourceData.Fertiliser_Products_Data2(),FertiliserProducts[[#Headers],[Include or Exclude]], 20)</f>
        <v/>
      </c>
      <c r="E124" s="65" t="str" cm="1">
        <f t="array" aca="1" ref="E124" ca="1">Common_InputFunctions.Utility_DisplayArrayInTable(Fertiliser_SourceData.Fertiliser_Products_Data2(),FertiliserProducts[[#Headers],[Include or Exclude]], 20)</f>
        <v/>
      </c>
      <c r="F124" s="65" t="str" cm="1">
        <f t="array" aca="1" ref="F124" ca="1">Common_InputFunctions.Utility_DisplayArrayInTable(Fertiliser_SourceData.Fertiliser_Products_Data2(),FertiliserProducts[[#Headers],[Include or Exclude]], 20)</f>
        <v/>
      </c>
      <c r="G124" s="65" t="str" cm="1">
        <f t="array" aca="1" ref="G124" ca="1">Common_InputFunctions.Utility_DisplayArrayInTable(Fertiliser_SourceData.Fertiliser_Products_Data2(),FertiliserProducts[[#Headers],[Include or Exclude]], 20)</f>
        <v/>
      </c>
      <c r="H124" s="65" t="str" cm="1">
        <f t="array" aca="1" ref="H124" ca="1">Common_InputFunctions.Utility_DisplayArrayInTable(Fertiliser_SourceData.Fertiliser_Products_Data2(),FertiliserProducts[[#Headers],[Include or Exclude]], 20)</f>
        <v/>
      </c>
      <c r="I124" s="65" t="str" cm="1">
        <f t="array" aca="1" ref="I124" ca="1">Common_InputFunctions.Utility_DisplayArrayInTable(Fertiliser_SourceData.Fertiliser_Products_Data2(),FertiliserProducts[[#Headers],[Include or Exclude]], 20)</f>
        <v/>
      </c>
      <c r="J124" s="65" t="str" cm="1">
        <f t="array" aca="1" ref="J124" ca="1">Common_InputFunctions.Utility_DisplayArrayInTable(Fertiliser_SourceData.Fertiliser_Products_Data2(),FertiliserProducts[[#Headers],[Include or Exclude]], 20)</f>
        <v/>
      </c>
      <c r="K124" s="65" t="str" cm="1">
        <f t="array" aca="1" ref="K124" ca="1">Common_InputFunctions.Utility_DisplayArrayInTable(Fertiliser_SourceData.Fertiliser_Products_Data2(),FertiliserProducts[[#Headers],[Include or Exclude]], 20)</f>
        <v/>
      </c>
      <c r="L124" s="65" t="str" cm="1">
        <f t="array" aca="1" ref="L124" ca="1">Common_InputFunctions.Utility_DisplayArrayInTable(Fertiliser_SourceData.Fertiliser_Products_Data2(),FertiliserProducts[[#Headers],[Include or Exclude]], 20)</f>
        <v/>
      </c>
      <c r="M124" s="65" t="str" cm="1">
        <f t="array" aca="1" ref="M124" ca="1">Common_InputFunctions.Utility_DisplayArrayInTable(Fertiliser_SourceData.Fertiliser_Products_Data2(),FertiliserProducts[[#Headers],[Include or Exclude]], 20)</f>
        <v/>
      </c>
      <c r="N124" s="65" t="str" cm="1">
        <f t="array" aca="1" ref="N124" ca="1">Common_InputFunctions.Utility_DisplayArrayInTable(Fertiliser_SourceData.Fertiliser_Products_Data2(),FertiliserProducts[[#Headers],[Include or Exclude]], 20)</f>
        <v/>
      </c>
      <c r="O124" s="65" t="str" cm="1">
        <f t="array" aca="1" ref="O124" ca="1">Common_InputFunctions.Utility_DisplayArrayInTable(Fertiliser_SourceData.Fertiliser_Products_Data2(),FertiliserProducts[[#Headers],[Include or Exclude]], 20)</f>
        <v/>
      </c>
      <c r="P124" s="65" t="str" cm="1">
        <f t="array" aca="1" ref="P124" ca="1">Common_InputFunctions.Utility_DisplayArrayInTable(Fertiliser_SourceData.Fertiliser_Products_Data2(),FertiliserProducts[[#Headers],[Include or Exclude]], 20)</f>
        <v/>
      </c>
      <c r="Q124" s="65" t="str" cm="1">
        <f t="array" aca="1" ref="Q124" ca="1">Common_InputFunctions.Utility_DisplayArrayInTable(Fertiliser_SourceData.Fertiliser_Products_Data2(),FertiliserProducts[[#Headers],[Include or Exclude]], 20)</f>
        <v/>
      </c>
      <c r="R124" s="65" t="str" cm="1">
        <f t="array" aca="1" ref="R124" ca="1">Common_InputFunctions.Utility_DisplayArrayInTable(Fertiliser_SourceData.Fertiliser_Products_Data2(),FertiliserProducts[[#Headers],[Include or Exclude]], 20)</f>
        <v/>
      </c>
      <c r="S124" s="65" t="str" cm="1">
        <f t="array" aca="1" ref="S124" ca="1">Common_InputFunctions.Utility_DisplayArrayInTable(Fertiliser_SourceData.Fertiliser_Products_Data2(),FertiliserProducts[[#Headers],[Include or Exclude]], 20)</f>
        <v/>
      </c>
      <c r="T124" s="65" t="str" cm="1">
        <f t="array" aca="1" ref="T124" ca="1">Common_InputFunctions.Utility_DisplayArrayInTable(Fertiliser_SourceData.Fertiliser_Products_Data2(),FertiliserProducts[[#Headers],[Include or Exclude]], 20)</f>
        <v/>
      </c>
      <c r="U124" s="65" t="str" cm="1">
        <f t="array" aca="1" ref="U124" ca="1">Common_InputFunctions.Utility_DisplayArrayInTable(Fertiliser_SourceData.Fertiliser_Products_Data2(),FertiliserProducts[[#Headers],[Include or Exclude]], 20)</f>
        <v/>
      </c>
      <c r="V124" s="65" t="str" cm="1">
        <f t="array" aca="1" ref="V124" ca="1">Common_InputFunctions.Utility_DisplayArrayInTable(Fertiliser_SourceData.Fertiliser_Products_Data2(),FertiliserProducts[[#Headers],[Include or Exclude]], 20)</f>
        <v/>
      </c>
      <c r="W124" s="65" t="str" cm="1">
        <f t="array" aca="1" ref="W124" ca="1">Common_InputFunctions.Utility_DisplayArrayInTable(Fertiliser_SourceData.Fertiliser_Products_Data2(),FertiliserProducts[[#Headers],[Include or Exclude]], 20)</f>
        <v/>
      </c>
      <c r="X124" s="65" t="str" cm="1">
        <f t="array" aca="1" ref="X124" ca="1">Common_InputFunctions.Utility_DisplayArrayInTable(Fertiliser_SourceData.Fertiliser_Products_Data2(),FertiliserProducts[[#Headers],[Include or Exclude]], 20)</f>
        <v/>
      </c>
      <c r="Y124" s="65" t="str" cm="1">
        <f t="array" aca="1" ref="Y124" ca="1">Common_InputFunctions.Utility_DisplayArrayInTable(Fertiliser_SourceData.Fertiliser_Products_Data2(),FertiliserProducts[[#Headers],[Include or Exclude]], 20)</f>
        <v/>
      </c>
      <c r="Z124" s="65" t="str" cm="1">
        <f t="array" aca="1" ref="Z124" ca="1">Common_InputFunctions.Utility_DisplayArrayInTable(Fertiliser_SourceData.Fertiliser_Products_Data2(),FertiliserProducts[[#Headers],[Include or Exclude]], 20)</f>
        <v/>
      </c>
      <c r="AA124" s="10" t="str" cm="1">
        <f t="array" aca="1" ref="AA124" ca="1">Common_InputFunctions.Utility_DisplayArrayInTable(Fertiliser_SourceData.Fertiliser_Products_Data2(),FertiliserProducts[[#Headers],[Include or Exclude]], 20)</f>
        <v/>
      </c>
      <c r="AB124" s="10" t="str" cm="1">
        <f t="array" aca="1" ref="AB124" ca="1">Common_InputFunctions.Utility_DisplayArrayInTable(Fertiliser_SourceData.Fertiliser_Products_Data2(),FertiliserProducts[[#Headers],[Include or Exclude]], 20)</f>
        <v/>
      </c>
      <c r="AC124" s="10" t="str" cm="1">
        <f t="array" aca="1" ref="AC124" ca="1">Common_InputFunctions.Utility_DisplayArrayInTable(Fertiliser_SourceData.Fertiliser_Products_Data2(),FertiliserProducts[[#Headers],[Include or Exclude]], 20)</f>
        <v/>
      </c>
      <c r="AD124" s="10" t="str" cm="1">
        <f t="array" aca="1" ref="AD124" ca="1">Common_InputFunctions.Utility_DisplayArrayInTable(Fertiliser_SourceData.Fertiliser_Products_Data2(),FertiliserProducts[[#Headers],[Include or Exclude]], 20)</f>
        <v/>
      </c>
      <c r="AE124" s="10" t="str" cm="1">
        <f t="array" aca="1" ref="AE124" ca="1">Common_InputFunctions.Utility_DisplayArrayInTable(Fertiliser_SourceData.Fertiliser_Products_Data2(),FertiliserProducts[[#Headers],[Include or Exclude]], 20)</f>
        <v/>
      </c>
    </row>
    <row r="125" spans="4:31" ht="20.100000000000001" customHeight="1" x14ac:dyDescent="0.25">
      <c r="D125" s="65" t="str" cm="1">
        <f t="array" aca="1" ref="D125" ca="1">Common_InputFunctions.Utility_DisplayArrayInTable(Fertiliser_SourceData.Fertiliser_Products_Data2(),FertiliserProducts[[#Headers],[Include or Exclude]], 20)</f>
        <v/>
      </c>
      <c r="E125" s="65" t="str" cm="1">
        <f t="array" aca="1" ref="E125" ca="1">Common_InputFunctions.Utility_DisplayArrayInTable(Fertiliser_SourceData.Fertiliser_Products_Data2(),FertiliserProducts[[#Headers],[Include or Exclude]], 20)</f>
        <v/>
      </c>
      <c r="F125" s="65" t="str" cm="1">
        <f t="array" aca="1" ref="F125" ca="1">Common_InputFunctions.Utility_DisplayArrayInTable(Fertiliser_SourceData.Fertiliser_Products_Data2(),FertiliserProducts[[#Headers],[Include or Exclude]], 20)</f>
        <v/>
      </c>
      <c r="G125" s="65" t="str" cm="1">
        <f t="array" aca="1" ref="G125" ca="1">Common_InputFunctions.Utility_DisplayArrayInTable(Fertiliser_SourceData.Fertiliser_Products_Data2(),FertiliserProducts[[#Headers],[Include or Exclude]], 20)</f>
        <v/>
      </c>
      <c r="H125" s="65" t="str" cm="1">
        <f t="array" aca="1" ref="H125" ca="1">Common_InputFunctions.Utility_DisplayArrayInTable(Fertiliser_SourceData.Fertiliser_Products_Data2(),FertiliserProducts[[#Headers],[Include or Exclude]], 20)</f>
        <v/>
      </c>
      <c r="I125" s="65" t="str" cm="1">
        <f t="array" aca="1" ref="I125" ca="1">Common_InputFunctions.Utility_DisplayArrayInTable(Fertiliser_SourceData.Fertiliser_Products_Data2(),FertiliserProducts[[#Headers],[Include or Exclude]], 20)</f>
        <v/>
      </c>
      <c r="J125" s="65" t="str" cm="1">
        <f t="array" aca="1" ref="J125" ca="1">Common_InputFunctions.Utility_DisplayArrayInTable(Fertiliser_SourceData.Fertiliser_Products_Data2(),FertiliserProducts[[#Headers],[Include or Exclude]], 20)</f>
        <v/>
      </c>
      <c r="K125" s="65" t="str" cm="1">
        <f t="array" aca="1" ref="K125" ca="1">Common_InputFunctions.Utility_DisplayArrayInTable(Fertiliser_SourceData.Fertiliser_Products_Data2(),FertiliserProducts[[#Headers],[Include or Exclude]], 20)</f>
        <v/>
      </c>
      <c r="L125" s="65" t="str" cm="1">
        <f t="array" aca="1" ref="L125" ca="1">Common_InputFunctions.Utility_DisplayArrayInTable(Fertiliser_SourceData.Fertiliser_Products_Data2(),FertiliserProducts[[#Headers],[Include or Exclude]], 20)</f>
        <v/>
      </c>
      <c r="M125" s="65" t="str" cm="1">
        <f t="array" aca="1" ref="M125" ca="1">Common_InputFunctions.Utility_DisplayArrayInTable(Fertiliser_SourceData.Fertiliser_Products_Data2(),FertiliserProducts[[#Headers],[Include or Exclude]], 20)</f>
        <v/>
      </c>
      <c r="N125" s="65" t="str" cm="1">
        <f t="array" aca="1" ref="N125" ca="1">Common_InputFunctions.Utility_DisplayArrayInTable(Fertiliser_SourceData.Fertiliser_Products_Data2(),FertiliserProducts[[#Headers],[Include or Exclude]], 20)</f>
        <v/>
      </c>
      <c r="O125" s="65" t="str" cm="1">
        <f t="array" aca="1" ref="O125" ca="1">Common_InputFunctions.Utility_DisplayArrayInTable(Fertiliser_SourceData.Fertiliser_Products_Data2(),FertiliserProducts[[#Headers],[Include or Exclude]], 20)</f>
        <v/>
      </c>
      <c r="P125" s="65" t="str" cm="1">
        <f t="array" aca="1" ref="P125" ca="1">Common_InputFunctions.Utility_DisplayArrayInTable(Fertiliser_SourceData.Fertiliser_Products_Data2(),FertiliserProducts[[#Headers],[Include or Exclude]], 20)</f>
        <v/>
      </c>
      <c r="Q125" s="65" t="str" cm="1">
        <f t="array" aca="1" ref="Q125" ca="1">Common_InputFunctions.Utility_DisplayArrayInTable(Fertiliser_SourceData.Fertiliser_Products_Data2(),FertiliserProducts[[#Headers],[Include or Exclude]], 20)</f>
        <v/>
      </c>
      <c r="R125" s="65" t="str" cm="1">
        <f t="array" aca="1" ref="R125" ca="1">Common_InputFunctions.Utility_DisplayArrayInTable(Fertiliser_SourceData.Fertiliser_Products_Data2(),FertiliserProducts[[#Headers],[Include or Exclude]], 20)</f>
        <v/>
      </c>
      <c r="S125" s="65" t="str" cm="1">
        <f t="array" aca="1" ref="S125" ca="1">Common_InputFunctions.Utility_DisplayArrayInTable(Fertiliser_SourceData.Fertiliser_Products_Data2(),FertiliserProducts[[#Headers],[Include or Exclude]], 20)</f>
        <v/>
      </c>
      <c r="T125" s="65" t="str" cm="1">
        <f t="array" aca="1" ref="T125" ca="1">Common_InputFunctions.Utility_DisplayArrayInTable(Fertiliser_SourceData.Fertiliser_Products_Data2(),FertiliserProducts[[#Headers],[Include or Exclude]], 20)</f>
        <v/>
      </c>
      <c r="U125" s="65" t="str" cm="1">
        <f t="array" aca="1" ref="U125" ca="1">Common_InputFunctions.Utility_DisplayArrayInTable(Fertiliser_SourceData.Fertiliser_Products_Data2(),FertiliserProducts[[#Headers],[Include or Exclude]], 20)</f>
        <v/>
      </c>
      <c r="V125" s="65" t="str" cm="1">
        <f t="array" aca="1" ref="V125" ca="1">Common_InputFunctions.Utility_DisplayArrayInTable(Fertiliser_SourceData.Fertiliser_Products_Data2(),FertiliserProducts[[#Headers],[Include or Exclude]], 20)</f>
        <v/>
      </c>
      <c r="W125" s="65" t="str" cm="1">
        <f t="array" aca="1" ref="W125" ca="1">Common_InputFunctions.Utility_DisplayArrayInTable(Fertiliser_SourceData.Fertiliser_Products_Data2(),FertiliserProducts[[#Headers],[Include or Exclude]], 20)</f>
        <v/>
      </c>
      <c r="X125" s="65" t="str" cm="1">
        <f t="array" aca="1" ref="X125" ca="1">Common_InputFunctions.Utility_DisplayArrayInTable(Fertiliser_SourceData.Fertiliser_Products_Data2(),FertiliserProducts[[#Headers],[Include or Exclude]], 20)</f>
        <v/>
      </c>
      <c r="Y125" s="65" t="str" cm="1">
        <f t="array" aca="1" ref="Y125" ca="1">Common_InputFunctions.Utility_DisplayArrayInTable(Fertiliser_SourceData.Fertiliser_Products_Data2(),FertiliserProducts[[#Headers],[Include or Exclude]], 20)</f>
        <v/>
      </c>
      <c r="Z125" s="65" t="str" cm="1">
        <f t="array" aca="1" ref="Z125" ca="1">Common_InputFunctions.Utility_DisplayArrayInTable(Fertiliser_SourceData.Fertiliser_Products_Data2(),FertiliserProducts[[#Headers],[Include or Exclude]], 20)</f>
        <v/>
      </c>
      <c r="AA125" s="10" t="str" cm="1">
        <f t="array" aca="1" ref="AA125" ca="1">Common_InputFunctions.Utility_DisplayArrayInTable(Fertiliser_SourceData.Fertiliser_Products_Data2(),FertiliserProducts[[#Headers],[Include or Exclude]], 20)</f>
        <v/>
      </c>
      <c r="AB125" s="10" t="str" cm="1">
        <f t="array" aca="1" ref="AB125" ca="1">Common_InputFunctions.Utility_DisplayArrayInTable(Fertiliser_SourceData.Fertiliser_Products_Data2(),FertiliserProducts[[#Headers],[Include or Exclude]], 20)</f>
        <v/>
      </c>
      <c r="AC125" s="10" t="str" cm="1">
        <f t="array" aca="1" ref="AC125" ca="1">Common_InputFunctions.Utility_DisplayArrayInTable(Fertiliser_SourceData.Fertiliser_Products_Data2(),FertiliserProducts[[#Headers],[Include or Exclude]], 20)</f>
        <v/>
      </c>
      <c r="AD125" s="10" t="str" cm="1">
        <f t="array" aca="1" ref="AD125" ca="1">Common_InputFunctions.Utility_DisplayArrayInTable(Fertiliser_SourceData.Fertiliser_Products_Data2(),FertiliserProducts[[#Headers],[Include or Exclude]], 20)</f>
        <v/>
      </c>
      <c r="AE125" s="10" t="str" cm="1">
        <f t="array" aca="1" ref="AE125" ca="1">Common_InputFunctions.Utility_DisplayArrayInTable(Fertiliser_SourceData.Fertiliser_Products_Data2(),FertiliserProducts[[#Headers],[Include or Exclude]], 20)</f>
        <v/>
      </c>
    </row>
    <row r="126" spans="4:31" ht="20.100000000000001" customHeight="1" x14ac:dyDescent="0.25">
      <c r="D126" s="65" t="str" cm="1">
        <f t="array" aca="1" ref="D126" ca="1">Common_InputFunctions.Utility_DisplayArrayInTable(Fertiliser_SourceData.Fertiliser_Products_Data2(),FertiliserProducts[[#Headers],[Include or Exclude]], 20)</f>
        <v/>
      </c>
      <c r="E126" s="65" t="str" cm="1">
        <f t="array" aca="1" ref="E126" ca="1">Common_InputFunctions.Utility_DisplayArrayInTable(Fertiliser_SourceData.Fertiliser_Products_Data2(),FertiliserProducts[[#Headers],[Include or Exclude]], 20)</f>
        <v/>
      </c>
      <c r="F126" s="65" t="str" cm="1">
        <f t="array" aca="1" ref="F126" ca="1">Common_InputFunctions.Utility_DisplayArrayInTable(Fertiliser_SourceData.Fertiliser_Products_Data2(),FertiliserProducts[[#Headers],[Include or Exclude]], 20)</f>
        <v/>
      </c>
      <c r="G126" s="65" t="str" cm="1">
        <f t="array" aca="1" ref="G126" ca="1">Common_InputFunctions.Utility_DisplayArrayInTable(Fertiliser_SourceData.Fertiliser_Products_Data2(),FertiliserProducts[[#Headers],[Include or Exclude]], 20)</f>
        <v/>
      </c>
      <c r="H126" s="65" t="str" cm="1">
        <f t="array" aca="1" ref="H126" ca="1">Common_InputFunctions.Utility_DisplayArrayInTable(Fertiliser_SourceData.Fertiliser_Products_Data2(),FertiliserProducts[[#Headers],[Include or Exclude]], 20)</f>
        <v/>
      </c>
      <c r="I126" s="65" t="str" cm="1">
        <f t="array" aca="1" ref="I126" ca="1">Common_InputFunctions.Utility_DisplayArrayInTable(Fertiliser_SourceData.Fertiliser_Products_Data2(),FertiliserProducts[[#Headers],[Include or Exclude]], 20)</f>
        <v/>
      </c>
      <c r="J126" s="65" t="str" cm="1">
        <f t="array" aca="1" ref="J126" ca="1">Common_InputFunctions.Utility_DisplayArrayInTable(Fertiliser_SourceData.Fertiliser_Products_Data2(),FertiliserProducts[[#Headers],[Include or Exclude]], 20)</f>
        <v/>
      </c>
      <c r="K126" s="65" t="str" cm="1">
        <f t="array" aca="1" ref="K126" ca="1">Common_InputFunctions.Utility_DisplayArrayInTable(Fertiliser_SourceData.Fertiliser_Products_Data2(),FertiliserProducts[[#Headers],[Include or Exclude]], 20)</f>
        <v/>
      </c>
      <c r="L126" s="65" t="str" cm="1">
        <f t="array" aca="1" ref="L126" ca="1">Common_InputFunctions.Utility_DisplayArrayInTable(Fertiliser_SourceData.Fertiliser_Products_Data2(),FertiliserProducts[[#Headers],[Include or Exclude]], 20)</f>
        <v/>
      </c>
      <c r="M126" s="65" t="str" cm="1">
        <f t="array" aca="1" ref="M126" ca="1">Common_InputFunctions.Utility_DisplayArrayInTable(Fertiliser_SourceData.Fertiliser_Products_Data2(),FertiliserProducts[[#Headers],[Include or Exclude]], 20)</f>
        <v/>
      </c>
      <c r="N126" s="65" t="str" cm="1">
        <f t="array" aca="1" ref="N126" ca="1">Common_InputFunctions.Utility_DisplayArrayInTable(Fertiliser_SourceData.Fertiliser_Products_Data2(),FertiliserProducts[[#Headers],[Include or Exclude]], 20)</f>
        <v/>
      </c>
      <c r="O126" s="65" t="str" cm="1">
        <f t="array" aca="1" ref="O126" ca="1">Common_InputFunctions.Utility_DisplayArrayInTable(Fertiliser_SourceData.Fertiliser_Products_Data2(),FertiliserProducts[[#Headers],[Include or Exclude]], 20)</f>
        <v/>
      </c>
      <c r="P126" s="65" t="str" cm="1">
        <f t="array" aca="1" ref="P126" ca="1">Common_InputFunctions.Utility_DisplayArrayInTable(Fertiliser_SourceData.Fertiliser_Products_Data2(),FertiliserProducts[[#Headers],[Include or Exclude]], 20)</f>
        <v/>
      </c>
      <c r="Q126" s="65" t="str" cm="1">
        <f t="array" aca="1" ref="Q126" ca="1">Common_InputFunctions.Utility_DisplayArrayInTable(Fertiliser_SourceData.Fertiliser_Products_Data2(),FertiliserProducts[[#Headers],[Include or Exclude]], 20)</f>
        <v/>
      </c>
      <c r="R126" s="65" t="str" cm="1">
        <f t="array" aca="1" ref="R126" ca="1">Common_InputFunctions.Utility_DisplayArrayInTable(Fertiliser_SourceData.Fertiliser_Products_Data2(),FertiliserProducts[[#Headers],[Include or Exclude]], 20)</f>
        <v/>
      </c>
      <c r="S126" s="65" t="str" cm="1">
        <f t="array" aca="1" ref="S126" ca="1">Common_InputFunctions.Utility_DisplayArrayInTable(Fertiliser_SourceData.Fertiliser_Products_Data2(),FertiliserProducts[[#Headers],[Include or Exclude]], 20)</f>
        <v/>
      </c>
      <c r="T126" s="65" t="str" cm="1">
        <f t="array" aca="1" ref="T126" ca="1">Common_InputFunctions.Utility_DisplayArrayInTable(Fertiliser_SourceData.Fertiliser_Products_Data2(),FertiliserProducts[[#Headers],[Include or Exclude]], 20)</f>
        <v/>
      </c>
      <c r="U126" s="65" t="str" cm="1">
        <f t="array" aca="1" ref="U126" ca="1">Common_InputFunctions.Utility_DisplayArrayInTable(Fertiliser_SourceData.Fertiliser_Products_Data2(),FertiliserProducts[[#Headers],[Include or Exclude]], 20)</f>
        <v/>
      </c>
      <c r="V126" s="65" t="str" cm="1">
        <f t="array" aca="1" ref="V126" ca="1">Common_InputFunctions.Utility_DisplayArrayInTable(Fertiliser_SourceData.Fertiliser_Products_Data2(),FertiliserProducts[[#Headers],[Include or Exclude]], 20)</f>
        <v/>
      </c>
      <c r="W126" s="65" t="str" cm="1">
        <f t="array" aca="1" ref="W126" ca="1">Common_InputFunctions.Utility_DisplayArrayInTable(Fertiliser_SourceData.Fertiliser_Products_Data2(),FertiliserProducts[[#Headers],[Include or Exclude]], 20)</f>
        <v/>
      </c>
      <c r="X126" s="65" t="str" cm="1">
        <f t="array" aca="1" ref="X126" ca="1">Common_InputFunctions.Utility_DisplayArrayInTable(Fertiliser_SourceData.Fertiliser_Products_Data2(),FertiliserProducts[[#Headers],[Include or Exclude]], 20)</f>
        <v/>
      </c>
      <c r="Y126" s="65" t="str" cm="1">
        <f t="array" aca="1" ref="Y126" ca="1">Common_InputFunctions.Utility_DisplayArrayInTable(Fertiliser_SourceData.Fertiliser_Products_Data2(),FertiliserProducts[[#Headers],[Include or Exclude]], 20)</f>
        <v/>
      </c>
      <c r="Z126" s="65" t="str" cm="1">
        <f t="array" aca="1" ref="Z126" ca="1">Common_InputFunctions.Utility_DisplayArrayInTable(Fertiliser_SourceData.Fertiliser_Products_Data2(),FertiliserProducts[[#Headers],[Include or Exclude]], 20)</f>
        <v/>
      </c>
      <c r="AA126" s="10" t="str" cm="1">
        <f t="array" aca="1" ref="AA126" ca="1">Common_InputFunctions.Utility_DisplayArrayInTable(Fertiliser_SourceData.Fertiliser_Products_Data2(),FertiliserProducts[[#Headers],[Include or Exclude]], 20)</f>
        <v/>
      </c>
      <c r="AB126" s="10" t="str" cm="1">
        <f t="array" aca="1" ref="AB126" ca="1">Common_InputFunctions.Utility_DisplayArrayInTable(Fertiliser_SourceData.Fertiliser_Products_Data2(),FertiliserProducts[[#Headers],[Include or Exclude]], 20)</f>
        <v/>
      </c>
      <c r="AC126" s="10" t="str" cm="1">
        <f t="array" aca="1" ref="AC126" ca="1">Common_InputFunctions.Utility_DisplayArrayInTable(Fertiliser_SourceData.Fertiliser_Products_Data2(),FertiliserProducts[[#Headers],[Include or Exclude]], 20)</f>
        <v/>
      </c>
      <c r="AD126" s="10" t="str" cm="1">
        <f t="array" aca="1" ref="AD126" ca="1">Common_InputFunctions.Utility_DisplayArrayInTable(Fertiliser_SourceData.Fertiliser_Products_Data2(),FertiliserProducts[[#Headers],[Include or Exclude]], 20)</f>
        <v/>
      </c>
      <c r="AE126" s="10" t="str" cm="1">
        <f t="array" aca="1" ref="AE126" ca="1">Common_InputFunctions.Utility_DisplayArrayInTable(Fertiliser_SourceData.Fertiliser_Products_Data2(),FertiliserProducts[[#Headers],[Include or Exclude]], 20)</f>
        <v/>
      </c>
    </row>
    <row r="127" spans="4:31" ht="20.100000000000001" customHeight="1" x14ac:dyDescent="0.25">
      <c r="D127" s="65" t="str" cm="1">
        <f t="array" aca="1" ref="D127" ca="1">Common_InputFunctions.Utility_DisplayArrayInTable(Fertiliser_SourceData.Fertiliser_Products_Data2(),FertiliserProducts[[#Headers],[Include or Exclude]], 20)</f>
        <v/>
      </c>
      <c r="E127" s="65" t="str" cm="1">
        <f t="array" aca="1" ref="E127" ca="1">Common_InputFunctions.Utility_DisplayArrayInTable(Fertiliser_SourceData.Fertiliser_Products_Data2(),FertiliserProducts[[#Headers],[Include or Exclude]], 20)</f>
        <v/>
      </c>
      <c r="F127" s="65" t="str" cm="1">
        <f t="array" aca="1" ref="F127" ca="1">Common_InputFunctions.Utility_DisplayArrayInTable(Fertiliser_SourceData.Fertiliser_Products_Data2(),FertiliserProducts[[#Headers],[Include or Exclude]], 20)</f>
        <v/>
      </c>
      <c r="G127" s="65" t="str" cm="1">
        <f t="array" aca="1" ref="G127" ca="1">Common_InputFunctions.Utility_DisplayArrayInTable(Fertiliser_SourceData.Fertiliser_Products_Data2(),FertiliserProducts[[#Headers],[Include or Exclude]], 20)</f>
        <v/>
      </c>
      <c r="H127" s="65" t="str" cm="1">
        <f t="array" aca="1" ref="H127" ca="1">Common_InputFunctions.Utility_DisplayArrayInTable(Fertiliser_SourceData.Fertiliser_Products_Data2(),FertiliserProducts[[#Headers],[Include or Exclude]], 20)</f>
        <v/>
      </c>
      <c r="I127" s="65" t="str" cm="1">
        <f t="array" aca="1" ref="I127" ca="1">Common_InputFunctions.Utility_DisplayArrayInTable(Fertiliser_SourceData.Fertiliser_Products_Data2(),FertiliserProducts[[#Headers],[Include or Exclude]], 20)</f>
        <v/>
      </c>
      <c r="J127" s="65" t="str" cm="1">
        <f t="array" aca="1" ref="J127" ca="1">Common_InputFunctions.Utility_DisplayArrayInTable(Fertiliser_SourceData.Fertiliser_Products_Data2(),FertiliserProducts[[#Headers],[Include or Exclude]], 20)</f>
        <v/>
      </c>
      <c r="K127" s="65" t="str" cm="1">
        <f t="array" aca="1" ref="K127" ca="1">Common_InputFunctions.Utility_DisplayArrayInTable(Fertiliser_SourceData.Fertiliser_Products_Data2(),FertiliserProducts[[#Headers],[Include or Exclude]], 20)</f>
        <v/>
      </c>
      <c r="L127" s="65" t="str" cm="1">
        <f t="array" aca="1" ref="L127" ca="1">Common_InputFunctions.Utility_DisplayArrayInTable(Fertiliser_SourceData.Fertiliser_Products_Data2(),FertiliserProducts[[#Headers],[Include or Exclude]], 20)</f>
        <v/>
      </c>
      <c r="M127" s="65" t="str" cm="1">
        <f t="array" aca="1" ref="M127" ca="1">Common_InputFunctions.Utility_DisplayArrayInTable(Fertiliser_SourceData.Fertiliser_Products_Data2(),FertiliserProducts[[#Headers],[Include or Exclude]], 20)</f>
        <v/>
      </c>
      <c r="N127" s="65" t="str" cm="1">
        <f t="array" aca="1" ref="N127" ca="1">Common_InputFunctions.Utility_DisplayArrayInTable(Fertiliser_SourceData.Fertiliser_Products_Data2(),FertiliserProducts[[#Headers],[Include or Exclude]], 20)</f>
        <v/>
      </c>
      <c r="O127" s="65" t="str" cm="1">
        <f t="array" aca="1" ref="O127" ca="1">Common_InputFunctions.Utility_DisplayArrayInTable(Fertiliser_SourceData.Fertiliser_Products_Data2(),FertiliserProducts[[#Headers],[Include or Exclude]], 20)</f>
        <v/>
      </c>
      <c r="P127" s="65" t="str" cm="1">
        <f t="array" aca="1" ref="P127" ca="1">Common_InputFunctions.Utility_DisplayArrayInTable(Fertiliser_SourceData.Fertiliser_Products_Data2(),FertiliserProducts[[#Headers],[Include or Exclude]], 20)</f>
        <v/>
      </c>
      <c r="Q127" s="65" t="str" cm="1">
        <f t="array" aca="1" ref="Q127" ca="1">Common_InputFunctions.Utility_DisplayArrayInTable(Fertiliser_SourceData.Fertiliser_Products_Data2(),FertiliserProducts[[#Headers],[Include or Exclude]], 20)</f>
        <v/>
      </c>
      <c r="R127" s="65" t="str" cm="1">
        <f t="array" aca="1" ref="R127" ca="1">Common_InputFunctions.Utility_DisplayArrayInTable(Fertiliser_SourceData.Fertiliser_Products_Data2(),FertiliserProducts[[#Headers],[Include or Exclude]], 20)</f>
        <v/>
      </c>
      <c r="S127" s="65" t="str" cm="1">
        <f t="array" aca="1" ref="S127" ca="1">Common_InputFunctions.Utility_DisplayArrayInTable(Fertiliser_SourceData.Fertiliser_Products_Data2(),FertiliserProducts[[#Headers],[Include or Exclude]], 20)</f>
        <v/>
      </c>
      <c r="T127" s="65" t="str" cm="1">
        <f t="array" aca="1" ref="T127" ca="1">Common_InputFunctions.Utility_DisplayArrayInTable(Fertiliser_SourceData.Fertiliser_Products_Data2(),FertiliserProducts[[#Headers],[Include or Exclude]], 20)</f>
        <v/>
      </c>
      <c r="U127" s="65" t="str" cm="1">
        <f t="array" aca="1" ref="U127" ca="1">Common_InputFunctions.Utility_DisplayArrayInTable(Fertiliser_SourceData.Fertiliser_Products_Data2(),FertiliserProducts[[#Headers],[Include or Exclude]], 20)</f>
        <v/>
      </c>
      <c r="V127" s="65" t="str" cm="1">
        <f t="array" aca="1" ref="V127" ca="1">Common_InputFunctions.Utility_DisplayArrayInTable(Fertiliser_SourceData.Fertiliser_Products_Data2(),FertiliserProducts[[#Headers],[Include or Exclude]], 20)</f>
        <v/>
      </c>
      <c r="W127" s="65" t="str" cm="1">
        <f t="array" aca="1" ref="W127" ca="1">Common_InputFunctions.Utility_DisplayArrayInTable(Fertiliser_SourceData.Fertiliser_Products_Data2(),FertiliserProducts[[#Headers],[Include or Exclude]], 20)</f>
        <v/>
      </c>
      <c r="X127" s="65" t="str" cm="1">
        <f t="array" aca="1" ref="X127" ca="1">Common_InputFunctions.Utility_DisplayArrayInTable(Fertiliser_SourceData.Fertiliser_Products_Data2(),FertiliserProducts[[#Headers],[Include or Exclude]], 20)</f>
        <v/>
      </c>
      <c r="Y127" s="65" t="str" cm="1">
        <f t="array" aca="1" ref="Y127" ca="1">Common_InputFunctions.Utility_DisplayArrayInTable(Fertiliser_SourceData.Fertiliser_Products_Data2(),FertiliserProducts[[#Headers],[Include or Exclude]], 20)</f>
        <v/>
      </c>
      <c r="Z127" s="65" t="str" cm="1">
        <f t="array" aca="1" ref="Z127" ca="1">Common_InputFunctions.Utility_DisplayArrayInTable(Fertiliser_SourceData.Fertiliser_Products_Data2(),FertiliserProducts[[#Headers],[Include or Exclude]], 20)</f>
        <v/>
      </c>
      <c r="AA127" s="10" t="str" cm="1">
        <f t="array" aca="1" ref="AA127" ca="1">Common_InputFunctions.Utility_DisplayArrayInTable(Fertiliser_SourceData.Fertiliser_Products_Data2(),FertiliserProducts[[#Headers],[Include or Exclude]], 20)</f>
        <v/>
      </c>
      <c r="AB127" s="10" t="str" cm="1">
        <f t="array" aca="1" ref="AB127" ca="1">Common_InputFunctions.Utility_DisplayArrayInTable(Fertiliser_SourceData.Fertiliser_Products_Data2(),FertiliserProducts[[#Headers],[Include or Exclude]], 20)</f>
        <v/>
      </c>
      <c r="AC127" s="10" t="str" cm="1">
        <f t="array" aca="1" ref="AC127" ca="1">Common_InputFunctions.Utility_DisplayArrayInTable(Fertiliser_SourceData.Fertiliser_Products_Data2(),FertiliserProducts[[#Headers],[Include or Exclude]], 20)</f>
        <v/>
      </c>
      <c r="AD127" s="10" t="str" cm="1">
        <f t="array" aca="1" ref="AD127" ca="1">Common_InputFunctions.Utility_DisplayArrayInTable(Fertiliser_SourceData.Fertiliser_Products_Data2(),FertiliserProducts[[#Headers],[Include or Exclude]], 20)</f>
        <v/>
      </c>
      <c r="AE127" s="10" t="str" cm="1">
        <f t="array" aca="1" ref="AE127" ca="1">Common_InputFunctions.Utility_DisplayArrayInTable(Fertiliser_SourceData.Fertiliser_Products_Data2(),FertiliserProducts[[#Headers],[Include or Exclude]], 20)</f>
        <v/>
      </c>
    </row>
    <row r="128" spans="4:31" ht="20.100000000000001" customHeight="1" x14ac:dyDescent="0.25">
      <c r="D128" s="65" t="str" cm="1">
        <f t="array" aca="1" ref="D128" ca="1">Common_InputFunctions.Utility_DisplayArrayInTable(Fertiliser_SourceData.Fertiliser_Products_Data2(),FertiliserProducts[[#Headers],[Include or Exclude]], 20)</f>
        <v/>
      </c>
      <c r="E128" s="65" t="str" cm="1">
        <f t="array" aca="1" ref="E128" ca="1">Common_InputFunctions.Utility_DisplayArrayInTable(Fertiliser_SourceData.Fertiliser_Products_Data2(),FertiliserProducts[[#Headers],[Include or Exclude]], 20)</f>
        <v/>
      </c>
      <c r="F128" s="65" t="str" cm="1">
        <f t="array" aca="1" ref="F128" ca="1">Common_InputFunctions.Utility_DisplayArrayInTable(Fertiliser_SourceData.Fertiliser_Products_Data2(),FertiliserProducts[[#Headers],[Include or Exclude]], 20)</f>
        <v/>
      </c>
      <c r="G128" s="65" t="str" cm="1">
        <f t="array" aca="1" ref="G128" ca="1">Common_InputFunctions.Utility_DisplayArrayInTable(Fertiliser_SourceData.Fertiliser_Products_Data2(),FertiliserProducts[[#Headers],[Include or Exclude]], 20)</f>
        <v/>
      </c>
      <c r="H128" s="65" t="str" cm="1">
        <f t="array" aca="1" ref="H128" ca="1">Common_InputFunctions.Utility_DisplayArrayInTable(Fertiliser_SourceData.Fertiliser_Products_Data2(),FertiliserProducts[[#Headers],[Include or Exclude]], 20)</f>
        <v/>
      </c>
      <c r="I128" s="65" t="str" cm="1">
        <f t="array" aca="1" ref="I128" ca="1">Common_InputFunctions.Utility_DisplayArrayInTable(Fertiliser_SourceData.Fertiliser_Products_Data2(),FertiliserProducts[[#Headers],[Include or Exclude]], 20)</f>
        <v/>
      </c>
      <c r="J128" s="65" t="str" cm="1">
        <f t="array" aca="1" ref="J128" ca="1">Common_InputFunctions.Utility_DisplayArrayInTable(Fertiliser_SourceData.Fertiliser_Products_Data2(),FertiliserProducts[[#Headers],[Include or Exclude]], 20)</f>
        <v/>
      </c>
      <c r="K128" s="65" t="str" cm="1">
        <f t="array" aca="1" ref="K128" ca="1">Common_InputFunctions.Utility_DisplayArrayInTable(Fertiliser_SourceData.Fertiliser_Products_Data2(),FertiliserProducts[[#Headers],[Include or Exclude]], 20)</f>
        <v/>
      </c>
      <c r="L128" s="65" t="str" cm="1">
        <f t="array" aca="1" ref="L128" ca="1">Common_InputFunctions.Utility_DisplayArrayInTable(Fertiliser_SourceData.Fertiliser_Products_Data2(),FertiliserProducts[[#Headers],[Include or Exclude]], 20)</f>
        <v/>
      </c>
      <c r="M128" s="65" t="str" cm="1">
        <f t="array" aca="1" ref="M128" ca="1">Common_InputFunctions.Utility_DisplayArrayInTable(Fertiliser_SourceData.Fertiliser_Products_Data2(),FertiliserProducts[[#Headers],[Include or Exclude]], 20)</f>
        <v/>
      </c>
      <c r="N128" s="65" t="str" cm="1">
        <f t="array" aca="1" ref="N128" ca="1">Common_InputFunctions.Utility_DisplayArrayInTable(Fertiliser_SourceData.Fertiliser_Products_Data2(),FertiliserProducts[[#Headers],[Include or Exclude]], 20)</f>
        <v/>
      </c>
      <c r="O128" s="65" t="str" cm="1">
        <f t="array" aca="1" ref="O128" ca="1">Common_InputFunctions.Utility_DisplayArrayInTable(Fertiliser_SourceData.Fertiliser_Products_Data2(),FertiliserProducts[[#Headers],[Include or Exclude]], 20)</f>
        <v/>
      </c>
      <c r="P128" s="65" t="str" cm="1">
        <f t="array" aca="1" ref="P128" ca="1">Common_InputFunctions.Utility_DisplayArrayInTable(Fertiliser_SourceData.Fertiliser_Products_Data2(),FertiliserProducts[[#Headers],[Include or Exclude]], 20)</f>
        <v/>
      </c>
      <c r="Q128" s="65" t="str" cm="1">
        <f t="array" aca="1" ref="Q128" ca="1">Common_InputFunctions.Utility_DisplayArrayInTable(Fertiliser_SourceData.Fertiliser_Products_Data2(),FertiliserProducts[[#Headers],[Include or Exclude]], 20)</f>
        <v/>
      </c>
      <c r="R128" s="65" t="str" cm="1">
        <f t="array" aca="1" ref="R128" ca="1">Common_InputFunctions.Utility_DisplayArrayInTable(Fertiliser_SourceData.Fertiliser_Products_Data2(),FertiliserProducts[[#Headers],[Include or Exclude]], 20)</f>
        <v/>
      </c>
      <c r="S128" s="65" t="str" cm="1">
        <f t="array" aca="1" ref="S128" ca="1">Common_InputFunctions.Utility_DisplayArrayInTable(Fertiliser_SourceData.Fertiliser_Products_Data2(),FertiliserProducts[[#Headers],[Include or Exclude]], 20)</f>
        <v/>
      </c>
      <c r="T128" s="65" t="str" cm="1">
        <f t="array" aca="1" ref="T128" ca="1">Common_InputFunctions.Utility_DisplayArrayInTable(Fertiliser_SourceData.Fertiliser_Products_Data2(),FertiliserProducts[[#Headers],[Include or Exclude]], 20)</f>
        <v/>
      </c>
      <c r="U128" s="65" t="str" cm="1">
        <f t="array" aca="1" ref="U128" ca="1">Common_InputFunctions.Utility_DisplayArrayInTable(Fertiliser_SourceData.Fertiliser_Products_Data2(),FertiliserProducts[[#Headers],[Include or Exclude]], 20)</f>
        <v/>
      </c>
      <c r="V128" s="65" t="str" cm="1">
        <f t="array" aca="1" ref="V128" ca="1">Common_InputFunctions.Utility_DisplayArrayInTable(Fertiliser_SourceData.Fertiliser_Products_Data2(),FertiliserProducts[[#Headers],[Include or Exclude]], 20)</f>
        <v/>
      </c>
      <c r="W128" s="65" t="str" cm="1">
        <f t="array" aca="1" ref="W128" ca="1">Common_InputFunctions.Utility_DisplayArrayInTable(Fertiliser_SourceData.Fertiliser_Products_Data2(),FertiliserProducts[[#Headers],[Include or Exclude]], 20)</f>
        <v/>
      </c>
      <c r="X128" s="65" t="str" cm="1">
        <f t="array" aca="1" ref="X128" ca="1">Common_InputFunctions.Utility_DisplayArrayInTable(Fertiliser_SourceData.Fertiliser_Products_Data2(),FertiliserProducts[[#Headers],[Include or Exclude]], 20)</f>
        <v/>
      </c>
      <c r="Y128" s="65" t="str" cm="1">
        <f t="array" aca="1" ref="Y128" ca="1">Common_InputFunctions.Utility_DisplayArrayInTable(Fertiliser_SourceData.Fertiliser_Products_Data2(),FertiliserProducts[[#Headers],[Include or Exclude]], 20)</f>
        <v/>
      </c>
      <c r="Z128" s="65" t="str" cm="1">
        <f t="array" aca="1" ref="Z128" ca="1">Common_InputFunctions.Utility_DisplayArrayInTable(Fertiliser_SourceData.Fertiliser_Products_Data2(),FertiliserProducts[[#Headers],[Include or Exclude]], 20)</f>
        <v/>
      </c>
      <c r="AA128" s="10" t="str" cm="1">
        <f t="array" aca="1" ref="AA128" ca="1">Common_InputFunctions.Utility_DisplayArrayInTable(Fertiliser_SourceData.Fertiliser_Products_Data2(),FertiliserProducts[[#Headers],[Include or Exclude]], 20)</f>
        <v/>
      </c>
      <c r="AB128" s="10" t="str" cm="1">
        <f t="array" aca="1" ref="AB128" ca="1">Common_InputFunctions.Utility_DisplayArrayInTable(Fertiliser_SourceData.Fertiliser_Products_Data2(),FertiliserProducts[[#Headers],[Include or Exclude]], 20)</f>
        <v/>
      </c>
      <c r="AC128" s="10" t="str" cm="1">
        <f t="array" aca="1" ref="AC128" ca="1">Common_InputFunctions.Utility_DisplayArrayInTable(Fertiliser_SourceData.Fertiliser_Products_Data2(),FertiliserProducts[[#Headers],[Include or Exclude]], 20)</f>
        <v/>
      </c>
      <c r="AD128" s="10" t="str" cm="1">
        <f t="array" aca="1" ref="AD128" ca="1">Common_InputFunctions.Utility_DisplayArrayInTable(Fertiliser_SourceData.Fertiliser_Products_Data2(),FertiliserProducts[[#Headers],[Include or Exclude]], 20)</f>
        <v/>
      </c>
      <c r="AE128" s="10" t="str" cm="1">
        <f t="array" aca="1" ref="AE128" ca="1">Common_InputFunctions.Utility_DisplayArrayInTable(Fertiliser_SourceData.Fertiliser_Products_Data2(),FertiliserProducts[[#Headers],[Include or Exclude]], 20)</f>
        <v/>
      </c>
    </row>
    <row r="129" spans="4:31" ht="20.100000000000001" customHeight="1" x14ac:dyDescent="0.25">
      <c r="D129" s="65" t="str" cm="1">
        <f t="array" aca="1" ref="D129" ca="1">Common_InputFunctions.Utility_DisplayArrayInTable(Fertiliser_SourceData.Fertiliser_Products_Data3(),FertiliserProducts[[#Headers],[Include or Exclude]], 40)</f>
        <v/>
      </c>
      <c r="E129" s="65" t="str" cm="1">
        <f t="array" aca="1" ref="E129" ca="1">Common_InputFunctions.Utility_DisplayArrayInTable(Fertiliser_SourceData.Fertiliser_Products_Data3(),FertiliserProducts[[#Headers],[Include or Exclude]], 40)</f>
        <v/>
      </c>
      <c r="F129" s="65" t="str" cm="1">
        <f t="array" aca="1" ref="F129" ca="1">Common_InputFunctions.Utility_DisplayArrayInTable(Fertiliser_SourceData.Fertiliser_Products_Data3(),FertiliserProducts[[#Headers],[Include or Exclude]], 40)</f>
        <v/>
      </c>
      <c r="G129" s="65" t="str" cm="1">
        <f t="array" aca="1" ref="G129" ca="1">Common_InputFunctions.Utility_DisplayArrayInTable(Fertiliser_SourceData.Fertiliser_Products_Data3(),FertiliserProducts[[#Headers],[Include or Exclude]], 40)</f>
        <v/>
      </c>
      <c r="H129" s="65" t="str" cm="1">
        <f t="array" aca="1" ref="H129" ca="1">Common_InputFunctions.Utility_DisplayArrayInTable(Fertiliser_SourceData.Fertiliser_Products_Data3(),FertiliserProducts[[#Headers],[Include or Exclude]], 40)</f>
        <v/>
      </c>
      <c r="I129" s="65" t="str" cm="1">
        <f t="array" aca="1" ref="I129" ca="1">Common_InputFunctions.Utility_DisplayArrayInTable(Fertiliser_SourceData.Fertiliser_Products_Data3(),FertiliserProducts[[#Headers],[Include or Exclude]], 40)</f>
        <v/>
      </c>
      <c r="J129" s="65" t="str" cm="1">
        <f t="array" aca="1" ref="J129" ca="1">Common_InputFunctions.Utility_DisplayArrayInTable(Fertiliser_SourceData.Fertiliser_Products_Data3(),FertiliserProducts[[#Headers],[Include or Exclude]], 40)</f>
        <v/>
      </c>
      <c r="K129" s="65" t="str" cm="1">
        <f t="array" aca="1" ref="K129" ca="1">Common_InputFunctions.Utility_DisplayArrayInTable(Fertiliser_SourceData.Fertiliser_Products_Data3(),FertiliserProducts[[#Headers],[Include or Exclude]], 40)</f>
        <v/>
      </c>
      <c r="L129" s="65" t="str" cm="1">
        <f t="array" aca="1" ref="L129" ca="1">Common_InputFunctions.Utility_DisplayArrayInTable(Fertiliser_SourceData.Fertiliser_Products_Data3(),FertiliserProducts[[#Headers],[Include or Exclude]], 40)</f>
        <v/>
      </c>
      <c r="M129" s="65" t="str" cm="1">
        <f t="array" aca="1" ref="M129" ca="1">Common_InputFunctions.Utility_DisplayArrayInTable(Fertiliser_SourceData.Fertiliser_Products_Data3(),FertiliserProducts[[#Headers],[Include or Exclude]], 40)</f>
        <v/>
      </c>
      <c r="N129" s="65" t="str" cm="1">
        <f t="array" aca="1" ref="N129" ca="1">Common_InputFunctions.Utility_DisplayArrayInTable(Fertiliser_SourceData.Fertiliser_Products_Data3(),FertiliserProducts[[#Headers],[Include or Exclude]], 40)</f>
        <v/>
      </c>
      <c r="O129" s="65" t="str" cm="1">
        <f t="array" aca="1" ref="O129" ca="1">Common_InputFunctions.Utility_DisplayArrayInTable(Fertiliser_SourceData.Fertiliser_Products_Data3(),FertiliserProducts[[#Headers],[Include or Exclude]], 40)</f>
        <v/>
      </c>
      <c r="P129" s="65" t="str" cm="1">
        <f t="array" aca="1" ref="P129" ca="1">Common_InputFunctions.Utility_DisplayArrayInTable(Fertiliser_SourceData.Fertiliser_Products_Data3(),FertiliserProducts[[#Headers],[Include or Exclude]], 40)</f>
        <v/>
      </c>
      <c r="Q129" s="65" t="str" cm="1">
        <f t="array" aca="1" ref="Q129" ca="1">Common_InputFunctions.Utility_DisplayArrayInTable(Fertiliser_SourceData.Fertiliser_Products_Data3(),FertiliserProducts[[#Headers],[Include or Exclude]], 40)</f>
        <v/>
      </c>
      <c r="R129" s="65" t="str" cm="1">
        <f t="array" aca="1" ref="R129" ca="1">Common_InputFunctions.Utility_DisplayArrayInTable(Fertiliser_SourceData.Fertiliser_Products_Data3(),FertiliserProducts[[#Headers],[Include or Exclude]], 40)</f>
        <v/>
      </c>
      <c r="S129" s="65" t="str" cm="1">
        <f t="array" aca="1" ref="S129" ca="1">Common_InputFunctions.Utility_DisplayArrayInTable(Fertiliser_SourceData.Fertiliser_Products_Data3(),FertiliserProducts[[#Headers],[Include or Exclude]], 40)</f>
        <v/>
      </c>
      <c r="T129" s="65" t="str" cm="1">
        <f t="array" aca="1" ref="T129" ca="1">Common_InputFunctions.Utility_DisplayArrayInTable(Fertiliser_SourceData.Fertiliser_Products_Data3(),FertiliserProducts[[#Headers],[Include or Exclude]], 40)</f>
        <v/>
      </c>
      <c r="U129" s="65" t="str" cm="1">
        <f t="array" aca="1" ref="U129" ca="1">Common_InputFunctions.Utility_DisplayArrayInTable(Fertiliser_SourceData.Fertiliser_Products_Data3(),FertiliserProducts[[#Headers],[Include or Exclude]], 40)</f>
        <v/>
      </c>
      <c r="V129" s="65" t="str" cm="1">
        <f t="array" aca="1" ref="V129" ca="1">Common_InputFunctions.Utility_DisplayArrayInTable(Fertiliser_SourceData.Fertiliser_Products_Data3(),FertiliserProducts[[#Headers],[Include or Exclude]], 40)</f>
        <v/>
      </c>
      <c r="W129" s="65" t="str" cm="1">
        <f t="array" aca="1" ref="W129" ca="1">Common_InputFunctions.Utility_DisplayArrayInTable(Fertiliser_SourceData.Fertiliser_Products_Data3(),FertiliserProducts[[#Headers],[Include or Exclude]], 40)</f>
        <v/>
      </c>
      <c r="X129" s="65" t="str" cm="1">
        <f t="array" aca="1" ref="X129" ca="1">Common_InputFunctions.Utility_DisplayArrayInTable(Fertiliser_SourceData.Fertiliser_Products_Data3(),FertiliserProducts[[#Headers],[Include or Exclude]], 40)</f>
        <v/>
      </c>
      <c r="Y129" s="65" t="str" cm="1">
        <f t="array" aca="1" ref="Y129" ca="1">Common_InputFunctions.Utility_DisplayArrayInTable(Fertiliser_SourceData.Fertiliser_Products_Data3(),FertiliserProducts[[#Headers],[Include or Exclude]], 40)</f>
        <v/>
      </c>
      <c r="Z129" s="65" t="str" cm="1">
        <f t="array" aca="1" ref="Z129" ca="1">Common_InputFunctions.Utility_DisplayArrayInTable(Fertiliser_SourceData.Fertiliser_Products_Data3(),FertiliserProducts[[#Headers],[Include or Exclude]], 40)</f>
        <v/>
      </c>
      <c r="AA129" s="10" t="str" cm="1">
        <f t="array" aca="1" ref="AA129" ca="1">Common_InputFunctions.Utility_DisplayArrayInTable(Fertiliser_SourceData.Fertiliser_Products_Data3(),FertiliserProducts[[#Headers],[Include or Exclude]], 40)</f>
        <v/>
      </c>
      <c r="AB129" s="10" t="str" cm="1">
        <f t="array" aca="1" ref="AB129" ca="1">Common_InputFunctions.Utility_DisplayArrayInTable(Fertiliser_SourceData.Fertiliser_Products_Data3(),FertiliserProducts[[#Headers],[Include or Exclude]], 40)</f>
        <v/>
      </c>
      <c r="AC129" s="10" t="str" cm="1">
        <f t="array" aca="1" ref="AC129" ca="1">Common_InputFunctions.Utility_DisplayArrayInTable(Fertiliser_SourceData.Fertiliser_Products_Data3(),FertiliserProducts[[#Headers],[Include or Exclude]], 40)</f>
        <v/>
      </c>
      <c r="AD129" s="10" t="str" cm="1">
        <f t="array" aca="1" ref="AD129" ca="1">Common_InputFunctions.Utility_DisplayArrayInTable(Fertiliser_SourceData.Fertiliser_Products_Data3(),FertiliserProducts[[#Headers],[Include or Exclude]], 40)</f>
        <v/>
      </c>
      <c r="AE129" s="10" t="str" cm="1">
        <f t="array" aca="1" ref="AE129" ca="1">Common_InputFunctions.Utility_DisplayArrayInTable(Fertiliser_SourceData.Fertiliser_Products_Data3(),FertiliserProducts[[#Headers],[Include or Exclude]], 40)</f>
        <v/>
      </c>
    </row>
    <row r="130" spans="4:31" ht="20.100000000000001" customHeight="1" x14ac:dyDescent="0.25">
      <c r="D130" s="65" t="str" cm="1">
        <f t="array" aca="1" ref="D130" ca="1">Common_InputFunctions.Utility_DisplayArrayInTable(Fertiliser_SourceData.Fertiliser_Products_Data3(),FertiliserProducts[[#Headers],[Include or Exclude]], 40)</f>
        <v/>
      </c>
      <c r="E130" s="65" t="str" cm="1">
        <f t="array" aca="1" ref="E130" ca="1">Common_InputFunctions.Utility_DisplayArrayInTable(Fertiliser_SourceData.Fertiliser_Products_Data3(),FertiliserProducts[[#Headers],[Include or Exclude]], 40)</f>
        <v/>
      </c>
      <c r="F130" s="65" t="str" cm="1">
        <f t="array" aca="1" ref="F130" ca="1">Common_InputFunctions.Utility_DisplayArrayInTable(Fertiliser_SourceData.Fertiliser_Products_Data3(),FertiliserProducts[[#Headers],[Include or Exclude]], 40)</f>
        <v/>
      </c>
      <c r="G130" s="65" t="str" cm="1">
        <f t="array" aca="1" ref="G130" ca="1">Common_InputFunctions.Utility_DisplayArrayInTable(Fertiliser_SourceData.Fertiliser_Products_Data3(),FertiliserProducts[[#Headers],[Include or Exclude]], 40)</f>
        <v/>
      </c>
      <c r="H130" s="65" t="str" cm="1">
        <f t="array" aca="1" ref="H130" ca="1">Common_InputFunctions.Utility_DisplayArrayInTable(Fertiliser_SourceData.Fertiliser_Products_Data3(),FertiliserProducts[[#Headers],[Include or Exclude]], 40)</f>
        <v/>
      </c>
      <c r="I130" s="65" t="str" cm="1">
        <f t="array" aca="1" ref="I130" ca="1">Common_InputFunctions.Utility_DisplayArrayInTable(Fertiliser_SourceData.Fertiliser_Products_Data3(),FertiliserProducts[[#Headers],[Include or Exclude]], 40)</f>
        <v/>
      </c>
      <c r="J130" s="65" t="str" cm="1">
        <f t="array" aca="1" ref="J130" ca="1">Common_InputFunctions.Utility_DisplayArrayInTable(Fertiliser_SourceData.Fertiliser_Products_Data3(),FertiliserProducts[[#Headers],[Include or Exclude]], 40)</f>
        <v/>
      </c>
      <c r="K130" s="65" t="str" cm="1">
        <f t="array" aca="1" ref="K130" ca="1">Common_InputFunctions.Utility_DisplayArrayInTable(Fertiliser_SourceData.Fertiliser_Products_Data3(),FertiliserProducts[[#Headers],[Include or Exclude]], 40)</f>
        <v/>
      </c>
      <c r="L130" s="65" t="str" cm="1">
        <f t="array" aca="1" ref="L130" ca="1">Common_InputFunctions.Utility_DisplayArrayInTable(Fertiliser_SourceData.Fertiliser_Products_Data3(),FertiliserProducts[[#Headers],[Include or Exclude]], 40)</f>
        <v/>
      </c>
      <c r="M130" s="65" t="str" cm="1">
        <f t="array" aca="1" ref="M130" ca="1">Common_InputFunctions.Utility_DisplayArrayInTable(Fertiliser_SourceData.Fertiliser_Products_Data3(),FertiliserProducts[[#Headers],[Include or Exclude]], 40)</f>
        <v/>
      </c>
      <c r="N130" s="65" t="str" cm="1">
        <f t="array" aca="1" ref="N130" ca="1">Common_InputFunctions.Utility_DisplayArrayInTable(Fertiliser_SourceData.Fertiliser_Products_Data3(),FertiliserProducts[[#Headers],[Include or Exclude]], 40)</f>
        <v/>
      </c>
      <c r="O130" s="65" t="str" cm="1">
        <f t="array" aca="1" ref="O130" ca="1">Common_InputFunctions.Utility_DisplayArrayInTable(Fertiliser_SourceData.Fertiliser_Products_Data3(),FertiliserProducts[[#Headers],[Include or Exclude]], 40)</f>
        <v/>
      </c>
      <c r="P130" s="65" t="str" cm="1">
        <f t="array" aca="1" ref="P130" ca="1">Common_InputFunctions.Utility_DisplayArrayInTable(Fertiliser_SourceData.Fertiliser_Products_Data3(),FertiliserProducts[[#Headers],[Include or Exclude]], 40)</f>
        <v/>
      </c>
      <c r="Q130" s="65" t="str" cm="1">
        <f t="array" aca="1" ref="Q130" ca="1">Common_InputFunctions.Utility_DisplayArrayInTable(Fertiliser_SourceData.Fertiliser_Products_Data3(),FertiliserProducts[[#Headers],[Include or Exclude]], 40)</f>
        <v/>
      </c>
      <c r="R130" s="65" t="str" cm="1">
        <f t="array" aca="1" ref="R130" ca="1">Common_InputFunctions.Utility_DisplayArrayInTable(Fertiliser_SourceData.Fertiliser_Products_Data3(),FertiliserProducts[[#Headers],[Include or Exclude]], 40)</f>
        <v/>
      </c>
      <c r="S130" s="65" t="str" cm="1">
        <f t="array" aca="1" ref="S130" ca="1">Common_InputFunctions.Utility_DisplayArrayInTable(Fertiliser_SourceData.Fertiliser_Products_Data3(),FertiliserProducts[[#Headers],[Include or Exclude]], 40)</f>
        <v/>
      </c>
      <c r="T130" s="65" t="str" cm="1">
        <f t="array" aca="1" ref="T130" ca="1">Common_InputFunctions.Utility_DisplayArrayInTable(Fertiliser_SourceData.Fertiliser_Products_Data3(),FertiliserProducts[[#Headers],[Include or Exclude]], 40)</f>
        <v/>
      </c>
      <c r="U130" s="65" t="str" cm="1">
        <f t="array" aca="1" ref="U130" ca="1">Common_InputFunctions.Utility_DisplayArrayInTable(Fertiliser_SourceData.Fertiliser_Products_Data3(),FertiliserProducts[[#Headers],[Include or Exclude]], 40)</f>
        <v/>
      </c>
      <c r="V130" s="65" t="str" cm="1">
        <f t="array" aca="1" ref="V130" ca="1">Common_InputFunctions.Utility_DisplayArrayInTable(Fertiliser_SourceData.Fertiliser_Products_Data3(),FertiliserProducts[[#Headers],[Include or Exclude]], 40)</f>
        <v/>
      </c>
      <c r="W130" s="65" t="str" cm="1">
        <f t="array" aca="1" ref="W130" ca="1">Common_InputFunctions.Utility_DisplayArrayInTable(Fertiliser_SourceData.Fertiliser_Products_Data3(),FertiliserProducts[[#Headers],[Include or Exclude]], 40)</f>
        <v/>
      </c>
      <c r="X130" s="65" t="str" cm="1">
        <f t="array" aca="1" ref="X130" ca="1">Common_InputFunctions.Utility_DisplayArrayInTable(Fertiliser_SourceData.Fertiliser_Products_Data3(),FertiliserProducts[[#Headers],[Include or Exclude]], 40)</f>
        <v/>
      </c>
      <c r="Y130" s="65" t="str" cm="1">
        <f t="array" aca="1" ref="Y130" ca="1">Common_InputFunctions.Utility_DisplayArrayInTable(Fertiliser_SourceData.Fertiliser_Products_Data3(),FertiliserProducts[[#Headers],[Include or Exclude]], 40)</f>
        <v/>
      </c>
      <c r="Z130" s="65" t="str" cm="1">
        <f t="array" aca="1" ref="Z130" ca="1">Common_InputFunctions.Utility_DisplayArrayInTable(Fertiliser_SourceData.Fertiliser_Products_Data3(),FertiliserProducts[[#Headers],[Include or Exclude]], 40)</f>
        <v/>
      </c>
      <c r="AA130" s="10" t="str" cm="1">
        <f t="array" aca="1" ref="AA130" ca="1">Common_InputFunctions.Utility_DisplayArrayInTable(Fertiliser_SourceData.Fertiliser_Products_Data3(),FertiliserProducts[[#Headers],[Include or Exclude]], 40)</f>
        <v/>
      </c>
      <c r="AB130" s="10" t="str" cm="1">
        <f t="array" aca="1" ref="AB130" ca="1">Common_InputFunctions.Utility_DisplayArrayInTable(Fertiliser_SourceData.Fertiliser_Products_Data3(),FertiliserProducts[[#Headers],[Include or Exclude]], 40)</f>
        <v/>
      </c>
      <c r="AC130" s="10" t="str" cm="1">
        <f t="array" aca="1" ref="AC130" ca="1">Common_InputFunctions.Utility_DisplayArrayInTable(Fertiliser_SourceData.Fertiliser_Products_Data3(),FertiliserProducts[[#Headers],[Include or Exclude]], 40)</f>
        <v/>
      </c>
      <c r="AD130" s="10" t="str" cm="1">
        <f t="array" aca="1" ref="AD130" ca="1">Common_InputFunctions.Utility_DisplayArrayInTable(Fertiliser_SourceData.Fertiliser_Products_Data3(),FertiliserProducts[[#Headers],[Include or Exclude]], 40)</f>
        <v/>
      </c>
      <c r="AE130" s="10" t="str" cm="1">
        <f t="array" aca="1" ref="AE130" ca="1">Common_InputFunctions.Utility_DisplayArrayInTable(Fertiliser_SourceData.Fertiliser_Products_Data3(),FertiliserProducts[[#Headers],[Include or Exclude]], 40)</f>
        <v/>
      </c>
    </row>
    <row r="131" spans="4:31" ht="20.100000000000001" customHeight="1" x14ac:dyDescent="0.25">
      <c r="D131" s="65" t="str" cm="1">
        <f t="array" aca="1" ref="D131" ca="1">Common_InputFunctions.Utility_DisplayArrayInTable(Fertiliser_SourceData.Fertiliser_Products_Data3(),FertiliserProducts[[#Headers],[Include or Exclude]], 40)</f>
        <v/>
      </c>
      <c r="E131" s="65" t="str" cm="1">
        <f t="array" aca="1" ref="E131" ca="1">Common_InputFunctions.Utility_DisplayArrayInTable(Fertiliser_SourceData.Fertiliser_Products_Data3(),FertiliserProducts[[#Headers],[Include or Exclude]], 40)</f>
        <v/>
      </c>
      <c r="F131" s="65" t="str" cm="1">
        <f t="array" aca="1" ref="F131" ca="1">Common_InputFunctions.Utility_DisplayArrayInTable(Fertiliser_SourceData.Fertiliser_Products_Data3(),FertiliserProducts[[#Headers],[Include or Exclude]], 40)</f>
        <v/>
      </c>
      <c r="G131" s="65" t="str" cm="1">
        <f t="array" aca="1" ref="G131" ca="1">Common_InputFunctions.Utility_DisplayArrayInTable(Fertiliser_SourceData.Fertiliser_Products_Data3(),FertiliserProducts[[#Headers],[Include or Exclude]], 40)</f>
        <v/>
      </c>
      <c r="H131" s="65" t="str" cm="1">
        <f t="array" aca="1" ref="H131" ca="1">Common_InputFunctions.Utility_DisplayArrayInTable(Fertiliser_SourceData.Fertiliser_Products_Data3(),FertiliserProducts[[#Headers],[Include or Exclude]], 40)</f>
        <v/>
      </c>
      <c r="I131" s="65" t="str" cm="1">
        <f t="array" aca="1" ref="I131" ca="1">Common_InputFunctions.Utility_DisplayArrayInTable(Fertiliser_SourceData.Fertiliser_Products_Data3(),FertiliserProducts[[#Headers],[Include or Exclude]], 40)</f>
        <v/>
      </c>
      <c r="J131" s="65" t="str" cm="1">
        <f t="array" aca="1" ref="J131" ca="1">Common_InputFunctions.Utility_DisplayArrayInTable(Fertiliser_SourceData.Fertiliser_Products_Data3(),FertiliserProducts[[#Headers],[Include or Exclude]], 40)</f>
        <v/>
      </c>
      <c r="K131" s="65" t="str" cm="1">
        <f t="array" aca="1" ref="K131" ca="1">Common_InputFunctions.Utility_DisplayArrayInTable(Fertiliser_SourceData.Fertiliser_Products_Data3(),FertiliserProducts[[#Headers],[Include or Exclude]], 40)</f>
        <v/>
      </c>
      <c r="L131" s="65" t="str" cm="1">
        <f t="array" aca="1" ref="L131" ca="1">Common_InputFunctions.Utility_DisplayArrayInTable(Fertiliser_SourceData.Fertiliser_Products_Data3(),FertiliserProducts[[#Headers],[Include or Exclude]], 40)</f>
        <v/>
      </c>
      <c r="M131" s="65" t="str" cm="1">
        <f t="array" aca="1" ref="M131" ca="1">Common_InputFunctions.Utility_DisplayArrayInTable(Fertiliser_SourceData.Fertiliser_Products_Data3(),FertiliserProducts[[#Headers],[Include or Exclude]], 40)</f>
        <v/>
      </c>
      <c r="N131" s="65" t="str" cm="1">
        <f t="array" aca="1" ref="N131" ca="1">Common_InputFunctions.Utility_DisplayArrayInTable(Fertiliser_SourceData.Fertiliser_Products_Data3(),FertiliserProducts[[#Headers],[Include or Exclude]], 40)</f>
        <v/>
      </c>
      <c r="O131" s="65" t="str" cm="1">
        <f t="array" aca="1" ref="O131" ca="1">Common_InputFunctions.Utility_DisplayArrayInTable(Fertiliser_SourceData.Fertiliser_Products_Data3(),FertiliserProducts[[#Headers],[Include or Exclude]], 40)</f>
        <v/>
      </c>
      <c r="P131" s="65" t="str" cm="1">
        <f t="array" aca="1" ref="P131" ca="1">Common_InputFunctions.Utility_DisplayArrayInTable(Fertiliser_SourceData.Fertiliser_Products_Data3(),FertiliserProducts[[#Headers],[Include or Exclude]], 40)</f>
        <v/>
      </c>
      <c r="Q131" s="65" t="str" cm="1">
        <f t="array" aca="1" ref="Q131" ca="1">Common_InputFunctions.Utility_DisplayArrayInTable(Fertiliser_SourceData.Fertiliser_Products_Data3(),FertiliserProducts[[#Headers],[Include or Exclude]], 40)</f>
        <v/>
      </c>
      <c r="R131" s="65" t="str" cm="1">
        <f t="array" aca="1" ref="R131" ca="1">Common_InputFunctions.Utility_DisplayArrayInTable(Fertiliser_SourceData.Fertiliser_Products_Data3(),FertiliserProducts[[#Headers],[Include or Exclude]], 40)</f>
        <v/>
      </c>
      <c r="S131" s="65" t="str" cm="1">
        <f t="array" aca="1" ref="S131" ca="1">Common_InputFunctions.Utility_DisplayArrayInTable(Fertiliser_SourceData.Fertiliser_Products_Data3(),FertiliserProducts[[#Headers],[Include or Exclude]], 40)</f>
        <v/>
      </c>
      <c r="T131" s="65" t="str" cm="1">
        <f t="array" aca="1" ref="T131" ca="1">Common_InputFunctions.Utility_DisplayArrayInTable(Fertiliser_SourceData.Fertiliser_Products_Data3(),FertiliserProducts[[#Headers],[Include or Exclude]], 40)</f>
        <v/>
      </c>
      <c r="U131" s="65" t="str" cm="1">
        <f t="array" aca="1" ref="U131" ca="1">Common_InputFunctions.Utility_DisplayArrayInTable(Fertiliser_SourceData.Fertiliser_Products_Data3(),FertiliserProducts[[#Headers],[Include or Exclude]], 40)</f>
        <v/>
      </c>
      <c r="V131" s="65" t="str" cm="1">
        <f t="array" aca="1" ref="V131" ca="1">Common_InputFunctions.Utility_DisplayArrayInTable(Fertiliser_SourceData.Fertiliser_Products_Data3(),FertiliserProducts[[#Headers],[Include or Exclude]], 40)</f>
        <v/>
      </c>
      <c r="W131" s="65" t="str" cm="1">
        <f t="array" aca="1" ref="W131" ca="1">Common_InputFunctions.Utility_DisplayArrayInTable(Fertiliser_SourceData.Fertiliser_Products_Data3(),FertiliserProducts[[#Headers],[Include or Exclude]], 40)</f>
        <v/>
      </c>
      <c r="X131" s="65" t="str" cm="1">
        <f t="array" aca="1" ref="X131" ca="1">Common_InputFunctions.Utility_DisplayArrayInTable(Fertiliser_SourceData.Fertiliser_Products_Data3(),FertiliserProducts[[#Headers],[Include or Exclude]], 40)</f>
        <v/>
      </c>
      <c r="Y131" s="65" t="str" cm="1">
        <f t="array" aca="1" ref="Y131" ca="1">Common_InputFunctions.Utility_DisplayArrayInTable(Fertiliser_SourceData.Fertiliser_Products_Data3(),FertiliserProducts[[#Headers],[Include or Exclude]], 40)</f>
        <v/>
      </c>
      <c r="Z131" s="65" t="str" cm="1">
        <f t="array" aca="1" ref="Z131" ca="1">Common_InputFunctions.Utility_DisplayArrayInTable(Fertiliser_SourceData.Fertiliser_Products_Data3(),FertiliserProducts[[#Headers],[Include or Exclude]], 40)</f>
        <v/>
      </c>
      <c r="AA131" s="10" t="str" cm="1">
        <f t="array" aca="1" ref="AA131" ca="1">Common_InputFunctions.Utility_DisplayArrayInTable(Fertiliser_SourceData.Fertiliser_Products_Data3(),FertiliserProducts[[#Headers],[Include or Exclude]], 40)</f>
        <v/>
      </c>
      <c r="AB131" s="10" t="str" cm="1">
        <f t="array" aca="1" ref="AB131" ca="1">Common_InputFunctions.Utility_DisplayArrayInTable(Fertiliser_SourceData.Fertiliser_Products_Data3(),FertiliserProducts[[#Headers],[Include or Exclude]], 40)</f>
        <v/>
      </c>
      <c r="AC131" s="10" t="str" cm="1">
        <f t="array" aca="1" ref="AC131" ca="1">Common_InputFunctions.Utility_DisplayArrayInTable(Fertiliser_SourceData.Fertiliser_Products_Data3(),FertiliserProducts[[#Headers],[Include or Exclude]], 40)</f>
        <v/>
      </c>
      <c r="AD131" s="10" t="str" cm="1">
        <f t="array" aca="1" ref="AD131" ca="1">Common_InputFunctions.Utility_DisplayArrayInTable(Fertiliser_SourceData.Fertiliser_Products_Data3(),FertiliserProducts[[#Headers],[Include or Exclude]], 40)</f>
        <v/>
      </c>
      <c r="AE131" s="10" t="str" cm="1">
        <f t="array" aca="1" ref="AE131" ca="1">Common_InputFunctions.Utility_DisplayArrayInTable(Fertiliser_SourceData.Fertiliser_Products_Data3(),FertiliserProducts[[#Headers],[Include or Exclude]], 40)</f>
        <v/>
      </c>
    </row>
    <row r="132" spans="4:31" ht="20.100000000000001" customHeight="1" x14ac:dyDescent="0.25">
      <c r="D132" s="65" t="str" cm="1">
        <f t="array" aca="1" ref="D132" ca="1">Common_InputFunctions.Utility_DisplayArrayInTable(Fertiliser_SourceData.Fertiliser_Products_Data3(),FertiliserProducts[[#Headers],[Include or Exclude]], 40)</f>
        <v/>
      </c>
      <c r="E132" s="65" t="str" cm="1">
        <f t="array" aca="1" ref="E132" ca="1">Common_InputFunctions.Utility_DisplayArrayInTable(Fertiliser_SourceData.Fertiliser_Products_Data3(),FertiliserProducts[[#Headers],[Include or Exclude]], 40)</f>
        <v/>
      </c>
      <c r="F132" s="65" t="str" cm="1">
        <f t="array" aca="1" ref="F132" ca="1">Common_InputFunctions.Utility_DisplayArrayInTable(Fertiliser_SourceData.Fertiliser_Products_Data3(),FertiliserProducts[[#Headers],[Include or Exclude]], 40)</f>
        <v/>
      </c>
      <c r="G132" s="65" t="str" cm="1">
        <f t="array" aca="1" ref="G132" ca="1">Common_InputFunctions.Utility_DisplayArrayInTable(Fertiliser_SourceData.Fertiliser_Products_Data3(),FertiliserProducts[[#Headers],[Include or Exclude]], 40)</f>
        <v/>
      </c>
      <c r="H132" s="65" t="str" cm="1">
        <f t="array" aca="1" ref="H132" ca="1">Common_InputFunctions.Utility_DisplayArrayInTable(Fertiliser_SourceData.Fertiliser_Products_Data3(),FertiliserProducts[[#Headers],[Include or Exclude]], 40)</f>
        <v/>
      </c>
      <c r="I132" s="65" t="str" cm="1">
        <f t="array" aca="1" ref="I132" ca="1">Common_InputFunctions.Utility_DisplayArrayInTable(Fertiliser_SourceData.Fertiliser_Products_Data3(),FertiliserProducts[[#Headers],[Include or Exclude]], 40)</f>
        <v/>
      </c>
      <c r="J132" s="65" t="str" cm="1">
        <f t="array" aca="1" ref="J132" ca="1">Common_InputFunctions.Utility_DisplayArrayInTable(Fertiliser_SourceData.Fertiliser_Products_Data3(),FertiliserProducts[[#Headers],[Include or Exclude]], 40)</f>
        <v/>
      </c>
      <c r="K132" s="65" t="str" cm="1">
        <f t="array" aca="1" ref="K132" ca="1">Common_InputFunctions.Utility_DisplayArrayInTable(Fertiliser_SourceData.Fertiliser_Products_Data3(),FertiliserProducts[[#Headers],[Include or Exclude]], 40)</f>
        <v/>
      </c>
      <c r="L132" s="65" t="str" cm="1">
        <f t="array" aca="1" ref="L132" ca="1">Common_InputFunctions.Utility_DisplayArrayInTable(Fertiliser_SourceData.Fertiliser_Products_Data3(),FertiliserProducts[[#Headers],[Include or Exclude]], 40)</f>
        <v/>
      </c>
      <c r="M132" s="65" t="str" cm="1">
        <f t="array" aca="1" ref="M132" ca="1">Common_InputFunctions.Utility_DisplayArrayInTable(Fertiliser_SourceData.Fertiliser_Products_Data3(),FertiliserProducts[[#Headers],[Include or Exclude]], 40)</f>
        <v/>
      </c>
      <c r="N132" s="65" t="str" cm="1">
        <f t="array" aca="1" ref="N132" ca="1">Common_InputFunctions.Utility_DisplayArrayInTable(Fertiliser_SourceData.Fertiliser_Products_Data3(),FertiliserProducts[[#Headers],[Include or Exclude]], 40)</f>
        <v/>
      </c>
      <c r="O132" s="65" t="str" cm="1">
        <f t="array" aca="1" ref="O132" ca="1">Common_InputFunctions.Utility_DisplayArrayInTable(Fertiliser_SourceData.Fertiliser_Products_Data3(),FertiliserProducts[[#Headers],[Include or Exclude]], 40)</f>
        <v/>
      </c>
      <c r="P132" s="65" t="str" cm="1">
        <f t="array" aca="1" ref="P132" ca="1">Common_InputFunctions.Utility_DisplayArrayInTable(Fertiliser_SourceData.Fertiliser_Products_Data3(),FertiliserProducts[[#Headers],[Include or Exclude]], 40)</f>
        <v/>
      </c>
      <c r="Q132" s="65" t="str" cm="1">
        <f t="array" aca="1" ref="Q132" ca="1">Common_InputFunctions.Utility_DisplayArrayInTable(Fertiliser_SourceData.Fertiliser_Products_Data3(),FertiliserProducts[[#Headers],[Include or Exclude]], 40)</f>
        <v/>
      </c>
      <c r="R132" s="65" t="str" cm="1">
        <f t="array" aca="1" ref="R132" ca="1">Common_InputFunctions.Utility_DisplayArrayInTable(Fertiliser_SourceData.Fertiliser_Products_Data3(),FertiliserProducts[[#Headers],[Include or Exclude]], 40)</f>
        <v/>
      </c>
      <c r="S132" s="65" t="str" cm="1">
        <f t="array" aca="1" ref="S132" ca="1">Common_InputFunctions.Utility_DisplayArrayInTable(Fertiliser_SourceData.Fertiliser_Products_Data3(),FertiliserProducts[[#Headers],[Include or Exclude]], 40)</f>
        <v/>
      </c>
      <c r="T132" s="65" t="str" cm="1">
        <f t="array" aca="1" ref="T132" ca="1">Common_InputFunctions.Utility_DisplayArrayInTable(Fertiliser_SourceData.Fertiliser_Products_Data3(),FertiliserProducts[[#Headers],[Include or Exclude]], 40)</f>
        <v/>
      </c>
      <c r="U132" s="65" t="str" cm="1">
        <f t="array" aca="1" ref="U132" ca="1">Common_InputFunctions.Utility_DisplayArrayInTable(Fertiliser_SourceData.Fertiliser_Products_Data3(),FertiliserProducts[[#Headers],[Include or Exclude]], 40)</f>
        <v/>
      </c>
      <c r="V132" s="65" t="str" cm="1">
        <f t="array" aca="1" ref="V132" ca="1">Common_InputFunctions.Utility_DisplayArrayInTable(Fertiliser_SourceData.Fertiliser_Products_Data3(),FertiliserProducts[[#Headers],[Include or Exclude]], 40)</f>
        <v/>
      </c>
      <c r="W132" s="65" t="str" cm="1">
        <f t="array" aca="1" ref="W132" ca="1">Common_InputFunctions.Utility_DisplayArrayInTable(Fertiliser_SourceData.Fertiliser_Products_Data3(),FertiliserProducts[[#Headers],[Include or Exclude]], 40)</f>
        <v/>
      </c>
      <c r="X132" s="65" t="str" cm="1">
        <f t="array" aca="1" ref="X132" ca="1">Common_InputFunctions.Utility_DisplayArrayInTable(Fertiliser_SourceData.Fertiliser_Products_Data3(),FertiliserProducts[[#Headers],[Include or Exclude]], 40)</f>
        <v/>
      </c>
      <c r="Y132" s="65" t="str" cm="1">
        <f t="array" aca="1" ref="Y132" ca="1">Common_InputFunctions.Utility_DisplayArrayInTable(Fertiliser_SourceData.Fertiliser_Products_Data3(),FertiliserProducts[[#Headers],[Include or Exclude]], 40)</f>
        <v/>
      </c>
      <c r="Z132" s="65" t="str" cm="1">
        <f t="array" aca="1" ref="Z132" ca="1">Common_InputFunctions.Utility_DisplayArrayInTable(Fertiliser_SourceData.Fertiliser_Products_Data3(),FertiliserProducts[[#Headers],[Include or Exclude]], 40)</f>
        <v/>
      </c>
      <c r="AA132" s="10" t="str" cm="1">
        <f t="array" aca="1" ref="AA132" ca="1">Common_InputFunctions.Utility_DisplayArrayInTable(Fertiliser_SourceData.Fertiliser_Products_Data3(),FertiliserProducts[[#Headers],[Include or Exclude]], 40)</f>
        <v/>
      </c>
      <c r="AB132" s="10" t="str" cm="1">
        <f t="array" aca="1" ref="AB132" ca="1">Common_InputFunctions.Utility_DisplayArrayInTable(Fertiliser_SourceData.Fertiliser_Products_Data3(),FertiliserProducts[[#Headers],[Include or Exclude]], 40)</f>
        <v/>
      </c>
      <c r="AC132" s="10" t="str" cm="1">
        <f t="array" aca="1" ref="AC132" ca="1">Common_InputFunctions.Utility_DisplayArrayInTable(Fertiliser_SourceData.Fertiliser_Products_Data3(),FertiliserProducts[[#Headers],[Include or Exclude]], 40)</f>
        <v/>
      </c>
      <c r="AD132" s="10" t="str" cm="1">
        <f t="array" aca="1" ref="AD132" ca="1">Common_InputFunctions.Utility_DisplayArrayInTable(Fertiliser_SourceData.Fertiliser_Products_Data3(),FertiliserProducts[[#Headers],[Include or Exclude]], 40)</f>
        <v/>
      </c>
      <c r="AE132" s="10" t="str" cm="1">
        <f t="array" aca="1" ref="AE132" ca="1">Common_InputFunctions.Utility_DisplayArrayInTable(Fertiliser_SourceData.Fertiliser_Products_Data3(),FertiliserProducts[[#Headers],[Include or Exclude]], 40)</f>
        <v/>
      </c>
    </row>
    <row r="133" spans="4:31" ht="20.100000000000001" customHeight="1" x14ac:dyDescent="0.25">
      <c r="D133" s="65" t="str" cm="1">
        <f t="array" aca="1" ref="D133" ca="1">Common_InputFunctions.Utility_DisplayArrayInTable(Fertiliser_SourceData.Fertiliser_Products_Data3(),FertiliserProducts[[#Headers],[Include or Exclude]], 40)</f>
        <v/>
      </c>
      <c r="E133" s="65" t="str" cm="1">
        <f t="array" aca="1" ref="E133" ca="1">Common_InputFunctions.Utility_DisplayArrayInTable(Fertiliser_SourceData.Fertiliser_Products_Data3(),FertiliserProducts[[#Headers],[Include or Exclude]], 40)</f>
        <v/>
      </c>
      <c r="F133" s="65" t="str" cm="1">
        <f t="array" aca="1" ref="F133" ca="1">Common_InputFunctions.Utility_DisplayArrayInTable(Fertiliser_SourceData.Fertiliser_Products_Data3(),FertiliserProducts[[#Headers],[Include or Exclude]], 40)</f>
        <v/>
      </c>
      <c r="G133" s="65" t="str" cm="1">
        <f t="array" aca="1" ref="G133" ca="1">Common_InputFunctions.Utility_DisplayArrayInTable(Fertiliser_SourceData.Fertiliser_Products_Data3(),FertiliserProducts[[#Headers],[Include or Exclude]], 40)</f>
        <v/>
      </c>
      <c r="H133" s="65" t="str" cm="1">
        <f t="array" aca="1" ref="H133" ca="1">Common_InputFunctions.Utility_DisplayArrayInTable(Fertiliser_SourceData.Fertiliser_Products_Data3(),FertiliserProducts[[#Headers],[Include or Exclude]], 40)</f>
        <v/>
      </c>
      <c r="I133" s="65" t="str" cm="1">
        <f t="array" aca="1" ref="I133" ca="1">Common_InputFunctions.Utility_DisplayArrayInTable(Fertiliser_SourceData.Fertiliser_Products_Data3(),FertiliserProducts[[#Headers],[Include or Exclude]], 40)</f>
        <v/>
      </c>
      <c r="J133" s="65" t="str" cm="1">
        <f t="array" aca="1" ref="J133" ca="1">Common_InputFunctions.Utility_DisplayArrayInTable(Fertiliser_SourceData.Fertiliser_Products_Data3(),FertiliserProducts[[#Headers],[Include or Exclude]], 40)</f>
        <v/>
      </c>
      <c r="K133" s="65" t="str" cm="1">
        <f t="array" aca="1" ref="K133" ca="1">Common_InputFunctions.Utility_DisplayArrayInTable(Fertiliser_SourceData.Fertiliser_Products_Data3(),FertiliserProducts[[#Headers],[Include or Exclude]], 40)</f>
        <v/>
      </c>
      <c r="L133" s="65" t="str" cm="1">
        <f t="array" aca="1" ref="L133" ca="1">Common_InputFunctions.Utility_DisplayArrayInTable(Fertiliser_SourceData.Fertiliser_Products_Data3(),FertiliserProducts[[#Headers],[Include or Exclude]], 40)</f>
        <v/>
      </c>
      <c r="M133" s="65" t="str" cm="1">
        <f t="array" aca="1" ref="M133" ca="1">Common_InputFunctions.Utility_DisplayArrayInTable(Fertiliser_SourceData.Fertiliser_Products_Data3(),FertiliserProducts[[#Headers],[Include or Exclude]], 40)</f>
        <v/>
      </c>
      <c r="N133" s="65" t="str" cm="1">
        <f t="array" aca="1" ref="N133" ca="1">Common_InputFunctions.Utility_DisplayArrayInTable(Fertiliser_SourceData.Fertiliser_Products_Data3(),FertiliserProducts[[#Headers],[Include or Exclude]], 40)</f>
        <v/>
      </c>
      <c r="O133" s="65" t="str" cm="1">
        <f t="array" aca="1" ref="O133" ca="1">Common_InputFunctions.Utility_DisplayArrayInTable(Fertiliser_SourceData.Fertiliser_Products_Data3(),FertiliserProducts[[#Headers],[Include or Exclude]], 40)</f>
        <v/>
      </c>
      <c r="P133" s="65" t="str" cm="1">
        <f t="array" aca="1" ref="P133" ca="1">Common_InputFunctions.Utility_DisplayArrayInTable(Fertiliser_SourceData.Fertiliser_Products_Data3(),FertiliserProducts[[#Headers],[Include or Exclude]], 40)</f>
        <v/>
      </c>
      <c r="Q133" s="65" t="str" cm="1">
        <f t="array" aca="1" ref="Q133" ca="1">Common_InputFunctions.Utility_DisplayArrayInTable(Fertiliser_SourceData.Fertiliser_Products_Data3(),FertiliserProducts[[#Headers],[Include or Exclude]], 40)</f>
        <v/>
      </c>
      <c r="R133" s="65" t="str" cm="1">
        <f t="array" aca="1" ref="R133" ca="1">Common_InputFunctions.Utility_DisplayArrayInTable(Fertiliser_SourceData.Fertiliser_Products_Data3(),FertiliserProducts[[#Headers],[Include or Exclude]], 40)</f>
        <v/>
      </c>
      <c r="S133" s="65" t="str" cm="1">
        <f t="array" aca="1" ref="S133" ca="1">Common_InputFunctions.Utility_DisplayArrayInTable(Fertiliser_SourceData.Fertiliser_Products_Data3(),FertiliserProducts[[#Headers],[Include or Exclude]], 40)</f>
        <v/>
      </c>
      <c r="T133" s="65" t="str" cm="1">
        <f t="array" aca="1" ref="T133" ca="1">Common_InputFunctions.Utility_DisplayArrayInTable(Fertiliser_SourceData.Fertiliser_Products_Data3(),FertiliserProducts[[#Headers],[Include or Exclude]], 40)</f>
        <v/>
      </c>
      <c r="U133" s="65" t="str" cm="1">
        <f t="array" aca="1" ref="U133" ca="1">Common_InputFunctions.Utility_DisplayArrayInTable(Fertiliser_SourceData.Fertiliser_Products_Data3(),FertiliserProducts[[#Headers],[Include or Exclude]], 40)</f>
        <v/>
      </c>
      <c r="V133" s="65" t="str" cm="1">
        <f t="array" aca="1" ref="V133" ca="1">Common_InputFunctions.Utility_DisplayArrayInTable(Fertiliser_SourceData.Fertiliser_Products_Data3(),FertiliserProducts[[#Headers],[Include or Exclude]], 40)</f>
        <v/>
      </c>
      <c r="W133" s="65" t="str" cm="1">
        <f t="array" aca="1" ref="W133" ca="1">Common_InputFunctions.Utility_DisplayArrayInTable(Fertiliser_SourceData.Fertiliser_Products_Data3(),FertiliserProducts[[#Headers],[Include or Exclude]], 40)</f>
        <v/>
      </c>
      <c r="X133" s="65" t="str" cm="1">
        <f t="array" aca="1" ref="X133" ca="1">Common_InputFunctions.Utility_DisplayArrayInTable(Fertiliser_SourceData.Fertiliser_Products_Data3(),FertiliserProducts[[#Headers],[Include or Exclude]], 40)</f>
        <v/>
      </c>
      <c r="Y133" s="65" t="str" cm="1">
        <f t="array" aca="1" ref="Y133" ca="1">Common_InputFunctions.Utility_DisplayArrayInTable(Fertiliser_SourceData.Fertiliser_Products_Data3(),FertiliserProducts[[#Headers],[Include or Exclude]], 40)</f>
        <v/>
      </c>
      <c r="Z133" s="65" t="str" cm="1">
        <f t="array" aca="1" ref="Z133" ca="1">Common_InputFunctions.Utility_DisplayArrayInTable(Fertiliser_SourceData.Fertiliser_Products_Data3(),FertiliserProducts[[#Headers],[Include or Exclude]], 40)</f>
        <v/>
      </c>
      <c r="AA133" s="10" t="str" cm="1">
        <f t="array" aca="1" ref="AA133" ca="1">Common_InputFunctions.Utility_DisplayArrayInTable(Fertiliser_SourceData.Fertiliser_Products_Data3(),FertiliserProducts[[#Headers],[Include or Exclude]], 40)</f>
        <v/>
      </c>
      <c r="AB133" s="10" t="str" cm="1">
        <f t="array" aca="1" ref="AB133" ca="1">Common_InputFunctions.Utility_DisplayArrayInTable(Fertiliser_SourceData.Fertiliser_Products_Data3(),FertiliserProducts[[#Headers],[Include or Exclude]], 40)</f>
        <v/>
      </c>
      <c r="AC133" s="10" t="str" cm="1">
        <f t="array" aca="1" ref="AC133" ca="1">Common_InputFunctions.Utility_DisplayArrayInTable(Fertiliser_SourceData.Fertiliser_Products_Data3(),FertiliserProducts[[#Headers],[Include or Exclude]], 40)</f>
        <v/>
      </c>
      <c r="AD133" s="10" t="str" cm="1">
        <f t="array" aca="1" ref="AD133" ca="1">Common_InputFunctions.Utility_DisplayArrayInTable(Fertiliser_SourceData.Fertiliser_Products_Data3(),FertiliserProducts[[#Headers],[Include or Exclude]], 40)</f>
        <v/>
      </c>
      <c r="AE133" s="10" t="str" cm="1">
        <f t="array" aca="1" ref="AE133" ca="1">Common_InputFunctions.Utility_DisplayArrayInTable(Fertiliser_SourceData.Fertiliser_Products_Data3(),FertiliserProducts[[#Headers],[Include or Exclude]], 40)</f>
        <v/>
      </c>
    </row>
    <row r="134" spans="4:31" ht="20.100000000000001" customHeight="1" x14ac:dyDescent="0.25">
      <c r="D134" s="65" t="str" cm="1">
        <f t="array" aca="1" ref="D134" ca="1">Common_InputFunctions.Utility_DisplayArrayInTable(Fertiliser_SourceData.Fertiliser_Products_Data3(),FertiliserProducts[[#Headers],[Include or Exclude]], 40)</f>
        <v/>
      </c>
      <c r="E134" s="65" t="str" cm="1">
        <f t="array" aca="1" ref="E134" ca="1">Common_InputFunctions.Utility_DisplayArrayInTable(Fertiliser_SourceData.Fertiliser_Products_Data3(),FertiliserProducts[[#Headers],[Include or Exclude]], 40)</f>
        <v/>
      </c>
      <c r="F134" s="65" t="str" cm="1">
        <f t="array" aca="1" ref="F134" ca="1">Common_InputFunctions.Utility_DisplayArrayInTable(Fertiliser_SourceData.Fertiliser_Products_Data3(),FertiliserProducts[[#Headers],[Include or Exclude]], 40)</f>
        <v/>
      </c>
      <c r="G134" s="65" t="str" cm="1">
        <f t="array" aca="1" ref="G134" ca="1">Common_InputFunctions.Utility_DisplayArrayInTable(Fertiliser_SourceData.Fertiliser_Products_Data3(),FertiliserProducts[[#Headers],[Include or Exclude]], 40)</f>
        <v/>
      </c>
      <c r="H134" s="65" t="str" cm="1">
        <f t="array" aca="1" ref="H134" ca="1">Common_InputFunctions.Utility_DisplayArrayInTable(Fertiliser_SourceData.Fertiliser_Products_Data3(),FertiliserProducts[[#Headers],[Include or Exclude]], 40)</f>
        <v/>
      </c>
      <c r="I134" s="65" t="str" cm="1">
        <f t="array" aca="1" ref="I134" ca="1">Common_InputFunctions.Utility_DisplayArrayInTable(Fertiliser_SourceData.Fertiliser_Products_Data3(),FertiliserProducts[[#Headers],[Include or Exclude]], 40)</f>
        <v/>
      </c>
      <c r="J134" s="65" t="str" cm="1">
        <f t="array" aca="1" ref="J134" ca="1">Common_InputFunctions.Utility_DisplayArrayInTable(Fertiliser_SourceData.Fertiliser_Products_Data3(),FertiliserProducts[[#Headers],[Include or Exclude]], 40)</f>
        <v/>
      </c>
      <c r="K134" s="65" t="str" cm="1">
        <f t="array" aca="1" ref="K134" ca="1">Common_InputFunctions.Utility_DisplayArrayInTable(Fertiliser_SourceData.Fertiliser_Products_Data3(),FertiliserProducts[[#Headers],[Include or Exclude]], 40)</f>
        <v/>
      </c>
      <c r="L134" s="65" t="str" cm="1">
        <f t="array" aca="1" ref="L134" ca="1">Common_InputFunctions.Utility_DisplayArrayInTable(Fertiliser_SourceData.Fertiliser_Products_Data3(),FertiliserProducts[[#Headers],[Include or Exclude]], 40)</f>
        <v/>
      </c>
      <c r="M134" s="65" t="str" cm="1">
        <f t="array" aca="1" ref="M134" ca="1">Common_InputFunctions.Utility_DisplayArrayInTable(Fertiliser_SourceData.Fertiliser_Products_Data3(),FertiliserProducts[[#Headers],[Include or Exclude]], 40)</f>
        <v/>
      </c>
      <c r="N134" s="65" t="str" cm="1">
        <f t="array" aca="1" ref="N134" ca="1">Common_InputFunctions.Utility_DisplayArrayInTable(Fertiliser_SourceData.Fertiliser_Products_Data3(),FertiliserProducts[[#Headers],[Include or Exclude]], 40)</f>
        <v/>
      </c>
      <c r="O134" s="65" t="str" cm="1">
        <f t="array" aca="1" ref="O134" ca="1">Common_InputFunctions.Utility_DisplayArrayInTable(Fertiliser_SourceData.Fertiliser_Products_Data3(),FertiliserProducts[[#Headers],[Include or Exclude]], 40)</f>
        <v/>
      </c>
      <c r="P134" s="65" t="str" cm="1">
        <f t="array" aca="1" ref="P134" ca="1">Common_InputFunctions.Utility_DisplayArrayInTable(Fertiliser_SourceData.Fertiliser_Products_Data3(),FertiliserProducts[[#Headers],[Include or Exclude]], 40)</f>
        <v/>
      </c>
      <c r="Q134" s="65" t="str" cm="1">
        <f t="array" aca="1" ref="Q134" ca="1">Common_InputFunctions.Utility_DisplayArrayInTable(Fertiliser_SourceData.Fertiliser_Products_Data3(),FertiliserProducts[[#Headers],[Include or Exclude]], 40)</f>
        <v/>
      </c>
      <c r="R134" s="65" t="str" cm="1">
        <f t="array" aca="1" ref="R134" ca="1">Common_InputFunctions.Utility_DisplayArrayInTable(Fertiliser_SourceData.Fertiliser_Products_Data3(),FertiliserProducts[[#Headers],[Include or Exclude]], 40)</f>
        <v/>
      </c>
      <c r="S134" s="65" t="str" cm="1">
        <f t="array" aca="1" ref="S134" ca="1">Common_InputFunctions.Utility_DisplayArrayInTable(Fertiliser_SourceData.Fertiliser_Products_Data3(),FertiliserProducts[[#Headers],[Include or Exclude]], 40)</f>
        <v/>
      </c>
      <c r="T134" s="65" t="str" cm="1">
        <f t="array" aca="1" ref="T134" ca="1">Common_InputFunctions.Utility_DisplayArrayInTable(Fertiliser_SourceData.Fertiliser_Products_Data3(),FertiliserProducts[[#Headers],[Include or Exclude]], 40)</f>
        <v/>
      </c>
      <c r="U134" s="65" t="str" cm="1">
        <f t="array" aca="1" ref="U134" ca="1">Common_InputFunctions.Utility_DisplayArrayInTable(Fertiliser_SourceData.Fertiliser_Products_Data3(),FertiliserProducts[[#Headers],[Include or Exclude]], 40)</f>
        <v/>
      </c>
      <c r="V134" s="65" t="str" cm="1">
        <f t="array" aca="1" ref="V134" ca="1">Common_InputFunctions.Utility_DisplayArrayInTable(Fertiliser_SourceData.Fertiliser_Products_Data3(),FertiliserProducts[[#Headers],[Include or Exclude]], 40)</f>
        <v/>
      </c>
      <c r="W134" s="65" t="str" cm="1">
        <f t="array" aca="1" ref="W134" ca="1">Common_InputFunctions.Utility_DisplayArrayInTable(Fertiliser_SourceData.Fertiliser_Products_Data3(),FertiliserProducts[[#Headers],[Include or Exclude]], 40)</f>
        <v/>
      </c>
      <c r="X134" s="65" t="str" cm="1">
        <f t="array" aca="1" ref="X134" ca="1">Common_InputFunctions.Utility_DisplayArrayInTable(Fertiliser_SourceData.Fertiliser_Products_Data3(),FertiliserProducts[[#Headers],[Include or Exclude]], 40)</f>
        <v/>
      </c>
      <c r="Y134" s="65" t="str" cm="1">
        <f t="array" aca="1" ref="Y134" ca="1">Common_InputFunctions.Utility_DisplayArrayInTable(Fertiliser_SourceData.Fertiliser_Products_Data3(),FertiliserProducts[[#Headers],[Include or Exclude]], 40)</f>
        <v/>
      </c>
      <c r="Z134" s="65" t="str" cm="1">
        <f t="array" aca="1" ref="Z134" ca="1">Common_InputFunctions.Utility_DisplayArrayInTable(Fertiliser_SourceData.Fertiliser_Products_Data3(),FertiliserProducts[[#Headers],[Include or Exclude]], 40)</f>
        <v/>
      </c>
      <c r="AA134" s="10" t="str" cm="1">
        <f t="array" aca="1" ref="AA134" ca="1">Common_InputFunctions.Utility_DisplayArrayInTable(Fertiliser_SourceData.Fertiliser_Products_Data3(),FertiliserProducts[[#Headers],[Include or Exclude]], 40)</f>
        <v/>
      </c>
      <c r="AB134" s="10" t="str" cm="1">
        <f t="array" aca="1" ref="AB134" ca="1">Common_InputFunctions.Utility_DisplayArrayInTable(Fertiliser_SourceData.Fertiliser_Products_Data3(),FertiliserProducts[[#Headers],[Include or Exclude]], 40)</f>
        <v/>
      </c>
      <c r="AC134" s="10" t="str" cm="1">
        <f t="array" aca="1" ref="AC134" ca="1">Common_InputFunctions.Utility_DisplayArrayInTable(Fertiliser_SourceData.Fertiliser_Products_Data3(),FertiliserProducts[[#Headers],[Include or Exclude]], 40)</f>
        <v/>
      </c>
      <c r="AD134" s="10" t="str" cm="1">
        <f t="array" aca="1" ref="AD134" ca="1">Common_InputFunctions.Utility_DisplayArrayInTable(Fertiliser_SourceData.Fertiliser_Products_Data3(),FertiliserProducts[[#Headers],[Include or Exclude]], 40)</f>
        <v/>
      </c>
      <c r="AE134" s="10" t="str" cm="1">
        <f t="array" aca="1" ref="AE134" ca="1">Common_InputFunctions.Utility_DisplayArrayInTable(Fertiliser_SourceData.Fertiliser_Products_Data3(),FertiliserProducts[[#Headers],[Include or Exclude]], 40)</f>
        <v/>
      </c>
    </row>
    <row r="135" spans="4:31" ht="20.100000000000001" customHeight="1" x14ac:dyDescent="0.25">
      <c r="D135" s="65" t="str" cm="1">
        <f t="array" aca="1" ref="D135" ca="1">Common_InputFunctions.Utility_DisplayArrayInTable(Fertiliser_SourceData.Fertiliser_Products_Data3(),FertiliserProducts[[#Headers],[Include or Exclude]], 40)</f>
        <v/>
      </c>
      <c r="E135" s="65" t="str" cm="1">
        <f t="array" aca="1" ref="E135" ca="1">Common_InputFunctions.Utility_DisplayArrayInTable(Fertiliser_SourceData.Fertiliser_Products_Data3(),FertiliserProducts[[#Headers],[Include or Exclude]], 40)</f>
        <v/>
      </c>
      <c r="F135" s="65" t="str" cm="1">
        <f t="array" aca="1" ref="F135" ca="1">Common_InputFunctions.Utility_DisplayArrayInTable(Fertiliser_SourceData.Fertiliser_Products_Data3(),FertiliserProducts[[#Headers],[Include or Exclude]], 40)</f>
        <v/>
      </c>
      <c r="G135" s="65" t="str" cm="1">
        <f t="array" aca="1" ref="G135" ca="1">Common_InputFunctions.Utility_DisplayArrayInTable(Fertiliser_SourceData.Fertiliser_Products_Data3(),FertiliserProducts[[#Headers],[Include or Exclude]], 40)</f>
        <v/>
      </c>
      <c r="H135" s="65" t="str" cm="1">
        <f t="array" aca="1" ref="H135" ca="1">Common_InputFunctions.Utility_DisplayArrayInTable(Fertiliser_SourceData.Fertiliser_Products_Data3(),FertiliserProducts[[#Headers],[Include or Exclude]], 40)</f>
        <v/>
      </c>
      <c r="I135" s="65" t="str" cm="1">
        <f t="array" aca="1" ref="I135" ca="1">Common_InputFunctions.Utility_DisplayArrayInTable(Fertiliser_SourceData.Fertiliser_Products_Data3(),FertiliserProducts[[#Headers],[Include or Exclude]], 40)</f>
        <v/>
      </c>
      <c r="J135" s="65" t="str" cm="1">
        <f t="array" aca="1" ref="J135" ca="1">Common_InputFunctions.Utility_DisplayArrayInTable(Fertiliser_SourceData.Fertiliser_Products_Data3(),FertiliserProducts[[#Headers],[Include or Exclude]], 40)</f>
        <v/>
      </c>
      <c r="K135" s="65" t="str" cm="1">
        <f t="array" aca="1" ref="K135" ca="1">Common_InputFunctions.Utility_DisplayArrayInTable(Fertiliser_SourceData.Fertiliser_Products_Data3(),FertiliserProducts[[#Headers],[Include or Exclude]], 40)</f>
        <v/>
      </c>
      <c r="L135" s="65" t="str" cm="1">
        <f t="array" aca="1" ref="L135" ca="1">Common_InputFunctions.Utility_DisplayArrayInTable(Fertiliser_SourceData.Fertiliser_Products_Data3(),FertiliserProducts[[#Headers],[Include or Exclude]], 40)</f>
        <v/>
      </c>
      <c r="M135" s="65" t="str" cm="1">
        <f t="array" aca="1" ref="M135" ca="1">Common_InputFunctions.Utility_DisplayArrayInTable(Fertiliser_SourceData.Fertiliser_Products_Data3(),FertiliserProducts[[#Headers],[Include or Exclude]], 40)</f>
        <v/>
      </c>
      <c r="N135" s="65" t="str" cm="1">
        <f t="array" aca="1" ref="N135" ca="1">Common_InputFunctions.Utility_DisplayArrayInTable(Fertiliser_SourceData.Fertiliser_Products_Data3(),FertiliserProducts[[#Headers],[Include or Exclude]], 40)</f>
        <v/>
      </c>
      <c r="O135" s="65" t="str" cm="1">
        <f t="array" aca="1" ref="O135" ca="1">Common_InputFunctions.Utility_DisplayArrayInTable(Fertiliser_SourceData.Fertiliser_Products_Data3(),FertiliserProducts[[#Headers],[Include or Exclude]], 40)</f>
        <v/>
      </c>
      <c r="P135" s="65" t="str" cm="1">
        <f t="array" aca="1" ref="P135" ca="1">Common_InputFunctions.Utility_DisplayArrayInTable(Fertiliser_SourceData.Fertiliser_Products_Data3(),FertiliserProducts[[#Headers],[Include or Exclude]], 40)</f>
        <v/>
      </c>
      <c r="Q135" s="65" t="str" cm="1">
        <f t="array" aca="1" ref="Q135" ca="1">Common_InputFunctions.Utility_DisplayArrayInTable(Fertiliser_SourceData.Fertiliser_Products_Data3(),FertiliserProducts[[#Headers],[Include or Exclude]], 40)</f>
        <v/>
      </c>
      <c r="R135" s="65" t="str" cm="1">
        <f t="array" aca="1" ref="R135" ca="1">Common_InputFunctions.Utility_DisplayArrayInTable(Fertiliser_SourceData.Fertiliser_Products_Data3(),FertiliserProducts[[#Headers],[Include or Exclude]], 40)</f>
        <v/>
      </c>
      <c r="S135" s="65" t="str" cm="1">
        <f t="array" aca="1" ref="S135" ca="1">Common_InputFunctions.Utility_DisplayArrayInTable(Fertiliser_SourceData.Fertiliser_Products_Data3(),FertiliserProducts[[#Headers],[Include or Exclude]], 40)</f>
        <v/>
      </c>
      <c r="T135" s="65" t="str" cm="1">
        <f t="array" aca="1" ref="T135" ca="1">Common_InputFunctions.Utility_DisplayArrayInTable(Fertiliser_SourceData.Fertiliser_Products_Data3(),FertiliserProducts[[#Headers],[Include or Exclude]], 40)</f>
        <v/>
      </c>
      <c r="U135" s="65" t="str" cm="1">
        <f t="array" aca="1" ref="U135" ca="1">Common_InputFunctions.Utility_DisplayArrayInTable(Fertiliser_SourceData.Fertiliser_Products_Data3(),FertiliserProducts[[#Headers],[Include or Exclude]], 40)</f>
        <v/>
      </c>
      <c r="V135" s="65" t="str" cm="1">
        <f t="array" aca="1" ref="V135" ca="1">Common_InputFunctions.Utility_DisplayArrayInTable(Fertiliser_SourceData.Fertiliser_Products_Data3(),FertiliserProducts[[#Headers],[Include or Exclude]], 40)</f>
        <v/>
      </c>
      <c r="W135" s="65" t="str" cm="1">
        <f t="array" aca="1" ref="W135" ca="1">Common_InputFunctions.Utility_DisplayArrayInTable(Fertiliser_SourceData.Fertiliser_Products_Data3(),FertiliserProducts[[#Headers],[Include or Exclude]], 40)</f>
        <v/>
      </c>
      <c r="X135" s="65" t="str" cm="1">
        <f t="array" aca="1" ref="X135" ca="1">Common_InputFunctions.Utility_DisplayArrayInTable(Fertiliser_SourceData.Fertiliser_Products_Data3(),FertiliserProducts[[#Headers],[Include or Exclude]], 40)</f>
        <v/>
      </c>
      <c r="Y135" s="65" t="str" cm="1">
        <f t="array" aca="1" ref="Y135" ca="1">Common_InputFunctions.Utility_DisplayArrayInTable(Fertiliser_SourceData.Fertiliser_Products_Data3(),FertiliserProducts[[#Headers],[Include or Exclude]], 40)</f>
        <v/>
      </c>
      <c r="Z135" s="65" t="str" cm="1">
        <f t="array" aca="1" ref="Z135" ca="1">Common_InputFunctions.Utility_DisplayArrayInTable(Fertiliser_SourceData.Fertiliser_Products_Data3(),FertiliserProducts[[#Headers],[Include or Exclude]], 40)</f>
        <v/>
      </c>
      <c r="AA135" s="10" t="str" cm="1">
        <f t="array" aca="1" ref="AA135" ca="1">Common_InputFunctions.Utility_DisplayArrayInTable(Fertiliser_SourceData.Fertiliser_Products_Data3(),FertiliserProducts[[#Headers],[Include or Exclude]], 40)</f>
        <v/>
      </c>
      <c r="AB135" s="10" t="str" cm="1">
        <f t="array" aca="1" ref="AB135" ca="1">Common_InputFunctions.Utility_DisplayArrayInTable(Fertiliser_SourceData.Fertiliser_Products_Data3(),FertiliserProducts[[#Headers],[Include or Exclude]], 40)</f>
        <v/>
      </c>
      <c r="AC135" s="10" t="str" cm="1">
        <f t="array" aca="1" ref="AC135" ca="1">Common_InputFunctions.Utility_DisplayArrayInTable(Fertiliser_SourceData.Fertiliser_Products_Data3(),FertiliserProducts[[#Headers],[Include or Exclude]], 40)</f>
        <v/>
      </c>
      <c r="AD135" s="10" t="str" cm="1">
        <f t="array" aca="1" ref="AD135" ca="1">Common_InputFunctions.Utility_DisplayArrayInTable(Fertiliser_SourceData.Fertiliser_Products_Data3(),FertiliserProducts[[#Headers],[Include or Exclude]], 40)</f>
        <v/>
      </c>
      <c r="AE135" s="10" t="str" cm="1">
        <f t="array" aca="1" ref="AE135" ca="1">Common_InputFunctions.Utility_DisplayArrayInTable(Fertiliser_SourceData.Fertiliser_Products_Data3(),FertiliserProducts[[#Headers],[Include or Exclude]], 40)</f>
        <v/>
      </c>
    </row>
    <row r="136" spans="4:31" ht="20.100000000000001" customHeight="1" x14ac:dyDescent="0.25">
      <c r="D136" s="65" t="str" cm="1">
        <f t="array" aca="1" ref="D136" ca="1">Common_InputFunctions.Utility_DisplayArrayInTable(Fertiliser_SourceData.Fertiliser_Products_Data3(),FertiliserProducts[[#Headers],[Include or Exclude]], 40)</f>
        <v/>
      </c>
      <c r="E136" s="65" t="str" cm="1">
        <f t="array" aca="1" ref="E136" ca="1">Common_InputFunctions.Utility_DisplayArrayInTable(Fertiliser_SourceData.Fertiliser_Products_Data3(),FertiliserProducts[[#Headers],[Include or Exclude]], 40)</f>
        <v/>
      </c>
      <c r="F136" s="65" t="str" cm="1">
        <f t="array" aca="1" ref="F136" ca="1">Common_InputFunctions.Utility_DisplayArrayInTable(Fertiliser_SourceData.Fertiliser_Products_Data3(),FertiliserProducts[[#Headers],[Include or Exclude]], 40)</f>
        <v/>
      </c>
      <c r="G136" s="65" t="str" cm="1">
        <f t="array" aca="1" ref="G136" ca="1">Common_InputFunctions.Utility_DisplayArrayInTable(Fertiliser_SourceData.Fertiliser_Products_Data3(),FertiliserProducts[[#Headers],[Include or Exclude]], 40)</f>
        <v/>
      </c>
      <c r="H136" s="65" t="str" cm="1">
        <f t="array" aca="1" ref="H136" ca="1">Common_InputFunctions.Utility_DisplayArrayInTable(Fertiliser_SourceData.Fertiliser_Products_Data3(),FertiliserProducts[[#Headers],[Include or Exclude]], 40)</f>
        <v/>
      </c>
      <c r="I136" s="65" t="str" cm="1">
        <f t="array" aca="1" ref="I136" ca="1">Common_InputFunctions.Utility_DisplayArrayInTable(Fertiliser_SourceData.Fertiliser_Products_Data3(),FertiliserProducts[[#Headers],[Include or Exclude]], 40)</f>
        <v/>
      </c>
      <c r="J136" s="65" t="str" cm="1">
        <f t="array" aca="1" ref="J136" ca="1">Common_InputFunctions.Utility_DisplayArrayInTable(Fertiliser_SourceData.Fertiliser_Products_Data3(),FertiliserProducts[[#Headers],[Include or Exclude]], 40)</f>
        <v/>
      </c>
      <c r="K136" s="65" t="str" cm="1">
        <f t="array" aca="1" ref="K136" ca="1">Common_InputFunctions.Utility_DisplayArrayInTable(Fertiliser_SourceData.Fertiliser_Products_Data3(),FertiliserProducts[[#Headers],[Include or Exclude]], 40)</f>
        <v/>
      </c>
      <c r="L136" s="65" t="str" cm="1">
        <f t="array" aca="1" ref="L136" ca="1">Common_InputFunctions.Utility_DisplayArrayInTable(Fertiliser_SourceData.Fertiliser_Products_Data3(),FertiliserProducts[[#Headers],[Include or Exclude]], 40)</f>
        <v/>
      </c>
      <c r="M136" s="65" t="str" cm="1">
        <f t="array" aca="1" ref="M136" ca="1">Common_InputFunctions.Utility_DisplayArrayInTable(Fertiliser_SourceData.Fertiliser_Products_Data3(),FertiliserProducts[[#Headers],[Include or Exclude]], 40)</f>
        <v/>
      </c>
      <c r="N136" s="65" t="str" cm="1">
        <f t="array" aca="1" ref="N136" ca="1">Common_InputFunctions.Utility_DisplayArrayInTable(Fertiliser_SourceData.Fertiliser_Products_Data3(),FertiliserProducts[[#Headers],[Include or Exclude]], 40)</f>
        <v/>
      </c>
      <c r="O136" s="65" t="str" cm="1">
        <f t="array" aca="1" ref="O136" ca="1">Common_InputFunctions.Utility_DisplayArrayInTable(Fertiliser_SourceData.Fertiliser_Products_Data3(),FertiliserProducts[[#Headers],[Include or Exclude]], 40)</f>
        <v/>
      </c>
      <c r="P136" s="65" t="str" cm="1">
        <f t="array" aca="1" ref="P136" ca="1">Common_InputFunctions.Utility_DisplayArrayInTable(Fertiliser_SourceData.Fertiliser_Products_Data3(),FertiliserProducts[[#Headers],[Include or Exclude]], 40)</f>
        <v/>
      </c>
      <c r="Q136" s="65" t="str" cm="1">
        <f t="array" aca="1" ref="Q136" ca="1">Common_InputFunctions.Utility_DisplayArrayInTable(Fertiliser_SourceData.Fertiliser_Products_Data3(),FertiliserProducts[[#Headers],[Include or Exclude]], 40)</f>
        <v/>
      </c>
      <c r="R136" s="65" t="str" cm="1">
        <f t="array" aca="1" ref="R136" ca="1">Common_InputFunctions.Utility_DisplayArrayInTable(Fertiliser_SourceData.Fertiliser_Products_Data3(),FertiliserProducts[[#Headers],[Include or Exclude]], 40)</f>
        <v/>
      </c>
      <c r="S136" s="65" t="str" cm="1">
        <f t="array" aca="1" ref="S136" ca="1">Common_InputFunctions.Utility_DisplayArrayInTable(Fertiliser_SourceData.Fertiliser_Products_Data3(),FertiliserProducts[[#Headers],[Include or Exclude]], 40)</f>
        <v/>
      </c>
      <c r="T136" s="65" t="str" cm="1">
        <f t="array" aca="1" ref="T136" ca="1">Common_InputFunctions.Utility_DisplayArrayInTable(Fertiliser_SourceData.Fertiliser_Products_Data3(),FertiliserProducts[[#Headers],[Include or Exclude]], 40)</f>
        <v/>
      </c>
      <c r="U136" s="65" t="str" cm="1">
        <f t="array" aca="1" ref="U136" ca="1">Common_InputFunctions.Utility_DisplayArrayInTable(Fertiliser_SourceData.Fertiliser_Products_Data3(),FertiliserProducts[[#Headers],[Include or Exclude]], 40)</f>
        <v/>
      </c>
      <c r="V136" s="65" t="str" cm="1">
        <f t="array" aca="1" ref="V136" ca="1">Common_InputFunctions.Utility_DisplayArrayInTable(Fertiliser_SourceData.Fertiliser_Products_Data3(),FertiliserProducts[[#Headers],[Include or Exclude]], 40)</f>
        <v/>
      </c>
      <c r="W136" s="65" t="str" cm="1">
        <f t="array" aca="1" ref="W136" ca="1">Common_InputFunctions.Utility_DisplayArrayInTable(Fertiliser_SourceData.Fertiliser_Products_Data3(),FertiliserProducts[[#Headers],[Include or Exclude]], 40)</f>
        <v/>
      </c>
      <c r="X136" s="65" t="str" cm="1">
        <f t="array" aca="1" ref="X136" ca="1">Common_InputFunctions.Utility_DisplayArrayInTable(Fertiliser_SourceData.Fertiliser_Products_Data3(),FertiliserProducts[[#Headers],[Include or Exclude]], 40)</f>
        <v/>
      </c>
      <c r="Y136" s="65" t="str" cm="1">
        <f t="array" aca="1" ref="Y136" ca="1">Common_InputFunctions.Utility_DisplayArrayInTable(Fertiliser_SourceData.Fertiliser_Products_Data3(),FertiliserProducts[[#Headers],[Include or Exclude]], 40)</f>
        <v/>
      </c>
      <c r="Z136" s="65" t="str" cm="1">
        <f t="array" aca="1" ref="Z136" ca="1">Common_InputFunctions.Utility_DisplayArrayInTable(Fertiliser_SourceData.Fertiliser_Products_Data3(),FertiliserProducts[[#Headers],[Include or Exclude]], 40)</f>
        <v/>
      </c>
      <c r="AA136" s="10" t="str" cm="1">
        <f t="array" aca="1" ref="AA136" ca="1">Common_InputFunctions.Utility_DisplayArrayInTable(Fertiliser_SourceData.Fertiliser_Products_Data3(),FertiliserProducts[[#Headers],[Include or Exclude]], 40)</f>
        <v/>
      </c>
      <c r="AB136" s="10" t="str" cm="1">
        <f t="array" aca="1" ref="AB136" ca="1">Common_InputFunctions.Utility_DisplayArrayInTable(Fertiliser_SourceData.Fertiliser_Products_Data3(),FertiliserProducts[[#Headers],[Include or Exclude]], 40)</f>
        <v/>
      </c>
      <c r="AC136" s="10" t="str" cm="1">
        <f t="array" aca="1" ref="AC136" ca="1">Common_InputFunctions.Utility_DisplayArrayInTable(Fertiliser_SourceData.Fertiliser_Products_Data3(),FertiliserProducts[[#Headers],[Include or Exclude]], 40)</f>
        <v/>
      </c>
      <c r="AD136" s="10" t="str" cm="1">
        <f t="array" aca="1" ref="AD136" ca="1">Common_InputFunctions.Utility_DisplayArrayInTable(Fertiliser_SourceData.Fertiliser_Products_Data3(),FertiliserProducts[[#Headers],[Include or Exclude]], 40)</f>
        <v/>
      </c>
      <c r="AE136" s="10" t="str" cm="1">
        <f t="array" aca="1" ref="AE136" ca="1">Common_InputFunctions.Utility_DisplayArrayInTable(Fertiliser_SourceData.Fertiliser_Products_Data3(),FertiliserProducts[[#Headers],[Include or Exclude]], 40)</f>
        <v/>
      </c>
    </row>
    <row r="137" spans="4:31" ht="20.100000000000001" customHeight="1" x14ac:dyDescent="0.25">
      <c r="D137" s="65" t="str" cm="1">
        <f t="array" aca="1" ref="D137" ca="1">Common_InputFunctions.Utility_DisplayArrayInTable(Fertiliser_SourceData.Fertiliser_Products_Data3(),FertiliserProducts[[#Headers],[Include or Exclude]], 40)</f>
        <v/>
      </c>
      <c r="E137" s="65" t="str" cm="1">
        <f t="array" aca="1" ref="E137" ca="1">Common_InputFunctions.Utility_DisplayArrayInTable(Fertiliser_SourceData.Fertiliser_Products_Data3(),FertiliserProducts[[#Headers],[Include or Exclude]], 40)</f>
        <v/>
      </c>
      <c r="F137" s="65" t="str" cm="1">
        <f t="array" aca="1" ref="F137" ca="1">Common_InputFunctions.Utility_DisplayArrayInTable(Fertiliser_SourceData.Fertiliser_Products_Data3(),FertiliserProducts[[#Headers],[Include or Exclude]], 40)</f>
        <v/>
      </c>
      <c r="G137" s="65" t="str" cm="1">
        <f t="array" aca="1" ref="G137" ca="1">Common_InputFunctions.Utility_DisplayArrayInTable(Fertiliser_SourceData.Fertiliser_Products_Data3(),FertiliserProducts[[#Headers],[Include or Exclude]], 40)</f>
        <v/>
      </c>
      <c r="H137" s="65" t="str" cm="1">
        <f t="array" aca="1" ref="H137" ca="1">Common_InputFunctions.Utility_DisplayArrayInTable(Fertiliser_SourceData.Fertiliser_Products_Data3(),FertiliserProducts[[#Headers],[Include or Exclude]], 40)</f>
        <v/>
      </c>
      <c r="I137" s="65" t="str" cm="1">
        <f t="array" aca="1" ref="I137" ca="1">Common_InputFunctions.Utility_DisplayArrayInTable(Fertiliser_SourceData.Fertiliser_Products_Data3(),FertiliserProducts[[#Headers],[Include or Exclude]], 40)</f>
        <v/>
      </c>
      <c r="J137" s="65" t="str" cm="1">
        <f t="array" aca="1" ref="J137" ca="1">Common_InputFunctions.Utility_DisplayArrayInTable(Fertiliser_SourceData.Fertiliser_Products_Data3(),FertiliserProducts[[#Headers],[Include or Exclude]], 40)</f>
        <v/>
      </c>
      <c r="K137" s="65" t="str" cm="1">
        <f t="array" aca="1" ref="K137" ca="1">Common_InputFunctions.Utility_DisplayArrayInTable(Fertiliser_SourceData.Fertiliser_Products_Data3(),FertiliserProducts[[#Headers],[Include or Exclude]], 40)</f>
        <v/>
      </c>
      <c r="L137" s="65" t="str" cm="1">
        <f t="array" aca="1" ref="L137" ca="1">Common_InputFunctions.Utility_DisplayArrayInTable(Fertiliser_SourceData.Fertiliser_Products_Data3(),FertiliserProducts[[#Headers],[Include or Exclude]], 40)</f>
        <v/>
      </c>
      <c r="M137" s="65" t="str" cm="1">
        <f t="array" aca="1" ref="M137" ca="1">Common_InputFunctions.Utility_DisplayArrayInTable(Fertiliser_SourceData.Fertiliser_Products_Data3(),FertiliserProducts[[#Headers],[Include or Exclude]], 40)</f>
        <v/>
      </c>
      <c r="N137" s="65" t="str" cm="1">
        <f t="array" aca="1" ref="N137" ca="1">Common_InputFunctions.Utility_DisplayArrayInTable(Fertiliser_SourceData.Fertiliser_Products_Data3(),FertiliserProducts[[#Headers],[Include or Exclude]], 40)</f>
        <v/>
      </c>
      <c r="O137" s="65" t="str" cm="1">
        <f t="array" aca="1" ref="O137" ca="1">Common_InputFunctions.Utility_DisplayArrayInTable(Fertiliser_SourceData.Fertiliser_Products_Data3(),FertiliserProducts[[#Headers],[Include or Exclude]], 40)</f>
        <v/>
      </c>
      <c r="P137" s="65" t="str" cm="1">
        <f t="array" aca="1" ref="P137" ca="1">Common_InputFunctions.Utility_DisplayArrayInTable(Fertiliser_SourceData.Fertiliser_Products_Data3(),FertiliserProducts[[#Headers],[Include or Exclude]], 40)</f>
        <v/>
      </c>
      <c r="Q137" s="65" t="str" cm="1">
        <f t="array" aca="1" ref="Q137" ca="1">Common_InputFunctions.Utility_DisplayArrayInTable(Fertiliser_SourceData.Fertiliser_Products_Data3(),FertiliserProducts[[#Headers],[Include or Exclude]], 40)</f>
        <v/>
      </c>
      <c r="R137" s="65" t="str" cm="1">
        <f t="array" aca="1" ref="R137" ca="1">Common_InputFunctions.Utility_DisplayArrayInTable(Fertiliser_SourceData.Fertiliser_Products_Data3(),FertiliserProducts[[#Headers],[Include or Exclude]], 40)</f>
        <v/>
      </c>
      <c r="S137" s="65" t="str" cm="1">
        <f t="array" aca="1" ref="S137" ca="1">Common_InputFunctions.Utility_DisplayArrayInTable(Fertiliser_SourceData.Fertiliser_Products_Data3(),FertiliserProducts[[#Headers],[Include or Exclude]], 40)</f>
        <v/>
      </c>
      <c r="T137" s="65" t="str" cm="1">
        <f t="array" aca="1" ref="T137" ca="1">Common_InputFunctions.Utility_DisplayArrayInTable(Fertiliser_SourceData.Fertiliser_Products_Data3(),FertiliserProducts[[#Headers],[Include or Exclude]], 40)</f>
        <v/>
      </c>
      <c r="U137" s="65" t="str" cm="1">
        <f t="array" aca="1" ref="U137" ca="1">Common_InputFunctions.Utility_DisplayArrayInTable(Fertiliser_SourceData.Fertiliser_Products_Data3(),FertiliserProducts[[#Headers],[Include or Exclude]], 40)</f>
        <v/>
      </c>
      <c r="V137" s="65" t="str" cm="1">
        <f t="array" aca="1" ref="V137" ca="1">Common_InputFunctions.Utility_DisplayArrayInTable(Fertiliser_SourceData.Fertiliser_Products_Data3(),FertiliserProducts[[#Headers],[Include or Exclude]], 40)</f>
        <v/>
      </c>
      <c r="W137" s="65" t="str" cm="1">
        <f t="array" aca="1" ref="W137" ca="1">Common_InputFunctions.Utility_DisplayArrayInTable(Fertiliser_SourceData.Fertiliser_Products_Data3(),FertiliserProducts[[#Headers],[Include or Exclude]], 40)</f>
        <v/>
      </c>
      <c r="X137" s="65" t="str" cm="1">
        <f t="array" aca="1" ref="X137" ca="1">Common_InputFunctions.Utility_DisplayArrayInTable(Fertiliser_SourceData.Fertiliser_Products_Data3(),FertiliserProducts[[#Headers],[Include or Exclude]], 40)</f>
        <v/>
      </c>
      <c r="Y137" s="65" t="str" cm="1">
        <f t="array" aca="1" ref="Y137" ca="1">Common_InputFunctions.Utility_DisplayArrayInTable(Fertiliser_SourceData.Fertiliser_Products_Data3(),FertiliserProducts[[#Headers],[Include or Exclude]], 40)</f>
        <v/>
      </c>
      <c r="Z137" s="65" t="str" cm="1">
        <f t="array" aca="1" ref="Z137" ca="1">Common_InputFunctions.Utility_DisplayArrayInTable(Fertiliser_SourceData.Fertiliser_Products_Data3(),FertiliserProducts[[#Headers],[Include or Exclude]], 40)</f>
        <v/>
      </c>
      <c r="AA137" s="10" t="str" cm="1">
        <f t="array" aca="1" ref="AA137" ca="1">Common_InputFunctions.Utility_DisplayArrayInTable(Fertiliser_SourceData.Fertiliser_Products_Data3(),FertiliserProducts[[#Headers],[Include or Exclude]], 40)</f>
        <v/>
      </c>
      <c r="AB137" s="10" t="str" cm="1">
        <f t="array" aca="1" ref="AB137" ca="1">Common_InputFunctions.Utility_DisplayArrayInTable(Fertiliser_SourceData.Fertiliser_Products_Data3(),FertiliserProducts[[#Headers],[Include or Exclude]], 40)</f>
        <v/>
      </c>
      <c r="AC137" s="10" t="str" cm="1">
        <f t="array" aca="1" ref="AC137" ca="1">Common_InputFunctions.Utility_DisplayArrayInTable(Fertiliser_SourceData.Fertiliser_Products_Data3(),FertiliserProducts[[#Headers],[Include or Exclude]], 40)</f>
        <v/>
      </c>
      <c r="AD137" s="10" t="str" cm="1">
        <f t="array" aca="1" ref="AD137" ca="1">Common_InputFunctions.Utility_DisplayArrayInTable(Fertiliser_SourceData.Fertiliser_Products_Data3(),FertiliserProducts[[#Headers],[Include or Exclude]], 40)</f>
        <v/>
      </c>
      <c r="AE137" s="10" t="str" cm="1">
        <f t="array" aca="1" ref="AE137" ca="1">Common_InputFunctions.Utility_DisplayArrayInTable(Fertiliser_SourceData.Fertiliser_Products_Data3(),FertiliserProducts[[#Headers],[Include or Exclude]], 40)</f>
        <v/>
      </c>
    </row>
    <row r="138" spans="4:31" ht="20.100000000000001" customHeight="1" x14ac:dyDescent="0.25">
      <c r="D138" s="65" t="str" cm="1">
        <f t="array" aca="1" ref="D138" ca="1">Common_InputFunctions.Utility_DisplayArrayInTable(Fertiliser_SourceData.Fertiliser_Products_Data3(),FertiliserProducts[[#Headers],[Include or Exclude]], 40)</f>
        <v/>
      </c>
      <c r="E138" s="65" t="str" cm="1">
        <f t="array" aca="1" ref="E138" ca="1">Common_InputFunctions.Utility_DisplayArrayInTable(Fertiliser_SourceData.Fertiliser_Products_Data3(),FertiliserProducts[[#Headers],[Include or Exclude]], 40)</f>
        <v/>
      </c>
      <c r="F138" s="65" t="str" cm="1">
        <f t="array" aca="1" ref="F138" ca="1">Common_InputFunctions.Utility_DisplayArrayInTable(Fertiliser_SourceData.Fertiliser_Products_Data3(),FertiliserProducts[[#Headers],[Include or Exclude]], 40)</f>
        <v/>
      </c>
      <c r="G138" s="65" t="str" cm="1">
        <f t="array" aca="1" ref="G138" ca="1">Common_InputFunctions.Utility_DisplayArrayInTable(Fertiliser_SourceData.Fertiliser_Products_Data3(),FertiliserProducts[[#Headers],[Include or Exclude]], 40)</f>
        <v/>
      </c>
      <c r="H138" s="65" t="str" cm="1">
        <f t="array" aca="1" ref="H138" ca="1">Common_InputFunctions.Utility_DisplayArrayInTable(Fertiliser_SourceData.Fertiliser_Products_Data3(),FertiliserProducts[[#Headers],[Include or Exclude]], 40)</f>
        <v/>
      </c>
      <c r="I138" s="65" t="str" cm="1">
        <f t="array" aca="1" ref="I138" ca="1">Common_InputFunctions.Utility_DisplayArrayInTable(Fertiliser_SourceData.Fertiliser_Products_Data3(),FertiliserProducts[[#Headers],[Include or Exclude]], 40)</f>
        <v/>
      </c>
      <c r="J138" s="65" t="str" cm="1">
        <f t="array" aca="1" ref="J138" ca="1">Common_InputFunctions.Utility_DisplayArrayInTable(Fertiliser_SourceData.Fertiliser_Products_Data3(),FertiliserProducts[[#Headers],[Include or Exclude]], 40)</f>
        <v/>
      </c>
      <c r="K138" s="65" t="str" cm="1">
        <f t="array" aca="1" ref="K138" ca="1">Common_InputFunctions.Utility_DisplayArrayInTable(Fertiliser_SourceData.Fertiliser_Products_Data3(),FertiliserProducts[[#Headers],[Include or Exclude]], 40)</f>
        <v/>
      </c>
      <c r="L138" s="65" t="str" cm="1">
        <f t="array" aca="1" ref="L138" ca="1">Common_InputFunctions.Utility_DisplayArrayInTable(Fertiliser_SourceData.Fertiliser_Products_Data3(),FertiliserProducts[[#Headers],[Include or Exclude]], 40)</f>
        <v/>
      </c>
      <c r="M138" s="65" t="str" cm="1">
        <f t="array" aca="1" ref="M138" ca="1">Common_InputFunctions.Utility_DisplayArrayInTable(Fertiliser_SourceData.Fertiliser_Products_Data3(),FertiliserProducts[[#Headers],[Include or Exclude]], 40)</f>
        <v/>
      </c>
      <c r="N138" s="65" t="str" cm="1">
        <f t="array" aca="1" ref="N138" ca="1">Common_InputFunctions.Utility_DisplayArrayInTable(Fertiliser_SourceData.Fertiliser_Products_Data3(),FertiliserProducts[[#Headers],[Include or Exclude]], 40)</f>
        <v/>
      </c>
      <c r="O138" s="65" t="str" cm="1">
        <f t="array" aca="1" ref="O138" ca="1">Common_InputFunctions.Utility_DisplayArrayInTable(Fertiliser_SourceData.Fertiliser_Products_Data3(),FertiliserProducts[[#Headers],[Include or Exclude]], 40)</f>
        <v/>
      </c>
      <c r="P138" s="65" t="str" cm="1">
        <f t="array" aca="1" ref="P138" ca="1">Common_InputFunctions.Utility_DisplayArrayInTable(Fertiliser_SourceData.Fertiliser_Products_Data3(),FertiliserProducts[[#Headers],[Include or Exclude]], 40)</f>
        <v/>
      </c>
      <c r="Q138" s="65" t="str" cm="1">
        <f t="array" aca="1" ref="Q138" ca="1">Common_InputFunctions.Utility_DisplayArrayInTable(Fertiliser_SourceData.Fertiliser_Products_Data3(),FertiliserProducts[[#Headers],[Include or Exclude]], 40)</f>
        <v/>
      </c>
      <c r="R138" s="65" t="str" cm="1">
        <f t="array" aca="1" ref="R138" ca="1">Common_InputFunctions.Utility_DisplayArrayInTable(Fertiliser_SourceData.Fertiliser_Products_Data3(),FertiliserProducts[[#Headers],[Include or Exclude]], 40)</f>
        <v/>
      </c>
      <c r="S138" s="65" t="str" cm="1">
        <f t="array" aca="1" ref="S138" ca="1">Common_InputFunctions.Utility_DisplayArrayInTable(Fertiliser_SourceData.Fertiliser_Products_Data3(),FertiliserProducts[[#Headers],[Include or Exclude]], 40)</f>
        <v/>
      </c>
      <c r="T138" s="65" t="str" cm="1">
        <f t="array" aca="1" ref="T138" ca="1">Common_InputFunctions.Utility_DisplayArrayInTable(Fertiliser_SourceData.Fertiliser_Products_Data3(),FertiliserProducts[[#Headers],[Include or Exclude]], 40)</f>
        <v/>
      </c>
      <c r="U138" s="65" t="str" cm="1">
        <f t="array" aca="1" ref="U138" ca="1">Common_InputFunctions.Utility_DisplayArrayInTable(Fertiliser_SourceData.Fertiliser_Products_Data3(),FertiliserProducts[[#Headers],[Include or Exclude]], 40)</f>
        <v/>
      </c>
      <c r="V138" s="65" t="str" cm="1">
        <f t="array" aca="1" ref="V138" ca="1">Common_InputFunctions.Utility_DisplayArrayInTable(Fertiliser_SourceData.Fertiliser_Products_Data3(),FertiliserProducts[[#Headers],[Include or Exclude]], 40)</f>
        <v/>
      </c>
      <c r="W138" s="65" t="str" cm="1">
        <f t="array" aca="1" ref="W138" ca="1">Common_InputFunctions.Utility_DisplayArrayInTable(Fertiliser_SourceData.Fertiliser_Products_Data3(),FertiliserProducts[[#Headers],[Include or Exclude]], 40)</f>
        <v/>
      </c>
      <c r="X138" s="65" t="str" cm="1">
        <f t="array" aca="1" ref="X138" ca="1">Common_InputFunctions.Utility_DisplayArrayInTable(Fertiliser_SourceData.Fertiliser_Products_Data3(),FertiliserProducts[[#Headers],[Include or Exclude]], 40)</f>
        <v/>
      </c>
      <c r="Y138" s="65" t="str" cm="1">
        <f t="array" aca="1" ref="Y138" ca="1">Common_InputFunctions.Utility_DisplayArrayInTable(Fertiliser_SourceData.Fertiliser_Products_Data3(),FertiliserProducts[[#Headers],[Include or Exclude]], 40)</f>
        <v/>
      </c>
      <c r="Z138" s="65" t="str" cm="1">
        <f t="array" aca="1" ref="Z138" ca="1">Common_InputFunctions.Utility_DisplayArrayInTable(Fertiliser_SourceData.Fertiliser_Products_Data3(),FertiliserProducts[[#Headers],[Include or Exclude]], 40)</f>
        <v/>
      </c>
      <c r="AA138" s="10" t="str" cm="1">
        <f t="array" aca="1" ref="AA138" ca="1">Common_InputFunctions.Utility_DisplayArrayInTable(Fertiliser_SourceData.Fertiliser_Products_Data3(),FertiliserProducts[[#Headers],[Include or Exclude]], 40)</f>
        <v/>
      </c>
      <c r="AB138" s="10" t="str" cm="1">
        <f t="array" aca="1" ref="AB138" ca="1">Common_InputFunctions.Utility_DisplayArrayInTable(Fertiliser_SourceData.Fertiliser_Products_Data3(),FertiliserProducts[[#Headers],[Include or Exclude]], 40)</f>
        <v/>
      </c>
      <c r="AC138" s="10" t="str" cm="1">
        <f t="array" aca="1" ref="AC138" ca="1">Common_InputFunctions.Utility_DisplayArrayInTable(Fertiliser_SourceData.Fertiliser_Products_Data3(),FertiliserProducts[[#Headers],[Include or Exclude]], 40)</f>
        <v/>
      </c>
      <c r="AD138" s="10" t="str" cm="1">
        <f t="array" aca="1" ref="AD138" ca="1">Common_InputFunctions.Utility_DisplayArrayInTable(Fertiliser_SourceData.Fertiliser_Products_Data3(),FertiliserProducts[[#Headers],[Include or Exclude]], 40)</f>
        <v/>
      </c>
      <c r="AE138" s="10" t="str" cm="1">
        <f t="array" aca="1" ref="AE138" ca="1">Common_InputFunctions.Utility_DisplayArrayInTable(Fertiliser_SourceData.Fertiliser_Products_Data3(),FertiliserProducts[[#Headers],[Include or Exclude]], 40)</f>
        <v/>
      </c>
    </row>
    <row r="139" spans="4:31" ht="20.100000000000001" customHeight="1" x14ac:dyDescent="0.25">
      <c r="D139" s="65" t="str" cm="1">
        <f t="array" aca="1" ref="D139" ca="1">Common_InputFunctions.Utility_DisplayArrayInTable(Fertiliser_SourceData.Fertiliser_Products_Data3(),FertiliserProducts[[#Headers],[Include or Exclude]], 40)</f>
        <v/>
      </c>
      <c r="E139" s="65" t="str" cm="1">
        <f t="array" aca="1" ref="E139" ca="1">Common_InputFunctions.Utility_DisplayArrayInTable(Fertiliser_SourceData.Fertiliser_Products_Data3(),FertiliserProducts[[#Headers],[Include or Exclude]], 40)</f>
        <v/>
      </c>
      <c r="F139" s="65" t="str" cm="1">
        <f t="array" aca="1" ref="F139" ca="1">Common_InputFunctions.Utility_DisplayArrayInTable(Fertiliser_SourceData.Fertiliser_Products_Data3(),FertiliserProducts[[#Headers],[Include or Exclude]], 40)</f>
        <v/>
      </c>
      <c r="G139" s="65" t="str" cm="1">
        <f t="array" aca="1" ref="G139" ca="1">Common_InputFunctions.Utility_DisplayArrayInTable(Fertiliser_SourceData.Fertiliser_Products_Data3(),FertiliserProducts[[#Headers],[Include or Exclude]], 40)</f>
        <v/>
      </c>
      <c r="H139" s="65" t="str" cm="1">
        <f t="array" aca="1" ref="H139" ca="1">Common_InputFunctions.Utility_DisplayArrayInTable(Fertiliser_SourceData.Fertiliser_Products_Data3(),FertiliserProducts[[#Headers],[Include or Exclude]], 40)</f>
        <v/>
      </c>
      <c r="I139" s="65" t="str" cm="1">
        <f t="array" aca="1" ref="I139" ca="1">Common_InputFunctions.Utility_DisplayArrayInTable(Fertiliser_SourceData.Fertiliser_Products_Data3(),FertiliserProducts[[#Headers],[Include or Exclude]], 40)</f>
        <v/>
      </c>
      <c r="J139" s="65" t="str" cm="1">
        <f t="array" aca="1" ref="J139" ca="1">Common_InputFunctions.Utility_DisplayArrayInTable(Fertiliser_SourceData.Fertiliser_Products_Data3(),FertiliserProducts[[#Headers],[Include or Exclude]], 40)</f>
        <v/>
      </c>
      <c r="K139" s="65" t="str" cm="1">
        <f t="array" aca="1" ref="K139" ca="1">Common_InputFunctions.Utility_DisplayArrayInTable(Fertiliser_SourceData.Fertiliser_Products_Data3(),FertiliserProducts[[#Headers],[Include or Exclude]], 40)</f>
        <v/>
      </c>
      <c r="L139" s="65" t="str" cm="1">
        <f t="array" aca="1" ref="L139" ca="1">Common_InputFunctions.Utility_DisplayArrayInTable(Fertiliser_SourceData.Fertiliser_Products_Data3(),FertiliserProducts[[#Headers],[Include or Exclude]], 40)</f>
        <v/>
      </c>
      <c r="M139" s="65" t="str" cm="1">
        <f t="array" aca="1" ref="M139" ca="1">Common_InputFunctions.Utility_DisplayArrayInTable(Fertiliser_SourceData.Fertiliser_Products_Data3(),FertiliserProducts[[#Headers],[Include or Exclude]], 40)</f>
        <v/>
      </c>
      <c r="N139" s="65" t="str" cm="1">
        <f t="array" aca="1" ref="N139" ca="1">Common_InputFunctions.Utility_DisplayArrayInTable(Fertiliser_SourceData.Fertiliser_Products_Data3(),FertiliserProducts[[#Headers],[Include or Exclude]], 40)</f>
        <v/>
      </c>
      <c r="O139" s="65" t="str" cm="1">
        <f t="array" aca="1" ref="O139" ca="1">Common_InputFunctions.Utility_DisplayArrayInTable(Fertiliser_SourceData.Fertiliser_Products_Data3(),FertiliserProducts[[#Headers],[Include or Exclude]], 40)</f>
        <v/>
      </c>
      <c r="P139" s="65" t="str" cm="1">
        <f t="array" aca="1" ref="P139" ca="1">Common_InputFunctions.Utility_DisplayArrayInTable(Fertiliser_SourceData.Fertiliser_Products_Data3(),FertiliserProducts[[#Headers],[Include or Exclude]], 40)</f>
        <v/>
      </c>
      <c r="Q139" s="65" t="str" cm="1">
        <f t="array" aca="1" ref="Q139" ca="1">Common_InputFunctions.Utility_DisplayArrayInTable(Fertiliser_SourceData.Fertiliser_Products_Data3(),FertiliserProducts[[#Headers],[Include or Exclude]], 40)</f>
        <v/>
      </c>
      <c r="R139" s="65" t="str" cm="1">
        <f t="array" aca="1" ref="R139" ca="1">Common_InputFunctions.Utility_DisplayArrayInTable(Fertiliser_SourceData.Fertiliser_Products_Data3(),FertiliserProducts[[#Headers],[Include or Exclude]], 40)</f>
        <v/>
      </c>
      <c r="S139" s="65" t="str" cm="1">
        <f t="array" aca="1" ref="S139" ca="1">Common_InputFunctions.Utility_DisplayArrayInTable(Fertiliser_SourceData.Fertiliser_Products_Data3(),FertiliserProducts[[#Headers],[Include or Exclude]], 40)</f>
        <v/>
      </c>
      <c r="T139" s="65" t="str" cm="1">
        <f t="array" aca="1" ref="T139" ca="1">Common_InputFunctions.Utility_DisplayArrayInTable(Fertiliser_SourceData.Fertiliser_Products_Data3(),FertiliserProducts[[#Headers],[Include or Exclude]], 40)</f>
        <v/>
      </c>
      <c r="U139" s="65" t="str" cm="1">
        <f t="array" aca="1" ref="U139" ca="1">Common_InputFunctions.Utility_DisplayArrayInTable(Fertiliser_SourceData.Fertiliser_Products_Data3(),FertiliserProducts[[#Headers],[Include or Exclude]], 40)</f>
        <v/>
      </c>
      <c r="V139" s="65" t="str" cm="1">
        <f t="array" aca="1" ref="V139" ca="1">Common_InputFunctions.Utility_DisplayArrayInTable(Fertiliser_SourceData.Fertiliser_Products_Data3(),FertiliserProducts[[#Headers],[Include or Exclude]], 40)</f>
        <v/>
      </c>
      <c r="W139" s="65" t="str" cm="1">
        <f t="array" aca="1" ref="W139" ca="1">Common_InputFunctions.Utility_DisplayArrayInTable(Fertiliser_SourceData.Fertiliser_Products_Data3(),FertiliserProducts[[#Headers],[Include or Exclude]], 40)</f>
        <v/>
      </c>
      <c r="X139" s="65" t="str" cm="1">
        <f t="array" aca="1" ref="X139" ca="1">Common_InputFunctions.Utility_DisplayArrayInTable(Fertiliser_SourceData.Fertiliser_Products_Data3(),FertiliserProducts[[#Headers],[Include or Exclude]], 40)</f>
        <v/>
      </c>
      <c r="Y139" s="65" t="str" cm="1">
        <f t="array" aca="1" ref="Y139" ca="1">Common_InputFunctions.Utility_DisplayArrayInTable(Fertiliser_SourceData.Fertiliser_Products_Data3(),FertiliserProducts[[#Headers],[Include or Exclude]], 40)</f>
        <v/>
      </c>
      <c r="Z139" s="65" t="str" cm="1">
        <f t="array" aca="1" ref="Z139" ca="1">Common_InputFunctions.Utility_DisplayArrayInTable(Fertiliser_SourceData.Fertiliser_Products_Data3(),FertiliserProducts[[#Headers],[Include or Exclude]], 40)</f>
        <v/>
      </c>
      <c r="AA139" s="10" t="str" cm="1">
        <f t="array" aca="1" ref="AA139" ca="1">Common_InputFunctions.Utility_DisplayArrayInTable(Fertiliser_SourceData.Fertiliser_Products_Data3(),FertiliserProducts[[#Headers],[Include or Exclude]], 40)</f>
        <v/>
      </c>
      <c r="AB139" s="10" t="str" cm="1">
        <f t="array" aca="1" ref="AB139" ca="1">Common_InputFunctions.Utility_DisplayArrayInTable(Fertiliser_SourceData.Fertiliser_Products_Data3(),FertiliserProducts[[#Headers],[Include or Exclude]], 40)</f>
        <v/>
      </c>
      <c r="AC139" s="10" t="str" cm="1">
        <f t="array" aca="1" ref="AC139" ca="1">Common_InputFunctions.Utility_DisplayArrayInTable(Fertiliser_SourceData.Fertiliser_Products_Data3(),FertiliserProducts[[#Headers],[Include or Exclude]], 40)</f>
        <v/>
      </c>
      <c r="AD139" s="10" t="str" cm="1">
        <f t="array" aca="1" ref="AD139" ca="1">Common_InputFunctions.Utility_DisplayArrayInTable(Fertiliser_SourceData.Fertiliser_Products_Data3(),FertiliserProducts[[#Headers],[Include or Exclude]], 40)</f>
        <v/>
      </c>
      <c r="AE139" s="10" t="str" cm="1">
        <f t="array" aca="1" ref="AE139" ca="1">Common_InputFunctions.Utility_DisplayArrayInTable(Fertiliser_SourceData.Fertiliser_Products_Data3(),FertiliserProducts[[#Headers],[Include or Exclude]], 40)</f>
        <v/>
      </c>
    </row>
    <row r="140" spans="4:31" ht="20.100000000000001" customHeight="1" x14ac:dyDescent="0.25">
      <c r="D140" s="65" t="str" cm="1">
        <f t="array" aca="1" ref="D140" ca="1">Common_InputFunctions.Utility_DisplayArrayInTable(Fertiliser_SourceData.Fertiliser_Products_Data3(),FertiliserProducts[[#Headers],[Include or Exclude]], 40)</f>
        <v/>
      </c>
      <c r="E140" s="65" t="str" cm="1">
        <f t="array" aca="1" ref="E140" ca="1">Common_InputFunctions.Utility_DisplayArrayInTable(Fertiliser_SourceData.Fertiliser_Products_Data3(),FertiliserProducts[[#Headers],[Include or Exclude]], 40)</f>
        <v/>
      </c>
      <c r="F140" s="65" t="str" cm="1">
        <f t="array" aca="1" ref="F140" ca="1">Common_InputFunctions.Utility_DisplayArrayInTable(Fertiliser_SourceData.Fertiliser_Products_Data3(),FertiliserProducts[[#Headers],[Include or Exclude]], 40)</f>
        <v/>
      </c>
      <c r="G140" s="65" t="str" cm="1">
        <f t="array" aca="1" ref="G140" ca="1">Common_InputFunctions.Utility_DisplayArrayInTable(Fertiliser_SourceData.Fertiliser_Products_Data3(),FertiliserProducts[[#Headers],[Include or Exclude]], 40)</f>
        <v/>
      </c>
      <c r="H140" s="65" t="str" cm="1">
        <f t="array" aca="1" ref="H140" ca="1">Common_InputFunctions.Utility_DisplayArrayInTable(Fertiliser_SourceData.Fertiliser_Products_Data3(),FertiliserProducts[[#Headers],[Include or Exclude]], 40)</f>
        <v/>
      </c>
      <c r="I140" s="65" t="str" cm="1">
        <f t="array" aca="1" ref="I140" ca="1">Common_InputFunctions.Utility_DisplayArrayInTable(Fertiliser_SourceData.Fertiliser_Products_Data3(),FertiliserProducts[[#Headers],[Include or Exclude]], 40)</f>
        <v/>
      </c>
      <c r="J140" s="65" t="str" cm="1">
        <f t="array" aca="1" ref="J140" ca="1">Common_InputFunctions.Utility_DisplayArrayInTable(Fertiliser_SourceData.Fertiliser_Products_Data3(),FertiliserProducts[[#Headers],[Include or Exclude]], 40)</f>
        <v/>
      </c>
      <c r="K140" s="65" t="str" cm="1">
        <f t="array" aca="1" ref="K140" ca="1">Common_InputFunctions.Utility_DisplayArrayInTable(Fertiliser_SourceData.Fertiliser_Products_Data3(),FertiliserProducts[[#Headers],[Include or Exclude]], 40)</f>
        <v/>
      </c>
      <c r="L140" s="65" t="str" cm="1">
        <f t="array" aca="1" ref="L140" ca="1">Common_InputFunctions.Utility_DisplayArrayInTable(Fertiliser_SourceData.Fertiliser_Products_Data3(),FertiliserProducts[[#Headers],[Include or Exclude]], 40)</f>
        <v/>
      </c>
      <c r="M140" s="65" t="str" cm="1">
        <f t="array" aca="1" ref="M140" ca="1">Common_InputFunctions.Utility_DisplayArrayInTable(Fertiliser_SourceData.Fertiliser_Products_Data3(),FertiliserProducts[[#Headers],[Include or Exclude]], 40)</f>
        <v/>
      </c>
      <c r="N140" s="65" t="str" cm="1">
        <f t="array" aca="1" ref="N140" ca="1">Common_InputFunctions.Utility_DisplayArrayInTable(Fertiliser_SourceData.Fertiliser_Products_Data3(),FertiliserProducts[[#Headers],[Include or Exclude]], 40)</f>
        <v/>
      </c>
      <c r="O140" s="65" t="str" cm="1">
        <f t="array" aca="1" ref="O140" ca="1">Common_InputFunctions.Utility_DisplayArrayInTable(Fertiliser_SourceData.Fertiliser_Products_Data3(),FertiliserProducts[[#Headers],[Include or Exclude]], 40)</f>
        <v/>
      </c>
      <c r="P140" s="65" t="str" cm="1">
        <f t="array" aca="1" ref="P140" ca="1">Common_InputFunctions.Utility_DisplayArrayInTable(Fertiliser_SourceData.Fertiliser_Products_Data3(),FertiliserProducts[[#Headers],[Include or Exclude]], 40)</f>
        <v/>
      </c>
      <c r="Q140" s="65" t="str" cm="1">
        <f t="array" aca="1" ref="Q140" ca="1">Common_InputFunctions.Utility_DisplayArrayInTable(Fertiliser_SourceData.Fertiliser_Products_Data3(),FertiliserProducts[[#Headers],[Include or Exclude]], 40)</f>
        <v/>
      </c>
      <c r="R140" s="65" t="str" cm="1">
        <f t="array" aca="1" ref="R140" ca="1">Common_InputFunctions.Utility_DisplayArrayInTable(Fertiliser_SourceData.Fertiliser_Products_Data3(),FertiliserProducts[[#Headers],[Include or Exclude]], 40)</f>
        <v/>
      </c>
      <c r="S140" s="65" t="str" cm="1">
        <f t="array" aca="1" ref="S140" ca="1">Common_InputFunctions.Utility_DisplayArrayInTable(Fertiliser_SourceData.Fertiliser_Products_Data3(),FertiliserProducts[[#Headers],[Include or Exclude]], 40)</f>
        <v/>
      </c>
      <c r="T140" s="65" t="str" cm="1">
        <f t="array" aca="1" ref="T140" ca="1">Common_InputFunctions.Utility_DisplayArrayInTable(Fertiliser_SourceData.Fertiliser_Products_Data3(),FertiliserProducts[[#Headers],[Include or Exclude]], 40)</f>
        <v/>
      </c>
      <c r="U140" s="65" t="str" cm="1">
        <f t="array" aca="1" ref="U140" ca="1">Common_InputFunctions.Utility_DisplayArrayInTable(Fertiliser_SourceData.Fertiliser_Products_Data3(),FertiliserProducts[[#Headers],[Include or Exclude]], 40)</f>
        <v/>
      </c>
      <c r="V140" s="65" t="str" cm="1">
        <f t="array" aca="1" ref="V140" ca="1">Common_InputFunctions.Utility_DisplayArrayInTable(Fertiliser_SourceData.Fertiliser_Products_Data3(),FertiliserProducts[[#Headers],[Include or Exclude]], 40)</f>
        <v/>
      </c>
      <c r="W140" s="65" t="str" cm="1">
        <f t="array" aca="1" ref="W140" ca="1">Common_InputFunctions.Utility_DisplayArrayInTable(Fertiliser_SourceData.Fertiliser_Products_Data3(),FertiliserProducts[[#Headers],[Include or Exclude]], 40)</f>
        <v/>
      </c>
      <c r="X140" s="65" t="str" cm="1">
        <f t="array" aca="1" ref="X140" ca="1">Common_InputFunctions.Utility_DisplayArrayInTable(Fertiliser_SourceData.Fertiliser_Products_Data3(),FertiliserProducts[[#Headers],[Include or Exclude]], 40)</f>
        <v/>
      </c>
      <c r="Y140" s="65" t="str" cm="1">
        <f t="array" aca="1" ref="Y140" ca="1">Common_InputFunctions.Utility_DisplayArrayInTable(Fertiliser_SourceData.Fertiliser_Products_Data3(),FertiliserProducts[[#Headers],[Include or Exclude]], 40)</f>
        <v/>
      </c>
      <c r="Z140" s="65" t="str" cm="1">
        <f t="array" aca="1" ref="Z140" ca="1">Common_InputFunctions.Utility_DisplayArrayInTable(Fertiliser_SourceData.Fertiliser_Products_Data3(),FertiliserProducts[[#Headers],[Include or Exclude]], 40)</f>
        <v/>
      </c>
      <c r="AA140" s="10" t="str" cm="1">
        <f t="array" aca="1" ref="AA140" ca="1">Common_InputFunctions.Utility_DisplayArrayInTable(Fertiliser_SourceData.Fertiliser_Products_Data3(),FertiliserProducts[[#Headers],[Include or Exclude]], 40)</f>
        <v/>
      </c>
      <c r="AB140" s="10" t="str" cm="1">
        <f t="array" aca="1" ref="AB140" ca="1">Common_InputFunctions.Utility_DisplayArrayInTable(Fertiliser_SourceData.Fertiliser_Products_Data3(),FertiliserProducts[[#Headers],[Include or Exclude]], 40)</f>
        <v/>
      </c>
      <c r="AC140" s="10" t="str" cm="1">
        <f t="array" aca="1" ref="AC140" ca="1">Common_InputFunctions.Utility_DisplayArrayInTable(Fertiliser_SourceData.Fertiliser_Products_Data3(),FertiliserProducts[[#Headers],[Include or Exclude]], 40)</f>
        <v/>
      </c>
      <c r="AD140" s="10" t="str" cm="1">
        <f t="array" aca="1" ref="AD140" ca="1">Common_InputFunctions.Utility_DisplayArrayInTable(Fertiliser_SourceData.Fertiliser_Products_Data3(),FertiliserProducts[[#Headers],[Include or Exclude]], 40)</f>
        <v/>
      </c>
      <c r="AE140" s="10" t="str" cm="1">
        <f t="array" aca="1" ref="AE140" ca="1">Common_InputFunctions.Utility_DisplayArrayInTable(Fertiliser_SourceData.Fertiliser_Products_Data3(),FertiliserProducts[[#Headers],[Include or Exclude]], 40)</f>
        <v/>
      </c>
    </row>
    <row r="141" spans="4:31" ht="20.100000000000001" customHeight="1" x14ac:dyDescent="0.25">
      <c r="D141" s="65" t="str" cm="1">
        <f t="array" aca="1" ref="D141" ca="1">Common_InputFunctions.Utility_DisplayArrayInTable(Fertiliser_SourceData.Fertiliser_Products_Data3(),FertiliserProducts[[#Headers],[Include or Exclude]], 40)</f>
        <v/>
      </c>
      <c r="E141" s="65" t="str" cm="1">
        <f t="array" aca="1" ref="E141" ca="1">Common_InputFunctions.Utility_DisplayArrayInTable(Fertiliser_SourceData.Fertiliser_Products_Data3(),FertiliserProducts[[#Headers],[Include or Exclude]], 40)</f>
        <v/>
      </c>
      <c r="F141" s="65" t="str" cm="1">
        <f t="array" aca="1" ref="F141" ca="1">Common_InputFunctions.Utility_DisplayArrayInTable(Fertiliser_SourceData.Fertiliser_Products_Data3(),FertiliserProducts[[#Headers],[Include or Exclude]], 40)</f>
        <v/>
      </c>
      <c r="G141" s="65" t="str" cm="1">
        <f t="array" aca="1" ref="G141" ca="1">Common_InputFunctions.Utility_DisplayArrayInTable(Fertiliser_SourceData.Fertiliser_Products_Data3(),FertiliserProducts[[#Headers],[Include or Exclude]], 40)</f>
        <v/>
      </c>
      <c r="H141" s="65" t="str" cm="1">
        <f t="array" aca="1" ref="H141" ca="1">Common_InputFunctions.Utility_DisplayArrayInTable(Fertiliser_SourceData.Fertiliser_Products_Data3(),FertiliserProducts[[#Headers],[Include or Exclude]], 40)</f>
        <v/>
      </c>
      <c r="I141" s="65" t="str" cm="1">
        <f t="array" aca="1" ref="I141" ca="1">Common_InputFunctions.Utility_DisplayArrayInTable(Fertiliser_SourceData.Fertiliser_Products_Data3(),FertiliserProducts[[#Headers],[Include or Exclude]], 40)</f>
        <v/>
      </c>
      <c r="J141" s="65" t="str" cm="1">
        <f t="array" aca="1" ref="J141" ca="1">Common_InputFunctions.Utility_DisplayArrayInTable(Fertiliser_SourceData.Fertiliser_Products_Data3(),FertiliserProducts[[#Headers],[Include or Exclude]], 40)</f>
        <v/>
      </c>
      <c r="K141" s="65" t="str" cm="1">
        <f t="array" aca="1" ref="K141" ca="1">Common_InputFunctions.Utility_DisplayArrayInTable(Fertiliser_SourceData.Fertiliser_Products_Data3(),FertiliserProducts[[#Headers],[Include or Exclude]], 40)</f>
        <v/>
      </c>
      <c r="L141" s="65" t="str" cm="1">
        <f t="array" aca="1" ref="L141" ca="1">Common_InputFunctions.Utility_DisplayArrayInTable(Fertiliser_SourceData.Fertiliser_Products_Data3(),FertiliserProducts[[#Headers],[Include or Exclude]], 40)</f>
        <v/>
      </c>
      <c r="M141" s="65" t="str" cm="1">
        <f t="array" aca="1" ref="M141" ca="1">Common_InputFunctions.Utility_DisplayArrayInTable(Fertiliser_SourceData.Fertiliser_Products_Data3(),FertiliserProducts[[#Headers],[Include or Exclude]], 40)</f>
        <v/>
      </c>
      <c r="N141" s="65" t="str" cm="1">
        <f t="array" aca="1" ref="N141" ca="1">Common_InputFunctions.Utility_DisplayArrayInTable(Fertiliser_SourceData.Fertiliser_Products_Data3(),FertiliserProducts[[#Headers],[Include or Exclude]], 40)</f>
        <v/>
      </c>
      <c r="O141" s="65" t="str" cm="1">
        <f t="array" aca="1" ref="O141" ca="1">Common_InputFunctions.Utility_DisplayArrayInTable(Fertiliser_SourceData.Fertiliser_Products_Data3(),FertiliserProducts[[#Headers],[Include or Exclude]], 40)</f>
        <v/>
      </c>
      <c r="P141" s="65" t="str" cm="1">
        <f t="array" aca="1" ref="P141" ca="1">Common_InputFunctions.Utility_DisplayArrayInTable(Fertiliser_SourceData.Fertiliser_Products_Data3(),FertiliserProducts[[#Headers],[Include or Exclude]], 40)</f>
        <v/>
      </c>
      <c r="Q141" s="65" t="str" cm="1">
        <f t="array" aca="1" ref="Q141" ca="1">Common_InputFunctions.Utility_DisplayArrayInTable(Fertiliser_SourceData.Fertiliser_Products_Data3(),FertiliserProducts[[#Headers],[Include or Exclude]], 40)</f>
        <v/>
      </c>
      <c r="R141" s="65" t="str" cm="1">
        <f t="array" aca="1" ref="R141" ca="1">Common_InputFunctions.Utility_DisplayArrayInTable(Fertiliser_SourceData.Fertiliser_Products_Data3(),FertiliserProducts[[#Headers],[Include or Exclude]], 40)</f>
        <v/>
      </c>
      <c r="S141" s="65" t="str" cm="1">
        <f t="array" aca="1" ref="S141" ca="1">Common_InputFunctions.Utility_DisplayArrayInTable(Fertiliser_SourceData.Fertiliser_Products_Data3(),FertiliserProducts[[#Headers],[Include or Exclude]], 40)</f>
        <v/>
      </c>
      <c r="T141" s="65" t="str" cm="1">
        <f t="array" aca="1" ref="T141" ca="1">Common_InputFunctions.Utility_DisplayArrayInTable(Fertiliser_SourceData.Fertiliser_Products_Data3(),FertiliserProducts[[#Headers],[Include or Exclude]], 40)</f>
        <v/>
      </c>
      <c r="U141" s="65" t="str" cm="1">
        <f t="array" aca="1" ref="U141" ca="1">Common_InputFunctions.Utility_DisplayArrayInTable(Fertiliser_SourceData.Fertiliser_Products_Data3(),FertiliserProducts[[#Headers],[Include or Exclude]], 40)</f>
        <v/>
      </c>
      <c r="V141" s="65" t="str" cm="1">
        <f t="array" aca="1" ref="V141" ca="1">Common_InputFunctions.Utility_DisplayArrayInTable(Fertiliser_SourceData.Fertiliser_Products_Data3(),FertiliserProducts[[#Headers],[Include or Exclude]], 40)</f>
        <v/>
      </c>
      <c r="W141" s="65" t="str" cm="1">
        <f t="array" aca="1" ref="W141" ca="1">Common_InputFunctions.Utility_DisplayArrayInTable(Fertiliser_SourceData.Fertiliser_Products_Data3(),FertiliserProducts[[#Headers],[Include or Exclude]], 40)</f>
        <v/>
      </c>
      <c r="X141" s="65" t="str" cm="1">
        <f t="array" aca="1" ref="X141" ca="1">Common_InputFunctions.Utility_DisplayArrayInTable(Fertiliser_SourceData.Fertiliser_Products_Data3(),FertiliserProducts[[#Headers],[Include or Exclude]], 40)</f>
        <v/>
      </c>
      <c r="Y141" s="65" t="str" cm="1">
        <f t="array" aca="1" ref="Y141" ca="1">Common_InputFunctions.Utility_DisplayArrayInTable(Fertiliser_SourceData.Fertiliser_Products_Data3(),FertiliserProducts[[#Headers],[Include or Exclude]], 40)</f>
        <v/>
      </c>
      <c r="Z141" s="65" t="str" cm="1">
        <f t="array" aca="1" ref="Z141" ca="1">Common_InputFunctions.Utility_DisplayArrayInTable(Fertiliser_SourceData.Fertiliser_Products_Data3(),FertiliserProducts[[#Headers],[Include or Exclude]], 40)</f>
        <v/>
      </c>
      <c r="AA141" s="10" t="str" cm="1">
        <f t="array" aca="1" ref="AA141" ca="1">Common_InputFunctions.Utility_DisplayArrayInTable(Fertiliser_SourceData.Fertiliser_Products_Data3(),FertiliserProducts[[#Headers],[Include or Exclude]], 40)</f>
        <v/>
      </c>
      <c r="AB141" s="10" t="str" cm="1">
        <f t="array" aca="1" ref="AB141" ca="1">Common_InputFunctions.Utility_DisplayArrayInTable(Fertiliser_SourceData.Fertiliser_Products_Data3(),FertiliserProducts[[#Headers],[Include or Exclude]], 40)</f>
        <v/>
      </c>
      <c r="AC141" s="10" t="str" cm="1">
        <f t="array" aca="1" ref="AC141" ca="1">Common_InputFunctions.Utility_DisplayArrayInTable(Fertiliser_SourceData.Fertiliser_Products_Data3(),FertiliserProducts[[#Headers],[Include or Exclude]], 40)</f>
        <v/>
      </c>
      <c r="AD141" s="10" t="str" cm="1">
        <f t="array" aca="1" ref="AD141" ca="1">Common_InputFunctions.Utility_DisplayArrayInTable(Fertiliser_SourceData.Fertiliser_Products_Data3(),FertiliserProducts[[#Headers],[Include or Exclude]], 40)</f>
        <v/>
      </c>
      <c r="AE141" s="10" t="str" cm="1">
        <f t="array" aca="1" ref="AE141" ca="1">Common_InputFunctions.Utility_DisplayArrayInTable(Fertiliser_SourceData.Fertiliser_Products_Data3(),FertiliserProducts[[#Headers],[Include or Exclude]], 40)</f>
        <v/>
      </c>
    </row>
    <row r="142" spans="4:31" ht="20.100000000000001" customHeight="1" x14ac:dyDescent="0.25">
      <c r="D142" s="65" t="str" cm="1">
        <f t="array" aca="1" ref="D142" ca="1">Common_InputFunctions.Utility_DisplayArrayInTable(Fertiliser_SourceData.Fertiliser_Products_Data3(),FertiliserProducts[[#Headers],[Include or Exclude]], 40)</f>
        <v/>
      </c>
      <c r="E142" s="65" t="str" cm="1">
        <f t="array" aca="1" ref="E142" ca="1">Common_InputFunctions.Utility_DisplayArrayInTable(Fertiliser_SourceData.Fertiliser_Products_Data3(),FertiliserProducts[[#Headers],[Include or Exclude]], 40)</f>
        <v/>
      </c>
      <c r="F142" s="65" t="str" cm="1">
        <f t="array" aca="1" ref="F142" ca="1">Common_InputFunctions.Utility_DisplayArrayInTable(Fertiliser_SourceData.Fertiliser_Products_Data3(),FertiliserProducts[[#Headers],[Include or Exclude]], 40)</f>
        <v/>
      </c>
      <c r="G142" s="65" t="str" cm="1">
        <f t="array" aca="1" ref="G142" ca="1">Common_InputFunctions.Utility_DisplayArrayInTable(Fertiliser_SourceData.Fertiliser_Products_Data3(),FertiliserProducts[[#Headers],[Include or Exclude]], 40)</f>
        <v/>
      </c>
      <c r="H142" s="65" t="str" cm="1">
        <f t="array" aca="1" ref="H142" ca="1">Common_InputFunctions.Utility_DisplayArrayInTable(Fertiliser_SourceData.Fertiliser_Products_Data3(),FertiliserProducts[[#Headers],[Include or Exclude]], 40)</f>
        <v/>
      </c>
      <c r="I142" s="65" t="str" cm="1">
        <f t="array" aca="1" ref="I142" ca="1">Common_InputFunctions.Utility_DisplayArrayInTable(Fertiliser_SourceData.Fertiliser_Products_Data3(),FertiliserProducts[[#Headers],[Include or Exclude]], 40)</f>
        <v/>
      </c>
      <c r="J142" s="65" t="str" cm="1">
        <f t="array" aca="1" ref="J142" ca="1">Common_InputFunctions.Utility_DisplayArrayInTable(Fertiliser_SourceData.Fertiliser_Products_Data3(),FertiliserProducts[[#Headers],[Include or Exclude]], 40)</f>
        <v/>
      </c>
      <c r="K142" s="65" t="str" cm="1">
        <f t="array" aca="1" ref="K142" ca="1">Common_InputFunctions.Utility_DisplayArrayInTable(Fertiliser_SourceData.Fertiliser_Products_Data3(),FertiliserProducts[[#Headers],[Include or Exclude]], 40)</f>
        <v/>
      </c>
      <c r="L142" s="65" t="str" cm="1">
        <f t="array" aca="1" ref="L142" ca="1">Common_InputFunctions.Utility_DisplayArrayInTable(Fertiliser_SourceData.Fertiliser_Products_Data3(),FertiliserProducts[[#Headers],[Include or Exclude]], 40)</f>
        <v/>
      </c>
      <c r="M142" s="65" t="str" cm="1">
        <f t="array" aca="1" ref="M142" ca="1">Common_InputFunctions.Utility_DisplayArrayInTable(Fertiliser_SourceData.Fertiliser_Products_Data3(),FertiliserProducts[[#Headers],[Include or Exclude]], 40)</f>
        <v/>
      </c>
      <c r="N142" s="65" t="str" cm="1">
        <f t="array" aca="1" ref="N142" ca="1">Common_InputFunctions.Utility_DisplayArrayInTable(Fertiliser_SourceData.Fertiliser_Products_Data3(),FertiliserProducts[[#Headers],[Include or Exclude]], 40)</f>
        <v/>
      </c>
      <c r="O142" s="65" t="str" cm="1">
        <f t="array" aca="1" ref="O142" ca="1">Common_InputFunctions.Utility_DisplayArrayInTable(Fertiliser_SourceData.Fertiliser_Products_Data3(),FertiliserProducts[[#Headers],[Include or Exclude]], 40)</f>
        <v/>
      </c>
      <c r="P142" s="65" t="str" cm="1">
        <f t="array" aca="1" ref="P142" ca="1">Common_InputFunctions.Utility_DisplayArrayInTable(Fertiliser_SourceData.Fertiliser_Products_Data3(),FertiliserProducts[[#Headers],[Include or Exclude]], 40)</f>
        <v/>
      </c>
      <c r="Q142" s="65" t="str" cm="1">
        <f t="array" aca="1" ref="Q142" ca="1">Common_InputFunctions.Utility_DisplayArrayInTable(Fertiliser_SourceData.Fertiliser_Products_Data3(),FertiliserProducts[[#Headers],[Include or Exclude]], 40)</f>
        <v/>
      </c>
      <c r="R142" s="65" t="str" cm="1">
        <f t="array" aca="1" ref="R142" ca="1">Common_InputFunctions.Utility_DisplayArrayInTable(Fertiliser_SourceData.Fertiliser_Products_Data3(),FertiliserProducts[[#Headers],[Include or Exclude]], 40)</f>
        <v/>
      </c>
      <c r="S142" s="65" t="str" cm="1">
        <f t="array" aca="1" ref="S142" ca="1">Common_InputFunctions.Utility_DisplayArrayInTable(Fertiliser_SourceData.Fertiliser_Products_Data3(),FertiliserProducts[[#Headers],[Include or Exclude]], 40)</f>
        <v/>
      </c>
      <c r="T142" s="65" t="str" cm="1">
        <f t="array" aca="1" ref="T142" ca="1">Common_InputFunctions.Utility_DisplayArrayInTable(Fertiliser_SourceData.Fertiliser_Products_Data3(),FertiliserProducts[[#Headers],[Include or Exclude]], 40)</f>
        <v/>
      </c>
      <c r="U142" s="65" t="str" cm="1">
        <f t="array" aca="1" ref="U142" ca="1">Common_InputFunctions.Utility_DisplayArrayInTable(Fertiliser_SourceData.Fertiliser_Products_Data3(),FertiliserProducts[[#Headers],[Include or Exclude]], 40)</f>
        <v/>
      </c>
      <c r="V142" s="65" t="str" cm="1">
        <f t="array" aca="1" ref="V142" ca="1">Common_InputFunctions.Utility_DisplayArrayInTable(Fertiliser_SourceData.Fertiliser_Products_Data3(),FertiliserProducts[[#Headers],[Include or Exclude]], 40)</f>
        <v/>
      </c>
      <c r="W142" s="65" t="str" cm="1">
        <f t="array" aca="1" ref="W142" ca="1">Common_InputFunctions.Utility_DisplayArrayInTable(Fertiliser_SourceData.Fertiliser_Products_Data3(),FertiliserProducts[[#Headers],[Include or Exclude]], 40)</f>
        <v/>
      </c>
      <c r="X142" s="65" t="str" cm="1">
        <f t="array" aca="1" ref="X142" ca="1">Common_InputFunctions.Utility_DisplayArrayInTable(Fertiliser_SourceData.Fertiliser_Products_Data3(),FertiliserProducts[[#Headers],[Include or Exclude]], 40)</f>
        <v/>
      </c>
      <c r="Y142" s="65" t="str" cm="1">
        <f t="array" aca="1" ref="Y142" ca="1">Common_InputFunctions.Utility_DisplayArrayInTable(Fertiliser_SourceData.Fertiliser_Products_Data3(),FertiliserProducts[[#Headers],[Include or Exclude]], 40)</f>
        <v/>
      </c>
      <c r="Z142" s="65" t="str" cm="1">
        <f t="array" aca="1" ref="Z142" ca="1">Common_InputFunctions.Utility_DisplayArrayInTable(Fertiliser_SourceData.Fertiliser_Products_Data3(),FertiliserProducts[[#Headers],[Include or Exclude]], 40)</f>
        <v/>
      </c>
      <c r="AA142" s="10" t="str" cm="1">
        <f t="array" aca="1" ref="AA142" ca="1">Common_InputFunctions.Utility_DisplayArrayInTable(Fertiliser_SourceData.Fertiliser_Products_Data3(),FertiliserProducts[[#Headers],[Include or Exclude]], 40)</f>
        <v/>
      </c>
      <c r="AB142" s="10" t="str" cm="1">
        <f t="array" aca="1" ref="AB142" ca="1">Common_InputFunctions.Utility_DisplayArrayInTable(Fertiliser_SourceData.Fertiliser_Products_Data3(),FertiliserProducts[[#Headers],[Include or Exclude]], 40)</f>
        <v/>
      </c>
      <c r="AC142" s="10" t="str" cm="1">
        <f t="array" aca="1" ref="AC142" ca="1">Common_InputFunctions.Utility_DisplayArrayInTable(Fertiliser_SourceData.Fertiliser_Products_Data3(),FertiliserProducts[[#Headers],[Include or Exclude]], 40)</f>
        <v/>
      </c>
      <c r="AD142" s="10" t="str" cm="1">
        <f t="array" aca="1" ref="AD142" ca="1">Common_InputFunctions.Utility_DisplayArrayInTable(Fertiliser_SourceData.Fertiliser_Products_Data3(),FertiliserProducts[[#Headers],[Include or Exclude]], 40)</f>
        <v/>
      </c>
      <c r="AE142" s="10" t="str" cm="1">
        <f t="array" aca="1" ref="AE142" ca="1">Common_InputFunctions.Utility_DisplayArrayInTable(Fertiliser_SourceData.Fertiliser_Products_Data3(),FertiliserProducts[[#Headers],[Include or Exclude]], 40)</f>
        <v/>
      </c>
    </row>
    <row r="143" spans="4:31" ht="20.100000000000001" customHeight="1" x14ac:dyDescent="0.25">
      <c r="D143" s="65" t="str" cm="1">
        <f t="array" aca="1" ref="D143" ca="1">Common_InputFunctions.Utility_DisplayArrayInTable(Fertiliser_SourceData.Fertiliser_Products_Data3(),FertiliserProducts[[#Headers],[Include or Exclude]], 40)</f>
        <v/>
      </c>
      <c r="E143" s="65" t="str" cm="1">
        <f t="array" aca="1" ref="E143" ca="1">Common_InputFunctions.Utility_DisplayArrayInTable(Fertiliser_SourceData.Fertiliser_Products_Data3(),FertiliserProducts[[#Headers],[Include or Exclude]], 40)</f>
        <v/>
      </c>
      <c r="F143" s="65" t="str" cm="1">
        <f t="array" aca="1" ref="F143" ca="1">Common_InputFunctions.Utility_DisplayArrayInTable(Fertiliser_SourceData.Fertiliser_Products_Data3(),FertiliserProducts[[#Headers],[Include or Exclude]], 40)</f>
        <v/>
      </c>
      <c r="G143" s="65" t="str" cm="1">
        <f t="array" aca="1" ref="G143" ca="1">Common_InputFunctions.Utility_DisplayArrayInTable(Fertiliser_SourceData.Fertiliser_Products_Data3(),FertiliserProducts[[#Headers],[Include or Exclude]], 40)</f>
        <v/>
      </c>
      <c r="H143" s="65" t="str" cm="1">
        <f t="array" aca="1" ref="H143" ca="1">Common_InputFunctions.Utility_DisplayArrayInTable(Fertiliser_SourceData.Fertiliser_Products_Data3(),FertiliserProducts[[#Headers],[Include or Exclude]], 40)</f>
        <v/>
      </c>
      <c r="I143" s="65" t="str" cm="1">
        <f t="array" aca="1" ref="I143" ca="1">Common_InputFunctions.Utility_DisplayArrayInTable(Fertiliser_SourceData.Fertiliser_Products_Data3(),FertiliserProducts[[#Headers],[Include or Exclude]], 40)</f>
        <v/>
      </c>
      <c r="J143" s="65" t="str" cm="1">
        <f t="array" aca="1" ref="J143" ca="1">Common_InputFunctions.Utility_DisplayArrayInTable(Fertiliser_SourceData.Fertiliser_Products_Data3(),FertiliserProducts[[#Headers],[Include or Exclude]], 40)</f>
        <v/>
      </c>
      <c r="K143" s="65" t="str" cm="1">
        <f t="array" aca="1" ref="K143" ca="1">Common_InputFunctions.Utility_DisplayArrayInTable(Fertiliser_SourceData.Fertiliser_Products_Data3(),FertiliserProducts[[#Headers],[Include or Exclude]], 40)</f>
        <v/>
      </c>
      <c r="L143" s="65" t="str" cm="1">
        <f t="array" aca="1" ref="L143" ca="1">Common_InputFunctions.Utility_DisplayArrayInTable(Fertiliser_SourceData.Fertiliser_Products_Data3(),FertiliserProducts[[#Headers],[Include or Exclude]], 40)</f>
        <v/>
      </c>
      <c r="M143" s="65" t="str" cm="1">
        <f t="array" aca="1" ref="M143" ca="1">Common_InputFunctions.Utility_DisplayArrayInTable(Fertiliser_SourceData.Fertiliser_Products_Data3(),FertiliserProducts[[#Headers],[Include or Exclude]], 40)</f>
        <v/>
      </c>
      <c r="N143" s="65" t="str" cm="1">
        <f t="array" aca="1" ref="N143" ca="1">Common_InputFunctions.Utility_DisplayArrayInTable(Fertiliser_SourceData.Fertiliser_Products_Data3(),FertiliserProducts[[#Headers],[Include or Exclude]], 40)</f>
        <v/>
      </c>
      <c r="O143" s="65" t="str" cm="1">
        <f t="array" aca="1" ref="O143" ca="1">Common_InputFunctions.Utility_DisplayArrayInTable(Fertiliser_SourceData.Fertiliser_Products_Data3(),FertiliserProducts[[#Headers],[Include or Exclude]], 40)</f>
        <v/>
      </c>
      <c r="P143" s="65" t="str" cm="1">
        <f t="array" aca="1" ref="P143" ca="1">Common_InputFunctions.Utility_DisplayArrayInTable(Fertiliser_SourceData.Fertiliser_Products_Data3(),FertiliserProducts[[#Headers],[Include or Exclude]], 40)</f>
        <v/>
      </c>
      <c r="Q143" s="65" t="str" cm="1">
        <f t="array" aca="1" ref="Q143" ca="1">Common_InputFunctions.Utility_DisplayArrayInTable(Fertiliser_SourceData.Fertiliser_Products_Data3(),FertiliserProducts[[#Headers],[Include or Exclude]], 40)</f>
        <v/>
      </c>
      <c r="R143" s="65" t="str" cm="1">
        <f t="array" aca="1" ref="R143" ca="1">Common_InputFunctions.Utility_DisplayArrayInTable(Fertiliser_SourceData.Fertiliser_Products_Data3(),FertiliserProducts[[#Headers],[Include or Exclude]], 40)</f>
        <v/>
      </c>
      <c r="S143" s="65" t="str" cm="1">
        <f t="array" aca="1" ref="S143" ca="1">Common_InputFunctions.Utility_DisplayArrayInTable(Fertiliser_SourceData.Fertiliser_Products_Data3(),FertiliserProducts[[#Headers],[Include or Exclude]], 40)</f>
        <v/>
      </c>
      <c r="T143" s="65" t="str" cm="1">
        <f t="array" aca="1" ref="T143" ca="1">Common_InputFunctions.Utility_DisplayArrayInTable(Fertiliser_SourceData.Fertiliser_Products_Data3(),FertiliserProducts[[#Headers],[Include or Exclude]], 40)</f>
        <v/>
      </c>
      <c r="U143" s="65" t="str" cm="1">
        <f t="array" aca="1" ref="U143" ca="1">Common_InputFunctions.Utility_DisplayArrayInTable(Fertiliser_SourceData.Fertiliser_Products_Data3(),FertiliserProducts[[#Headers],[Include or Exclude]], 40)</f>
        <v/>
      </c>
      <c r="V143" s="65" t="str" cm="1">
        <f t="array" aca="1" ref="V143" ca="1">Common_InputFunctions.Utility_DisplayArrayInTable(Fertiliser_SourceData.Fertiliser_Products_Data3(),FertiliserProducts[[#Headers],[Include or Exclude]], 40)</f>
        <v/>
      </c>
      <c r="W143" s="65" t="str" cm="1">
        <f t="array" aca="1" ref="W143" ca="1">Common_InputFunctions.Utility_DisplayArrayInTable(Fertiliser_SourceData.Fertiliser_Products_Data3(),FertiliserProducts[[#Headers],[Include or Exclude]], 40)</f>
        <v/>
      </c>
      <c r="X143" s="65" t="str" cm="1">
        <f t="array" aca="1" ref="X143" ca="1">Common_InputFunctions.Utility_DisplayArrayInTable(Fertiliser_SourceData.Fertiliser_Products_Data3(),FertiliserProducts[[#Headers],[Include or Exclude]], 40)</f>
        <v/>
      </c>
      <c r="Y143" s="65" t="str" cm="1">
        <f t="array" aca="1" ref="Y143" ca="1">Common_InputFunctions.Utility_DisplayArrayInTable(Fertiliser_SourceData.Fertiliser_Products_Data3(),FertiliserProducts[[#Headers],[Include or Exclude]], 40)</f>
        <v/>
      </c>
      <c r="Z143" s="65" t="str" cm="1">
        <f t="array" aca="1" ref="Z143" ca="1">Common_InputFunctions.Utility_DisplayArrayInTable(Fertiliser_SourceData.Fertiliser_Products_Data3(),FertiliserProducts[[#Headers],[Include or Exclude]], 40)</f>
        <v/>
      </c>
      <c r="AA143" s="10" t="str" cm="1">
        <f t="array" aca="1" ref="AA143" ca="1">Common_InputFunctions.Utility_DisplayArrayInTable(Fertiliser_SourceData.Fertiliser_Products_Data3(),FertiliserProducts[[#Headers],[Include or Exclude]], 40)</f>
        <v/>
      </c>
      <c r="AB143" s="10" t="str" cm="1">
        <f t="array" aca="1" ref="AB143" ca="1">Common_InputFunctions.Utility_DisplayArrayInTable(Fertiliser_SourceData.Fertiliser_Products_Data3(),FertiliserProducts[[#Headers],[Include or Exclude]], 40)</f>
        <v/>
      </c>
      <c r="AC143" s="10" t="str" cm="1">
        <f t="array" aca="1" ref="AC143" ca="1">Common_InputFunctions.Utility_DisplayArrayInTable(Fertiliser_SourceData.Fertiliser_Products_Data3(),FertiliserProducts[[#Headers],[Include or Exclude]], 40)</f>
        <v/>
      </c>
      <c r="AD143" s="10" t="str" cm="1">
        <f t="array" aca="1" ref="AD143" ca="1">Common_InputFunctions.Utility_DisplayArrayInTable(Fertiliser_SourceData.Fertiliser_Products_Data3(),FertiliserProducts[[#Headers],[Include or Exclude]], 40)</f>
        <v/>
      </c>
      <c r="AE143" s="10" t="str" cm="1">
        <f t="array" aca="1" ref="AE143" ca="1">Common_InputFunctions.Utility_DisplayArrayInTable(Fertiliser_SourceData.Fertiliser_Products_Data3(),FertiliserProducts[[#Headers],[Include or Exclude]], 40)</f>
        <v/>
      </c>
    </row>
    <row r="144" spans="4:31" ht="20.100000000000001" customHeight="1" x14ac:dyDescent="0.25">
      <c r="D144" s="65" t="str" cm="1">
        <f t="array" aca="1" ref="D144" ca="1">Common_InputFunctions.Utility_DisplayArrayInTable(Fertiliser_SourceData.Fertiliser_Products_Data3(),FertiliserProducts[[#Headers],[Include or Exclude]], 40)</f>
        <v/>
      </c>
      <c r="E144" s="65" t="str" cm="1">
        <f t="array" aca="1" ref="E144" ca="1">Common_InputFunctions.Utility_DisplayArrayInTable(Fertiliser_SourceData.Fertiliser_Products_Data3(),FertiliserProducts[[#Headers],[Include or Exclude]], 40)</f>
        <v/>
      </c>
      <c r="F144" s="65" t="str" cm="1">
        <f t="array" aca="1" ref="F144" ca="1">Common_InputFunctions.Utility_DisplayArrayInTable(Fertiliser_SourceData.Fertiliser_Products_Data3(),FertiliserProducts[[#Headers],[Include or Exclude]], 40)</f>
        <v/>
      </c>
      <c r="G144" s="65" t="str" cm="1">
        <f t="array" aca="1" ref="G144" ca="1">Common_InputFunctions.Utility_DisplayArrayInTable(Fertiliser_SourceData.Fertiliser_Products_Data3(),FertiliserProducts[[#Headers],[Include or Exclude]], 40)</f>
        <v/>
      </c>
      <c r="H144" s="65" t="str" cm="1">
        <f t="array" aca="1" ref="H144" ca="1">Common_InputFunctions.Utility_DisplayArrayInTable(Fertiliser_SourceData.Fertiliser_Products_Data3(),FertiliserProducts[[#Headers],[Include or Exclude]], 40)</f>
        <v/>
      </c>
      <c r="I144" s="65" t="str" cm="1">
        <f t="array" aca="1" ref="I144" ca="1">Common_InputFunctions.Utility_DisplayArrayInTable(Fertiliser_SourceData.Fertiliser_Products_Data3(),FertiliserProducts[[#Headers],[Include or Exclude]], 40)</f>
        <v/>
      </c>
      <c r="J144" s="65" t="str" cm="1">
        <f t="array" aca="1" ref="J144" ca="1">Common_InputFunctions.Utility_DisplayArrayInTable(Fertiliser_SourceData.Fertiliser_Products_Data3(),FertiliserProducts[[#Headers],[Include or Exclude]], 40)</f>
        <v/>
      </c>
      <c r="K144" s="65" t="str" cm="1">
        <f t="array" aca="1" ref="K144" ca="1">Common_InputFunctions.Utility_DisplayArrayInTable(Fertiliser_SourceData.Fertiliser_Products_Data3(),FertiliserProducts[[#Headers],[Include or Exclude]], 40)</f>
        <v/>
      </c>
      <c r="L144" s="65" t="str" cm="1">
        <f t="array" aca="1" ref="L144" ca="1">Common_InputFunctions.Utility_DisplayArrayInTable(Fertiliser_SourceData.Fertiliser_Products_Data3(),FertiliserProducts[[#Headers],[Include or Exclude]], 40)</f>
        <v/>
      </c>
      <c r="M144" s="65" t="str" cm="1">
        <f t="array" aca="1" ref="M144" ca="1">Common_InputFunctions.Utility_DisplayArrayInTable(Fertiliser_SourceData.Fertiliser_Products_Data3(),FertiliserProducts[[#Headers],[Include or Exclude]], 40)</f>
        <v/>
      </c>
      <c r="N144" s="65" t="str" cm="1">
        <f t="array" aca="1" ref="N144" ca="1">Common_InputFunctions.Utility_DisplayArrayInTable(Fertiliser_SourceData.Fertiliser_Products_Data3(),FertiliserProducts[[#Headers],[Include or Exclude]], 40)</f>
        <v/>
      </c>
      <c r="O144" s="65" t="str" cm="1">
        <f t="array" aca="1" ref="O144" ca="1">Common_InputFunctions.Utility_DisplayArrayInTable(Fertiliser_SourceData.Fertiliser_Products_Data3(),FertiliserProducts[[#Headers],[Include or Exclude]], 40)</f>
        <v/>
      </c>
      <c r="P144" s="65" t="str" cm="1">
        <f t="array" aca="1" ref="P144" ca="1">Common_InputFunctions.Utility_DisplayArrayInTable(Fertiliser_SourceData.Fertiliser_Products_Data3(),FertiliserProducts[[#Headers],[Include or Exclude]], 40)</f>
        <v/>
      </c>
      <c r="Q144" s="65" t="str" cm="1">
        <f t="array" aca="1" ref="Q144" ca="1">Common_InputFunctions.Utility_DisplayArrayInTable(Fertiliser_SourceData.Fertiliser_Products_Data3(),FertiliserProducts[[#Headers],[Include or Exclude]], 40)</f>
        <v/>
      </c>
      <c r="R144" s="65" t="str" cm="1">
        <f t="array" aca="1" ref="R144" ca="1">Common_InputFunctions.Utility_DisplayArrayInTable(Fertiliser_SourceData.Fertiliser_Products_Data3(),FertiliserProducts[[#Headers],[Include or Exclude]], 40)</f>
        <v/>
      </c>
      <c r="S144" s="65" t="str" cm="1">
        <f t="array" aca="1" ref="S144" ca="1">Common_InputFunctions.Utility_DisplayArrayInTable(Fertiliser_SourceData.Fertiliser_Products_Data3(),FertiliserProducts[[#Headers],[Include or Exclude]], 40)</f>
        <v/>
      </c>
      <c r="T144" s="65" t="str" cm="1">
        <f t="array" aca="1" ref="T144" ca="1">Common_InputFunctions.Utility_DisplayArrayInTable(Fertiliser_SourceData.Fertiliser_Products_Data3(),FertiliserProducts[[#Headers],[Include or Exclude]], 40)</f>
        <v/>
      </c>
      <c r="U144" s="65" t="str" cm="1">
        <f t="array" aca="1" ref="U144" ca="1">Common_InputFunctions.Utility_DisplayArrayInTable(Fertiliser_SourceData.Fertiliser_Products_Data3(),FertiliserProducts[[#Headers],[Include or Exclude]], 40)</f>
        <v/>
      </c>
      <c r="V144" s="65" t="str" cm="1">
        <f t="array" aca="1" ref="V144" ca="1">Common_InputFunctions.Utility_DisplayArrayInTable(Fertiliser_SourceData.Fertiliser_Products_Data3(),FertiliserProducts[[#Headers],[Include or Exclude]], 40)</f>
        <v/>
      </c>
      <c r="W144" s="65" t="str" cm="1">
        <f t="array" aca="1" ref="W144" ca="1">Common_InputFunctions.Utility_DisplayArrayInTable(Fertiliser_SourceData.Fertiliser_Products_Data3(),FertiliserProducts[[#Headers],[Include or Exclude]], 40)</f>
        <v/>
      </c>
      <c r="X144" s="65" t="str" cm="1">
        <f t="array" aca="1" ref="X144" ca="1">Common_InputFunctions.Utility_DisplayArrayInTable(Fertiliser_SourceData.Fertiliser_Products_Data3(),FertiliserProducts[[#Headers],[Include or Exclude]], 40)</f>
        <v/>
      </c>
      <c r="Y144" s="65" t="str" cm="1">
        <f t="array" aca="1" ref="Y144" ca="1">Common_InputFunctions.Utility_DisplayArrayInTable(Fertiliser_SourceData.Fertiliser_Products_Data3(),FertiliserProducts[[#Headers],[Include or Exclude]], 40)</f>
        <v/>
      </c>
      <c r="Z144" s="65" t="str" cm="1">
        <f t="array" aca="1" ref="Z144" ca="1">Common_InputFunctions.Utility_DisplayArrayInTable(Fertiliser_SourceData.Fertiliser_Products_Data3(),FertiliserProducts[[#Headers],[Include or Exclude]], 40)</f>
        <v/>
      </c>
      <c r="AA144" s="10" t="str" cm="1">
        <f t="array" aca="1" ref="AA144" ca="1">Common_InputFunctions.Utility_DisplayArrayInTable(Fertiliser_SourceData.Fertiliser_Products_Data3(),FertiliserProducts[[#Headers],[Include or Exclude]], 40)</f>
        <v/>
      </c>
      <c r="AB144" s="10" t="str" cm="1">
        <f t="array" aca="1" ref="AB144" ca="1">Common_InputFunctions.Utility_DisplayArrayInTable(Fertiliser_SourceData.Fertiliser_Products_Data3(),FertiliserProducts[[#Headers],[Include or Exclude]], 40)</f>
        <v/>
      </c>
      <c r="AC144" s="10" t="str" cm="1">
        <f t="array" aca="1" ref="AC144" ca="1">Common_InputFunctions.Utility_DisplayArrayInTable(Fertiliser_SourceData.Fertiliser_Products_Data3(),FertiliserProducts[[#Headers],[Include or Exclude]], 40)</f>
        <v/>
      </c>
      <c r="AD144" s="10" t="str" cm="1">
        <f t="array" aca="1" ref="AD144" ca="1">Common_InputFunctions.Utility_DisplayArrayInTable(Fertiliser_SourceData.Fertiliser_Products_Data3(),FertiliserProducts[[#Headers],[Include or Exclude]], 40)</f>
        <v/>
      </c>
      <c r="AE144" s="10" t="str" cm="1">
        <f t="array" aca="1" ref="AE144" ca="1">Common_InputFunctions.Utility_DisplayArrayInTable(Fertiliser_SourceData.Fertiliser_Products_Data3(),FertiliserProducts[[#Headers],[Include or Exclude]], 40)</f>
        <v/>
      </c>
    </row>
    <row r="145" spans="4:31" ht="20.100000000000001" customHeight="1" x14ac:dyDescent="0.25">
      <c r="D145" s="65" t="str" cm="1">
        <f t="array" aca="1" ref="D145" ca="1">Common_InputFunctions.Utility_DisplayArrayInTable(Fertiliser_SourceData.Fertiliser_Products_Data3(),FertiliserProducts[[#Headers],[Include or Exclude]], 40)</f>
        <v/>
      </c>
      <c r="E145" s="65" t="str" cm="1">
        <f t="array" aca="1" ref="E145" ca="1">Common_InputFunctions.Utility_DisplayArrayInTable(Fertiliser_SourceData.Fertiliser_Products_Data3(),FertiliserProducts[[#Headers],[Include or Exclude]], 40)</f>
        <v/>
      </c>
      <c r="F145" s="65" t="str" cm="1">
        <f t="array" aca="1" ref="F145" ca="1">Common_InputFunctions.Utility_DisplayArrayInTable(Fertiliser_SourceData.Fertiliser_Products_Data3(),FertiliserProducts[[#Headers],[Include or Exclude]], 40)</f>
        <v/>
      </c>
      <c r="G145" s="65" t="str" cm="1">
        <f t="array" aca="1" ref="G145" ca="1">Common_InputFunctions.Utility_DisplayArrayInTable(Fertiliser_SourceData.Fertiliser_Products_Data3(),FertiliserProducts[[#Headers],[Include or Exclude]], 40)</f>
        <v/>
      </c>
      <c r="H145" s="65" t="str" cm="1">
        <f t="array" aca="1" ref="H145" ca="1">Common_InputFunctions.Utility_DisplayArrayInTable(Fertiliser_SourceData.Fertiliser_Products_Data3(),FertiliserProducts[[#Headers],[Include or Exclude]], 40)</f>
        <v/>
      </c>
      <c r="I145" s="65" t="str" cm="1">
        <f t="array" aca="1" ref="I145" ca="1">Common_InputFunctions.Utility_DisplayArrayInTable(Fertiliser_SourceData.Fertiliser_Products_Data3(),FertiliserProducts[[#Headers],[Include or Exclude]], 40)</f>
        <v/>
      </c>
      <c r="J145" s="65" t="str" cm="1">
        <f t="array" aca="1" ref="J145" ca="1">Common_InputFunctions.Utility_DisplayArrayInTable(Fertiliser_SourceData.Fertiliser_Products_Data3(),FertiliserProducts[[#Headers],[Include or Exclude]], 40)</f>
        <v/>
      </c>
      <c r="K145" s="65" t="str" cm="1">
        <f t="array" aca="1" ref="K145" ca="1">Common_InputFunctions.Utility_DisplayArrayInTable(Fertiliser_SourceData.Fertiliser_Products_Data3(),FertiliserProducts[[#Headers],[Include or Exclude]], 40)</f>
        <v/>
      </c>
      <c r="L145" s="65" t="str" cm="1">
        <f t="array" aca="1" ref="L145" ca="1">Common_InputFunctions.Utility_DisplayArrayInTable(Fertiliser_SourceData.Fertiliser_Products_Data3(),FertiliserProducts[[#Headers],[Include or Exclude]], 40)</f>
        <v/>
      </c>
      <c r="M145" s="65" t="str" cm="1">
        <f t="array" aca="1" ref="M145" ca="1">Common_InputFunctions.Utility_DisplayArrayInTable(Fertiliser_SourceData.Fertiliser_Products_Data3(),FertiliserProducts[[#Headers],[Include or Exclude]], 40)</f>
        <v/>
      </c>
      <c r="N145" s="65" t="str" cm="1">
        <f t="array" aca="1" ref="N145" ca="1">Common_InputFunctions.Utility_DisplayArrayInTable(Fertiliser_SourceData.Fertiliser_Products_Data3(),FertiliserProducts[[#Headers],[Include or Exclude]], 40)</f>
        <v/>
      </c>
      <c r="O145" s="65" t="str" cm="1">
        <f t="array" aca="1" ref="O145" ca="1">Common_InputFunctions.Utility_DisplayArrayInTable(Fertiliser_SourceData.Fertiliser_Products_Data3(),FertiliserProducts[[#Headers],[Include or Exclude]], 40)</f>
        <v/>
      </c>
      <c r="P145" s="65" t="str" cm="1">
        <f t="array" aca="1" ref="P145" ca="1">Common_InputFunctions.Utility_DisplayArrayInTable(Fertiliser_SourceData.Fertiliser_Products_Data3(),FertiliserProducts[[#Headers],[Include or Exclude]], 40)</f>
        <v/>
      </c>
      <c r="Q145" s="65" t="str" cm="1">
        <f t="array" aca="1" ref="Q145" ca="1">Common_InputFunctions.Utility_DisplayArrayInTable(Fertiliser_SourceData.Fertiliser_Products_Data3(),FertiliserProducts[[#Headers],[Include or Exclude]], 40)</f>
        <v/>
      </c>
      <c r="R145" s="65" t="str" cm="1">
        <f t="array" aca="1" ref="R145" ca="1">Common_InputFunctions.Utility_DisplayArrayInTable(Fertiliser_SourceData.Fertiliser_Products_Data3(),FertiliserProducts[[#Headers],[Include or Exclude]], 40)</f>
        <v/>
      </c>
      <c r="S145" s="65" t="str" cm="1">
        <f t="array" aca="1" ref="S145" ca="1">Common_InputFunctions.Utility_DisplayArrayInTable(Fertiliser_SourceData.Fertiliser_Products_Data3(),FertiliserProducts[[#Headers],[Include or Exclude]], 40)</f>
        <v/>
      </c>
      <c r="T145" s="65" t="str" cm="1">
        <f t="array" aca="1" ref="T145" ca="1">Common_InputFunctions.Utility_DisplayArrayInTable(Fertiliser_SourceData.Fertiliser_Products_Data3(),FertiliserProducts[[#Headers],[Include or Exclude]], 40)</f>
        <v/>
      </c>
      <c r="U145" s="65" t="str" cm="1">
        <f t="array" aca="1" ref="U145" ca="1">Common_InputFunctions.Utility_DisplayArrayInTable(Fertiliser_SourceData.Fertiliser_Products_Data3(),FertiliserProducts[[#Headers],[Include or Exclude]], 40)</f>
        <v/>
      </c>
      <c r="V145" s="65" t="str" cm="1">
        <f t="array" aca="1" ref="V145" ca="1">Common_InputFunctions.Utility_DisplayArrayInTable(Fertiliser_SourceData.Fertiliser_Products_Data3(),FertiliserProducts[[#Headers],[Include or Exclude]], 40)</f>
        <v/>
      </c>
      <c r="W145" s="65" t="str" cm="1">
        <f t="array" aca="1" ref="W145" ca="1">Common_InputFunctions.Utility_DisplayArrayInTable(Fertiliser_SourceData.Fertiliser_Products_Data3(),FertiliserProducts[[#Headers],[Include or Exclude]], 40)</f>
        <v/>
      </c>
      <c r="X145" s="65" t="str" cm="1">
        <f t="array" aca="1" ref="X145" ca="1">Common_InputFunctions.Utility_DisplayArrayInTable(Fertiliser_SourceData.Fertiliser_Products_Data3(),FertiliserProducts[[#Headers],[Include or Exclude]], 40)</f>
        <v/>
      </c>
      <c r="Y145" s="65" t="str" cm="1">
        <f t="array" aca="1" ref="Y145" ca="1">Common_InputFunctions.Utility_DisplayArrayInTable(Fertiliser_SourceData.Fertiliser_Products_Data3(),FertiliserProducts[[#Headers],[Include or Exclude]], 40)</f>
        <v/>
      </c>
      <c r="Z145" s="65" t="str" cm="1">
        <f t="array" aca="1" ref="Z145" ca="1">Common_InputFunctions.Utility_DisplayArrayInTable(Fertiliser_SourceData.Fertiliser_Products_Data3(),FertiliserProducts[[#Headers],[Include or Exclude]], 40)</f>
        <v/>
      </c>
      <c r="AA145" s="10" t="str" cm="1">
        <f t="array" aca="1" ref="AA145" ca="1">Common_InputFunctions.Utility_DisplayArrayInTable(Fertiliser_SourceData.Fertiliser_Products_Data3(),FertiliserProducts[[#Headers],[Include or Exclude]], 40)</f>
        <v/>
      </c>
      <c r="AB145" s="10" t="str" cm="1">
        <f t="array" aca="1" ref="AB145" ca="1">Common_InputFunctions.Utility_DisplayArrayInTable(Fertiliser_SourceData.Fertiliser_Products_Data3(),FertiliserProducts[[#Headers],[Include or Exclude]], 40)</f>
        <v/>
      </c>
      <c r="AC145" s="10" t="str" cm="1">
        <f t="array" aca="1" ref="AC145" ca="1">Common_InputFunctions.Utility_DisplayArrayInTable(Fertiliser_SourceData.Fertiliser_Products_Data3(),FertiliserProducts[[#Headers],[Include or Exclude]], 40)</f>
        <v/>
      </c>
      <c r="AD145" s="10" t="str" cm="1">
        <f t="array" aca="1" ref="AD145" ca="1">Common_InputFunctions.Utility_DisplayArrayInTable(Fertiliser_SourceData.Fertiliser_Products_Data3(),FertiliserProducts[[#Headers],[Include or Exclude]], 40)</f>
        <v/>
      </c>
      <c r="AE145" s="10" t="str" cm="1">
        <f t="array" aca="1" ref="AE145" ca="1">Common_InputFunctions.Utility_DisplayArrayInTable(Fertiliser_SourceData.Fertiliser_Products_Data3(),FertiliserProducts[[#Headers],[Include or Exclude]], 40)</f>
        <v/>
      </c>
    </row>
    <row r="146" spans="4:31" ht="20.100000000000001" customHeight="1" x14ac:dyDescent="0.25">
      <c r="D146" s="65" t="str" cm="1">
        <f t="array" aca="1" ref="D146" ca="1">Common_InputFunctions.Utility_DisplayArrayInTable(Fertiliser_SourceData.Fertiliser_Products_Data3(),FertiliserProducts[[#Headers],[Include or Exclude]], 40)</f>
        <v/>
      </c>
      <c r="E146" s="65" t="str" cm="1">
        <f t="array" aca="1" ref="E146" ca="1">Common_InputFunctions.Utility_DisplayArrayInTable(Fertiliser_SourceData.Fertiliser_Products_Data3(),FertiliserProducts[[#Headers],[Include or Exclude]], 40)</f>
        <v/>
      </c>
      <c r="F146" s="65" t="str" cm="1">
        <f t="array" aca="1" ref="F146" ca="1">Common_InputFunctions.Utility_DisplayArrayInTable(Fertiliser_SourceData.Fertiliser_Products_Data3(),FertiliserProducts[[#Headers],[Include or Exclude]], 40)</f>
        <v/>
      </c>
      <c r="G146" s="65" t="str" cm="1">
        <f t="array" aca="1" ref="G146" ca="1">Common_InputFunctions.Utility_DisplayArrayInTable(Fertiliser_SourceData.Fertiliser_Products_Data3(),FertiliserProducts[[#Headers],[Include or Exclude]], 40)</f>
        <v/>
      </c>
      <c r="H146" s="65" t="str" cm="1">
        <f t="array" aca="1" ref="H146" ca="1">Common_InputFunctions.Utility_DisplayArrayInTable(Fertiliser_SourceData.Fertiliser_Products_Data3(),FertiliserProducts[[#Headers],[Include or Exclude]], 40)</f>
        <v/>
      </c>
      <c r="I146" s="65" t="str" cm="1">
        <f t="array" aca="1" ref="I146" ca="1">Common_InputFunctions.Utility_DisplayArrayInTable(Fertiliser_SourceData.Fertiliser_Products_Data3(),FertiliserProducts[[#Headers],[Include or Exclude]], 40)</f>
        <v/>
      </c>
      <c r="J146" s="65" t="str" cm="1">
        <f t="array" aca="1" ref="J146" ca="1">Common_InputFunctions.Utility_DisplayArrayInTable(Fertiliser_SourceData.Fertiliser_Products_Data3(),FertiliserProducts[[#Headers],[Include or Exclude]], 40)</f>
        <v/>
      </c>
      <c r="K146" s="65" t="str" cm="1">
        <f t="array" aca="1" ref="K146" ca="1">Common_InputFunctions.Utility_DisplayArrayInTable(Fertiliser_SourceData.Fertiliser_Products_Data3(),FertiliserProducts[[#Headers],[Include or Exclude]], 40)</f>
        <v/>
      </c>
      <c r="L146" s="65" t="str" cm="1">
        <f t="array" aca="1" ref="L146" ca="1">Common_InputFunctions.Utility_DisplayArrayInTable(Fertiliser_SourceData.Fertiliser_Products_Data3(),FertiliserProducts[[#Headers],[Include or Exclude]], 40)</f>
        <v/>
      </c>
      <c r="M146" s="65" t="str" cm="1">
        <f t="array" aca="1" ref="M146" ca="1">Common_InputFunctions.Utility_DisplayArrayInTable(Fertiliser_SourceData.Fertiliser_Products_Data3(),FertiliserProducts[[#Headers],[Include or Exclude]], 40)</f>
        <v/>
      </c>
      <c r="N146" s="65" t="str" cm="1">
        <f t="array" aca="1" ref="N146" ca="1">Common_InputFunctions.Utility_DisplayArrayInTable(Fertiliser_SourceData.Fertiliser_Products_Data3(),FertiliserProducts[[#Headers],[Include or Exclude]], 40)</f>
        <v/>
      </c>
      <c r="O146" s="65" t="str" cm="1">
        <f t="array" aca="1" ref="O146" ca="1">Common_InputFunctions.Utility_DisplayArrayInTable(Fertiliser_SourceData.Fertiliser_Products_Data3(),FertiliserProducts[[#Headers],[Include or Exclude]], 40)</f>
        <v/>
      </c>
      <c r="P146" s="65" t="str" cm="1">
        <f t="array" aca="1" ref="P146" ca="1">Common_InputFunctions.Utility_DisplayArrayInTable(Fertiliser_SourceData.Fertiliser_Products_Data3(),FertiliserProducts[[#Headers],[Include or Exclude]], 40)</f>
        <v/>
      </c>
      <c r="Q146" s="65" t="str" cm="1">
        <f t="array" aca="1" ref="Q146" ca="1">Common_InputFunctions.Utility_DisplayArrayInTable(Fertiliser_SourceData.Fertiliser_Products_Data3(),FertiliserProducts[[#Headers],[Include or Exclude]], 40)</f>
        <v/>
      </c>
      <c r="R146" s="65" t="str" cm="1">
        <f t="array" aca="1" ref="R146" ca="1">Common_InputFunctions.Utility_DisplayArrayInTable(Fertiliser_SourceData.Fertiliser_Products_Data3(),FertiliserProducts[[#Headers],[Include or Exclude]], 40)</f>
        <v/>
      </c>
      <c r="S146" s="65" t="str" cm="1">
        <f t="array" aca="1" ref="S146" ca="1">Common_InputFunctions.Utility_DisplayArrayInTable(Fertiliser_SourceData.Fertiliser_Products_Data3(),FertiliserProducts[[#Headers],[Include or Exclude]], 40)</f>
        <v/>
      </c>
      <c r="T146" s="65" t="str" cm="1">
        <f t="array" aca="1" ref="T146" ca="1">Common_InputFunctions.Utility_DisplayArrayInTable(Fertiliser_SourceData.Fertiliser_Products_Data3(),FertiliserProducts[[#Headers],[Include or Exclude]], 40)</f>
        <v/>
      </c>
      <c r="U146" s="65" t="str" cm="1">
        <f t="array" aca="1" ref="U146" ca="1">Common_InputFunctions.Utility_DisplayArrayInTable(Fertiliser_SourceData.Fertiliser_Products_Data3(),FertiliserProducts[[#Headers],[Include or Exclude]], 40)</f>
        <v/>
      </c>
      <c r="V146" s="65" t="str" cm="1">
        <f t="array" aca="1" ref="V146" ca="1">Common_InputFunctions.Utility_DisplayArrayInTable(Fertiliser_SourceData.Fertiliser_Products_Data3(),FertiliserProducts[[#Headers],[Include or Exclude]], 40)</f>
        <v/>
      </c>
      <c r="W146" s="65" t="str" cm="1">
        <f t="array" aca="1" ref="W146" ca="1">Common_InputFunctions.Utility_DisplayArrayInTable(Fertiliser_SourceData.Fertiliser_Products_Data3(),FertiliserProducts[[#Headers],[Include or Exclude]], 40)</f>
        <v/>
      </c>
      <c r="X146" s="65" t="str" cm="1">
        <f t="array" aca="1" ref="X146" ca="1">Common_InputFunctions.Utility_DisplayArrayInTable(Fertiliser_SourceData.Fertiliser_Products_Data3(),FertiliserProducts[[#Headers],[Include or Exclude]], 40)</f>
        <v/>
      </c>
      <c r="Y146" s="65" t="str" cm="1">
        <f t="array" aca="1" ref="Y146" ca="1">Common_InputFunctions.Utility_DisplayArrayInTable(Fertiliser_SourceData.Fertiliser_Products_Data3(),FertiliserProducts[[#Headers],[Include or Exclude]], 40)</f>
        <v/>
      </c>
      <c r="Z146" s="65" t="str" cm="1">
        <f t="array" aca="1" ref="Z146" ca="1">Common_InputFunctions.Utility_DisplayArrayInTable(Fertiliser_SourceData.Fertiliser_Products_Data3(),FertiliserProducts[[#Headers],[Include or Exclude]], 40)</f>
        <v/>
      </c>
      <c r="AA146" s="10" t="str" cm="1">
        <f t="array" aca="1" ref="AA146" ca="1">Common_InputFunctions.Utility_DisplayArrayInTable(Fertiliser_SourceData.Fertiliser_Products_Data3(),FertiliserProducts[[#Headers],[Include or Exclude]], 40)</f>
        <v/>
      </c>
      <c r="AB146" s="10" t="str" cm="1">
        <f t="array" aca="1" ref="AB146" ca="1">Common_InputFunctions.Utility_DisplayArrayInTable(Fertiliser_SourceData.Fertiliser_Products_Data3(),FertiliserProducts[[#Headers],[Include or Exclude]], 40)</f>
        <v/>
      </c>
      <c r="AC146" s="10" t="str" cm="1">
        <f t="array" aca="1" ref="AC146" ca="1">Common_InputFunctions.Utility_DisplayArrayInTable(Fertiliser_SourceData.Fertiliser_Products_Data3(),FertiliserProducts[[#Headers],[Include or Exclude]], 40)</f>
        <v/>
      </c>
      <c r="AD146" s="10" t="str" cm="1">
        <f t="array" aca="1" ref="AD146" ca="1">Common_InputFunctions.Utility_DisplayArrayInTable(Fertiliser_SourceData.Fertiliser_Products_Data3(),FertiliserProducts[[#Headers],[Include or Exclude]], 40)</f>
        <v/>
      </c>
      <c r="AE146" s="10" t="str" cm="1">
        <f t="array" aca="1" ref="AE146" ca="1">Common_InputFunctions.Utility_DisplayArrayInTable(Fertiliser_SourceData.Fertiliser_Products_Data3(),FertiliserProducts[[#Headers],[Include or Exclude]], 40)</f>
        <v/>
      </c>
    </row>
    <row r="147" spans="4:31" ht="20.100000000000001" customHeight="1" x14ac:dyDescent="0.25">
      <c r="D147" s="65" t="str" cm="1">
        <f t="array" aca="1" ref="D147" ca="1">Common_InputFunctions.Utility_DisplayArrayInTable(Fertiliser_SourceData.Fertiliser_Products_Data3(),FertiliserProducts[[#Headers],[Include or Exclude]], 40)</f>
        <v/>
      </c>
      <c r="E147" s="65" t="str" cm="1">
        <f t="array" aca="1" ref="E147" ca="1">Common_InputFunctions.Utility_DisplayArrayInTable(Fertiliser_SourceData.Fertiliser_Products_Data3(),FertiliserProducts[[#Headers],[Include or Exclude]], 40)</f>
        <v/>
      </c>
      <c r="F147" s="65" t="str" cm="1">
        <f t="array" aca="1" ref="F147" ca="1">Common_InputFunctions.Utility_DisplayArrayInTable(Fertiliser_SourceData.Fertiliser_Products_Data3(),FertiliserProducts[[#Headers],[Include or Exclude]], 40)</f>
        <v/>
      </c>
      <c r="G147" s="65" t="str" cm="1">
        <f t="array" aca="1" ref="G147" ca="1">Common_InputFunctions.Utility_DisplayArrayInTable(Fertiliser_SourceData.Fertiliser_Products_Data3(),FertiliserProducts[[#Headers],[Include or Exclude]], 40)</f>
        <v/>
      </c>
      <c r="H147" s="65" t="str" cm="1">
        <f t="array" aca="1" ref="H147" ca="1">Common_InputFunctions.Utility_DisplayArrayInTable(Fertiliser_SourceData.Fertiliser_Products_Data3(),FertiliserProducts[[#Headers],[Include or Exclude]], 40)</f>
        <v/>
      </c>
      <c r="I147" s="65" t="str" cm="1">
        <f t="array" aca="1" ref="I147" ca="1">Common_InputFunctions.Utility_DisplayArrayInTable(Fertiliser_SourceData.Fertiliser_Products_Data3(),FertiliserProducts[[#Headers],[Include or Exclude]], 40)</f>
        <v/>
      </c>
      <c r="J147" s="65" t="str" cm="1">
        <f t="array" aca="1" ref="J147" ca="1">Common_InputFunctions.Utility_DisplayArrayInTable(Fertiliser_SourceData.Fertiliser_Products_Data3(),FertiliserProducts[[#Headers],[Include or Exclude]], 40)</f>
        <v/>
      </c>
      <c r="K147" s="65" t="str" cm="1">
        <f t="array" aca="1" ref="K147" ca="1">Common_InputFunctions.Utility_DisplayArrayInTable(Fertiliser_SourceData.Fertiliser_Products_Data3(),FertiliserProducts[[#Headers],[Include or Exclude]], 40)</f>
        <v/>
      </c>
      <c r="L147" s="65" t="str" cm="1">
        <f t="array" aca="1" ref="L147" ca="1">Common_InputFunctions.Utility_DisplayArrayInTable(Fertiliser_SourceData.Fertiliser_Products_Data3(),FertiliserProducts[[#Headers],[Include or Exclude]], 40)</f>
        <v/>
      </c>
      <c r="M147" s="65" t="str" cm="1">
        <f t="array" aca="1" ref="M147" ca="1">Common_InputFunctions.Utility_DisplayArrayInTable(Fertiliser_SourceData.Fertiliser_Products_Data3(),FertiliserProducts[[#Headers],[Include or Exclude]], 40)</f>
        <v/>
      </c>
      <c r="N147" s="65" t="str" cm="1">
        <f t="array" aca="1" ref="N147" ca="1">Common_InputFunctions.Utility_DisplayArrayInTable(Fertiliser_SourceData.Fertiliser_Products_Data3(),FertiliserProducts[[#Headers],[Include or Exclude]], 40)</f>
        <v/>
      </c>
      <c r="O147" s="65" t="str" cm="1">
        <f t="array" aca="1" ref="O147" ca="1">Common_InputFunctions.Utility_DisplayArrayInTable(Fertiliser_SourceData.Fertiliser_Products_Data3(),FertiliserProducts[[#Headers],[Include or Exclude]], 40)</f>
        <v/>
      </c>
      <c r="P147" s="65" t="str" cm="1">
        <f t="array" aca="1" ref="P147" ca="1">Common_InputFunctions.Utility_DisplayArrayInTable(Fertiliser_SourceData.Fertiliser_Products_Data3(),FertiliserProducts[[#Headers],[Include or Exclude]], 40)</f>
        <v/>
      </c>
      <c r="Q147" s="65" t="str" cm="1">
        <f t="array" aca="1" ref="Q147" ca="1">Common_InputFunctions.Utility_DisplayArrayInTable(Fertiliser_SourceData.Fertiliser_Products_Data3(),FertiliserProducts[[#Headers],[Include or Exclude]], 40)</f>
        <v/>
      </c>
      <c r="R147" s="65" t="str" cm="1">
        <f t="array" aca="1" ref="R147" ca="1">Common_InputFunctions.Utility_DisplayArrayInTable(Fertiliser_SourceData.Fertiliser_Products_Data3(),FertiliserProducts[[#Headers],[Include or Exclude]], 40)</f>
        <v/>
      </c>
      <c r="S147" s="65" t="str" cm="1">
        <f t="array" aca="1" ref="S147" ca="1">Common_InputFunctions.Utility_DisplayArrayInTable(Fertiliser_SourceData.Fertiliser_Products_Data3(),FertiliserProducts[[#Headers],[Include or Exclude]], 40)</f>
        <v/>
      </c>
      <c r="T147" s="65" t="str" cm="1">
        <f t="array" aca="1" ref="T147" ca="1">Common_InputFunctions.Utility_DisplayArrayInTable(Fertiliser_SourceData.Fertiliser_Products_Data3(),FertiliserProducts[[#Headers],[Include or Exclude]], 40)</f>
        <v/>
      </c>
      <c r="U147" s="65" t="str" cm="1">
        <f t="array" aca="1" ref="U147" ca="1">Common_InputFunctions.Utility_DisplayArrayInTable(Fertiliser_SourceData.Fertiliser_Products_Data3(),FertiliserProducts[[#Headers],[Include or Exclude]], 40)</f>
        <v/>
      </c>
      <c r="V147" s="65" t="str" cm="1">
        <f t="array" aca="1" ref="V147" ca="1">Common_InputFunctions.Utility_DisplayArrayInTable(Fertiliser_SourceData.Fertiliser_Products_Data3(),FertiliserProducts[[#Headers],[Include or Exclude]], 40)</f>
        <v/>
      </c>
      <c r="W147" s="65" t="str" cm="1">
        <f t="array" aca="1" ref="W147" ca="1">Common_InputFunctions.Utility_DisplayArrayInTable(Fertiliser_SourceData.Fertiliser_Products_Data3(),FertiliserProducts[[#Headers],[Include or Exclude]], 40)</f>
        <v/>
      </c>
      <c r="X147" s="65" t="str" cm="1">
        <f t="array" aca="1" ref="X147" ca="1">Common_InputFunctions.Utility_DisplayArrayInTable(Fertiliser_SourceData.Fertiliser_Products_Data3(),FertiliserProducts[[#Headers],[Include or Exclude]], 40)</f>
        <v/>
      </c>
      <c r="Y147" s="65" t="str" cm="1">
        <f t="array" aca="1" ref="Y147" ca="1">Common_InputFunctions.Utility_DisplayArrayInTable(Fertiliser_SourceData.Fertiliser_Products_Data3(),FertiliserProducts[[#Headers],[Include or Exclude]], 40)</f>
        <v/>
      </c>
      <c r="Z147" s="65" t="str" cm="1">
        <f t="array" aca="1" ref="Z147" ca="1">Common_InputFunctions.Utility_DisplayArrayInTable(Fertiliser_SourceData.Fertiliser_Products_Data3(),FertiliserProducts[[#Headers],[Include or Exclude]], 40)</f>
        <v/>
      </c>
      <c r="AA147" s="10" t="str" cm="1">
        <f t="array" aca="1" ref="AA147" ca="1">Common_InputFunctions.Utility_DisplayArrayInTable(Fertiliser_SourceData.Fertiliser_Products_Data3(),FertiliserProducts[[#Headers],[Include or Exclude]], 40)</f>
        <v/>
      </c>
      <c r="AB147" s="10" t="str" cm="1">
        <f t="array" aca="1" ref="AB147" ca="1">Common_InputFunctions.Utility_DisplayArrayInTable(Fertiliser_SourceData.Fertiliser_Products_Data3(),FertiliserProducts[[#Headers],[Include or Exclude]], 40)</f>
        <v/>
      </c>
      <c r="AC147" s="10" t="str" cm="1">
        <f t="array" aca="1" ref="AC147" ca="1">Common_InputFunctions.Utility_DisplayArrayInTable(Fertiliser_SourceData.Fertiliser_Products_Data3(),FertiliserProducts[[#Headers],[Include or Exclude]], 40)</f>
        <v/>
      </c>
      <c r="AD147" s="10" t="str" cm="1">
        <f t="array" aca="1" ref="AD147" ca="1">Common_InputFunctions.Utility_DisplayArrayInTable(Fertiliser_SourceData.Fertiliser_Products_Data3(),FertiliserProducts[[#Headers],[Include or Exclude]], 40)</f>
        <v/>
      </c>
      <c r="AE147" s="10" t="str" cm="1">
        <f t="array" aca="1" ref="AE147" ca="1">Common_InputFunctions.Utility_DisplayArrayInTable(Fertiliser_SourceData.Fertiliser_Products_Data3(),FertiliserProducts[[#Headers],[Include or Exclude]], 40)</f>
        <v/>
      </c>
    </row>
    <row r="148" spans="4:31" ht="20.100000000000001" customHeight="1" x14ac:dyDescent="0.25">
      <c r="D148" s="65" t="str" cm="1">
        <f t="array" aca="1" ref="D148" ca="1">Common_InputFunctions.Utility_DisplayArrayInTable(Fertiliser_SourceData.Fertiliser_Products_Data3(),FertiliserProducts[[#Headers],[Include or Exclude]], 40)</f>
        <v/>
      </c>
      <c r="E148" s="65" t="str" cm="1">
        <f t="array" aca="1" ref="E148" ca="1">Common_InputFunctions.Utility_DisplayArrayInTable(Fertiliser_SourceData.Fertiliser_Products_Data3(),FertiliserProducts[[#Headers],[Include or Exclude]], 40)</f>
        <v/>
      </c>
      <c r="F148" s="65" t="str" cm="1">
        <f t="array" aca="1" ref="F148" ca="1">Common_InputFunctions.Utility_DisplayArrayInTable(Fertiliser_SourceData.Fertiliser_Products_Data3(),FertiliserProducts[[#Headers],[Include or Exclude]], 40)</f>
        <v/>
      </c>
      <c r="G148" s="65" t="str" cm="1">
        <f t="array" aca="1" ref="G148" ca="1">Common_InputFunctions.Utility_DisplayArrayInTable(Fertiliser_SourceData.Fertiliser_Products_Data3(),FertiliserProducts[[#Headers],[Include or Exclude]], 40)</f>
        <v/>
      </c>
      <c r="H148" s="65" t="str" cm="1">
        <f t="array" aca="1" ref="H148" ca="1">Common_InputFunctions.Utility_DisplayArrayInTable(Fertiliser_SourceData.Fertiliser_Products_Data3(),FertiliserProducts[[#Headers],[Include or Exclude]], 40)</f>
        <v/>
      </c>
      <c r="I148" s="65" t="str" cm="1">
        <f t="array" aca="1" ref="I148" ca="1">Common_InputFunctions.Utility_DisplayArrayInTable(Fertiliser_SourceData.Fertiliser_Products_Data3(),FertiliserProducts[[#Headers],[Include or Exclude]], 40)</f>
        <v/>
      </c>
      <c r="J148" s="65" t="str" cm="1">
        <f t="array" aca="1" ref="J148" ca="1">Common_InputFunctions.Utility_DisplayArrayInTable(Fertiliser_SourceData.Fertiliser_Products_Data3(),FertiliserProducts[[#Headers],[Include or Exclude]], 40)</f>
        <v/>
      </c>
      <c r="K148" s="65" t="str" cm="1">
        <f t="array" aca="1" ref="K148" ca="1">Common_InputFunctions.Utility_DisplayArrayInTable(Fertiliser_SourceData.Fertiliser_Products_Data3(),FertiliserProducts[[#Headers],[Include or Exclude]], 40)</f>
        <v/>
      </c>
      <c r="L148" s="65" t="str" cm="1">
        <f t="array" aca="1" ref="L148" ca="1">Common_InputFunctions.Utility_DisplayArrayInTable(Fertiliser_SourceData.Fertiliser_Products_Data3(),FertiliserProducts[[#Headers],[Include or Exclude]], 40)</f>
        <v/>
      </c>
      <c r="M148" s="65" t="str" cm="1">
        <f t="array" aca="1" ref="M148" ca="1">Common_InputFunctions.Utility_DisplayArrayInTable(Fertiliser_SourceData.Fertiliser_Products_Data3(),FertiliserProducts[[#Headers],[Include or Exclude]], 40)</f>
        <v/>
      </c>
      <c r="N148" s="65" t="str" cm="1">
        <f t="array" aca="1" ref="N148" ca="1">Common_InputFunctions.Utility_DisplayArrayInTable(Fertiliser_SourceData.Fertiliser_Products_Data3(),FertiliserProducts[[#Headers],[Include or Exclude]], 40)</f>
        <v/>
      </c>
      <c r="O148" s="65" t="str" cm="1">
        <f t="array" aca="1" ref="O148" ca="1">Common_InputFunctions.Utility_DisplayArrayInTable(Fertiliser_SourceData.Fertiliser_Products_Data3(),FertiliserProducts[[#Headers],[Include or Exclude]], 40)</f>
        <v/>
      </c>
      <c r="P148" s="65" t="str" cm="1">
        <f t="array" aca="1" ref="P148" ca="1">Common_InputFunctions.Utility_DisplayArrayInTable(Fertiliser_SourceData.Fertiliser_Products_Data3(),FertiliserProducts[[#Headers],[Include or Exclude]], 40)</f>
        <v/>
      </c>
      <c r="Q148" s="65" t="str" cm="1">
        <f t="array" aca="1" ref="Q148" ca="1">Common_InputFunctions.Utility_DisplayArrayInTable(Fertiliser_SourceData.Fertiliser_Products_Data3(),FertiliserProducts[[#Headers],[Include or Exclude]], 40)</f>
        <v/>
      </c>
      <c r="R148" s="65" t="str" cm="1">
        <f t="array" aca="1" ref="R148" ca="1">Common_InputFunctions.Utility_DisplayArrayInTable(Fertiliser_SourceData.Fertiliser_Products_Data3(),FertiliserProducts[[#Headers],[Include or Exclude]], 40)</f>
        <v/>
      </c>
      <c r="S148" s="65" t="str" cm="1">
        <f t="array" aca="1" ref="S148" ca="1">Common_InputFunctions.Utility_DisplayArrayInTable(Fertiliser_SourceData.Fertiliser_Products_Data3(),FertiliserProducts[[#Headers],[Include or Exclude]], 40)</f>
        <v/>
      </c>
      <c r="T148" s="65" t="str" cm="1">
        <f t="array" aca="1" ref="T148" ca="1">Common_InputFunctions.Utility_DisplayArrayInTable(Fertiliser_SourceData.Fertiliser_Products_Data3(),FertiliserProducts[[#Headers],[Include or Exclude]], 40)</f>
        <v/>
      </c>
      <c r="U148" s="65" t="str" cm="1">
        <f t="array" aca="1" ref="U148" ca="1">Common_InputFunctions.Utility_DisplayArrayInTable(Fertiliser_SourceData.Fertiliser_Products_Data3(),FertiliserProducts[[#Headers],[Include or Exclude]], 40)</f>
        <v/>
      </c>
      <c r="V148" s="65" t="str" cm="1">
        <f t="array" aca="1" ref="V148" ca="1">Common_InputFunctions.Utility_DisplayArrayInTable(Fertiliser_SourceData.Fertiliser_Products_Data3(),FertiliserProducts[[#Headers],[Include or Exclude]], 40)</f>
        <v/>
      </c>
      <c r="W148" s="65" t="str" cm="1">
        <f t="array" aca="1" ref="W148" ca="1">Common_InputFunctions.Utility_DisplayArrayInTable(Fertiliser_SourceData.Fertiliser_Products_Data3(),FertiliserProducts[[#Headers],[Include or Exclude]], 40)</f>
        <v/>
      </c>
      <c r="X148" s="65" t="str" cm="1">
        <f t="array" aca="1" ref="X148" ca="1">Common_InputFunctions.Utility_DisplayArrayInTable(Fertiliser_SourceData.Fertiliser_Products_Data3(),FertiliserProducts[[#Headers],[Include or Exclude]], 40)</f>
        <v/>
      </c>
      <c r="Y148" s="65" t="str" cm="1">
        <f t="array" aca="1" ref="Y148" ca="1">Common_InputFunctions.Utility_DisplayArrayInTable(Fertiliser_SourceData.Fertiliser_Products_Data3(),FertiliserProducts[[#Headers],[Include or Exclude]], 40)</f>
        <v/>
      </c>
      <c r="Z148" s="65" t="str" cm="1">
        <f t="array" aca="1" ref="Z148" ca="1">Common_InputFunctions.Utility_DisplayArrayInTable(Fertiliser_SourceData.Fertiliser_Products_Data3(),FertiliserProducts[[#Headers],[Include or Exclude]], 40)</f>
        <v/>
      </c>
      <c r="AA148" s="10" t="str" cm="1">
        <f t="array" aca="1" ref="AA148" ca="1">Common_InputFunctions.Utility_DisplayArrayInTable(Fertiliser_SourceData.Fertiliser_Products_Data3(),FertiliserProducts[[#Headers],[Include or Exclude]], 40)</f>
        <v/>
      </c>
      <c r="AB148" s="10" t="str" cm="1">
        <f t="array" aca="1" ref="AB148" ca="1">Common_InputFunctions.Utility_DisplayArrayInTable(Fertiliser_SourceData.Fertiliser_Products_Data3(),FertiliserProducts[[#Headers],[Include or Exclude]], 40)</f>
        <v/>
      </c>
      <c r="AC148" s="10" t="str" cm="1">
        <f t="array" aca="1" ref="AC148" ca="1">Common_InputFunctions.Utility_DisplayArrayInTable(Fertiliser_SourceData.Fertiliser_Products_Data3(),FertiliserProducts[[#Headers],[Include or Exclude]], 40)</f>
        <v/>
      </c>
      <c r="AD148" s="10" t="str" cm="1">
        <f t="array" aca="1" ref="AD148" ca="1">Common_InputFunctions.Utility_DisplayArrayInTable(Fertiliser_SourceData.Fertiliser_Products_Data3(),FertiliserProducts[[#Headers],[Include or Exclude]], 40)</f>
        <v/>
      </c>
      <c r="AE148" s="10" t="str" cm="1">
        <f t="array" aca="1" ref="AE148" ca="1">Common_InputFunctions.Utility_DisplayArrayInTable(Fertiliser_SourceData.Fertiliser_Products_Data3(),FertiliserProducts[[#Headers],[Include or Exclude]], 40)</f>
        <v/>
      </c>
    </row>
    <row r="149" spans="4:31" ht="20.100000000000001" customHeight="1" x14ac:dyDescent="0.25">
      <c r="D149" s="65" t="str" cm="1">
        <f t="array" aca="1" ref="D149" ca="1">Common_InputFunctions.Utility_DisplayArrayInTable(Fertiliser_SourceData.Fertiliser_Products_Data4(),FertiliserProducts[[#Headers],[Include or Exclude]], 60)</f>
        <v/>
      </c>
      <c r="E149" s="65" t="str" cm="1">
        <f t="array" aca="1" ref="E149" ca="1">Common_InputFunctions.Utility_DisplayArrayInTable(Fertiliser_SourceData.Fertiliser_Products_Data4(),FertiliserProducts[[#Headers],[Include or Exclude]], 60)</f>
        <v/>
      </c>
      <c r="F149" s="65" t="str" cm="1">
        <f t="array" aca="1" ref="F149" ca="1">Common_InputFunctions.Utility_DisplayArrayInTable(Fertiliser_SourceData.Fertiliser_Products_Data4(),FertiliserProducts[[#Headers],[Include or Exclude]], 60)</f>
        <v/>
      </c>
      <c r="G149" s="65" t="str" cm="1">
        <f t="array" aca="1" ref="G149" ca="1">Common_InputFunctions.Utility_DisplayArrayInTable(Fertiliser_SourceData.Fertiliser_Products_Data4(),FertiliserProducts[[#Headers],[Include or Exclude]], 60)</f>
        <v/>
      </c>
      <c r="H149" s="65" t="str" cm="1">
        <f t="array" aca="1" ref="H149" ca="1">Common_InputFunctions.Utility_DisplayArrayInTable(Fertiliser_SourceData.Fertiliser_Products_Data4(),FertiliserProducts[[#Headers],[Include or Exclude]], 60)</f>
        <v/>
      </c>
      <c r="I149" s="65" t="str" cm="1">
        <f t="array" aca="1" ref="I149" ca="1">Common_InputFunctions.Utility_DisplayArrayInTable(Fertiliser_SourceData.Fertiliser_Products_Data4(),FertiliserProducts[[#Headers],[Include or Exclude]], 60)</f>
        <v/>
      </c>
      <c r="J149" s="65" t="str" cm="1">
        <f t="array" aca="1" ref="J149" ca="1">Common_InputFunctions.Utility_DisplayArrayInTable(Fertiliser_SourceData.Fertiliser_Products_Data4(),FertiliserProducts[[#Headers],[Include or Exclude]], 60)</f>
        <v/>
      </c>
      <c r="K149" s="65" t="str" cm="1">
        <f t="array" aca="1" ref="K149" ca="1">Common_InputFunctions.Utility_DisplayArrayInTable(Fertiliser_SourceData.Fertiliser_Products_Data4(),FertiliserProducts[[#Headers],[Include or Exclude]], 60)</f>
        <v/>
      </c>
      <c r="L149" s="65" t="str" cm="1">
        <f t="array" aca="1" ref="L149" ca="1">Common_InputFunctions.Utility_DisplayArrayInTable(Fertiliser_SourceData.Fertiliser_Products_Data4(),FertiliserProducts[[#Headers],[Include or Exclude]], 60)</f>
        <v/>
      </c>
      <c r="M149" s="65" t="str" cm="1">
        <f t="array" aca="1" ref="M149" ca="1">Common_InputFunctions.Utility_DisplayArrayInTable(Fertiliser_SourceData.Fertiliser_Products_Data4(),FertiliserProducts[[#Headers],[Include or Exclude]], 60)</f>
        <v/>
      </c>
      <c r="N149" s="65" t="str" cm="1">
        <f t="array" aca="1" ref="N149" ca="1">Common_InputFunctions.Utility_DisplayArrayInTable(Fertiliser_SourceData.Fertiliser_Products_Data4(),FertiliserProducts[[#Headers],[Include or Exclude]], 60)</f>
        <v/>
      </c>
      <c r="O149" s="65" t="str" cm="1">
        <f t="array" aca="1" ref="O149" ca="1">Common_InputFunctions.Utility_DisplayArrayInTable(Fertiliser_SourceData.Fertiliser_Products_Data4(),FertiliserProducts[[#Headers],[Include or Exclude]], 60)</f>
        <v/>
      </c>
      <c r="P149" s="65" t="str" cm="1">
        <f t="array" aca="1" ref="P149" ca="1">Common_InputFunctions.Utility_DisplayArrayInTable(Fertiliser_SourceData.Fertiliser_Products_Data4(),FertiliserProducts[[#Headers],[Include or Exclude]], 60)</f>
        <v/>
      </c>
      <c r="Q149" s="65" t="str" cm="1">
        <f t="array" aca="1" ref="Q149" ca="1">Common_InputFunctions.Utility_DisplayArrayInTable(Fertiliser_SourceData.Fertiliser_Products_Data4(),FertiliserProducts[[#Headers],[Include or Exclude]], 60)</f>
        <v/>
      </c>
      <c r="R149" s="65" t="str" cm="1">
        <f t="array" aca="1" ref="R149" ca="1">Common_InputFunctions.Utility_DisplayArrayInTable(Fertiliser_SourceData.Fertiliser_Products_Data4(),FertiliserProducts[[#Headers],[Include or Exclude]], 60)</f>
        <v/>
      </c>
      <c r="S149" s="65" t="str" cm="1">
        <f t="array" aca="1" ref="S149" ca="1">Common_InputFunctions.Utility_DisplayArrayInTable(Fertiliser_SourceData.Fertiliser_Products_Data4(),FertiliserProducts[[#Headers],[Include or Exclude]], 60)</f>
        <v/>
      </c>
      <c r="T149" s="65" t="str" cm="1">
        <f t="array" aca="1" ref="T149" ca="1">Common_InputFunctions.Utility_DisplayArrayInTable(Fertiliser_SourceData.Fertiliser_Products_Data4(),FertiliserProducts[[#Headers],[Include or Exclude]], 60)</f>
        <v/>
      </c>
      <c r="U149" s="65" t="str" cm="1">
        <f t="array" aca="1" ref="U149" ca="1">Common_InputFunctions.Utility_DisplayArrayInTable(Fertiliser_SourceData.Fertiliser_Products_Data4(),FertiliserProducts[[#Headers],[Include or Exclude]], 60)</f>
        <v/>
      </c>
      <c r="V149" s="65" t="str" cm="1">
        <f t="array" aca="1" ref="V149" ca="1">Common_InputFunctions.Utility_DisplayArrayInTable(Fertiliser_SourceData.Fertiliser_Products_Data4(),FertiliserProducts[[#Headers],[Include or Exclude]], 60)</f>
        <v/>
      </c>
      <c r="W149" s="65" t="str" cm="1">
        <f t="array" aca="1" ref="W149" ca="1">Common_InputFunctions.Utility_DisplayArrayInTable(Fertiliser_SourceData.Fertiliser_Products_Data4(),FertiliserProducts[[#Headers],[Include or Exclude]], 60)</f>
        <v/>
      </c>
      <c r="X149" s="65" t="str" cm="1">
        <f t="array" aca="1" ref="X149" ca="1">Common_InputFunctions.Utility_DisplayArrayInTable(Fertiliser_SourceData.Fertiliser_Products_Data4(),FertiliserProducts[[#Headers],[Include or Exclude]], 60)</f>
        <v/>
      </c>
      <c r="Y149" s="65" t="str" cm="1">
        <f t="array" aca="1" ref="Y149" ca="1">Common_InputFunctions.Utility_DisplayArrayInTable(Fertiliser_SourceData.Fertiliser_Products_Data4(),FertiliserProducts[[#Headers],[Include or Exclude]], 60)</f>
        <v/>
      </c>
      <c r="Z149" s="65" t="str" cm="1">
        <f t="array" aca="1" ref="Z149" ca="1">Common_InputFunctions.Utility_DisplayArrayInTable(Fertiliser_SourceData.Fertiliser_Products_Data4(),FertiliserProducts[[#Headers],[Include or Exclude]], 60)</f>
        <v/>
      </c>
      <c r="AA149" s="10" t="str" cm="1">
        <f t="array" aca="1" ref="AA149" ca="1">Common_InputFunctions.Utility_DisplayArrayInTable(Fertiliser_SourceData.Fertiliser_Products_Data4(),FertiliserProducts[[#Headers],[Include or Exclude]], 60)</f>
        <v/>
      </c>
      <c r="AB149" s="10" t="str" cm="1">
        <f t="array" aca="1" ref="AB149" ca="1">Common_InputFunctions.Utility_DisplayArrayInTable(Fertiliser_SourceData.Fertiliser_Products_Data4(),FertiliserProducts[[#Headers],[Include or Exclude]], 60)</f>
        <v/>
      </c>
      <c r="AC149" s="10" t="str" cm="1">
        <f t="array" aca="1" ref="AC149" ca="1">Common_InputFunctions.Utility_DisplayArrayInTable(Fertiliser_SourceData.Fertiliser_Products_Data4(),FertiliserProducts[[#Headers],[Include or Exclude]], 60)</f>
        <v/>
      </c>
      <c r="AD149" s="10" t="str" cm="1">
        <f t="array" aca="1" ref="AD149" ca="1">Common_InputFunctions.Utility_DisplayArrayInTable(Fertiliser_SourceData.Fertiliser_Products_Data4(),FertiliserProducts[[#Headers],[Include or Exclude]], 60)</f>
        <v/>
      </c>
      <c r="AE149" s="10" t="str" cm="1">
        <f t="array" aca="1" ref="AE149" ca="1">Common_InputFunctions.Utility_DisplayArrayInTable(Fertiliser_SourceData.Fertiliser_Products_Data4(),FertiliserProducts[[#Headers],[Include or Exclude]], 60)</f>
        <v/>
      </c>
    </row>
    <row r="150" spans="4:31" ht="20.100000000000001" customHeight="1" x14ac:dyDescent="0.25">
      <c r="D150" s="65" t="str" cm="1">
        <f t="array" aca="1" ref="D150" ca="1">Common_InputFunctions.Utility_DisplayArrayInTable(Fertiliser_SourceData.Fertiliser_Products_Data4(),FertiliserProducts[[#Headers],[Include or Exclude]], 60)</f>
        <v/>
      </c>
      <c r="E150" s="65" t="str" cm="1">
        <f t="array" aca="1" ref="E150" ca="1">Common_InputFunctions.Utility_DisplayArrayInTable(Fertiliser_SourceData.Fertiliser_Products_Data4(),FertiliserProducts[[#Headers],[Include or Exclude]], 60)</f>
        <v/>
      </c>
      <c r="F150" s="65" t="str" cm="1">
        <f t="array" aca="1" ref="F150" ca="1">Common_InputFunctions.Utility_DisplayArrayInTable(Fertiliser_SourceData.Fertiliser_Products_Data4(),FertiliserProducts[[#Headers],[Include or Exclude]], 60)</f>
        <v/>
      </c>
      <c r="G150" s="65" t="str" cm="1">
        <f t="array" aca="1" ref="G150" ca="1">Common_InputFunctions.Utility_DisplayArrayInTable(Fertiliser_SourceData.Fertiliser_Products_Data4(),FertiliserProducts[[#Headers],[Include or Exclude]], 60)</f>
        <v/>
      </c>
      <c r="H150" s="65" t="str" cm="1">
        <f t="array" aca="1" ref="H150" ca="1">Common_InputFunctions.Utility_DisplayArrayInTable(Fertiliser_SourceData.Fertiliser_Products_Data4(),FertiliserProducts[[#Headers],[Include or Exclude]], 60)</f>
        <v/>
      </c>
      <c r="I150" s="65" t="str" cm="1">
        <f t="array" aca="1" ref="I150" ca="1">Common_InputFunctions.Utility_DisplayArrayInTable(Fertiliser_SourceData.Fertiliser_Products_Data4(),FertiliserProducts[[#Headers],[Include or Exclude]], 60)</f>
        <v/>
      </c>
      <c r="J150" s="65" t="str" cm="1">
        <f t="array" aca="1" ref="J150" ca="1">Common_InputFunctions.Utility_DisplayArrayInTable(Fertiliser_SourceData.Fertiliser_Products_Data4(),FertiliserProducts[[#Headers],[Include or Exclude]], 60)</f>
        <v/>
      </c>
      <c r="K150" s="65" t="str" cm="1">
        <f t="array" aca="1" ref="K150" ca="1">Common_InputFunctions.Utility_DisplayArrayInTable(Fertiliser_SourceData.Fertiliser_Products_Data4(),FertiliserProducts[[#Headers],[Include or Exclude]], 60)</f>
        <v/>
      </c>
      <c r="L150" s="65" t="str" cm="1">
        <f t="array" aca="1" ref="L150" ca="1">Common_InputFunctions.Utility_DisplayArrayInTable(Fertiliser_SourceData.Fertiliser_Products_Data4(),FertiliserProducts[[#Headers],[Include or Exclude]], 60)</f>
        <v/>
      </c>
      <c r="M150" s="65" t="str" cm="1">
        <f t="array" aca="1" ref="M150" ca="1">Common_InputFunctions.Utility_DisplayArrayInTable(Fertiliser_SourceData.Fertiliser_Products_Data4(),FertiliserProducts[[#Headers],[Include or Exclude]], 60)</f>
        <v/>
      </c>
      <c r="N150" s="65" t="str" cm="1">
        <f t="array" aca="1" ref="N150" ca="1">Common_InputFunctions.Utility_DisplayArrayInTable(Fertiliser_SourceData.Fertiliser_Products_Data4(),FertiliserProducts[[#Headers],[Include or Exclude]], 60)</f>
        <v/>
      </c>
      <c r="O150" s="65" t="str" cm="1">
        <f t="array" aca="1" ref="O150" ca="1">Common_InputFunctions.Utility_DisplayArrayInTable(Fertiliser_SourceData.Fertiliser_Products_Data4(),FertiliserProducts[[#Headers],[Include or Exclude]], 60)</f>
        <v/>
      </c>
      <c r="P150" s="65" t="str" cm="1">
        <f t="array" aca="1" ref="P150" ca="1">Common_InputFunctions.Utility_DisplayArrayInTable(Fertiliser_SourceData.Fertiliser_Products_Data4(),FertiliserProducts[[#Headers],[Include or Exclude]], 60)</f>
        <v/>
      </c>
      <c r="Q150" s="65" t="str" cm="1">
        <f t="array" aca="1" ref="Q150" ca="1">Common_InputFunctions.Utility_DisplayArrayInTable(Fertiliser_SourceData.Fertiliser_Products_Data4(),FertiliserProducts[[#Headers],[Include or Exclude]], 60)</f>
        <v/>
      </c>
      <c r="R150" s="65" t="str" cm="1">
        <f t="array" aca="1" ref="R150" ca="1">Common_InputFunctions.Utility_DisplayArrayInTable(Fertiliser_SourceData.Fertiliser_Products_Data4(),FertiliserProducts[[#Headers],[Include or Exclude]], 60)</f>
        <v/>
      </c>
      <c r="S150" s="65" t="str" cm="1">
        <f t="array" aca="1" ref="S150" ca="1">Common_InputFunctions.Utility_DisplayArrayInTable(Fertiliser_SourceData.Fertiliser_Products_Data4(),FertiliserProducts[[#Headers],[Include or Exclude]], 60)</f>
        <v/>
      </c>
      <c r="T150" s="65" t="str" cm="1">
        <f t="array" aca="1" ref="T150" ca="1">Common_InputFunctions.Utility_DisplayArrayInTable(Fertiliser_SourceData.Fertiliser_Products_Data4(),FertiliserProducts[[#Headers],[Include or Exclude]], 60)</f>
        <v/>
      </c>
      <c r="U150" s="65" t="str" cm="1">
        <f t="array" aca="1" ref="U150" ca="1">Common_InputFunctions.Utility_DisplayArrayInTable(Fertiliser_SourceData.Fertiliser_Products_Data4(),FertiliserProducts[[#Headers],[Include or Exclude]], 60)</f>
        <v/>
      </c>
      <c r="V150" s="65" t="str" cm="1">
        <f t="array" aca="1" ref="V150" ca="1">Common_InputFunctions.Utility_DisplayArrayInTable(Fertiliser_SourceData.Fertiliser_Products_Data4(),FertiliserProducts[[#Headers],[Include or Exclude]], 60)</f>
        <v/>
      </c>
      <c r="W150" s="65" t="str" cm="1">
        <f t="array" aca="1" ref="W150" ca="1">Common_InputFunctions.Utility_DisplayArrayInTable(Fertiliser_SourceData.Fertiliser_Products_Data4(),FertiliserProducts[[#Headers],[Include or Exclude]], 60)</f>
        <v/>
      </c>
      <c r="X150" s="65" t="str" cm="1">
        <f t="array" aca="1" ref="X150" ca="1">Common_InputFunctions.Utility_DisplayArrayInTable(Fertiliser_SourceData.Fertiliser_Products_Data4(),FertiliserProducts[[#Headers],[Include or Exclude]], 60)</f>
        <v/>
      </c>
      <c r="Y150" s="65" t="str" cm="1">
        <f t="array" aca="1" ref="Y150" ca="1">Common_InputFunctions.Utility_DisplayArrayInTable(Fertiliser_SourceData.Fertiliser_Products_Data4(),FertiliserProducts[[#Headers],[Include or Exclude]], 60)</f>
        <v/>
      </c>
      <c r="Z150" s="65" t="str" cm="1">
        <f t="array" aca="1" ref="Z150" ca="1">Common_InputFunctions.Utility_DisplayArrayInTable(Fertiliser_SourceData.Fertiliser_Products_Data4(),FertiliserProducts[[#Headers],[Include or Exclude]], 60)</f>
        <v/>
      </c>
      <c r="AA150" s="10" t="str" cm="1">
        <f t="array" aca="1" ref="AA150" ca="1">Common_InputFunctions.Utility_DisplayArrayInTable(Fertiliser_SourceData.Fertiliser_Products_Data4(),FertiliserProducts[[#Headers],[Include or Exclude]], 60)</f>
        <v/>
      </c>
      <c r="AB150" s="10" t="str" cm="1">
        <f t="array" aca="1" ref="AB150" ca="1">Common_InputFunctions.Utility_DisplayArrayInTable(Fertiliser_SourceData.Fertiliser_Products_Data4(),FertiliserProducts[[#Headers],[Include or Exclude]], 60)</f>
        <v/>
      </c>
      <c r="AC150" s="10" t="str" cm="1">
        <f t="array" aca="1" ref="AC150" ca="1">Common_InputFunctions.Utility_DisplayArrayInTable(Fertiliser_SourceData.Fertiliser_Products_Data4(),FertiliserProducts[[#Headers],[Include or Exclude]], 60)</f>
        <v/>
      </c>
      <c r="AD150" s="10" t="str" cm="1">
        <f t="array" aca="1" ref="AD150" ca="1">Common_InputFunctions.Utility_DisplayArrayInTable(Fertiliser_SourceData.Fertiliser_Products_Data4(),FertiliserProducts[[#Headers],[Include or Exclude]], 60)</f>
        <v/>
      </c>
      <c r="AE150" s="10" t="str" cm="1">
        <f t="array" aca="1" ref="AE150" ca="1">Common_InputFunctions.Utility_DisplayArrayInTable(Fertiliser_SourceData.Fertiliser_Products_Data4(),FertiliserProducts[[#Headers],[Include or Exclude]], 60)</f>
        <v/>
      </c>
    </row>
    <row r="151" spans="4:31" ht="20.100000000000001" customHeight="1" x14ac:dyDescent="0.25">
      <c r="D151" s="65" t="str" cm="1">
        <f t="array" aca="1" ref="D151" ca="1">Common_InputFunctions.Utility_DisplayArrayInTable(Fertiliser_SourceData.Fertiliser_Products_Data4(),FertiliserProducts[[#Headers],[Include or Exclude]], 60)</f>
        <v/>
      </c>
      <c r="E151" s="65" t="str" cm="1">
        <f t="array" aca="1" ref="E151" ca="1">Common_InputFunctions.Utility_DisplayArrayInTable(Fertiliser_SourceData.Fertiliser_Products_Data4(),FertiliserProducts[[#Headers],[Include or Exclude]], 60)</f>
        <v/>
      </c>
      <c r="F151" s="65" t="str" cm="1">
        <f t="array" aca="1" ref="F151" ca="1">Common_InputFunctions.Utility_DisplayArrayInTable(Fertiliser_SourceData.Fertiliser_Products_Data4(),FertiliserProducts[[#Headers],[Include or Exclude]], 60)</f>
        <v/>
      </c>
      <c r="G151" s="65" t="str" cm="1">
        <f t="array" aca="1" ref="G151" ca="1">Common_InputFunctions.Utility_DisplayArrayInTable(Fertiliser_SourceData.Fertiliser_Products_Data4(),FertiliserProducts[[#Headers],[Include or Exclude]], 60)</f>
        <v/>
      </c>
      <c r="H151" s="65" t="str" cm="1">
        <f t="array" aca="1" ref="H151" ca="1">Common_InputFunctions.Utility_DisplayArrayInTable(Fertiliser_SourceData.Fertiliser_Products_Data4(),FertiliserProducts[[#Headers],[Include or Exclude]], 60)</f>
        <v/>
      </c>
      <c r="I151" s="65" t="str" cm="1">
        <f t="array" aca="1" ref="I151" ca="1">Common_InputFunctions.Utility_DisplayArrayInTable(Fertiliser_SourceData.Fertiliser_Products_Data4(),FertiliserProducts[[#Headers],[Include or Exclude]], 60)</f>
        <v/>
      </c>
      <c r="J151" s="65" t="str" cm="1">
        <f t="array" aca="1" ref="J151" ca="1">Common_InputFunctions.Utility_DisplayArrayInTable(Fertiliser_SourceData.Fertiliser_Products_Data4(),FertiliserProducts[[#Headers],[Include or Exclude]], 60)</f>
        <v/>
      </c>
      <c r="K151" s="65" t="str" cm="1">
        <f t="array" aca="1" ref="K151" ca="1">Common_InputFunctions.Utility_DisplayArrayInTable(Fertiliser_SourceData.Fertiliser_Products_Data4(),FertiliserProducts[[#Headers],[Include or Exclude]], 60)</f>
        <v/>
      </c>
      <c r="L151" s="65" t="str" cm="1">
        <f t="array" aca="1" ref="L151" ca="1">Common_InputFunctions.Utility_DisplayArrayInTable(Fertiliser_SourceData.Fertiliser_Products_Data4(),FertiliserProducts[[#Headers],[Include or Exclude]], 60)</f>
        <v/>
      </c>
      <c r="M151" s="65" t="str" cm="1">
        <f t="array" aca="1" ref="M151" ca="1">Common_InputFunctions.Utility_DisplayArrayInTable(Fertiliser_SourceData.Fertiliser_Products_Data4(),FertiliserProducts[[#Headers],[Include or Exclude]], 60)</f>
        <v/>
      </c>
      <c r="N151" s="65" t="str" cm="1">
        <f t="array" aca="1" ref="N151" ca="1">Common_InputFunctions.Utility_DisplayArrayInTable(Fertiliser_SourceData.Fertiliser_Products_Data4(),FertiliserProducts[[#Headers],[Include or Exclude]], 60)</f>
        <v/>
      </c>
      <c r="O151" s="65" t="str" cm="1">
        <f t="array" aca="1" ref="O151" ca="1">Common_InputFunctions.Utility_DisplayArrayInTable(Fertiliser_SourceData.Fertiliser_Products_Data4(),FertiliserProducts[[#Headers],[Include or Exclude]], 60)</f>
        <v/>
      </c>
      <c r="P151" s="65" t="str" cm="1">
        <f t="array" aca="1" ref="P151" ca="1">Common_InputFunctions.Utility_DisplayArrayInTable(Fertiliser_SourceData.Fertiliser_Products_Data4(),FertiliserProducts[[#Headers],[Include or Exclude]], 60)</f>
        <v/>
      </c>
      <c r="Q151" s="65" t="str" cm="1">
        <f t="array" aca="1" ref="Q151" ca="1">Common_InputFunctions.Utility_DisplayArrayInTable(Fertiliser_SourceData.Fertiliser_Products_Data4(),FertiliserProducts[[#Headers],[Include or Exclude]], 60)</f>
        <v/>
      </c>
      <c r="R151" s="65" t="str" cm="1">
        <f t="array" aca="1" ref="R151" ca="1">Common_InputFunctions.Utility_DisplayArrayInTable(Fertiliser_SourceData.Fertiliser_Products_Data4(),FertiliserProducts[[#Headers],[Include or Exclude]], 60)</f>
        <v/>
      </c>
      <c r="S151" s="65" t="str" cm="1">
        <f t="array" aca="1" ref="S151" ca="1">Common_InputFunctions.Utility_DisplayArrayInTable(Fertiliser_SourceData.Fertiliser_Products_Data4(),FertiliserProducts[[#Headers],[Include or Exclude]], 60)</f>
        <v/>
      </c>
      <c r="T151" s="65" t="str" cm="1">
        <f t="array" aca="1" ref="T151" ca="1">Common_InputFunctions.Utility_DisplayArrayInTable(Fertiliser_SourceData.Fertiliser_Products_Data4(),FertiliserProducts[[#Headers],[Include or Exclude]], 60)</f>
        <v/>
      </c>
      <c r="U151" s="65" t="str" cm="1">
        <f t="array" aca="1" ref="U151" ca="1">Common_InputFunctions.Utility_DisplayArrayInTable(Fertiliser_SourceData.Fertiliser_Products_Data4(),FertiliserProducts[[#Headers],[Include or Exclude]], 60)</f>
        <v/>
      </c>
      <c r="V151" s="65" t="str" cm="1">
        <f t="array" aca="1" ref="V151" ca="1">Common_InputFunctions.Utility_DisplayArrayInTable(Fertiliser_SourceData.Fertiliser_Products_Data4(),FertiliserProducts[[#Headers],[Include or Exclude]], 60)</f>
        <v/>
      </c>
      <c r="W151" s="65" t="str" cm="1">
        <f t="array" aca="1" ref="W151" ca="1">Common_InputFunctions.Utility_DisplayArrayInTable(Fertiliser_SourceData.Fertiliser_Products_Data4(),FertiliserProducts[[#Headers],[Include or Exclude]], 60)</f>
        <v/>
      </c>
      <c r="X151" s="65" t="str" cm="1">
        <f t="array" aca="1" ref="X151" ca="1">Common_InputFunctions.Utility_DisplayArrayInTable(Fertiliser_SourceData.Fertiliser_Products_Data4(),FertiliserProducts[[#Headers],[Include or Exclude]], 60)</f>
        <v/>
      </c>
      <c r="Y151" s="65" t="str" cm="1">
        <f t="array" aca="1" ref="Y151" ca="1">Common_InputFunctions.Utility_DisplayArrayInTable(Fertiliser_SourceData.Fertiliser_Products_Data4(),FertiliserProducts[[#Headers],[Include or Exclude]], 60)</f>
        <v/>
      </c>
      <c r="Z151" s="65" t="str" cm="1">
        <f t="array" aca="1" ref="Z151" ca="1">Common_InputFunctions.Utility_DisplayArrayInTable(Fertiliser_SourceData.Fertiliser_Products_Data4(),FertiliserProducts[[#Headers],[Include or Exclude]], 60)</f>
        <v/>
      </c>
      <c r="AA151" s="10" t="str" cm="1">
        <f t="array" aca="1" ref="AA151" ca="1">Common_InputFunctions.Utility_DisplayArrayInTable(Fertiliser_SourceData.Fertiliser_Products_Data4(),FertiliserProducts[[#Headers],[Include or Exclude]], 60)</f>
        <v/>
      </c>
      <c r="AB151" s="10" t="str" cm="1">
        <f t="array" aca="1" ref="AB151" ca="1">Common_InputFunctions.Utility_DisplayArrayInTable(Fertiliser_SourceData.Fertiliser_Products_Data4(),FertiliserProducts[[#Headers],[Include or Exclude]], 60)</f>
        <v/>
      </c>
      <c r="AC151" s="10" t="str" cm="1">
        <f t="array" aca="1" ref="AC151" ca="1">Common_InputFunctions.Utility_DisplayArrayInTable(Fertiliser_SourceData.Fertiliser_Products_Data4(),FertiliserProducts[[#Headers],[Include or Exclude]], 60)</f>
        <v/>
      </c>
      <c r="AD151" s="10" t="str" cm="1">
        <f t="array" aca="1" ref="AD151" ca="1">Common_InputFunctions.Utility_DisplayArrayInTable(Fertiliser_SourceData.Fertiliser_Products_Data4(),FertiliserProducts[[#Headers],[Include or Exclude]], 60)</f>
        <v/>
      </c>
      <c r="AE151" s="10" t="str" cm="1">
        <f t="array" aca="1" ref="AE151" ca="1">Common_InputFunctions.Utility_DisplayArrayInTable(Fertiliser_SourceData.Fertiliser_Products_Data4(),FertiliserProducts[[#Headers],[Include or Exclude]], 60)</f>
        <v/>
      </c>
    </row>
    <row r="152" spans="4:31" ht="20.100000000000001" customHeight="1" x14ac:dyDescent="0.25">
      <c r="D152" s="65" t="str" cm="1">
        <f t="array" aca="1" ref="D152" ca="1">Common_InputFunctions.Utility_DisplayArrayInTable(Fertiliser_SourceData.Fertiliser_Products_Data4(),FertiliserProducts[[#Headers],[Include or Exclude]], 60)</f>
        <v/>
      </c>
      <c r="E152" s="65" t="str" cm="1">
        <f t="array" aca="1" ref="E152" ca="1">Common_InputFunctions.Utility_DisplayArrayInTable(Fertiliser_SourceData.Fertiliser_Products_Data4(),FertiliserProducts[[#Headers],[Include or Exclude]], 60)</f>
        <v/>
      </c>
      <c r="F152" s="65" t="str" cm="1">
        <f t="array" aca="1" ref="F152" ca="1">Common_InputFunctions.Utility_DisplayArrayInTable(Fertiliser_SourceData.Fertiliser_Products_Data4(),FertiliserProducts[[#Headers],[Include or Exclude]], 60)</f>
        <v/>
      </c>
      <c r="G152" s="65" t="str" cm="1">
        <f t="array" aca="1" ref="G152" ca="1">Common_InputFunctions.Utility_DisplayArrayInTable(Fertiliser_SourceData.Fertiliser_Products_Data4(),FertiliserProducts[[#Headers],[Include or Exclude]], 60)</f>
        <v/>
      </c>
      <c r="H152" s="65" t="str" cm="1">
        <f t="array" aca="1" ref="H152" ca="1">Common_InputFunctions.Utility_DisplayArrayInTable(Fertiliser_SourceData.Fertiliser_Products_Data4(),FertiliserProducts[[#Headers],[Include or Exclude]], 60)</f>
        <v/>
      </c>
      <c r="I152" s="65" t="str" cm="1">
        <f t="array" aca="1" ref="I152" ca="1">Common_InputFunctions.Utility_DisplayArrayInTable(Fertiliser_SourceData.Fertiliser_Products_Data4(),FertiliserProducts[[#Headers],[Include or Exclude]], 60)</f>
        <v/>
      </c>
      <c r="J152" s="65" t="str" cm="1">
        <f t="array" aca="1" ref="J152" ca="1">Common_InputFunctions.Utility_DisplayArrayInTable(Fertiliser_SourceData.Fertiliser_Products_Data4(),FertiliserProducts[[#Headers],[Include or Exclude]], 60)</f>
        <v/>
      </c>
      <c r="K152" s="65" t="str" cm="1">
        <f t="array" aca="1" ref="K152" ca="1">Common_InputFunctions.Utility_DisplayArrayInTable(Fertiliser_SourceData.Fertiliser_Products_Data4(),FertiliserProducts[[#Headers],[Include or Exclude]], 60)</f>
        <v/>
      </c>
      <c r="L152" s="65" t="str" cm="1">
        <f t="array" aca="1" ref="L152" ca="1">Common_InputFunctions.Utility_DisplayArrayInTable(Fertiliser_SourceData.Fertiliser_Products_Data4(),FertiliserProducts[[#Headers],[Include or Exclude]], 60)</f>
        <v/>
      </c>
      <c r="M152" s="65" t="str" cm="1">
        <f t="array" aca="1" ref="M152" ca="1">Common_InputFunctions.Utility_DisplayArrayInTable(Fertiliser_SourceData.Fertiliser_Products_Data4(),FertiliserProducts[[#Headers],[Include or Exclude]], 60)</f>
        <v/>
      </c>
      <c r="N152" s="65" t="str" cm="1">
        <f t="array" aca="1" ref="N152" ca="1">Common_InputFunctions.Utility_DisplayArrayInTable(Fertiliser_SourceData.Fertiliser_Products_Data4(),FertiliserProducts[[#Headers],[Include or Exclude]], 60)</f>
        <v/>
      </c>
      <c r="O152" s="65" t="str" cm="1">
        <f t="array" aca="1" ref="O152" ca="1">Common_InputFunctions.Utility_DisplayArrayInTable(Fertiliser_SourceData.Fertiliser_Products_Data4(),FertiliserProducts[[#Headers],[Include or Exclude]], 60)</f>
        <v/>
      </c>
      <c r="P152" s="65" t="str" cm="1">
        <f t="array" aca="1" ref="P152" ca="1">Common_InputFunctions.Utility_DisplayArrayInTable(Fertiliser_SourceData.Fertiliser_Products_Data4(),FertiliserProducts[[#Headers],[Include or Exclude]], 60)</f>
        <v/>
      </c>
      <c r="Q152" s="65" t="str" cm="1">
        <f t="array" aca="1" ref="Q152" ca="1">Common_InputFunctions.Utility_DisplayArrayInTable(Fertiliser_SourceData.Fertiliser_Products_Data4(),FertiliserProducts[[#Headers],[Include or Exclude]], 60)</f>
        <v/>
      </c>
      <c r="R152" s="65" t="str" cm="1">
        <f t="array" aca="1" ref="R152" ca="1">Common_InputFunctions.Utility_DisplayArrayInTable(Fertiliser_SourceData.Fertiliser_Products_Data4(),FertiliserProducts[[#Headers],[Include or Exclude]], 60)</f>
        <v/>
      </c>
      <c r="S152" s="65" t="str" cm="1">
        <f t="array" aca="1" ref="S152" ca="1">Common_InputFunctions.Utility_DisplayArrayInTable(Fertiliser_SourceData.Fertiliser_Products_Data4(),FertiliserProducts[[#Headers],[Include or Exclude]], 60)</f>
        <v/>
      </c>
      <c r="T152" s="65" t="str" cm="1">
        <f t="array" aca="1" ref="T152" ca="1">Common_InputFunctions.Utility_DisplayArrayInTable(Fertiliser_SourceData.Fertiliser_Products_Data4(),FertiliserProducts[[#Headers],[Include or Exclude]], 60)</f>
        <v/>
      </c>
      <c r="U152" s="65" t="str" cm="1">
        <f t="array" aca="1" ref="U152" ca="1">Common_InputFunctions.Utility_DisplayArrayInTable(Fertiliser_SourceData.Fertiliser_Products_Data4(),FertiliserProducts[[#Headers],[Include or Exclude]], 60)</f>
        <v/>
      </c>
      <c r="V152" s="65" t="str" cm="1">
        <f t="array" aca="1" ref="V152" ca="1">Common_InputFunctions.Utility_DisplayArrayInTable(Fertiliser_SourceData.Fertiliser_Products_Data4(),FertiliserProducts[[#Headers],[Include or Exclude]], 60)</f>
        <v/>
      </c>
      <c r="W152" s="65" t="str" cm="1">
        <f t="array" aca="1" ref="W152" ca="1">Common_InputFunctions.Utility_DisplayArrayInTable(Fertiliser_SourceData.Fertiliser_Products_Data4(),FertiliserProducts[[#Headers],[Include or Exclude]], 60)</f>
        <v/>
      </c>
      <c r="X152" s="65" t="str" cm="1">
        <f t="array" aca="1" ref="X152" ca="1">Common_InputFunctions.Utility_DisplayArrayInTable(Fertiliser_SourceData.Fertiliser_Products_Data4(),FertiliserProducts[[#Headers],[Include or Exclude]], 60)</f>
        <v/>
      </c>
      <c r="Y152" s="65" t="str" cm="1">
        <f t="array" aca="1" ref="Y152" ca="1">Common_InputFunctions.Utility_DisplayArrayInTable(Fertiliser_SourceData.Fertiliser_Products_Data4(),FertiliserProducts[[#Headers],[Include or Exclude]], 60)</f>
        <v/>
      </c>
      <c r="Z152" s="65" t="str" cm="1">
        <f t="array" aca="1" ref="Z152" ca="1">Common_InputFunctions.Utility_DisplayArrayInTable(Fertiliser_SourceData.Fertiliser_Products_Data4(),FertiliserProducts[[#Headers],[Include or Exclude]], 60)</f>
        <v/>
      </c>
      <c r="AA152" s="10" t="str" cm="1">
        <f t="array" aca="1" ref="AA152" ca="1">Common_InputFunctions.Utility_DisplayArrayInTable(Fertiliser_SourceData.Fertiliser_Products_Data4(),FertiliserProducts[[#Headers],[Include or Exclude]], 60)</f>
        <v/>
      </c>
      <c r="AB152" s="10" t="str" cm="1">
        <f t="array" aca="1" ref="AB152" ca="1">Common_InputFunctions.Utility_DisplayArrayInTable(Fertiliser_SourceData.Fertiliser_Products_Data4(),FertiliserProducts[[#Headers],[Include or Exclude]], 60)</f>
        <v/>
      </c>
      <c r="AC152" s="10" t="str" cm="1">
        <f t="array" aca="1" ref="AC152" ca="1">Common_InputFunctions.Utility_DisplayArrayInTable(Fertiliser_SourceData.Fertiliser_Products_Data4(),FertiliserProducts[[#Headers],[Include or Exclude]], 60)</f>
        <v/>
      </c>
      <c r="AD152" s="10" t="str" cm="1">
        <f t="array" aca="1" ref="AD152" ca="1">Common_InputFunctions.Utility_DisplayArrayInTable(Fertiliser_SourceData.Fertiliser_Products_Data4(),FertiliserProducts[[#Headers],[Include or Exclude]], 60)</f>
        <v/>
      </c>
      <c r="AE152" s="10" t="str" cm="1">
        <f t="array" aca="1" ref="AE152" ca="1">Common_InputFunctions.Utility_DisplayArrayInTable(Fertiliser_SourceData.Fertiliser_Products_Data4(),FertiliserProducts[[#Headers],[Include or Exclude]], 60)</f>
        <v/>
      </c>
    </row>
    <row r="153" spans="4:31" ht="20.100000000000001" customHeight="1" x14ac:dyDescent="0.25">
      <c r="D153" s="65" t="str" cm="1">
        <f t="array" aca="1" ref="D153" ca="1">Common_InputFunctions.Utility_DisplayArrayInTable(Fertiliser_SourceData.Fertiliser_Products_Data4(),FertiliserProducts[[#Headers],[Include or Exclude]], 60)</f>
        <v/>
      </c>
      <c r="E153" s="65" t="str" cm="1">
        <f t="array" aca="1" ref="E153" ca="1">Common_InputFunctions.Utility_DisplayArrayInTable(Fertiliser_SourceData.Fertiliser_Products_Data4(),FertiliserProducts[[#Headers],[Include or Exclude]], 60)</f>
        <v/>
      </c>
      <c r="F153" s="65" t="str" cm="1">
        <f t="array" aca="1" ref="F153" ca="1">Common_InputFunctions.Utility_DisplayArrayInTable(Fertiliser_SourceData.Fertiliser_Products_Data4(),FertiliserProducts[[#Headers],[Include or Exclude]], 60)</f>
        <v/>
      </c>
      <c r="G153" s="65" t="str" cm="1">
        <f t="array" aca="1" ref="G153" ca="1">Common_InputFunctions.Utility_DisplayArrayInTable(Fertiliser_SourceData.Fertiliser_Products_Data4(),FertiliserProducts[[#Headers],[Include or Exclude]], 60)</f>
        <v/>
      </c>
      <c r="H153" s="65" t="str" cm="1">
        <f t="array" aca="1" ref="H153" ca="1">Common_InputFunctions.Utility_DisplayArrayInTable(Fertiliser_SourceData.Fertiliser_Products_Data4(),FertiliserProducts[[#Headers],[Include or Exclude]], 60)</f>
        <v/>
      </c>
      <c r="I153" s="65" t="str" cm="1">
        <f t="array" aca="1" ref="I153" ca="1">Common_InputFunctions.Utility_DisplayArrayInTable(Fertiliser_SourceData.Fertiliser_Products_Data4(),FertiliserProducts[[#Headers],[Include or Exclude]], 60)</f>
        <v/>
      </c>
      <c r="J153" s="65" t="str" cm="1">
        <f t="array" aca="1" ref="J153" ca="1">Common_InputFunctions.Utility_DisplayArrayInTable(Fertiliser_SourceData.Fertiliser_Products_Data4(),FertiliserProducts[[#Headers],[Include or Exclude]], 60)</f>
        <v/>
      </c>
      <c r="K153" s="65" t="str" cm="1">
        <f t="array" aca="1" ref="K153" ca="1">Common_InputFunctions.Utility_DisplayArrayInTable(Fertiliser_SourceData.Fertiliser_Products_Data4(),FertiliserProducts[[#Headers],[Include or Exclude]], 60)</f>
        <v/>
      </c>
      <c r="L153" s="65" t="str" cm="1">
        <f t="array" aca="1" ref="L153" ca="1">Common_InputFunctions.Utility_DisplayArrayInTable(Fertiliser_SourceData.Fertiliser_Products_Data4(),FertiliserProducts[[#Headers],[Include or Exclude]], 60)</f>
        <v/>
      </c>
      <c r="M153" s="65" t="str" cm="1">
        <f t="array" aca="1" ref="M153" ca="1">Common_InputFunctions.Utility_DisplayArrayInTable(Fertiliser_SourceData.Fertiliser_Products_Data4(),FertiliserProducts[[#Headers],[Include or Exclude]], 60)</f>
        <v/>
      </c>
      <c r="N153" s="65" t="str" cm="1">
        <f t="array" aca="1" ref="N153" ca="1">Common_InputFunctions.Utility_DisplayArrayInTable(Fertiliser_SourceData.Fertiliser_Products_Data4(),FertiliserProducts[[#Headers],[Include or Exclude]], 60)</f>
        <v/>
      </c>
      <c r="O153" s="65" t="str" cm="1">
        <f t="array" aca="1" ref="O153" ca="1">Common_InputFunctions.Utility_DisplayArrayInTable(Fertiliser_SourceData.Fertiliser_Products_Data4(),FertiliserProducts[[#Headers],[Include or Exclude]], 60)</f>
        <v/>
      </c>
      <c r="P153" s="65" t="str" cm="1">
        <f t="array" aca="1" ref="P153" ca="1">Common_InputFunctions.Utility_DisplayArrayInTable(Fertiliser_SourceData.Fertiliser_Products_Data4(),FertiliserProducts[[#Headers],[Include or Exclude]], 60)</f>
        <v/>
      </c>
      <c r="Q153" s="65" t="str" cm="1">
        <f t="array" aca="1" ref="Q153" ca="1">Common_InputFunctions.Utility_DisplayArrayInTable(Fertiliser_SourceData.Fertiliser_Products_Data4(),FertiliserProducts[[#Headers],[Include or Exclude]], 60)</f>
        <v/>
      </c>
      <c r="R153" s="65" t="str" cm="1">
        <f t="array" aca="1" ref="R153" ca="1">Common_InputFunctions.Utility_DisplayArrayInTable(Fertiliser_SourceData.Fertiliser_Products_Data4(),FertiliserProducts[[#Headers],[Include or Exclude]], 60)</f>
        <v/>
      </c>
      <c r="S153" s="65" t="str" cm="1">
        <f t="array" aca="1" ref="S153" ca="1">Common_InputFunctions.Utility_DisplayArrayInTable(Fertiliser_SourceData.Fertiliser_Products_Data4(),FertiliserProducts[[#Headers],[Include or Exclude]], 60)</f>
        <v/>
      </c>
      <c r="T153" s="65" t="str" cm="1">
        <f t="array" aca="1" ref="T153" ca="1">Common_InputFunctions.Utility_DisplayArrayInTable(Fertiliser_SourceData.Fertiliser_Products_Data4(),FertiliserProducts[[#Headers],[Include or Exclude]], 60)</f>
        <v/>
      </c>
      <c r="U153" s="65" t="str" cm="1">
        <f t="array" aca="1" ref="U153" ca="1">Common_InputFunctions.Utility_DisplayArrayInTable(Fertiliser_SourceData.Fertiliser_Products_Data4(),FertiliserProducts[[#Headers],[Include or Exclude]], 60)</f>
        <v/>
      </c>
      <c r="V153" s="65" t="str" cm="1">
        <f t="array" aca="1" ref="V153" ca="1">Common_InputFunctions.Utility_DisplayArrayInTable(Fertiliser_SourceData.Fertiliser_Products_Data4(),FertiliserProducts[[#Headers],[Include or Exclude]], 60)</f>
        <v/>
      </c>
      <c r="W153" s="65" t="str" cm="1">
        <f t="array" aca="1" ref="W153" ca="1">Common_InputFunctions.Utility_DisplayArrayInTable(Fertiliser_SourceData.Fertiliser_Products_Data4(),FertiliserProducts[[#Headers],[Include or Exclude]], 60)</f>
        <v/>
      </c>
      <c r="X153" s="65" t="str" cm="1">
        <f t="array" aca="1" ref="X153" ca="1">Common_InputFunctions.Utility_DisplayArrayInTable(Fertiliser_SourceData.Fertiliser_Products_Data4(),FertiliserProducts[[#Headers],[Include or Exclude]], 60)</f>
        <v/>
      </c>
      <c r="Y153" s="65" t="str" cm="1">
        <f t="array" aca="1" ref="Y153" ca="1">Common_InputFunctions.Utility_DisplayArrayInTable(Fertiliser_SourceData.Fertiliser_Products_Data4(),FertiliserProducts[[#Headers],[Include or Exclude]], 60)</f>
        <v/>
      </c>
      <c r="Z153" s="65" t="str" cm="1">
        <f t="array" aca="1" ref="Z153" ca="1">Common_InputFunctions.Utility_DisplayArrayInTable(Fertiliser_SourceData.Fertiliser_Products_Data4(),FertiliserProducts[[#Headers],[Include or Exclude]], 60)</f>
        <v/>
      </c>
      <c r="AA153" s="10" t="str" cm="1">
        <f t="array" aca="1" ref="AA153" ca="1">Common_InputFunctions.Utility_DisplayArrayInTable(Fertiliser_SourceData.Fertiliser_Products_Data4(),FertiliserProducts[[#Headers],[Include or Exclude]], 60)</f>
        <v/>
      </c>
      <c r="AB153" s="10" t="str" cm="1">
        <f t="array" aca="1" ref="AB153" ca="1">Common_InputFunctions.Utility_DisplayArrayInTable(Fertiliser_SourceData.Fertiliser_Products_Data4(),FertiliserProducts[[#Headers],[Include or Exclude]], 60)</f>
        <v/>
      </c>
      <c r="AC153" s="10" t="str" cm="1">
        <f t="array" aca="1" ref="AC153" ca="1">Common_InputFunctions.Utility_DisplayArrayInTable(Fertiliser_SourceData.Fertiliser_Products_Data4(),FertiliserProducts[[#Headers],[Include or Exclude]], 60)</f>
        <v/>
      </c>
      <c r="AD153" s="10" t="str" cm="1">
        <f t="array" aca="1" ref="AD153" ca="1">Common_InputFunctions.Utility_DisplayArrayInTable(Fertiliser_SourceData.Fertiliser_Products_Data4(),FertiliserProducts[[#Headers],[Include or Exclude]], 60)</f>
        <v/>
      </c>
      <c r="AE153" s="10" t="str" cm="1">
        <f t="array" aca="1" ref="AE153" ca="1">Common_InputFunctions.Utility_DisplayArrayInTable(Fertiliser_SourceData.Fertiliser_Products_Data4(),FertiliserProducts[[#Headers],[Include or Exclude]], 60)</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10">
    <tablePart r:id="rId1"/>
    <tablePart r:id="rId2"/>
    <tablePart r:id="rId3"/>
    <tablePart r:id="rId4"/>
    <tablePart r:id="rId5"/>
    <tablePart r:id="rId6"/>
    <tablePart r:id="rId7"/>
    <tablePart r:id="rId8"/>
    <tablePart r:id="rId9"/>
    <tablePart r:id="rId10"/>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8FCB0-62AE-4125-B897-4FCFD0B878B7}">
  <dimension ref="A1:AI165"/>
  <sheetViews>
    <sheetView showGridLines="0" topLeftCell="A6" zoomScaleNormal="100" workbookViewId="0">
      <selection activeCell="G26" sqref="G26"/>
    </sheetView>
  </sheetViews>
  <sheetFormatPr defaultRowHeight="15.75" x14ac:dyDescent="0.25"/>
  <cols>
    <col min="1" max="1" width="26.875" style="3" customWidth="1"/>
    <col min="2" max="2" width="4.125" style="3" customWidth="1"/>
    <col min="3" max="3" width="4.125" style="8" customWidth="1"/>
    <col min="4" max="4" width="34.25" style="8" customWidth="1"/>
    <col min="5" max="5" width="18.125" style="8" customWidth="1"/>
    <col min="6" max="6" width="18.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66</v>
      </c>
      <c r="AG1" s="3"/>
      <c r="AH1" s="3"/>
      <c r="AI1" s="3"/>
    </row>
    <row r="2" spans="1:35" s="2" customFormat="1" ht="20.100000000000001" customHeight="1" x14ac:dyDescent="0.25">
      <c r="A2" s="3"/>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Fuel_SourceData.Fuel_Scope1Scope3EmissionFactorsTransport_Title()</f>
        <v>Fuel scope 1 and 3 emission factors - Transport</v>
      </c>
      <c r="E5" s="17"/>
      <c r="F5" s="17"/>
      <c r="G5" s="17"/>
      <c r="H5" s="17"/>
      <c r="I5" s="17"/>
      <c r="J5" s="17"/>
      <c r="K5" s="17"/>
      <c r="L5" s="17"/>
    </row>
    <row r="6" spans="1:35" ht="20.100000000000001" customHeight="1" x14ac:dyDescent="0.25">
      <c r="A6" s="18"/>
      <c r="D6" s="8" t="str" cm="1">
        <f t="array" ref="D6">Fuel_SourceData.Fuel_Scope1Scope3EmissionFactorsTransport_Description()</f>
        <v>Direct (scope 1) and indirect (scope 3) emission factors for the consumption of transport fuels in different transport equipment</v>
      </c>
      <c r="E6" s="17"/>
      <c r="F6" s="17"/>
      <c r="G6" s="17"/>
      <c r="H6" s="17"/>
      <c r="I6" s="17"/>
      <c r="J6" s="17"/>
      <c r="K6" s="17"/>
      <c r="L6" s="17"/>
    </row>
    <row r="7" spans="1:35" ht="20.100000000000001" customHeight="1" x14ac:dyDescent="0.25">
      <c r="A7" s="19" t="s">
        <v>67</v>
      </c>
      <c r="D7" s="11" t="str" cm="1">
        <f t="array" ref="D7">Fuel_SourceData.Fuel_Scope1Scope3EmissionFactorsTransport_Source()</f>
        <v>Australian National Greenhouse Accounts Factors 2025 - Table 9</v>
      </c>
      <c r="E7" s="17"/>
      <c r="F7" s="17"/>
      <c r="G7" s="17"/>
      <c r="H7" s="17"/>
      <c r="I7" s="17"/>
      <c r="J7" s="17"/>
      <c r="K7" s="17"/>
      <c r="L7" s="17"/>
    </row>
    <row r="8" spans="1:35" ht="20.100000000000001" customHeight="1" x14ac:dyDescent="0.25">
      <c r="A8" s="16" t="str">
        <f>HYPERLINK("#'Input - Fuel'!A1", "Fuel")</f>
        <v>Fuel</v>
      </c>
      <c r="D8" s="12" t="str" cm="1">
        <f t="array" ref="D8">"⚠️" &amp; Fuel_SourceData.Fuel_Scope1Scope3EmissionFactorsTransport_Variation()</f>
        <v>⚠️VARIATION OF SOURCE DATA: 'NE' values returned as zero for calculations.</v>
      </c>
      <c r="E8" s="17"/>
      <c r="F8" s="17"/>
      <c r="G8" s="17"/>
      <c r="H8" s="17"/>
      <c r="I8" s="17"/>
      <c r="J8" s="17"/>
      <c r="K8" s="17"/>
      <c r="L8" s="17"/>
    </row>
    <row r="9" spans="1:35" ht="20.100000000000001" customHeight="1" x14ac:dyDescent="0.25">
      <c r="A9" s="16"/>
      <c r="D9" s="20" t="s">
        <v>68</v>
      </c>
      <c r="E9" s="20" t="s">
        <v>69</v>
      </c>
      <c r="F9" s="20" t="s">
        <v>70</v>
      </c>
      <c r="G9" s="20" t="s">
        <v>71</v>
      </c>
      <c r="H9" s="20" t="s">
        <v>72</v>
      </c>
      <c r="I9" s="20" t="s">
        <v>73</v>
      </c>
      <c r="J9" s="20" t="s">
        <v>74</v>
      </c>
      <c r="K9" s="20" t="s">
        <v>75</v>
      </c>
      <c r="L9" s="20" t="s">
        <v>76</v>
      </c>
    </row>
    <row r="10" spans="1:35" ht="20.100000000000001" customHeight="1" x14ac:dyDescent="0.25">
      <c r="A10" s="21" t="s">
        <v>77</v>
      </c>
      <c r="D10" s="22" t="str" cm="1">
        <f t="array" ref="D10">Common_InputFunctions.Utility_DisplayArrayInTable(Fuel_SourceData.Fuel_Scope1Scope3EmissionFactorsTransport_Data(), Table_Fuel_EFs_Transport[[#Headers],[Transport type]], 0)</f>
        <v>Cars and light commercial vehicles</v>
      </c>
      <c r="E10" s="22" t="str" cm="1">
        <f t="array" ref="E10">Common_InputFunctions.Utility_DisplayArrayInTable(Fuel_SourceData.Fuel_Scope1Scope3EmissionFactorsTransport_Data(), Table_Fuel_EFs_Transport[[#Headers],[Transport type]], 0)</f>
        <v>Gasoline</v>
      </c>
      <c r="F10" s="22" cm="1">
        <f t="array" ref="F10">Common_InputFunctions.Utility_DisplayArrayInTable(Fuel_SourceData.Fuel_Scope1Scope3EmissionFactorsTransport_Data(), Table_Fuel_EFs_Transport[[#Headers],[Transport type]], 0)</f>
        <v>34.200000000000003</v>
      </c>
      <c r="G10" s="22" t="str" cm="1">
        <f t="array" ref="G10">Common_InputFunctions.Utility_DisplayArrayInTable(Fuel_SourceData.Fuel_Scope1Scope3EmissionFactorsTransport_Data(), Table_Fuel_EFs_Transport[[#Headers],[Transport type]], 0)</f>
        <v>kl</v>
      </c>
      <c r="H10" s="22" cm="1">
        <f t="array" ref="H10">Common_InputFunctions.Utility_DisplayArrayInTable(Fuel_SourceData.Fuel_Scope1Scope3EmissionFactorsTransport_Data(), Table_Fuel_EFs_Transport[[#Headers],[Transport type]], 0)</f>
        <v>67.400000000000006</v>
      </c>
      <c r="I10" s="22" cm="1">
        <f t="array" ref="I10">Common_InputFunctions.Utility_DisplayArrayInTable(Fuel_SourceData.Fuel_Scope1Scope3EmissionFactorsTransport_Data(), Table_Fuel_EFs_Transport[[#Headers],[Transport type]], 0)</f>
        <v>0.02</v>
      </c>
      <c r="J10" s="22" cm="1">
        <f t="array" ref="J10">Common_InputFunctions.Utility_DisplayArrayInTable(Fuel_SourceData.Fuel_Scope1Scope3EmissionFactorsTransport_Data(), Table_Fuel_EFs_Transport[[#Headers],[Transport type]], 0)</f>
        <v>0.2</v>
      </c>
      <c r="K10" s="22" cm="1">
        <f t="array" ref="K10">Common_InputFunctions.Utility_DisplayArrayInTable(Fuel_SourceData.Fuel_Scope1Scope3EmissionFactorsTransport_Data(), Table_Fuel_EFs_Transport[[#Headers],[Transport type]], 0)</f>
        <v>67.62</v>
      </c>
      <c r="L10" s="22" cm="1">
        <f t="array" ref="L10">Common_InputFunctions.Utility_DisplayArrayInTable(Fuel_SourceData.Fuel_Scope1Scope3EmissionFactorsTransport_Data(), Table_Fuel_EFs_Transport[[#Headers],[Transport type]], 0)</f>
        <v>17.2</v>
      </c>
    </row>
    <row r="11" spans="1:35" ht="20.100000000000001" customHeight="1" x14ac:dyDescent="0.25">
      <c r="A11" s="16" t="str">
        <f>HYPERLINK("#'8.1.1.1-2 Transport fuel'!A1", "8.1.1.1-2 Transport fuel")</f>
        <v>8.1.1.1-2 Transport fuel</v>
      </c>
      <c r="D11" s="22" t="str" cm="1">
        <f t="array" ref="D11">Common_InputFunctions.Utility_DisplayArrayInTable(Fuel_SourceData.Fuel_Scope1Scope3EmissionFactorsTransport_Data(), Table_Fuel_EFs_Transport[[#Headers],[Transport type]], 0)</f>
        <v>Cars and light commercial vehicles</v>
      </c>
      <c r="E11" s="22" t="str" cm="1">
        <f t="array" ref="E11">Common_InputFunctions.Utility_DisplayArrayInTable(Fuel_SourceData.Fuel_Scope1Scope3EmissionFactorsTransport_Data(), Table_Fuel_EFs_Transport[[#Headers],[Transport type]], 0)</f>
        <v>Diesel oil</v>
      </c>
      <c r="F11" s="22" cm="1">
        <f t="array" ref="F11">Common_InputFunctions.Utility_DisplayArrayInTable(Fuel_SourceData.Fuel_Scope1Scope3EmissionFactorsTransport_Data(), Table_Fuel_EFs_Transport[[#Headers],[Transport type]], 0)</f>
        <v>38.6</v>
      </c>
      <c r="G11" s="22" t="str" cm="1">
        <f t="array" ref="G11">Common_InputFunctions.Utility_DisplayArrayInTable(Fuel_SourceData.Fuel_Scope1Scope3EmissionFactorsTransport_Data(), Table_Fuel_EFs_Transport[[#Headers],[Transport type]], 0)</f>
        <v>kl</v>
      </c>
      <c r="H11" s="22" cm="1">
        <f t="array" ref="H11">Common_InputFunctions.Utility_DisplayArrayInTable(Fuel_SourceData.Fuel_Scope1Scope3EmissionFactorsTransport_Data(), Table_Fuel_EFs_Transport[[#Headers],[Transport type]], 0)</f>
        <v>69.900000000000006</v>
      </c>
      <c r="I11" s="22" cm="1">
        <f t="array" ref="I11">Common_InputFunctions.Utility_DisplayArrayInTable(Fuel_SourceData.Fuel_Scope1Scope3EmissionFactorsTransport_Data(), Table_Fuel_EFs_Transport[[#Headers],[Transport type]], 0)</f>
        <v>0.01</v>
      </c>
      <c r="J11" s="22" cm="1">
        <f t="array" ref="J11">Common_InputFunctions.Utility_DisplayArrayInTable(Fuel_SourceData.Fuel_Scope1Scope3EmissionFactorsTransport_Data(), Table_Fuel_EFs_Transport[[#Headers],[Transport type]], 0)</f>
        <v>0.5</v>
      </c>
      <c r="K11" s="22" cm="1">
        <f t="array" ref="K11">Common_InputFunctions.Utility_DisplayArrayInTable(Fuel_SourceData.Fuel_Scope1Scope3EmissionFactorsTransport_Data(), Table_Fuel_EFs_Transport[[#Headers],[Transport type]], 0)</f>
        <v>70.41</v>
      </c>
      <c r="L11" s="22" cm="1">
        <f t="array" ref="L11">Common_InputFunctions.Utility_DisplayArrayInTable(Fuel_SourceData.Fuel_Scope1Scope3EmissionFactorsTransport_Data(), Table_Fuel_EFs_Transport[[#Headers],[Transport type]], 0)</f>
        <v>17.3</v>
      </c>
    </row>
    <row r="12" spans="1:35" ht="20.100000000000001" customHeight="1" x14ac:dyDescent="0.25">
      <c r="A12" s="16" t="str">
        <f>HYPERLINK("#'8.2.1.1-2 Stationary fuel'!A1", "8.2.1.1-2 Stationary fuel")</f>
        <v>8.2.1.1-2 Stationary fuel</v>
      </c>
      <c r="D12" s="22" t="str" cm="1">
        <f t="array" ref="D12">Common_InputFunctions.Utility_DisplayArrayInTable(Fuel_SourceData.Fuel_Scope1Scope3EmissionFactorsTransport_Data(), Table_Fuel_EFs_Transport[[#Headers],[Transport type]], 0)</f>
        <v>Cars and light commercial vehicles</v>
      </c>
      <c r="E12" s="22" t="str" cm="1">
        <f t="array" ref="E12">Common_InputFunctions.Utility_DisplayArrayInTable(Fuel_SourceData.Fuel_Scope1Scope3EmissionFactorsTransport_Data(), Table_Fuel_EFs_Transport[[#Headers],[Transport type]], 0)</f>
        <v>Liquefied petroleum gas (LPG)</v>
      </c>
      <c r="F12" s="22" cm="1">
        <f t="array" ref="F12">Common_InputFunctions.Utility_DisplayArrayInTable(Fuel_SourceData.Fuel_Scope1Scope3EmissionFactorsTransport_Data(), Table_Fuel_EFs_Transport[[#Headers],[Transport type]], 0)</f>
        <v>26.2</v>
      </c>
      <c r="G12" s="22" t="str" cm="1">
        <f t="array" ref="G12">Common_InputFunctions.Utility_DisplayArrayInTable(Fuel_SourceData.Fuel_Scope1Scope3EmissionFactorsTransport_Data(), Table_Fuel_EFs_Transport[[#Headers],[Transport type]], 0)</f>
        <v>kl</v>
      </c>
      <c r="H12" s="22" cm="1">
        <f t="array" ref="H12">Common_InputFunctions.Utility_DisplayArrayInTable(Fuel_SourceData.Fuel_Scope1Scope3EmissionFactorsTransport_Data(), Table_Fuel_EFs_Transport[[#Headers],[Transport type]], 0)</f>
        <v>60.2</v>
      </c>
      <c r="I12" s="22" cm="1">
        <f t="array" ref="I12">Common_InputFunctions.Utility_DisplayArrayInTable(Fuel_SourceData.Fuel_Scope1Scope3EmissionFactorsTransport_Data(), Table_Fuel_EFs_Transport[[#Headers],[Transport type]], 0)</f>
        <v>0.5</v>
      </c>
      <c r="J12" s="22" cm="1">
        <f t="array" ref="J12">Common_InputFunctions.Utility_DisplayArrayInTable(Fuel_SourceData.Fuel_Scope1Scope3EmissionFactorsTransport_Data(), Table_Fuel_EFs_Transport[[#Headers],[Transport type]], 0)</f>
        <v>0.3</v>
      </c>
      <c r="K12" s="22" cm="1">
        <f t="array" ref="K12">Common_InputFunctions.Utility_DisplayArrayInTable(Fuel_SourceData.Fuel_Scope1Scope3EmissionFactorsTransport_Data(), Table_Fuel_EFs_Transport[[#Headers],[Transport type]], 0)</f>
        <v>61</v>
      </c>
      <c r="L12" s="22" cm="1">
        <f t="array" ref="L12">Common_InputFunctions.Utility_DisplayArrayInTable(Fuel_SourceData.Fuel_Scope1Scope3EmissionFactorsTransport_Data(), Table_Fuel_EFs_Transport[[#Headers],[Transport type]], 0)</f>
        <v>20.2</v>
      </c>
    </row>
    <row r="13" spans="1:35" ht="20.100000000000001" customHeight="1" x14ac:dyDescent="0.25">
      <c r="A13" s="16" t="str">
        <f>HYPERLINK("#'8.X.1.1-2 General use fuel'!A1", "8.X.1.1-2 General use fuel")</f>
        <v>8.X.1.1-2 General use fuel</v>
      </c>
      <c r="D13" s="22" t="str" cm="1">
        <f t="array" ref="D13">Common_InputFunctions.Utility_DisplayArrayInTable(Fuel_SourceData.Fuel_Scope1Scope3EmissionFactorsTransport_Data(), Table_Fuel_EFs_Transport[[#Headers],[Transport type]], 0)</f>
        <v>Cars and light commercial vehicles</v>
      </c>
      <c r="E13" s="22" t="str" cm="1">
        <f t="array" ref="E13">Common_InputFunctions.Utility_DisplayArrayInTable(Fuel_SourceData.Fuel_Scope1Scope3EmissionFactorsTransport_Data(), Table_Fuel_EFs_Transport[[#Headers],[Transport type]], 0)</f>
        <v>Fuel oil</v>
      </c>
      <c r="F13" s="22" cm="1">
        <f t="array" ref="F13">Common_InputFunctions.Utility_DisplayArrayInTable(Fuel_SourceData.Fuel_Scope1Scope3EmissionFactorsTransport_Data(), Table_Fuel_EFs_Transport[[#Headers],[Transport type]], 0)</f>
        <v>39.700000000000003</v>
      </c>
      <c r="G13" s="22" t="str" cm="1">
        <f t="array" ref="G13">Common_InputFunctions.Utility_DisplayArrayInTable(Fuel_SourceData.Fuel_Scope1Scope3EmissionFactorsTransport_Data(), Table_Fuel_EFs_Transport[[#Headers],[Transport type]], 0)</f>
        <v>kl</v>
      </c>
      <c r="H13" s="22" cm="1">
        <f t="array" ref="H13">Common_InputFunctions.Utility_DisplayArrayInTable(Fuel_SourceData.Fuel_Scope1Scope3EmissionFactorsTransport_Data(), Table_Fuel_EFs_Transport[[#Headers],[Transport type]], 0)</f>
        <v>73.599999999999994</v>
      </c>
      <c r="I13" s="22" cm="1">
        <f t="array" ref="I13">Common_InputFunctions.Utility_DisplayArrayInTable(Fuel_SourceData.Fuel_Scope1Scope3EmissionFactorsTransport_Data(), Table_Fuel_EFs_Transport[[#Headers],[Transport type]], 0)</f>
        <v>0.08</v>
      </c>
      <c r="J13" s="22" cm="1">
        <f t="array" ref="J13">Common_InputFunctions.Utility_DisplayArrayInTable(Fuel_SourceData.Fuel_Scope1Scope3EmissionFactorsTransport_Data(), Table_Fuel_EFs_Transport[[#Headers],[Transport type]], 0)</f>
        <v>0.5</v>
      </c>
      <c r="K13" s="22" cm="1">
        <f t="array" ref="K13">Common_InputFunctions.Utility_DisplayArrayInTable(Fuel_SourceData.Fuel_Scope1Scope3EmissionFactorsTransport_Data(), Table_Fuel_EFs_Transport[[#Headers],[Transport type]], 0)</f>
        <v>74.180000000000007</v>
      </c>
      <c r="L13" s="22" cm="1">
        <f t="array" ref="L13">Common_InputFunctions.Utility_DisplayArrayInTable(Fuel_SourceData.Fuel_Scope1Scope3EmissionFactorsTransport_Data(), Table_Fuel_EFs_Transport[[#Headers],[Transport type]], 0)</f>
        <v>18</v>
      </c>
    </row>
    <row r="14" spans="1:35" ht="20.100000000000001" customHeight="1" x14ac:dyDescent="0.25">
      <c r="A14" s="16"/>
      <c r="D14" s="22" t="str" cm="1">
        <f t="array" ref="D14">Common_InputFunctions.Utility_DisplayArrayInTable(Fuel_SourceData.Fuel_Scope1Scope3EmissionFactorsTransport_Data(), Table_Fuel_EFs_Transport[[#Headers],[Transport type]], 0)</f>
        <v>Cars and light commercial vehicles</v>
      </c>
      <c r="E14" s="22" t="str" cm="1">
        <f t="array" ref="E14">Common_InputFunctions.Utility_DisplayArrayInTable(Fuel_SourceData.Fuel_Scope1Scope3EmissionFactorsTransport_Data(), Table_Fuel_EFs_Transport[[#Headers],[Transport type]], 0)</f>
        <v>Ethanol</v>
      </c>
      <c r="F14" s="22" cm="1">
        <f t="array" ref="F14">Common_InputFunctions.Utility_DisplayArrayInTable(Fuel_SourceData.Fuel_Scope1Scope3EmissionFactorsTransport_Data(), Table_Fuel_EFs_Transport[[#Headers],[Transport type]], 0)</f>
        <v>23.4</v>
      </c>
      <c r="G14" s="22" t="str" cm="1">
        <f t="array" ref="G14">Common_InputFunctions.Utility_DisplayArrayInTable(Fuel_SourceData.Fuel_Scope1Scope3EmissionFactorsTransport_Data(), Table_Fuel_EFs_Transport[[#Headers],[Transport type]], 0)</f>
        <v>kl</v>
      </c>
      <c r="H14" s="22" cm="1">
        <f t="array" ref="H14">Common_InputFunctions.Utility_DisplayArrayInTable(Fuel_SourceData.Fuel_Scope1Scope3EmissionFactorsTransport_Data(), Table_Fuel_EFs_Transport[[#Headers],[Transport type]], 0)</f>
        <v>0</v>
      </c>
      <c r="I14" s="22" cm="1">
        <f t="array" ref="I14">Common_InputFunctions.Utility_DisplayArrayInTable(Fuel_SourceData.Fuel_Scope1Scope3EmissionFactorsTransport_Data(), Table_Fuel_EFs_Transport[[#Headers],[Transport type]], 0)</f>
        <v>0.2</v>
      </c>
      <c r="J14" s="22" cm="1">
        <f t="array" ref="J14">Common_InputFunctions.Utility_DisplayArrayInTable(Fuel_SourceData.Fuel_Scope1Scope3EmissionFactorsTransport_Data(), Table_Fuel_EFs_Transport[[#Headers],[Transport type]], 0)</f>
        <v>0.2</v>
      </c>
      <c r="K14" s="22" cm="1">
        <f t="array" ref="K14">Common_InputFunctions.Utility_DisplayArrayInTable(Fuel_SourceData.Fuel_Scope1Scope3EmissionFactorsTransport_Data(), Table_Fuel_EFs_Transport[[#Headers],[Transport type]], 0)</f>
        <v>0.4</v>
      </c>
      <c r="L14" s="22" t="str" cm="1">
        <f t="array" ref="L14">Common_InputFunctions.Utility_DisplayArrayInTable(Fuel_SourceData.Fuel_Scope1Scope3EmissionFactorsTransport_Data(), Table_Fuel_EFs_Transport[[#Headers],[Transport type]], 0)</f>
        <v>NE</v>
      </c>
    </row>
    <row r="15" spans="1:35" ht="20.100000000000001" customHeight="1" x14ac:dyDescent="0.25">
      <c r="A15" s="23" t="s">
        <v>78</v>
      </c>
      <c r="D15" s="22" t="str" cm="1">
        <f t="array" ref="D15">Common_InputFunctions.Utility_DisplayArrayInTable(Fuel_SourceData.Fuel_Scope1Scope3EmissionFactorsTransport_Data(), Table_Fuel_EFs_Transport[[#Headers],[Transport type]], 0)</f>
        <v>Cars and light commercial vehicles</v>
      </c>
      <c r="E15" s="22" t="str" cm="1">
        <f t="array" ref="E15">Common_InputFunctions.Utility_DisplayArrayInTable(Fuel_SourceData.Fuel_Scope1Scope3EmissionFactorsTransport_Data(), Table_Fuel_EFs_Transport[[#Headers],[Transport type]], 0)</f>
        <v>Biodiesel</v>
      </c>
      <c r="F15" s="22" cm="1">
        <f t="array" ref="F15">Common_InputFunctions.Utility_DisplayArrayInTable(Fuel_SourceData.Fuel_Scope1Scope3EmissionFactorsTransport_Data(), Table_Fuel_EFs_Transport[[#Headers],[Transport type]], 0)</f>
        <v>34.6</v>
      </c>
      <c r="G15" s="22" t="str" cm="1">
        <f t="array" ref="G15">Common_InputFunctions.Utility_DisplayArrayInTable(Fuel_SourceData.Fuel_Scope1Scope3EmissionFactorsTransport_Data(), Table_Fuel_EFs_Transport[[#Headers],[Transport type]], 0)</f>
        <v>kl</v>
      </c>
      <c r="H15" s="22" cm="1">
        <f t="array" ref="H15">Common_InputFunctions.Utility_DisplayArrayInTable(Fuel_SourceData.Fuel_Scope1Scope3EmissionFactorsTransport_Data(), Table_Fuel_EFs_Transport[[#Headers],[Transport type]], 0)</f>
        <v>0</v>
      </c>
      <c r="I15" s="22" cm="1">
        <f t="array" ref="I15">Common_InputFunctions.Utility_DisplayArrayInTable(Fuel_SourceData.Fuel_Scope1Scope3EmissionFactorsTransport_Data(), Table_Fuel_EFs_Transport[[#Headers],[Transport type]], 0)</f>
        <v>0.8</v>
      </c>
      <c r="J15" s="22" cm="1">
        <f t="array" ref="J15">Common_InputFunctions.Utility_DisplayArrayInTable(Fuel_SourceData.Fuel_Scope1Scope3EmissionFactorsTransport_Data(), Table_Fuel_EFs_Transport[[#Headers],[Transport type]], 0)</f>
        <v>1.7</v>
      </c>
      <c r="K15" s="22" cm="1">
        <f t="array" ref="K15">Common_InputFunctions.Utility_DisplayArrayInTable(Fuel_SourceData.Fuel_Scope1Scope3EmissionFactorsTransport_Data(), Table_Fuel_EFs_Transport[[#Headers],[Transport type]], 0)</f>
        <v>2.5</v>
      </c>
      <c r="L15" s="22"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HYPERLINK("#'Constants - Fuel'!A1", "Constants - Fuel")</f>
        <v>Constants - Fuel</v>
      </c>
      <c r="D16" s="22" t="str" cm="1">
        <f t="array" ref="D16">Common_InputFunctions.Utility_DisplayArrayInTable(Fuel_SourceData.Fuel_Scope1Scope3EmissionFactorsTransport_Data(), Table_Fuel_EFs_Transport[[#Headers],[Transport type]], 0)</f>
        <v>Cars and light commercial vehicles</v>
      </c>
      <c r="E16" s="22" t="str" cm="1">
        <f t="array" ref="E16">Common_InputFunctions.Utility_DisplayArrayInTable(Fuel_SourceData.Fuel_Scope1Scope3EmissionFactorsTransport_Data(), Table_Fuel_EFs_Transport[[#Headers],[Transport type]], 0)</f>
        <v>Renewable diesel</v>
      </c>
      <c r="F16" s="22" cm="1">
        <f t="array" ref="F16">Common_InputFunctions.Utility_DisplayArrayInTable(Fuel_SourceData.Fuel_Scope1Scope3EmissionFactorsTransport_Data(), Table_Fuel_EFs_Transport[[#Headers],[Transport type]], 0)</f>
        <v>38.6</v>
      </c>
      <c r="G16" s="22" t="str" cm="1">
        <f t="array" ref="G16">Common_InputFunctions.Utility_DisplayArrayInTable(Fuel_SourceData.Fuel_Scope1Scope3EmissionFactorsTransport_Data(), Table_Fuel_EFs_Transport[[#Headers],[Transport type]], 0)</f>
        <v>kl</v>
      </c>
      <c r="H16" s="22" cm="1">
        <f t="array" ref="H16">Common_InputFunctions.Utility_DisplayArrayInTable(Fuel_SourceData.Fuel_Scope1Scope3EmissionFactorsTransport_Data(), Table_Fuel_EFs_Transport[[#Headers],[Transport type]], 0)</f>
        <v>0</v>
      </c>
      <c r="I16" s="22" cm="1">
        <f t="array" ref="I16">Common_InputFunctions.Utility_DisplayArrayInTable(Fuel_SourceData.Fuel_Scope1Scope3EmissionFactorsTransport_Data(), Table_Fuel_EFs_Transport[[#Headers],[Transport type]], 0)</f>
        <v>0.01</v>
      </c>
      <c r="J16" s="22" cm="1">
        <f t="array" ref="J16">Common_InputFunctions.Utility_DisplayArrayInTable(Fuel_SourceData.Fuel_Scope1Scope3EmissionFactorsTransport_Data(), Table_Fuel_EFs_Transport[[#Headers],[Transport type]], 0)</f>
        <v>0.5</v>
      </c>
      <c r="K16" s="22" cm="1">
        <f t="array" ref="K16">Common_InputFunctions.Utility_DisplayArrayInTable(Fuel_SourceData.Fuel_Scope1Scope3EmissionFactorsTransport_Data(), Table_Fuel_EFs_Transport[[#Headers],[Transport type]], 0)</f>
        <v>0.51</v>
      </c>
      <c r="L16" s="22" t="str" cm="1">
        <f t="array" ref="L16">Common_InputFunctions.Utility_DisplayArrayInTable(Fuel_SourceData.Fuel_Scope1Scope3EmissionFactorsTransport_Data(), Table_Fuel_EFs_Transport[[#Headers],[Transport type]], 0)</f>
        <v>NE</v>
      </c>
    </row>
    <row r="17" spans="1:12" ht="20.100000000000001" customHeight="1" x14ac:dyDescent="0.25">
      <c r="A17" s="16" t="str">
        <f>HYPERLINK("#'Constants - Common'!A1", "Constants - Common")</f>
        <v>Constants - Common</v>
      </c>
      <c r="D17" s="22" t="str" cm="1">
        <f t="array" ref="D17">Common_InputFunctions.Utility_DisplayArrayInTable(Fuel_SourceData.Fuel_Scope1Scope3EmissionFactorsTransport_Data(), Table_Fuel_EFs_Transport[[#Headers],[Transport type]], 0)</f>
        <v>Cars and light commercial vehicles</v>
      </c>
      <c r="E17" s="22" t="str" cm="1">
        <f t="array" ref="E17">Common_InputFunctions.Utility_DisplayArrayInTable(Fuel_SourceData.Fuel_Scope1Scope3EmissionFactorsTransport_Data(), Table_Fuel_EFs_Transport[[#Headers],[Transport type]], 0)</f>
        <v>Other biofuels</v>
      </c>
      <c r="F17" s="22" cm="1">
        <f t="array" ref="F17">Common_InputFunctions.Utility_DisplayArrayInTable(Fuel_SourceData.Fuel_Scope1Scope3EmissionFactorsTransport_Data(), Table_Fuel_EFs_Transport[[#Headers],[Transport type]], 0)</f>
        <v>23.4</v>
      </c>
      <c r="G17" s="22" t="str" cm="1">
        <f t="array" ref="G17">Common_InputFunctions.Utility_DisplayArrayInTable(Fuel_SourceData.Fuel_Scope1Scope3EmissionFactorsTransport_Data(), Table_Fuel_EFs_Transport[[#Headers],[Transport type]], 0)</f>
        <v>kl</v>
      </c>
      <c r="H17" s="22" cm="1">
        <f t="array" ref="H17">Common_InputFunctions.Utility_DisplayArrayInTable(Fuel_SourceData.Fuel_Scope1Scope3EmissionFactorsTransport_Data(), Table_Fuel_EFs_Transport[[#Headers],[Transport type]], 0)</f>
        <v>0</v>
      </c>
      <c r="I17" s="22" cm="1">
        <f t="array" ref="I17">Common_InputFunctions.Utility_DisplayArrayInTable(Fuel_SourceData.Fuel_Scope1Scope3EmissionFactorsTransport_Data(), Table_Fuel_EFs_Transport[[#Headers],[Transport type]], 0)</f>
        <v>0.8</v>
      </c>
      <c r="J17" s="22" cm="1">
        <f t="array" ref="J17">Common_InputFunctions.Utility_DisplayArrayInTable(Fuel_SourceData.Fuel_Scope1Scope3EmissionFactorsTransport_Data(), Table_Fuel_EFs_Transport[[#Headers],[Transport type]], 0)</f>
        <v>1.7</v>
      </c>
      <c r="K17" s="22" cm="1">
        <f t="array" ref="K17">Common_InputFunctions.Utility_DisplayArrayInTable(Fuel_SourceData.Fuel_Scope1Scope3EmissionFactorsTransport_Data(), Table_Fuel_EFs_Transport[[#Headers],[Transport type]], 0)</f>
        <v>2.5</v>
      </c>
      <c r="L17" s="22" t="str" cm="1">
        <f t="array" ref="L17">Common_InputFunctions.Utility_DisplayArrayInTable(Fuel_SourceData.Fuel_Scope1Scope3EmissionFactorsTransport_Data(), Table_Fuel_EFs_Transport[[#Headers],[Transport type]], 0)</f>
        <v>NE</v>
      </c>
    </row>
    <row r="18" spans="1:12" ht="20.100000000000001" customHeight="1" x14ac:dyDescent="0.25">
      <c r="D18" s="22" t="str" cm="1">
        <f t="array" ref="D18">Common_InputFunctions.Utility_DisplayArrayInTable(Fuel_SourceData.Fuel_Scope1Scope3EmissionFactorsTransport_Data(), Table_Fuel_EFs_Transport[[#Headers],[Transport type]], 0)</f>
        <v>Light duty vehicles</v>
      </c>
      <c r="E18" s="22" t="str" cm="1">
        <f t="array" ref="E18">Common_InputFunctions.Utility_DisplayArrayInTable(Fuel_SourceData.Fuel_Scope1Scope3EmissionFactorsTransport_Data(), Table_Fuel_EFs_Transport[[#Headers],[Transport type]], 0)</f>
        <v>Compressed natural gas</v>
      </c>
      <c r="F18" s="22" cm="1">
        <f t="array" ref="F18">Common_InputFunctions.Utility_DisplayArrayInTable(Fuel_SourceData.Fuel_Scope1Scope3EmissionFactorsTransport_Data(), Table_Fuel_EFs_Transport[[#Headers],[Transport type]], 0)</f>
        <v>3.9300000000000002E-2</v>
      </c>
      <c r="G18" s="22" t="str" cm="1">
        <f t="array" ref="G18">Common_InputFunctions.Utility_DisplayArrayInTable(Fuel_SourceData.Fuel_Scope1Scope3EmissionFactorsTransport_Data(), Table_Fuel_EFs_Transport[[#Headers],[Transport type]], 0)</f>
        <v>m3</v>
      </c>
      <c r="H18" s="22" cm="1">
        <f t="array" ref="H18">Common_InputFunctions.Utility_DisplayArrayInTable(Fuel_SourceData.Fuel_Scope1Scope3EmissionFactorsTransport_Data(), Table_Fuel_EFs_Transport[[#Headers],[Transport type]], 0)</f>
        <v>51.4</v>
      </c>
      <c r="I18" s="22" cm="1">
        <f t="array" ref="I18">Common_InputFunctions.Utility_DisplayArrayInTable(Fuel_SourceData.Fuel_Scope1Scope3EmissionFactorsTransport_Data(), Table_Fuel_EFs_Transport[[#Headers],[Transport type]], 0)</f>
        <v>7.3</v>
      </c>
      <c r="J18" s="22" cm="1">
        <f t="array" ref="J18">Common_InputFunctions.Utility_DisplayArrayInTable(Fuel_SourceData.Fuel_Scope1Scope3EmissionFactorsTransport_Data(), Table_Fuel_EFs_Transport[[#Headers],[Transport type]], 0)</f>
        <v>0.3</v>
      </c>
      <c r="K18" s="22" cm="1">
        <f t="array" ref="K18">Common_InputFunctions.Utility_DisplayArrayInTable(Fuel_SourceData.Fuel_Scope1Scope3EmissionFactorsTransport_Data(), Table_Fuel_EFs_Transport[[#Headers],[Transport type]], 0)</f>
        <v>59</v>
      </c>
      <c r="L18" s="22" cm="1">
        <f t="array" ref="L18">Common_InputFunctions.Utility_DisplayArrayInTable(Fuel_SourceData.Fuel_Scope1Scope3EmissionFactorsTransport_Data(), Table_Fuel_EFs_Transport[[#Headers],[Transport type]], 0)</f>
        <v>18</v>
      </c>
    </row>
    <row r="19" spans="1:12" ht="20.100000000000001" customHeight="1" x14ac:dyDescent="0.25">
      <c r="D19" s="22" t="str" cm="1">
        <f t="array" ref="D19">Common_InputFunctions.Utility_DisplayArrayInTable(Fuel_SourceData.Fuel_Scope1Scope3EmissionFactorsTransport_Data(), Table_Fuel_EFs_Transport[[#Headers],[Transport type]], 0)</f>
        <v>Light duty vehicles</v>
      </c>
      <c r="E19" s="22" t="str" cm="1">
        <f t="array" ref="E19">Common_InputFunctions.Utility_DisplayArrayInTable(Fuel_SourceData.Fuel_Scope1Scope3EmissionFactorsTransport_Data(), Table_Fuel_EFs_Transport[[#Headers],[Transport type]], 0)</f>
        <v>Liquefied natural gas</v>
      </c>
      <c r="F19" s="22" cm="1">
        <f t="array" ref="F19">Common_InputFunctions.Utility_DisplayArrayInTable(Fuel_SourceData.Fuel_Scope1Scope3EmissionFactorsTransport_Data(), Table_Fuel_EFs_Transport[[#Headers],[Transport type]], 0)</f>
        <v>25.3</v>
      </c>
      <c r="G19" s="22" t="str" cm="1">
        <f t="array" ref="G19">Common_InputFunctions.Utility_DisplayArrayInTable(Fuel_SourceData.Fuel_Scope1Scope3EmissionFactorsTransport_Data(), Table_Fuel_EFs_Transport[[#Headers],[Transport type]], 0)</f>
        <v>kl</v>
      </c>
      <c r="H19" s="22" cm="1">
        <f t="array" ref="H19">Common_InputFunctions.Utility_DisplayArrayInTable(Fuel_SourceData.Fuel_Scope1Scope3EmissionFactorsTransport_Data(), Table_Fuel_EFs_Transport[[#Headers],[Transport type]], 0)</f>
        <v>51.4</v>
      </c>
      <c r="I19" s="22" cm="1">
        <f t="array" ref="I19">Common_InputFunctions.Utility_DisplayArrayInTable(Fuel_SourceData.Fuel_Scope1Scope3EmissionFactorsTransport_Data(), Table_Fuel_EFs_Transport[[#Headers],[Transport type]], 0)</f>
        <v>7.3</v>
      </c>
      <c r="J19" s="22" cm="1">
        <f t="array" ref="J19">Common_InputFunctions.Utility_DisplayArrayInTable(Fuel_SourceData.Fuel_Scope1Scope3EmissionFactorsTransport_Data(), Table_Fuel_EFs_Transport[[#Headers],[Transport type]], 0)</f>
        <v>0.3</v>
      </c>
      <c r="K19" s="22" cm="1">
        <f t="array" ref="K19">Common_InputFunctions.Utility_DisplayArrayInTable(Fuel_SourceData.Fuel_Scope1Scope3EmissionFactorsTransport_Data(), Table_Fuel_EFs_Transport[[#Headers],[Transport type]], 0)</f>
        <v>59</v>
      </c>
      <c r="L19" s="22" cm="1">
        <f t="array" ref="L19">Common_InputFunctions.Utility_DisplayArrayInTable(Fuel_SourceData.Fuel_Scope1Scope3EmissionFactorsTransport_Data(), Table_Fuel_EFs_Transport[[#Headers],[Transport type]], 0)</f>
        <v>18</v>
      </c>
    </row>
    <row r="20" spans="1:12" ht="20.100000000000001" customHeight="1" x14ac:dyDescent="0.25">
      <c r="A20" s="16"/>
      <c r="D20" s="22" t="str" cm="1">
        <f t="array" ref="D20">Common_InputFunctions.Utility_DisplayArrayInTable(Fuel_SourceData.Fuel_Scope1Scope3EmissionFactorsTransport_Data(), Table_Fuel_EFs_Transport[[#Headers],[Transport type]], 0)</f>
        <v>Heavy duty vehicles</v>
      </c>
      <c r="E20" s="22" t="str" cm="1">
        <f t="array" ref="E20">Common_InputFunctions.Utility_DisplayArrayInTable(Fuel_SourceData.Fuel_Scope1Scope3EmissionFactorsTransport_Data(), Table_Fuel_EFs_Transport[[#Headers],[Transport type]], 0)</f>
        <v>Compressed natural gas</v>
      </c>
      <c r="F20" s="22" cm="1">
        <f t="array" ref="F20">Common_InputFunctions.Utility_DisplayArrayInTable(Fuel_SourceData.Fuel_Scope1Scope3EmissionFactorsTransport_Data(), Table_Fuel_EFs_Transport[[#Headers],[Transport type]], 0)</f>
        <v>3.9300000000000002E-2</v>
      </c>
      <c r="G20" s="22" t="str" cm="1">
        <f t="array" ref="G20">Common_InputFunctions.Utility_DisplayArrayInTable(Fuel_SourceData.Fuel_Scope1Scope3EmissionFactorsTransport_Data(), Table_Fuel_EFs_Transport[[#Headers],[Transport type]], 0)</f>
        <v>m3</v>
      </c>
      <c r="H20" s="22" cm="1">
        <f t="array" ref="H20">Common_InputFunctions.Utility_DisplayArrayInTable(Fuel_SourceData.Fuel_Scope1Scope3EmissionFactorsTransport_Data(), Table_Fuel_EFs_Transport[[#Headers],[Transport type]], 0)</f>
        <v>51.4</v>
      </c>
      <c r="I20" s="22" cm="1">
        <f t="array" ref="I20">Common_InputFunctions.Utility_DisplayArrayInTable(Fuel_SourceData.Fuel_Scope1Scope3EmissionFactorsTransport_Data(), Table_Fuel_EFs_Transport[[#Headers],[Transport type]], 0)</f>
        <v>2.8</v>
      </c>
      <c r="J20" s="22" cm="1">
        <f t="array" ref="J20">Common_InputFunctions.Utility_DisplayArrayInTable(Fuel_SourceData.Fuel_Scope1Scope3EmissionFactorsTransport_Data(), Table_Fuel_EFs_Transport[[#Headers],[Transport type]], 0)</f>
        <v>0.3</v>
      </c>
      <c r="K20" s="22" cm="1">
        <f t="array" ref="K20">Common_InputFunctions.Utility_DisplayArrayInTable(Fuel_SourceData.Fuel_Scope1Scope3EmissionFactorsTransport_Data(), Table_Fuel_EFs_Transport[[#Headers],[Transport type]], 0)</f>
        <v>54.5</v>
      </c>
      <c r="L20" s="22" cm="1">
        <f t="array" ref="L20">Common_InputFunctions.Utility_DisplayArrayInTable(Fuel_SourceData.Fuel_Scope1Scope3EmissionFactorsTransport_Data(), Table_Fuel_EFs_Transport[[#Headers],[Transport type]], 0)</f>
        <v>18</v>
      </c>
    </row>
    <row r="21" spans="1:12" ht="20.100000000000001" customHeight="1" x14ac:dyDescent="0.25">
      <c r="A21" s="16"/>
      <c r="D21" s="22" t="str" cm="1">
        <f t="array" ref="D21">Common_InputFunctions.Utility_DisplayArrayInTable(Fuel_SourceData.Fuel_Scope1Scope3EmissionFactorsTransport_Data(), Table_Fuel_EFs_Transport[[#Headers],[Transport type]], 0)</f>
        <v>Heavy duty vehicles</v>
      </c>
      <c r="E21" s="22" t="str" cm="1">
        <f t="array" ref="E21">Common_InputFunctions.Utility_DisplayArrayInTable(Fuel_SourceData.Fuel_Scope1Scope3EmissionFactorsTransport_Data(), Table_Fuel_EFs_Transport[[#Headers],[Transport type]], 0)</f>
        <v>Liquefied natural gas</v>
      </c>
      <c r="F21" s="22" cm="1">
        <f t="array" ref="F21">Common_InputFunctions.Utility_DisplayArrayInTable(Fuel_SourceData.Fuel_Scope1Scope3EmissionFactorsTransport_Data(), Table_Fuel_EFs_Transport[[#Headers],[Transport type]], 0)</f>
        <v>25.3</v>
      </c>
      <c r="G21" s="22" t="str" cm="1">
        <f t="array" ref="G21">Common_InputFunctions.Utility_DisplayArrayInTable(Fuel_SourceData.Fuel_Scope1Scope3EmissionFactorsTransport_Data(), Table_Fuel_EFs_Transport[[#Headers],[Transport type]], 0)</f>
        <v>kl</v>
      </c>
      <c r="H21" s="22" cm="1">
        <f t="array" ref="H21">Common_InputFunctions.Utility_DisplayArrayInTable(Fuel_SourceData.Fuel_Scope1Scope3EmissionFactorsTransport_Data(), Table_Fuel_EFs_Transport[[#Headers],[Transport type]], 0)</f>
        <v>51.4</v>
      </c>
      <c r="I21" s="22" cm="1">
        <f t="array" ref="I21">Common_InputFunctions.Utility_DisplayArrayInTable(Fuel_SourceData.Fuel_Scope1Scope3EmissionFactorsTransport_Data(), Table_Fuel_EFs_Transport[[#Headers],[Transport type]], 0)</f>
        <v>2.8</v>
      </c>
      <c r="J21" s="22" cm="1">
        <f t="array" ref="J21">Common_InputFunctions.Utility_DisplayArrayInTable(Fuel_SourceData.Fuel_Scope1Scope3EmissionFactorsTransport_Data(), Table_Fuel_EFs_Transport[[#Headers],[Transport type]], 0)</f>
        <v>0.3</v>
      </c>
      <c r="K21" s="22" cm="1">
        <f t="array" ref="K21">Common_InputFunctions.Utility_DisplayArrayInTable(Fuel_SourceData.Fuel_Scope1Scope3EmissionFactorsTransport_Data(), Table_Fuel_EFs_Transport[[#Headers],[Transport type]], 0)</f>
        <v>54.5</v>
      </c>
      <c r="L21" s="22" cm="1">
        <f t="array" ref="L21">Common_InputFunctions.Utility_DisplayArrayInTable(Fuel_SourceData.Fuel_Scope1Scope3EmissionFactorsTransport_Data(), Table_Fuel_EFs_Transport[[#Headers],[Transport type]], 0)</f>
        <v>18</v>
      </c>
    </row>
    <row r="22" spans="1:12" ht="20.100000000000001" customHeight="1" x14ac:dyDescent="0.25">
      <c r="D22" s="22" t="str" cm="1">
        <f t="array" ref="D22">Common_InputFunctions.Utility_DisplayArrayInTable(Fuel_SourceData.Fuel_Scope1Scope3EmissionFactorsTransport_Data(), Table_Fuel_EFs_Transport[[#Headers],[Transport type]], 0)</f>
        <v>Heavy duty vehicles</v>
      </c>
      <c r="E22" s="22" t="str" cm="1">
        <f t="array" ref="E22">Common_InputFunctions.Utility_DisplayArrayInTable(Fuel_SourceData.Fuel_Scope1Scope3EmissionFactorsTransport_Data(), Table_Fuel_EFs_Transport[[#Headers],[Transport type]], 0)</f>
        <v>Diesel oil - Euro iv or higher</v>
      </c>
      <c r="F22" s="22" cm="1">
        <f t="array" ref="F22">Common_InputFunctions.Utility_DisplayArrayInTable(Fuel_SourceData.Fuel_Scope1Scope3EmissionFactorsTransport_Data(), Table_Fuel_EFs_Transport[[#Headers],[Transport type]], 0)</f>
        <v>38.6</v>
      </c>
      <c r="G22" s="22" t="str" cm="1">
        <f t="array" ref="G22">Common_InputFunctions.Utility_DisplayArrayInTable(Fuel_SourceData.Fuel_Scope1Scope3EmissionFactorsTransport_Data(), Table_Fuel_EFs_Transport[[#Headers],[Transport type]], 0)</f>
        <v>kl</v>
      </c>
      <c r="H22" s="22" cm="1">
        <f t="array" ref="H22">Common_InputFunctions.Utility_DisplayArrayInTable(Fuel_SourceData.Fuel_Scope1Scope3EmissionFactorsTransport_Data(), Table_Fuel_EFs_Transport[[#Headers],[Transport type]], 0)</f>
        <v>69.900000000000006</v>
      </c>
      <c r="I22" s="22" cm="1">
        <f t="array" ref="I22">Common_InputFunctions.Utility_DisplayArrayInTable(Fuel_SourceData.Fuel_Scope1Scope3EmissionFactorsTransport_Data(), Table_Fuel_EFs_Transport[[#Headers],[Transport type]], 0)</f>
        <v>7.0000000000000007E-2</v>
      </c>
      <c r="J22" s="22" cm="1">
        <f t="array" ref="J22">Common_InputFunctions.Utility_DisplayArrayInTable(Fuel_SourceData.Fuel_Scope1Scope3EmissionFactorsTransport_Data(), Table_Fuel_EFs_Transport[[#Headers],[Transport type]], 0)</f>
        <v>0.4</v>
      </c>
      <c r="K22" s="22" cm="1">
        <f t="array" ref="K22">Common_InputFunctions.Utility_DisplayArrayInTable(Fuel_SourceData.Fuel_Scope1Scope3EmissionFactorsTransport_Data(), Table_Fuel_EFs_Transport[[#Headers],[Transport type]], 0)</f>
        <v>70.37</v>
      </c>
      <c r="L22" s="22" cm="1">
        <f t="array" ref="L22">Common_InputFunctions.Utility_DisplayArrayInTable(Fuel_SourceData.Fuel_Scope1Scope3EmissionFactorsTransport_Data(), Table_Fuel_EFs_Transport[[#Headers],[Transport type]], 0)</f>
        <v>17.3</v>
      </c>
    </row>
    <row r="23" spans="1:12" ht="20.100000000000001" customHeight="1" x14ac:dyDescent="0.25">
      <c r="A23" s="16"/>
      <c r="D23" s="22" t="str" cm="1">
        <f t="array" ref="D23">Common_InputFunctions.Utility_DisplayArrayInTable(Fuel_SourceData.Fuel_Scope1Scope3EmissionFactorsTransport_Data(), Table_Fuel_EFs_Transport[[#Headers],[Transport type]], 0)</f>
        <v>Heavy duty vehicles</v>
      </c>
      <c r="E23" s="22" t="str" cm="1">
        <f t="array" ref="E23">Common_InputFunctions.Utility_DisplayArrayInTable(Fuel_SourceData.Fuel_Scope1Scope3EmissionFactorsTransport_Data(), Table_Fuel_EFs_Transport[[#Headers],[Transport type]], 0)</f>
        <v>Diesel oil - Euro iii</v>
      </c>
      <c r="F23" s="22" cm="1">
        <f t="array" ref="F23">Common_InputFunctions.Utility_DisplayArrayInTable(Fuel_SourceData.Fuel_Scope1Scope3EmissionFactorsTransport_Data(), Table_Fuel_EFs_Transport[[#Headers],[Transport type]], 0)</f>
        <v>38.6</v>
      </c>
      <c r="G23" s="22" t="str" cm="1">
        <f t="array" ref="G23">Common_InputFunctions.Utility_DisplayArrayInTable(Fuel_SourceData.Fuel_Scope1Scope3EmissionFactorsTransport_Data(), Table_Fuel_EFs_Transport[[#Headers],[Transport type]], 0)</f>
        <v>kl</v>
      </c>
      <c r="H23" s="22" cm="1">
        <f t="array" ref="H23">Common_InputFunctions.Utility_DisplayArrayInTable(Fuel_SourceData.Fuel_Scope1Scope3EmissionFactorsTransport_Data(), Table_Fuel_EFs_Transport[[#Headers],[Transport type]], 0)</f>
        <v>69.900000000000006</v>
      </c>
      <c r="I23" s="22" cm="1">
        <f t="array" ref="I23">Common_InputFunctions.Utility_DisplayArrayInTable(Fuel_SourceData.Fuel_Scope1Scope3EmissionFactorsTransport_Data(), Table_Fuel_EFs_Transport[[#Headers],[Transport type]], 0)</f>
        <v>0.1</v>
      </c>
      <c r="J23" s="22" cm="1">
        <f t="array" ref="J23">Common_InputFunctions.Utility_DisplayArrayInTable(Fuel_SourceData.Fuel_Scope1Scope3EmissionFactorsTransport_Data(), Table_Fuel_EFs_Transport[[#Headers],[Transport type]], 0)</f>
        <v>0.4</v>
      </c>
      <c r="K23" s="22" cm="1">
        <f t="array" ref="K23">Common_InputFunctions.Utility_DisplayArrayInTable(Fuel_SourceData.Fuel_Scope1Scope3EmissionFactorsTransport_Data(), Table_Fuel_EFs_Transport[[#Headers],[Transport type]], 0)</f>
        <v>70.400000000000006</v>
      </c>
      <c r="L23" s="22" cm="1">
        <f t="array" ref="L23">Common_InputFunctions.Utility_DisplayArrayInTable(Fuel_SourceData.Fuel_Scope1Scope3EmissionFactorsTransport_Data(), Table_Fuel_EFs_Transport[[#Headers],[Transport type]], 0)</f>
        <v>17.3</v>
      </c>
    </row>
    <row r="24" spans="1:12" ht="20.100000000000001" customHeight="1" x14ac:dyDescent="0.25">
      <c r="D24" s="22" t="str" cm="1">
        <f t="array" ref="D24">Common_InputFunctions.Utility_DisplayArrayInTable(Fuel_SourceData.Fuel_Scope1Scope3EmissionFactorsTransport_Data(), Table_Fuel_EFs_Transport[[#Headers],[Transport type]], 0)</f>
        <v>Heavy duty vehicles</v>
      </c>
      <c r="E24" s="22" t="str" cm="1">
        <f t="array" ref="E24">Common_InputFunctions.Utility_DisplayArrayInTable(Fuel_SourceData.Fuel_Scope1Scope3EmissionFactorsTransport_Data(), Table_Fuel_EFs_Transport[[#Headers],[Transport type]], 0)</f>
        <v>Diesel oil - Euro i</v>
      </c>
      <c r="F24" s="22" cm="1">
        <f t="array" ref="F24">Common_InputFunctions.Utility_DisplayArrayInTable(Fuel_SourceData.Fuel_Scope1Scope3EmissionFactorsTransport_Data(), Table_Fuel_EFs_Transport[[#Headers],[Transport type]], 0)</f>
        <v>38.6</v>
      </c>
      <c r="G24" s="22" t="str" cm="1">
        <f t="array" ref="G24">Common_InputFunctions.Utility_DisplayArrayInTable(Fuel_SourceData.Fuel_Scope1Scope3EmissionFactorsTransport_Data(), Table_Fuel_EFs_Transport[[#Headers],[Transport type]], 0)</f>
        <v>kl</v>
      </c>
      <c r="H24" s="22" cm="1">
        <f t="array" ref="H24">Common_InputFunctions.Utility_DisplayArrayInTable(Fuel_SourceData.Fuel_Scope1Scope3EmissionFactorsTransport_Data(), Table_Fuel_EFs_Transport[[#Headers],[Transport type]], 0)</f>
        <v>69.900000000000006</v>
      </c>
      <c r="I24" s="22" cm="1">
        <f t="array" ref="I24">Common_InputFunctions.Utility_DisplayArrayInTable(Fuel_SourceData.Fuel_Scope1Scope3EmissionFactorsTransport_Data(), Table_Fuel_EFs_Transport[[#Headers],[Transport type]], 0)</f>
        <v>0.2</v>
      </c>
      <c r="J24" s="22" cm="1">
        <f t="array" ref="J24">Common_InputFunctions.Utility_DisplayArrayInTable(Fuel_SourceData.Fuel_Scope1Scope3EmissionFactorsTransport_Data(), Table_Fuel_EFs_Transport[[#Headers],[Transport type]], 0)</f>
        <v>0.4</v>
      </c>
      <c r="K24" s="22" cm="1">
        <f t="array" ref="K24">Common_InputFunctions.Utility_DisplayArrayInTable(Fuel_SourceData.Fuel_Scope1Scope3EmissionFactorsTransport_Data(), Table_Fuel_EFs_Transport[[#Headers],[Transport type]], 0)</f>
        <v>70.5</v>
      </c>
      <c r="L24" s="22" cm="1">
        <f t="array" ref="L24">Common_InputFunctions.Utility_DisplayArrayInTable(Fuel_SourceData.Fuel_Scope1Scope3EmissionFactorsTransport_Data(), Table_Fuel_EFs_Transport[[#Headers],[Transport type]], 0)</f>
        <v>17.3</v>
      </c>
    </row>
    <row r="25" spans="1:12" ht="20.100000000000001" customHeight="1" x14ac:dyDescent="0.25">
      <c r="D25" s="22" t="str" cm="1">
        <f t="array" ref="D25">Common_InputFunctions.Utility_DisplayArrayInTable(Fuel_SourceData.Fuel_Scope1Scope3EmissionFactorsTransport_Data(), Table_Fuel_EFs_Transport[[#Headers],[Transport type]], 0)</f>
        <v>Heavy duty vehicles</v>
      </c>
      <c r="E25" s="22" t="str" cm="1">
        <f t="array" ref="E25">Common_InputFunctions.Utility_DisplayArrayInTable(Fuel_SourceData.Fuel_Scope1Scope3EmissionFactorsTransport_Data(), Table_Fuel_EFs_Transport[[#Headers],[Transport type]], 0)</f>
        <v>Renewable diesel – Euro iv or higher</v>
      </c>
      <c r="F25" s="22" cm="1">
        <f t="array" ref="F25">Common_InputFunctions.Utility_DisplayArrayInTable(Fuel_SourceData.Fuel_Scope1Scope3EmissionFactorsTransport_Data(), Table_Fuel_EFs_Transport[[#Headers],[Transport type]], 0)</f>
        <v>38.6</v>
      </c>
      <c r="G25" s="22" t="str" cm="1">
        <f t="array" ref="G25">Common_InputFunctions.Utility_DisplayArrayInTable(Fuel_SourceData.Fuel_Scope1Scope3EmissionFactorsTransport_Data(), Table_Fuel_EFs_Transport[[#Headers],[Transport type]], 0)</f>
        <v>kl</v>
      </c>
      <c r="H25" s="22" cm="1">
        <f t="array" ref="H25">Common_InputFunctions.Utility_DisplayArrayInTable(Fuel_SourceData.Fuel_Scope1Scope3EmissionFactorsTransport_Data(), Table_Fuel_EFs_Transport[[#Headers],[Transport type]], 0)</f>
        <v>0</v>
      </c>
      <c r="I25" s="22" cm="1">
        <f t="array" ref="I25">Common_InputFunctions.Utility_DisplayArrayInTable(Fuel_SourceData.Fuel_Scope1Scope3EmissionFactorsTransport_Data(), Table_Fuel_EFs_Transport[[#Headers],[Transport type]], 0)</f>
        <v>7.0000000000000007E-2</v>
      </c>
      <c r="J25" s="22" cm="1">
        <f t="array" ref="J25">Common_InputFunctions.Utility_DisplayArrayInTable(Fuel_SourceData.Fuel_Scope1Scope3EmissionFactorsTransport_Data(), Table_Fuel_EFs_Transport[[#Headers],[Transport type]], 0)</f>
        <v>0.4</v>
      </c>
      <c r="K25" s="22" cm="1">
        <f t="array" ref="K25">Common_InputFunctions.Utility_DisplayArrayInTable(Fuel_SourceData.Fuel_Scope1Scope3EmissionFactorsTransport_Data(), Table_Fuel_EFs_Transport[[#Headers],[Transport type]], 0)</f>
        <v>0.47</v>
      </c>
      <c r="L25" s="22" t="str" cm="1">
        <f t="array" ref="L25">Common_InputFunctions.Utility_DisplayArrayInTable(Fuel_SourceData.Fuel_Scope1Scope3EmissionFactorsTransport_Data(), Table_Fuel_EFs_Transport[[#Headers],[Transport type]], 0)</f>
        <v>NE</v>
      </c>
    </row>
    <row r="26" spans="1:12" ht="20.100000000000001" customHeight="1" x14ac:dyDescent="0.25">
      <c r="D26" s="22" t="str" cm="1">
        <f t="array" ref="D26">Common_InputFunctions.Utility_DisplayArrayInTable(Fuel_SourceData.Fuel_Scope1Scope3EmissionFactorsTransport_Data(), Table_Fuel_EFs_Transport[[#Headers],[Transport type]], 0)</f>
        <v>Heavy duty vehicles</v>
      </c>
      <c r="E26" s="22" t="str" cm="1">
        <f t="array" ref="E26">Common_InputFunctions.Utility_DisplayArrayInTable(Fuel_SourceData.Fuel_Scope1Scope3EmissionFactorsTransport_Data(), Table_Fuel_EFs_Transport[[#Headers],[Transport type]], 0)</f>
        <v>Renewable diesel – Euro iii</v>
      </c>
      <c r="F26" s="22" cm="1">
        <f t="array" ref="F26">Common_InputFunctions.Utility_DisplayArrayInTable(Fuel_SourceData.Fuel_Scope1Scope3EmissionFactorsTransport_Data(), Table_Fuel_EFs_Transport[[#Headers],[Transport type]], 0)</f>
        <v>38.6</v>
      </c>
      <c r="G26" s="22" t="str" cm="1">
        <f t="array" ref="G26">Common_InputFunctions.Utility_DisplayArrayInTable(Fuel_SourceData.Fuel_Scope1Scope3EmissionFactorsTransport_Data(), Table_Fuel_EFs_Transport[[#Headers],[Transport type]], 0)</f>
        <v>kl</v>
      </c>
      <c r="H26" s="22" cm="1">
        <f t="array" ref="H26">Common_InputFunctions.Utility_DisplayArrayInTable(Fuel_SourceData.Fuel_Scope1Scope3EmissionFactorsTransport_Data(), Table_Fuel_EFs_Transport[[#Headers],[Transport type]], 0)</f>
        <v>0</v>
      </c>
      <c r="I26" s="22" cm="1">
        <f t="array" ref="I26">Common_InputFunctions.Utility_DisplayArrayInTable(Fuel_SourceData.Fuel_Scope1Scope3EmissionFactorsTransport_Data(), Table_Fuel_EFs_Transport[[#Headers],[Transport type]], 0)</f>
        <v>0.1</v>
      </c>
      <c r="J26" s="22" cm="1">
        <f t="array" ref="J26">Common_InputFunctions.Utility_DisplayArrayInTable(Fuel_SourceData.Fuel_Scope1Scope3EmissionFactorsTransport_Data(), Table_Fuel_EFs_Transport[[#Headers],[Transport type]], 0)</f>
        <v>0.4</v>
      </c>
      <c r="K26" s="22" cm="1">
        <f t="array" ref="K26">Common_InputFunctions.Utility_DisplayArrayInTable(Fuel_SourceData.Fuel_Scope1Scope3EmissionFactorsTransport_Data(), Table_Fuel_EFs_Transport[[#Headers],[Transport type]], 0)</f>
        <v>0.5</v>
      </c>
      <c r="L26" s="22" t="str" cm="1">
        <f t="array" ref="L26">Common_InputFunctions.Utility_DisplayArrayInTable(Fuel_SourceData.Fuel_Scope1Scope3EmissionFactorsTransport_Data(), Table_Fuel_EFs_Transport[[#Headers],[Transport type]], 0)</f>
        <v>NE</v>
      </c>
    </row>
    <row r="27" spans="1:12" ht="20.100000000000001" customHeight="1" x14ac:dyDescent="0.25">
      <c r="D27" s="22" t="str" cm="1">
        <f t="array" ref="D27">Common_InputFunctions.Utility_DisplayArrayInTable(Fuel_SourceData.Fuel_Scope1Scope3EmissionFactorsTransport_Data(), Table_Fuel_EFs_Transport[[#Headers],[Transport type]], 0)</f>
        <v>Heavy duty vehicles</v>
      </c>
      <c r="E27" s="22" t="str" cm="1">
        <f t="array" ref="E27">Common_InputFunctions.Utility_DisplayArrayInTable(Fuel_SourceData.Fuel_Scope1Scope3EmissionFactorsTransport_Data(), Table_Fuel_EFs_Transport[[#Headers],[Transport type]], 0)</f>
        <v>Renewable diesel – Euro i</v>
      </c>
      <c r="F27" s="22" cm="1">
        <f t="array" ref="F27">Common_InputFunctions.Utility_DisplayArrayInTable(Fuel_SourceData.Fuel_Scope1Scope3EmissionFactorsTransport_Data(), Table_Fuel_EFs_Transport[[#Headers],[Transport type]], 0)</f>
        <v>38.6</v>
      </c>
      <c r="G27" s="22" t="str" cm="1">
        <f t="array" ref="G27">Common_InputFunctions.Utility_DisplayArrayInTable(Fuel_SourceData.Fuel_Scope1Scope3EmissionFactorsTransport_Data(), Table_Fuel_EFs_Transport[[#Headers],[Transport type]], 0)</f>
        <v>kl</v>
      </c>
      <c r="H27" s="22" cm="1">
        <f t="array" ref="H27">Common_InputFunctions.Utility_DisplayArrayInTable(Fuel_SourceData.Fuel_Scope1Scope3EmissionFactorsTransport_Data(), Table_Fuel_EFs_Transport[[#Headers],[Transport type]], 0)</f>
        <v>0</v>
      </c>
      <c r="I27" s="22" cm="1">
        <f t="array" ref="I27">Common_InputFunctions.Utility_DisplayArrayInTable(Fuel_SourceData.Fuel_Scope1Scope3EmissionFactorsTransport_Data(), Table_Fuel_EFs_Transport[[#Headers],[Transport type]], 0)</f>
        <v>0.2</v>
      </c>
      <c r="J27" s="22" cm="1">
        <f t="array" ref="J27">Common_InputFunctions.Utility_DisplayArrayInTable(Fuel_SourceData.Fuel_Scope1Scope3EmissionFactorsTransport_Data(), Table_Fuel_EFs_Transport[[#Headers],[Transport type]], 0)</f>
        <v>0.4</v>
      </c>
      <c r="K27" s="22" cm="1">
        <f t="array" ref="K27">Common_InputFunctions.Utility_DisplayArrayInTable(Fuel_SourceData.Fuel_Scope1Scope3EmissionFactorsTransport_Data(), Table_Fuel_EFs_Transport[[#Headers],[Transport type]], 0)</f>
        <v>0.6</v>
      </c>
      <c r="L27" s="22" t="str" cm="1">
        <f t="array" ref="L27">Common_InputFunctions.Utility_DisplayArrayInTable(Fuel_SourceData.Fuel_Scope1Scope3EmissionFactorsTransport_Data(), Table_Fuel_EFs_Transport[[#Headers],[Transport type]], 0)</f>
        <v>NE</v>
      </c>
    </row>
    <row r="28" spans="1:12" ht="20.100000000000001" customHeight="1" x14ac:dyDescent="0.25">
      <c r="D28" s="22" t="str" cm="1">
        <f t="array" ref="D28">Common_InputFunctions.Utility_DisplayArrayInTable(Fuel_SourceData.Fuel_Scope1Scope3EmissionFactorsTransport_Data(), Table_Fuel_EFs_Transport[[#Headers],[Transport type]], 0)</f>
        <v>Aviation</v>
      </c>
      <c r="E28" s="22" t="str" cm="1">
        <f t="array" ref="E28">Common_InputFunctions.Utility_DisplayArrayInTable(Fuel_SourceData.Fuel_Scope1Scope3EmissionFactorsTransport_Data(), Table_Fuel_EFs_Transport[[#Headers],[Transport type]], 0)</f>
        <v>Gasoline for use as fuel in an aircraft</v>
      </c>
      <c r="F28" s="22" cm="1">
        <f t="array" ref="F28">Common_InputFunctions.Utility_DisplayArrayInTable(Fuel_SourceData.Fuel_Scope1Scope3EmissionFactorsTransport_Data(), Table_Fuel_EFs_Transport[[#Headers],[Transport type]], 0)</f>
        <v>33.1</v>
      </c>
      <c r="G28" s="22" t="str" cm="1">
        <f t="array" ref="G28">Common_InputFunctions.Utility_DisplayArrayInTable(Fuel_SourceData.Fuel_Scope1Scope3EmissionFactorsTransport_Data(), Table_Fuel_EFs_Transport[[#Headers],[Transport type]], 0)</f>
        <v>kl</v>
      </c>
      <c r="H28" s="22" cm="1">
        <f t="array" ref="H28">Common_InputFunctions.Utility_DisplayArrayInTable(Fuel_SourceData.Fuel_Scope1Scope3EmissionFactorsTransport_Data(), Table_Fuel_EFs_Transport[[#Headers],[Transport type]], 0)</f>
        <v>67</v>
      </c>
      <c r="I28" s="22" cm="1">
        <f t="array" ref="I28">Common_InputFunctions.Utility_DisplayArrayInTable(Fuel_SourceData.Fuel_Scope1Scope3EmissionFactorsTransport_Data(), Table_Fuel_EFs_Transport[[#Headers],[Transport type]], 0)</f>
        <v>0.06</v>
      </c>
      <c r="J28" s="22" cm="1">
        <f t="array" ref="J28">Common_InputFunctions.Utility_DisplayArrayInTable(Fuel_SourceData.Fuel_Scope1Scope3EmissionFactorsTransport_Data(), Table_Fuel_EFs_Transport[[#Headers],[Transport type]], 0)</f>
        <v>0.6</v>
      </c>
      <c r="K28" s="22" cm="1">
        <f t="array" ref="K28">Common_InputFunctions.Utility_DisplayArrayInTable(Fuel_SourceData.Fuel_Scope1Scope3EmissionFactorsTransport_Data(), Table_Fuel_EFs_Transport[[#Headers],[Transport type]], 0)</f>
        <v>67.66</v>
      </c>
      <c r="L28" s="22" cm="1">
        <f t="array" ref="L28">Common_InputFunctions.Utility_DisplayArrayInTable(Fuel_SourceData.Fuel_Scope1Scope3EmissionFactorsTransport_Data(), Table_Fuel_EFs_Transport[[#Headers],[Transport type]], 0)</f>
        <v>18</v>
      </c>
    </row>
    <row r="29" spans="1:12" ht="20.100000000000001" customHeight="1" x14ac:dyDescent="0.25">
      <c r="D29" s="22" t="str" cm="1">
        <f t="array" ref="D29">Common_InputFunctions.Utility_DisplayArrayInTable(Fuel_SourceData.Fuel_Scope1Scope3EmissionFactorsTransport_Data(), Table_Fuel_EFs_Transport[[#Headers],[Transport type]], 0)</f>
        <v>Aviation</v>
      </c>
      <c r="E29" s="22" t="str" cm="1">
        <f t="array" ref="E29">Common_InputFunctions.Utility_DisplayArrayInTable(Fuel_SourceData.Fuel_Scope1Scope3EmissionFactorsTransport_Data(), Table_Fuel_EFs_Transport[[#Headers],[Transport type]], 0)</f>
        <v>Kerosene for use as fuel in an aircraft</v>
      </c>
      <c r="F29" s="22" cm="1">
        <f t="array" ref="F29">Common_InputFunctions.Utility_DisplayArrayInTable(Fuel_SourceData.Fuel_Scope1Scope3EmissionFactorsTransport_Data(), Table_Fuel_EFs_Transport[[#Headers],[Transport type]], 0)</f>
        <v>36.799999999999997</v>
      </c>
      <c r="G29" s="22" t="str" cm="1">
        <f t="array" ref="G29">Common_InputFunctions.Utility_DisplayArrayInTable(Fuel_SourceData.Fuel_Scope1Scope3EmissionFactorsTransport_Data(), Table_Fuel_EFs_Transport[[#Headers],[Transport type]], 0)</f>
        <v>kl</v>
      </c>
      <c r="H29" s="22" cm="1">
        <f t="array" ref="H29">Common_InputFunctions.Utility_DisplayArrayInTable(Fuel_SourceData.Fuel_Scope1Scope3EmissionFactorsTransport_Data(), Table_Fuel_EFs_Transport[[#Headers],[Transport type]], 0)</f>
        <v>69.599999999999994</v>
      </c>
      <c r="I29" s="22" cm="1">
        <f t="array" ref="I29">Common_InputFunctions.Utility_DisplayArrayInTable(Fuel_SourceData.Fuel_Scope1Scope3EmissionFactorsTransport_Data(), Table_Fuel_EFs_Transport[[#Headers],[Transport type]], 0)</f>
        <v>0.01</v>
      </c>
      <c r="J29" s="22" cm="1">
        <f t="array" ref="J29">Common_InputFunctions.Utility_DisplayArrayInTable(Fuel_SourceData.Fuel_Scope1Scope3EmissionFactorsTransport_Data(), Table_Fuel_EFs_Transport[[#Headers],[Transport type]], 0)</f>
        <v>0.6</v>
      </c>
      <c r="K29" s="22" cm="1">
        <f t="array" ref="K29">Common_InputFunctions.Utility_DisplayArrayInTable(Fuel_SourceData.Fuel_Scope1Scope3EmissionFactorsTransport_Data(), Table_Fuel_EFs_Transport[[#Headers],[Transport type]], 0)</f>
        <v>70.209999999999994</v>
      </c>
      <c r="L29" s="22" cm="1">
        <f t="array" ref="L29">Common_InputFunctions.Utility_DisplayArrayInTable(Fuel_SourceData.Fuel_Scope1Scope3EmissionFactorsTransport_Data(), Table_Fuel_EFs_Transport[[#Headers],[Transport type]], 0)</f>
        <v>18</v>
      </c>
    </row>
    <row r="30" spans="1:12" ht="20.100000000000001" customHeight="1" x14ac:dyDescent="0.25">
      <c r="D30" s="22" t="str" cm="1">
        <f t="array" ref="D30">Common_InputFunctions.Utility_DisplayArrayInTable(Fuel_SourceData.Fuel_Scope1Scope3EmissionFactorsTransport_Data(), Table_Fuel_EFs_Transport[[#Headers],[Transport type]], 0)</f>
        <v>Aviation</v>
      </c>
      <c r="E30" s="22" t="str" cm="1">
        <f t="array" ref="E30">Common_InputFunctions.Utility_DisplayArrayInTable(Fuel_SourceData.Fuel_Scope1Scope3EmissionFactorsTransport_Data(), Table_Fuel_EFs_Transport[[#Headers],[Transport type]], 0)</f>
        <v>Renewable aviation kerosene</v>
      </c>
      <c r="F30" s="22" cm="1">
        <f t="array" ref="F30">Common_InputFunctions.Utility_DisplayArrayInTable(Fuel_SourceData.Fuel_Scope1Scope3EmissionFactorsTransport_Data(), Table_Fuel_EFs_Transport[[#Headers],[Transport type]], 0)</f>
        <v>36.799999999999997</v>
      </c>
      <c r="G30" s="22" t="str" cm="1">
        <f t="array" ref="G30">Common_InputFunctions.Utility_DisplayArrayInTable(Fuel_SourceData.Fuel_Scope1Scope3EmissionFactorsTransport_Data(), Table_Fuel_EFs_Transport[[#Headers],[Transport type]], 0)</f>
        <v>kl</v>
      </c>
      <c r="H30" s="22" cm="1">
        <f t="array" ref="H30">Common_InputFunctions.Utility_DisplayArrayInTable(Fuel_SourceData.Fuel_Scope1Scope3EmissionFactorsTransport_Data(), Table_Fuel_EFs_Transport[[#Headers],[Transport type]], 0)</f>
        <v>0</v>
      </c>
      <c r="I30" s="22" cm="1">
        <f t="array" ref="I30">Common_InputFunctions.Utility_DisplayArrayInTable(Fuel_SourceData.Fuel_Scope1Scope3EmissionFactorsTransport_Data(), Table_Fuel_EFs_Transport[[#Headers],[Transport type]], 0)</f>
        <v>0.01</v>
      </c>
      <c r="J30" s="22" cm="1">
        <f t="array" ref="J30">Common_InputFunctions.Utility_DisplayArrayInTable(Fuel_SourceData.Fuel_Scope1Scope3EmissionFactorsTransport_Data(), Table_Fuel_EFs_Transport[[#Headers],[Transport type]], 0)</f>
        <v>0.6</v>
      </c>
      <c r="K30" s="22" cm="1">
        <f t="array" ref="K30">Common_InputFunctions.Utility_DisplayArrayInTable(Fuel_SourceData.Fuel_Scope1Scope3EmissionFactorsTransport_Data(), Table_Fuel_EFs_Transport[[#Headers],[Transport type]], 0)</f>
        <v>0.61</v>
      </c>
      <c r="L30" s="22" t="str" cm="1">
        <f t="array" ref="L30">Common_InputFunctions.Utility_DisplayArrayInTable(Fuel_SourceData.Fuel_Scope1Scope3EmissionFactorsTransport_Data(), Table_Fuel_EFs_Transport[[#Headers],[Transport type]], 0)</f>
        <v>NE</v>
      </c>
    </row>
    <row r="31" spans="1:12" ht="20.100000000000001" customHeight="1" x14ac:dyDescent="0.25">
      <c r="D31" s="22" t="str" cm="1">
        <f t="array" ref="D31">Common_InputFunctions.Utility_DisplayArrayInTable(Fuel_SourceData.Fuel_Scope1Scope3EmissionFactorsTransport_Data(), Table_Fuel_EFs_Transport[[#Headers],[Transport type]], 0)</f>
        <v>Vessels</v>
      </c>
      <c r="E31" s="22" t="str" cm="1">
        <f t="array" ref="E31">Common_InputFunctions.Utility_DisplayArrayInTable(Fuel_SourceData.Fuel_Scope1Scope3EmissionFactorsTransport_Data(), Table_Fuel_EFs_Transport[[#Headers],[Transport type]], 0)</f>
        <v>Gasoline</v>
      </c>
      <c r="F31" s="22" cm="1">
        <f t="array" ref="F31">Common_InputFunctions.Utility_DisplayArrayInTable(Fuel_SourceData.Fuel_Scope1Scope3EmissionFactorsTransport_Data(), Table_Fuel_EFs_Transport[[#Headers],[Transport type]], 0)</f>
        <v>34.200000000000003</v>
      </c>
      <c r="G31" s="22" t="str" cm="1">
        <f t="array" ref="G31">Common_InputFunctions.Utility_DisplayArrayInTable(Fuel_SourceData.Fuel_Scope1Scope3EmissionFactorsTransport_Data(), Table_Fuel_EFs_Transport[[#Headers],[Transport type]], 0)</f>
        <v>kL</v>
      </c>
      <c r="H31" s="22" cm="1">
        <f t="array" ref="H31">Common_InputFunctions.Utility_DisplayArrayInTable(Fuel_SourceData.Fuel_Scope1Scope3EmissionFactorsTransport_Data(), Table_Fuel_EFs_Transport[[#Headers],[Transport type]], 0)</f>
        <v>67.400000000000006</v>
      </c>
      <c r="I31" s="22" cm="1">
        <f t="array" ref="I31">Common_InputFunctions.Utility_DisplayArrayInTable(Fuel_SourceData.Fuel_Scope1Scope3EmissionFactorsTransport_Data(), Table_Fuel_EFs_Transport[[#Headers],[Transport type]], 0)</f>
        <v>10.1</v>
      </c>
      <c r="J31" s="22" cm="1">
        <f t="array" ref="J31">Common_InputFunctions.Utility_DisplayArrayInTable(Fuel_SourceData.Fuel_Scope1Scope3EmissionFactorsTransport_Data(), Table_Fuel_EFs_Transport[[#Headers],[Transport type]], 0)</f>
        <v>0.3</v>
      </c>
      <c r="K31" s="22" t="str" cm="1">
        <f t="array" ref="K31">Common_InputFunctions.Utility_DisplayArrayInTable(Fuel_SourceData.Fuel_Scope1Scope3EmissionFactorsTransport_Data(), Table_Fuel_EFs_Transport[[#Headers],[Transport type]], 0)</f>
        <v/>
      </c>
      <c r="L31" s="22" cm="1">
        <f t="array" ref="L31">Common_InputFunctions.Utility_DisplayArrayInTable(Fuel_SourceData.Fuel_Scope1Scope3EmissionFactorsTransport_Data(), Table_Fuel_EFs_Transport[[#Headers],[Transport type]], 0)</f>
        <v>17.2</v>
      </c>
    </row>
    <row r="32" spans="1:12" ht="20.100000000000001" customHeight="1" x14ac:dyDescent="0.25">
      <c r="D32" s="25" t="str" cm="1">
        <f t="array" ref="D32">Common_InputFunctions.Utility_DisplayArrayInTable(Fuel_SourceData.Fuel_Scope1Scope3EmissionFactorsTransport_Data(), Table_Fuel_EFs_Transport[[#Headers],[Transport type]], 0)</f>
        <v>Vessels</v>
      </c>
      <c r="E32" s="25" t="str" cm="1">
        <f t="array" ref="E32">Common_InputFunctions.Utility_DisplayArrayInTable(Fuel_SourceData.Fuel_Scope1Scope3EmissionFactorsTransport_Data(), Table_Fuel_EFs_Transport[[#Headers],[Transport type]], 0)</f>
        <v>Diesel oil</v>
      </c>
      <c r="F32" s="25" cm="1">
        <f t="array" ref="F32">Common_InputFunctions.Utility_DisplayArrayInTable(Fuel_SourceData.Fuel_Scope1Scope3EmissionFactorsTransport_Data(), Table_Fuel_EFs_Transport[[#Headers],[Transport type]], 0)</f>
        <v>38.6</v>
      </c>
      <c r="G32" s="25" t="str" cm="1">
        <f t="array" ref="G32">Common_InputFunctions.Utility_DisplayArrayInTable(Fuel_SourceData.Fuel_Scope1Scope3EmissionFactorsTransport_Data(), Table_Fuel_EFs_Transport[[#Headers],[Transport type]], 0)</f>
        <v>kL</v>
      </c>
      <c r="H32" s="25" cm="1">
        <f t="array" ref="H32">Common_InputFunctions.Utility_DisplayArrayInTable(Fuel_SourceData.Fuel_Scope1Scope3EmissionFactorsTransport_Data(), Table_Fuel_EFs_Transport[[#Headers],[Transport type]], 0)</f>
        <v>69.900000000000006</v>
      </c>
      <c r="I32" s="25" cm="1">
        <f t="array" ref="I32">Common_InputFunctions.Utility_DisplayArrayInTable(Fuel_SourceData.Fuel_Scope1Scope3EmissionFactorsTransport_Data(), Table_Fuel_EFs_Transport[[#Headers],[Transport type]], 0)</f>
        <v>0.2</v>
      </c>
      <c r="J32" s="25" cm="1">
        <f t="array" ref="J32">Common_InputFunctions.Utility_DisplayArrayInTable(Fuel_SourceData.Fuel_Scope1Scope3EmissionFactorsTransport_Data(), Table_Fuel_EFs_Transport[[#Headers],[Transport type]], 0)</f>
        <v>0.5</v>
      </c>
      <c r="K32" s="25" t="str" cm="1">
        <f t="array" ref="K32">Common_InputFunctions.Utility_DisplayArrayInTable(Fuel_SourceData.Fuel_Scope1Scope3EmissionFactorsTransport_Data(), Table_Fuel_EFs_Transport[[#Headers],[Transport type]], 0)</f>
        <v/>
      </c>
      <c r="L32" s="25" cm="1">
        <f t="array" ref="L32">Common_InputFunctions.Utility_DisplayArrayInTable(Fuel_SourceData.Fuel_Scope1Scope3EmissionFactorsTransport_Data(), Table_Fuel_EFs_Transport[[#Headers],[Transport type]], 0)</f>
        <v>17.3</v>
      </c>
    </row>
    <row r="33" spans="4:12" ht="20.100000000000001" customHeight="1" x14ac:dyDescent="0.25">
      <c r="D33" s="25" t="str" cm="1">
        <f t="array" ref="D33">Common_InputFunctions.Utility_DisplayArrayInTable(Fuel_SourceData.Fuel_Scope1Scope3EmissionFactorsTransport_Data(), Table_Fuel_EFs_Transport[[#Headers],[Transport type]], 0)</f>
        <v>Vessels</v>
      </c>
      <c r="E33" s="25" t="str" cm="1">
        <f t="array" ref="E33">Common_InputFunctions.Utility_DisplayArrayInTable(Fuel_SourceData.Fuel_Scope1Scope3EmissionFactorsTransport_Data(), Table_Fuel_EFs_Transport[[#Headers],[Transport type]], 0)</f>
        <v>Fuel Oil</v>
      </c>
      <c r="F33" s="25" cm="1">
        <f t="array" ref="F33">Common_InputFunctions.Utility_DisplayArrayInTable(Fuel_SourceData.Fuel_Scope1Scope3EmissionFactorsTransport_Data(), Table_Fuel_EFs_Transport[[#Headers],[Transport type]], 0)</f>
        <v>39.700000000000003</v>
      </c>
      <c r="G33" s="25" t="str" cm="1">
        <f t="array" ref="G33">Common_InputFunctions.Utility_DisplayArrayInTable(Fuel_SourceData.Fuel_Scope1Scope3EmissionFactorsTransport_Data(), Table_Fuel_EFs_Transport[[#Headers],[Transport type]], 0)</f>
        <v>kL</v>
      </c>
      <c r="H33" s="25" cm="1">
        <f t="array" ref="H33">Common_InputFunctions.Utility_DisplayArrayInTable(Fuel_SourceData.Fuel_Scope1Scope3EmissionFactorsTransport_Data(), Table_Fuel_EFs_Transport[[#Headers],[Transport type]], 0)</f>
        <v>73.599999999999994</v>
      </c>
      <c r="I33" s="25" cm="1">
        <f t="array" ref="I33">Common_InputFunctions.Utility_DisplayArrayInTable(Fuel_SourceData.Fuel_Scope1Scope3EmissionFactorsTransport_Data(), Table_Fuel_EFs_Transport[[#Headers],[Transport type]], 0)</f>
        <v>0.2</v>
      </c>
      <c r="J33" s="25" cm="1">
        <f t="array" ref="J33">Common_InputFunctions.Utility_DisplayArrayInTable(Fuel_SourceData.Fuel_Scope1Scope3EmissionFactorsTransport_Data(), Table_Fuel_EFs_Transport[[#Headers],[Transport type]], 0)</f>
        <v>0.5</v>
      </c>
      <c r="K33" s="25" t="str" cm="1">
        <f t="array" ref="K33">Common_InputFunctions.Utility_DisplayArrayInTable(Fuel_SourceData.Fuel_Scope1Scope3EmissionFactorsTransport_Data(), Table_Fuel_EFs_Transport[[#Headers],[Transport type]], 0)</f>
        <v/>
      </c>
      <c r="L33" s="25" cm="1">
        <f t="array" ref="L33">Common_InputFunctions.Utility_DisplayArrayInTable(Fuel_SourceData.Fuel_Scope1Scope3EmissionFactorsTransport_Data(), Table_Fuel_EFs_Transport[[#Headers],[Transport type]], 0)</f>
        <v>18</v>
      </c>
    </row>
    <row r="34" spans="4:12" ht="20.100000000000001" customHeight="1" x14ac:dyDescent="0.25">
      <c r="D34" s="25" t="str" cm="1">
        <f t="array" ref="D34">Common_InputFunctions.Utility_DisplayArrayInTable(Fuel_SourceData.Fuel_Scope1Scope3EmissionFactorsTransport_Data(), Table_Fuel_EFs_Transport[[#Headers],[Transport type]], 0)</f>
        <v>Off-road Agriculture and forestry equipment</v>
      </c>
      <c r="E34" s="25" t="str" cm="1">
        <f t="array" ref="E34">Common_InputFunctions.Utility_DisplayArrayInTable(Fuel_SourceData.Fuel_Scope1Scope3EmissionFactorsTransport_Data(), Table_Fuel_EFs_Transport[[#Headers],[Transport type]], 0)</f>
        <v>Diesel oil</v>
      </c>
      <c r="F34" s="25" cm="1">
        <f t="array" ref="F34">Common_InputFunctions.Utility_DisplayArrayInTable(Fuel_SourceData.Fuel_Scope1Scope3EmissionFactorsTransport_Data(), Table_Fuel_EFs_Transport[[#Headers],[Transport type]], 0)</f>
        <v>38.6</v>
      </c>
      <c r="G34" s="25" t="str" cm="1">
        <f t="array" ref="G34">Common_InputFunctions.Utility_DisplayArrayInTable(Fuel_SourceData.Fuel_Scope1Scope3EmissionFactorsTransport_Data(), Table_Fuel_EFs_Transport[[#Headers],[Transport type]], 0)</f>
        <v>kL</v>
      </c>
      <c r="H34" s="25" cm="1">
        <f t="array" ref="H34">Common_InputFunctions.Utility_DisplayArrayInTable(Fuel_SourceData.Fuel_Scope1Scope3EmissionFactorsTransport_Data(), Table_Fuel_EFs_Transport[[#Headers],[Transport type]], 0)</f>
        <v>69.900000000000006</v>
      </c>
      <c r="I34" s="25" cm="1">
        <f t="array" ref="I34">Common_InputFunctions.Utility_DisplayArrayInTable(Fuel_SourceData.Fuel_Scope1Scope3EmissionFactorsTransport_Data(), Table_Fuel_EFs_Transport[[#Headers],[Transport type]], 0)</f>
        <v>0.3</v>
      </c>
      <c r="J34" s="25" cm="1">
        <f t="array" ref="J34">Common_InputFunctions.Utility_DisplayArrayInTable(Fuel_SourceData.Fuel_Scope1Scope3EmissionFactorsTransport_Data(), Table_Fuel_EFs_Transport[[#Headers],[Transport type]], 0)</f>
        <v>0.5</v>
      </c>
      <c r="K34" s="25" t="str" cm="1">
        <f t="array" ref="K34">Common_InputFunctions.Utility_DisplayArrayInTable(Fuel_SourceData.Fuel_Scope1Scope3EmissionFactorsTransport_Data(), Table_Fuel_EFs_Transport[[#Headers],[Transport type]], 0)</f>
        <v/>
      </c>
      <c r="L34" s="25"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9" t="str" cm="1">
        <f t="array" ref="D37">Fuel_SourceData.Fuel_Scope1Scope3EmissionFactorsTransportOffRoad_Title()</f>
        <v>Fuel scope 1 and 3 emission factors - Off-road equipment and vessels</v>
      </c>
    </row>
    <row r="38" spans="4:12" ht="20.100000000000001" customHeight="1" x14ac:dyDescent="0.25">
      <c r="D38" s="11" t="str" cm="1">
        <f t="array" ref="D38">Fuel_SourceData.Fuel_Scope1Scope3EmissionFactorsTransportOffRoad_Source()</f>
        <v>VEERG 2026: Table A.4.2.1</v>
      </c>
    </row>
    <row r="39" spans="4:12" ht="20.100000000000001" customHeight="1" x14ac:dyDescent="0.25">
      <c r="D39" s="10" t="s">
        <v>79</v>
      </c>
      <c r="E39" s="10" t="s">
        <v>80</v>
      </c>
      <c r="F39" s="10" t="s">
        <v>81</v>
      </c>
      <c r="G39" s="10" t="s">
        <v>82</v>
      </c>
      <c r="H39" s="10" t="s">
        <v>83</v>
      </c>
      <c r="I39" s="10" t="s">
        <v>84</v>
      </c>
      <c r="J39" s="10" t="s">
        <v>85</v>
      </c>
    </row>
    <row r="40" spans="4:12" ht="20.100000000000001" customHeight="1" x14ac:dyDescent="0.25">
      <c r="D40" s="10" t="str" cm="1">
        <f t="array" ref="D40">Common_InputFunctions.Utility_DisplayArrayInTable(Fuel_SourceData.Fuel_Scope1Scope3EmissionFactorsTransportOffRoad_Data(), Table_SourceData_Fuel_TransportOffroad[[#Headers],[Transport type t]],0)</f>
        <v>Vessel</v>
      </c>
      <c r="E40" s="10" t="str" cm="1">
        <f t="array" ref="E40">Common_InputFunctions.Utility_DisplayArrayInTable(Fuel_SourceData.Fuel_Scope1Scope3EmissionFactorsTransportOffRoad_Data(), Table_SourceData_Fuel_TransportOffroad[[#Headers],[Transport type t]],0)</f>
        <v>Petrol</v>
      </c>
      <c r="F40" s="10" cm="1">
        <f t="array" ref="F40">Common_InputFunctions.Utility_DisplayArrayInTable(Fuel_SourceData.Fuel_Scope1Scope3EmissionFactorsTransportOffRoad_Data(), Table_SourceData_Fuel_TransportOffroad[[#Headers],[Transport type t]],0)</f>
        <v>34.200000000000003</v>
      </c>
      <c r="G40" s="10" cm="1">
        <f t="array" ref="G40">Common_InputFunctions.Utility_DisplayArrayInTable(Fuel_SourceData.Fuel_Scope1Scope3EmissionFactorsTransportOffRoad_Data(), Table_SourceData_Fuel_TransportOffroad[[#Headers],[Transport type t]],0)</f>
        <v>67.400000000000006</v>
      </c>
      <c r="H40" s="10" cm="1">
        <f t="array" ref="H40">Common_InputFunctions.Utility_DisplayArrayInTable(Fuel_SourceData.Fuel_Scope1Scope3EmissionFactorsTransportOffRoad_Data(), Table_SourceData_Fuel_TransportOffroad[[#Headers],[Transport type t]],0)</f>
        <v>10.1</v>
      </c>
      <c r="I40" s="10" cm="1">
        <f t="array" ref="I40">Common_InputFunctions.Utility_DisplayArrayInTable(Fuel_SourceData.Fuel_Scope1Scope3EmissionFactorsTransportOffRoad_Data(), Table_SourceData_Fuel_TransportOffroad[[#Headers],[Transport type t]],0)</f>
        <v>0.3</v>
      </c>
      <c r="J40" s="10"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8" t="str" cm="1">
        <f t="array" ref="D41">Common_InputFunctions.Utility_DisplayArrayInTable(Fuel_SourceData.Fuel_Scope1Scope3EmissionFactorsTransportOffRoad_Data(), Table_SourceData_Fuel_TransportOffroad[[#Headers],[Transport type t]],0)</f>
        <v>Vessel</v>
      </c>
      <c r="E41" s="10" t="str" cm="1">
        <f t="array" ref="E41">Common_InputFunctions.Utility_DisplayArrayInTable(Fuel_SourceData.Fuel_Scope1Scope3EmissionFactorsTransportOffRoad_Data(), Table_SourceData_Fuel_TransportOffroad[[#Headers],[Transport type t]],0)</f>
        <v>Diesel</v>
      </c>
      <c r="F41" s="10" cm="1">
        <f t="array" ref="F41">Common_InputFunctions.Utility_DisplayArrayInTable(Fuel_SourceData.Fuel_Scope1Scope3EmissionFactorsTransportOffRoad_Data(), Table_SourceData_Fuel_TransportOffroad[[#Headers],[Transport type t]],0)</f>
        <v>38.6</v>
      </c>
      <c r="G41" s="10" cm="1">
        <f t="array" ref="G41">Common_InputFunctions.Utility_DisplayArrayInTable(Fuel_SourceData.Fuel_Scope1Scope3EmissionFactorsTransportOffRoad_Data(), Table_SourceData_Fuel_TransportOffroad[[#Headers],[Transport type t]],0)</f>
        <v>69.900000000000006</v>
      </c>
      <c r="H41" s="10" cm="1">
        <f t="array" ref="H41">Common_InputFunctions.Utility_DisplayArrayInTable(Fuel_SourceData.Fuel_Scope1Scope3EmissionFactorsTransportOffRoad_Data(), Table_SourceData_Fuel_TransportOffroad[[#Headers],[Transport type t]],0)</f>
        <v>0.2</v>
      </c>
      <c r="I41" s="10" cm="1">
        <f t="array" ref="I41">Common_InputFunctions.Utility_DisplayArrayInTable(Fuel_SourceData.Fuel_Scope1Scope3EmissionFactorsTransportOffRoad_Data(), Table_SourceData_Fuel_TransportOffroad[[#Headers],[Transport type t]],0)</f>
        <v>0.5</v>
      </c>
      <c r="J41" s="10"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8" t="str" cm="1">
        <f t="array" ref="D42">Common_InputFunctions.Utility_DisplayArrayInTable(Fuel_SourceData.Fuel_Scope1Scope3EmissionFactorsTransportOffRoad_Data(), Table_SourceData_Fuel_TransportOffroad[[#Headers],[Transport type t]],0)</f>
        <v>Vessel</v>
      </c>
      <c r="E42" s="10" t="str" cm="1">
        <f t="array" ref="E42">Common_InputFunctions.Utility_DisplayArrayInTable(Fuel_SourceData.Fuel_Scope1Scope3EmissionFactorsTransportOffRoad_Data(), Table_SourceData_Fuel_TransportOffroad[[#Headers],[Transport type t]],0)</f>
        <v>Fuel Oil</v>
      </c>
      <c r="F42" s="10" cm="1">
        <f t="array" ref="F42">Common_InputFunctions.Utility_DisplayArrayInTable(Fuel_SourceData.Fuel_Scope1Scope3EmissionFactorsTransportOffRoad_Data(), Table_SourceData_Fuel_TransportOffroad[[#Headers],[Transport type t]],0)</f>
        <v>39.700000000000003</v>
      </c>
      <c r="G42" s="10" cm="1">
        <f t="array" ref="G42">Common_InputFunctions.Utility_DisplayArrayInTable(Fuel_SourceData.Fuel_Scope1Scope3EmissionFactorsTransportOffRoad_Data(), Table_SourceData_Fuel_TransportOffroad[[#Headers],[Transport type t]],0)</f>
        <v>73.599999999999994</v>
      </c>
      <c r="H42" s="10" cm="1">
        <f t="array" ref="H42">Common_InputFunctions.Utility_DisplayArrayInTable(Fuel_SourceData.Fuel_Scope1Scope3EmissionFactorsTransportOffRoad_Data(), Table_SourceData_Fuel_TransportOffroad[[#Headers],[Transport type t]],0)</f>
        <v>0.2</v>
      </c>
      <c r="I42" s="10" cm="1">
        <f t="array" ref="I42">Common_InputFunctions.Utility_DisplayArrayInTable(Fuel_SourceData.Fuel_Scope1Scope3EmissionFactorsTransportOffRoad_Data(), Table_SourceData_Fuel_TransportOffroad[[#Headers],[Transport type t]],0)</f>
        <v>0.5</v>
      </c>
      <c r="J42" s="10"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8" t="str" cm="1">
        <f t="array" ref="D43">Common_InputFunctions.Utility_DisplayArrayInTable(Fuel_SourceData.Fuel_Scope1Scope3EmissionFactorsTransportOffRoad_Data(), Table_SourceData_Fuel_TransportOffroad[[#Headers],[Transport type t]],0)</f>
        <v>Off-road Agriculture and forestry equipment</v>
      </c>
      <c r="E43" s="10" t="str" cm="1">
        <f t="array" ref="E43">Common_InputFunctions.Utility_DisplayArrayInTable(Fuel_SourceData.Fuel_Scope1Scope3EmissionFactorsTransportOffRoad_Data(), Table_SourceData_Fuel_TransportOffroad[[#Headers],[Transport type t]],0)</f>
        <v>Diesel</v>
      </c>
      <c r="F43" s="10" cm="1">
        <f t="array" ref="F43">Common_InputFunctions.Utility_DisplayArrayInTable(Fuel_SourceData.Fuel_Scope1Scope3EmissionFactorsTransportOffRoad_Data(), Table_SourceData_Fuel_TransportOffroad[[#Headers],[Transport type t]],0)</f>
        <v>38.6</v>
      </c>
      <c r="G43" s="10" cm="1">
        <f t="array" ref="G43">Common_InputFunctions.Utility_DisplayArrayInTable(Fuel_SourceData.Fuel_Scope1Scope3EmissionFactorsTransportOffRoad_Data(), Table_SourceData_Fuel_TransportOffroad[[#Headers],[Transport type t]],0)</f>
        <v>69.900000000000006</v>
      </c>
      <c r="H43" s="10" cm="1">
        <f t="array" ref="H43">Common_InputFunctions.Utility_DisplayArrayInTable(Fuel_SourceData.Fuel_Scope1Scope3EmissionFactorsTransportOffRoad_Data(), Table_SourceData_Fuel_TransportOffroad[[#Headers],[Transport type t]],0)</f>
        <v>0.3</v>
      </c>
      <c r="I43" s="10" cm="1">
        <f t="array" ref="I43">Common_InputFunctions.Utility_DisplayArrayInTable(Fuel_SourceData.Fuel_Scope1Scope3EmissionFactorsTransportOffRoad_Data(), Table_SourceData_Fuel_TransportOffroad[[#Headers],[Transport type t]],0)</f>
        <v>0.5</v>
      </c>
      <c r="J43" s="10"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9" t="str" cm="1">
        <f t="array" ref="D49">Fuel_SourceData.Fuel_Scope1Scope3EmissionFactorsStationaryLiquid_Title()</f>
        <v>Fuel scope 1 and 3 emission factors - Stationary liquid fuels</v>
      </c>
      <c r="E49" s="17"/>
      <c r="F49" s="17"/>
      <c r="G49" s="17"/>
      <c r="H49" s="17"/>
      <c r="I49" s="17"/>
      <c r="J49" s="17"/>
      <c r="K49" s="17"/>
      <c r="L49" s="17"/>
    </row>
    <row r="50" spans="4:12" ht="20.100000000000001" customHeight="1" x14ac:dyDescent="0.25">
      <c r="D50" s="8" t="str" cm="1">
        <f t="array" ref="D50">Fuel_SourceData.Fuel_Scope1Scope3EmissionFactorsStationaryLiquid_Description()</f>
        <v>Direct (Scope 1) and indirect (scope 3) emission factors for the consumption of liquid fuels, including certain petroleum based products for stationary energy purposes.</v>
      </c>
      <c r="E50" s="17"/>
      <c r="F50" s="17"/>
      <c r="G50" s="17"/>
      <c r="H50" s="17"/>
      <c r="I50" s="17"/>
      <c r="J50" s="17"/>
      <c r="K50" s="17"/>
      <c r="L50" s="17"/>
    </row>
    <row r="51" spans="4:12" ht="20.100000000000001" customHeight="1" x14ac:dyDescent="0.25">
      <c r="D51" s="11" t="str" cm="1">
        <f t="array" ref="D51">Fuel_SourceData.Fuel_Scope1Scope3EmissionFactorsStationaryLiquid_Source()</f>
        <v>Australian National Greenhouse Accounts Factors 2025 - Table 8</v>
      </c>
      <c r="E51" s="17"/>
      <c r="F51" s="17"/>
      <c r="G51" s="17"/>
      <c r="H51" s="17"/>
      <c r="I51" s="17"/>
      <c r="J51" s="17"/>
      <c r="K51" s="17"/>
      <c r="L51" s="17"/>
    </row>
    <row r="52" spans="4:12" ht="20.100000000000001" customHeight="1" x14ac:dyDescent="0.25">
      <c r="D52" s="12" t="str" cm="1">
        <f t="array" ref="D52">"⚠️" &amp; Fuel_SourceData.Fuel_Scope1Scope3EmissionFactorsStationaryLiquid_Variation()</f>
        <v>⚠️VARIATION OF SOURCE DATA: 'NE' values returned as zero for calculations.</v>
      </c>
      <c r="E52" s="17"/>
      <c r="F52" s="17"/>
      <c r="G52" s="17"/>
      <c r="H52" s="17"/>
      <c r="I52" s="17"/>
      <c r="J52" s="17"/>
      <c r="K52" s="17"/>
      <c r="L52" s="17"/>
    </row>
    <row r="53" spans="4:12" ht="20.100000000000001" customHeight="1" x14ac:dyDescent="0.25">
      <c r="D53" s="26" t="s">
        <v>69</v>
      </c>
      <c r="E53" s="20" t="s">
        <v>70</v>
      </c>
      <c r="F53" s="26" t="s">
        <v>71</v>
      </c>
      <c r="G53" s="20" t="s">
        <v>72</v>
      </c>
      <c r="H53" s="20" t="s">
        <v>73</v>
      </c>
      <c r="I53" s="20" t="s">
        <v>74</v>
      </c>
      <c r="J53" s="20" t="s">
        <v>75</v>
      </c>
      <c r="K53" s="20" t="s">
        <v>76</v>
      </c>
      <c r="L53" s="17"/>
    </row>
    <row r="54" spans="4:12" ht="20.100000000000001" customHeight="1" x14ac:dyDescent="0.25">
      <c r="D54" s="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7" cm="1">
        <f t="array" ref="E54">Common_InputFunctions.Utility_DisplayArrayInTable(Fuel_SourceData.Fuel_Scope1Scope3EmissionFactorsStationaryLiquid_Data(), Table_Fuel_EFs_StationaryLiquid[[#Headers],[Fuel combusted]],0)</f>
        <v>38.799999999999997</v>
      </c>
      <c r="F54" s="27" t="str" cm="1">
        <f t="array" ref="F54">Common_InputFunctions.Utility_DisplayArrayInTable(Fuel_SourceData.Fuel_Scope1Scope3EmissionFactorsStationaryLiquid_Data(), Table_Fuel_EFs_StationaryLiquid[[#Headers],[Fuel combusted]],0)</f>
        <v>kl</v>
      </c>
      <c r="G54" s="27" cm="1">
        <f t="array" ref="G54">Common_InputFunctions.Utility_DisplayArrayInTable(Fuel_SourceData.Fuel_Scope1Scope3EmissionFactorsStationaryLiquid_Data(), Table_Fuel_EFs_StationaryLiquid[[#Headers],[Fuel combusted]],0)</f>
        <v>13.9</v>
      </c>
      <c r="H54" s="27" cm="1">
        <f t="array" ref="H54">Common_InputFunctions.Utility_DisplayArrayInTable(Fuel_SourceData.Fuel_Scope1Scope3EmissionFactorsStationaryLiquid_Data(), Table_Fuel_EFs_StationaryLiquid[[#Headers],[Fuel combusted]],0)</f>
        <v>0</v>
      </c>
      <c r="I54" s="27" cm="1">
        <f t="array" ref="I54">Common_InputFunctions.Utility_DisplayArrayInTable(Fuel_SourceData.Fuel_Scope1Scope3EmissionFactorsStationaryLiquid_Data(), Table_Fuel_EFs_StationaryLiquid[[#Headers],[Fuel combusted]],0)</f>
        <v>0</v>
      </c>
      <c r="J54" s="27" cm="1">
        <f t="array" ref="J54">Common_InputFunctions.Utility_DisplayArrayInTable(Fuel_SourceData.Fuel_Scope1Scope3EmissionFactorsStationaryLiquid_Data(), Table_Fuel_EFs_StationaryLiquid[[#Headers],[Fuel combusted]],0)</f>
        <v>13.9</v>
      </c>
      <c r="K54" s="27" cm="1">
        <f t="array" ref="K54">Common_InputFunctions.Utility_DisplayArrayInTable(Fuel_SourceData.Fuel_Scope1Scope3EmissionFactorsStationaryLiquid_Data(), Table_Fuel_EFs_StationaryLiquid[[#Headers],[Fuel combusted]],0)</f>
        <v>18</v>
      </c>
      <c r="L54" s="17"/>
    </row>
    <row r="55" spans="4:12" ht="20.100000000000001" customHeight="1" x14ac:dyDescent="0.25">
      <c r="D55" s="27" t="str" cm="1">
        <f t="array" ref="D55">Common_InputFunctions.Utility_DisplayArrayInTable(Fuel_SourceData.Fuel_Scope1Scope3EmissionFactorsStationaryLiquid_Data(), Table_Fuel_EFs_StationaryLiquid[[#Headers],[Fuel combusted]],0)</f>
        <v>Petroleum based greases</v>
      </c>
      <c r="E55" s="27" cm="1">
        <f t="array" ref="E55">Common_InputFunctions.Utility_DisplayArrayInTable(Fuel_SourceData.Fuel_Scope1Scope3EmissionFactorsStationaryLiquid_Data(), Table_Fuel_EFs_StationaryLiquid[[#Headers],[Fuel combusted]],0)</f>
        <v>38.799999999999997</v>
      </c>
      <c r="F55" s="27" t="str" cm="1">
        <f t="array" ref="F55">Common_InputFunctions.Utility_DisplayArrayInTable(Fuel_SourceData.Fuel_Scope1Scope3EmissionFactorsStationaryLiquid_Data(), Table_Fuel_EFs_StationaryLiquid[[#Headers],[Fuel combusted]],0)</f>
        <v>kl</v>
      </c>
      <c r="G55" s="27" cm="1">
        <f t="array" ref="G55">Common_InputFunctions.Utility_DisplayArrayInTable(Fuel_SourceData.Fuel_Scope1Scope3EmissionFactorsStationaryLiquid_Data(), Table_Fuel_EFs_StationaryLiquid[[#Headers],[Fuel combusted]],0)</f>
        <v>3.5</v>
      </c>
      <c r="H55" s="27" cm="1">
        <f t="array" ref="H55">Common_InputFunctions.Utility_DisplayArrayInTable(Fuel_SourceData.Fuel_Scope1Scope3EmissionFactorsStationaryLiquid_Data(), Table_Fuel_EFs_StationaryLiquid[[#Headers],[Fuel combusted]],0)</f>
        <v>0</v>
      </c>
      <c r="I55" s="27" cm="1">
        <f t="array" ref="I55">Common_InputFunctions.Utility_DisplayArrayInTable(Fuel_SourceData.Fuel_Scope1Scope3EmissionFactorsStationaryLiquid_Data(), Table_Fuel_EFs_StationaryLiquid[[#Headers],[Fuel combusted]],0)</f>
        <v>0</v>
      </c>
      <c r="J55" s="27" cm="1">
        <f t="array" ref="J55">Common_InputFunctions.Utility_DisplayArrayInTable(Fuel_SourceData.Fuel_Scope1Scope3EmissionFactorsStationaryLiquid_Data(), Table_Fuel_EFs_StationaryLiquid[[#Headers],[Fuel combusted]],0)</f>
        <v>3.5</v>
      </c>
      <c r="K55" s="27" cm="1">
        <f t="array" ref="K55">Common_InputFunctions.Utility_DisplayArrayInTable(Fuel_SourceData.Fuel_Scope1Scope3EmissionFactorsStationaryLiquid_Data(), Table_Fuel_EFs_StationaryLiquid[[#Headers],[Fuel combusted]],0)</f>
        <v>18</v>
      </c>
      <c r="L55" s="17"/>
    </row>
    <row r="56" spans="4:12" ht="20.100000000000001" customHeight="1" x14ac:dyDescent="0.25">
      <c r="D56" s="27" t="str" cm="1">
        <f t="array" ref="D56">Common_InputFunctions.Utility_DisplayArrayInTable(Fuel_SourceData.Fuel_Scope1Scope3EmissionFactorsStationaryLiquid_Data(), Table_Fuel_EFs_StationaryLiquid[[#Headers],[Fuel combusted]],0)</f>
        <v>Crude oil including crude oil condensates</v>
      </c>
      <c r="E56" s="27" cm="1">
        <f t="array" ref="E56">Common_InputFunctions.Utility_DisplayArrayInTable(Fuel_SourceData.Fuel_Scope1Scope3EmissionFactorsStationaryLiquid_Data(), Table_Fuel_EFs_StationaryLiquid[[#Headers],[Fuel combusted]],0)</f>
        <v>45.3</v>
      </c>
      <c r="F56" s="27" t="str" cm="1">
        <f t="array" ref="F56">Common_InputFunctions.Utility_DisplayArrayInTable(Fuel_SourceData.Fuel_Scope1Scope3EmissionFactorsStationaryLiquid_Data(), Table_Fuel_EFs_StationaryLiquid[[#Headers],[Fuel combusted]],0)</f>
        <v>t</v>
      </c>
      <c r="G56" s="27" cm="1">
        <f t="array" ref="G56">Common_InputFunctions.Utility_DisplayArrayInTable(Fuel_SourceData.Fuel_Scope1Scope3EmissionFactorsStationaryLiquid_Data(), Table_Fuel_EFs_StationaryLiquid[[#Headers],[Fuel combusted]],0)</f>
        <v>69.599999999999994</v>
      </c>
      <c r="H56" s="27" cm="1">
        <f t="array" ref="H56">Common_InputFunctions.Utility_DisplayArrayInTable(Fuel_SourceData.Fuel_Scope1Scope3EmissionFactorsStationaryLiquid_Data(), Table_Fuel_EFs_StationaryLiquid[[#Headers],[Fuel combusted]],0)</f>
        <v>0.08</v>
      </c>
      <c r="I56" s="27" cm="1">
        <f t="array" ref="I56">Common_InputFunctions.Utility_DisplayArrayInTable(Fuel_SourceData.Fuel_Scope1Scope3EmissionFactorsStationaryLiquid_Data(), Table_Fuel_EFs_StationaryLiquid[[#Headers],[Fuel combusted]],0)</f>
        <v>0.2</v>
      </c>
      <c r="J56" s="27" cm="1">
        <f t="array" ref="J56">Common_InputFunctions.Utility_DisplayArrayInTable(Fuel_SourceData.Fuel_Scope1Scope3EmissionFactorsStationaryLiquid_Data(), Table_Fuel_EFs_StationaryLiquid[[#Headers],[Fuel combusted]],0)</f>
        <v>69.88</v>
      </c>
      <c r="K56" s="27" t="str" cm="1">
        <f t="array" ref="K56">Common_InputFunctions.Utility_DisplayArrayInTable(Fuel_SourceData.Fuel_Scope1Scope3EmissionFactorsStationaryLiquid_Data(), Table_Fuel_EFs_StationaryLiquid[[#Headers],[Fuel combusted]],0)</f>
        <v>NE</v>
      </c>
      <c r="L56" s="17"/>
    </row>
    <row r="57" spans="4:12" ht="20.100000000000001" customHeight="1" x14ac:dyDescent="0.25">
      <c r="D57" s="27" t="str" cm="1">
        <f t="array" ref="D57">Common_InputFunctions.Utility_DisplayArrayInTable(Fuel_SourceData.Fuel_Scope1Scope3EmissionFactorsStationaryLiquid_Data(), Table_Fuel_EFs_StationaryLiquid[[#Headers],[Fuel combusted]],0)</f>
        <v>Other natural gas liquids</v>
      </c>
      <c r="E57" s="27" cm="1">
        <f t="array" ref="E57">Common_InputFunctions.Utility_DisplayArrayInTable(Fuel_SourceData.Fuel_Scope1Scope3EmissionFactorsStationaryLiquid_Data(), Table_Fuel_EFs_StationaryLiquid[[#Headers],[Fuel combusted]],0)</f>
        <v>46.5</v>
      </c>
      <c r="F57" s="27" t="str" cm="1">
        <f t="array" ref="F57">Common_InputFunctions.Utility_DisplayArrayInTable(Fuel_SourceData.Fuel_Scope1Scope3EmissionFactorsStationaryLiquid_Data(), Table_Fuel_EFs_StationaryLiquid[[#Headers],[Fuel combusted]],0)</f>
        <v>t</v>
      </c>
      <c r="G57" s="27" cm="1">
        <f t="array" ref="G57">Common_InputFunctions.Utility_DisplayArrayInTable(Fuel_SourceData.Fuel_Scope1Scope3EmissionFactorsStationaryLiquid_Data(), Table_Fuel_EFs_StationaryLiquid[[#Headers],[Fuel combusted]],0)</f>
        <v>61</v>
      </c>
      <c r="H57" s="27" cm="1">
        <f t="array" ref="H57">Common_InputFunctions.Utility_DisplayArrayInTable(Fuel_SourceData.Fuel_Scope1Scope3EmissionFactorsStationaryLiquid_Data(), Table_Fuel_EFs_StationaryLiquid[[#Headers],[Fuel combusted]],0)</f>
        <v>0.08</v>
      </c>
      <c r="I57" s="27" cm="1">
        <f t="array" ref="I57">Common_InputFunctions.Utility_DisplayArrayInTable(Fuel_SourceData.Fuel_Scope1Scope3EmissionFactorsStationaryLiquid_Data(), Table_Fuel_EFs_StationaryLiquid[[#Headers],[Fuel combusted]],0)</f>
        <v>0.2</v>
      </c>
      <c r="J57" s="27" cm="1">
        <f t="array" ref="J57">Common_InputFunctions.Utility_DisplayArrayInTable(Fuel_SourceData.Fuel_Scope1Scope3EmissionFactorsStationaryLiquid_Data(), Table_Fuel_EFs_StationaryLiquid[[#Headers],[Fuel combusted]],0)</f>
        <v>61.28</v>
      </c>
      <c r="K57" s="27" t="str" cm="1">
        <f t="array" ref="K57">Common_InputFunctions.Utility_DisplayArrayInTable(Fuel_SourceData.Fuel_Scope1Scope3EmissionFactorsStationaryLiquid_Data(), Table_Fuel_EFs_StationaryLiquid[[#Headers],[Fuel combusted]],0)</f>
        <v>NE</v>
      </c>
      <c r="L57" s="17"/>
    </row>
    <row r="58" spans="4:12" ht="20.100000000000001" customHeight="1" x14ac:dyDescent="0.25">
      <c r="D58" s="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7" cm="1">
        <f t="array" ref="E58">Common_InputFunctions.Utility_DisplayArrayInTable(Fuel_SourceData.Fuel_Scope1Scope3EmissionFactorsStationaryLiquid_Data(), Table_Fuel_EFs_StationaryLiquid[[#Headers],[Fuel combusted]],0)</f>
        <v>34.200000000000003</v>
      </c>
      <c r="F58" s="27" t="str" cm="1">
        <f t="array" ref="F58">Common_InputFunctions.Utility_DisplayArrayInTable(Fuel_SourceData.Fuel_Scope1Scope3EmissionFactorsStationaryLiquid_Data(), Table_Fuel_EFs_StationaryLiquid[[#Headers],[Fuel combusted]],0)</f>
        <v>kL</v>
      </c>
      <c r="G58" s="27" cm="1">
        <f t="array" ref="G58">Common_InputFunctions.Utility_DisplayArrayInTable(Fuel_SourceData.Fuel_Scope1Scope3EmissionFactorsStationaryLiquid_Data(), Table_Fuel_EFs_StationaryLiquid[[#Headers],[Fuel combusted]],0)</f>
        <v>67.400000000000006</v>
      </c>
      <c r="H58" s="27" cm="1">
        <f t="array" ref="H58">Common_InputFunctions.Utility_DisplayArrayInTable(Fuel_SourceData.Fuel_Scope1Scope3EmissionFactorsStationaryLiquid_Data(), Table_Fuel_EFs_StationaryLiquid[[#Headers],[Fuel combusted]],0)</f>
        <v>0.2</v>
      </c>
      <c r="I58" s="27" cm="1">
        <f t="array" ref="I58">Common_InputFunctions.Utility_DisplayArrayInTable(Fuel_SourceData.Fuel_Scope1Scope3EmissionFactorsStationaryLiquid_Data(), Table_Fuel_EFs_StationaryLiquid[[#Headers],[Fuel combusted]],0)</f>
        <v>0.2</v>
      </c>
      <c r="J58" s="27" cm="1">
        <f t="array" ref="J58">Common_InputFunctions.Utility_DisplayArrayInTable(Fuel_SourceData.Fuel_Scope1Scope3EmissionFactorsStationaryLiquid_Data(), Table_Fuel_EFs_StationaryLiquid[[#Headers],[Fuel combusted]],0)</f>
        <v>67.8</v>
      </c>
      <c r="K58" s="27" cm="1">
        <f t="array" ref="K58">Common_InputFunctions.Utility_DisplayArrayInTable(Fuel_SourceData.Fuel_Scope1Scope3EmissionFactorsStationaryLiquid_Data(), Table_Fuel_EFs_StationaryLiquid[[#Headers],[Fuel combusted]],0)</f>
        <v>17.2</v>
      </c>
      <c r="L58" s="17"/>
    </row>
    <row r="59" spans="4:12" ht="20.100000000000001" customHeight="1" x14ac:dyDescent="0.25">
      <c r="D59" s="27" t="str" cm="1">
        <f t="array" ref="D59">Common_InputFunctions.Utility_DisplayArrayInTable(Fuel_SourceData.Fuel_Scope1Scope3EmissionFactorsStationaryLiquid_Data(), Table_Fuel_EFs_StationaryLiquid[[#Headers],[Fuel combusted]],0)</f>
        <v>Aviation gasoline</v>
      </c>
      <c r="E59" s="27" cm="1">
        <f t="array" ref="E59">Common_InputFunctions.Utility_DisplayArrayInTable(Fuel_SourceData.Fuel_Scope1Scope3EmissionFactorsStationaryLiquid_Data(), Table_Fuel_EFs_StationaryLiquid[[#Headers],[Fuel combusted]],0)</f>
        <v>33.1</v>
      </c>
      <c r="F59" s="27" t="str" cm="1">
        <f t="array" ref="F59">Common_InputFunctions.Utility_DisplayArrayInTable(Fuel_SourceData.Fuel_Scope1Scope3EmissionFactorsStationaryLiquid_Data(), Table_Fuel_EFs_StationaryLiquid[[#Headers],[Fuel combusted]],0)</f>
        <v>kL</v>
      </c>
      <c r="G59" s="27" cm="1">
        <f t="array" ref="G59">Common_InputFunctions.Utility_DisplayArrayInTable(Fuel_SourceData.Fuel_Scope1Scope3EmissionFactorsStationaryLiquid_Data(), Table_Fuel_EFs_StationaryLiquid[[#Headers],[Fuel combusted]],0)</f>
        <v>67</v>
      </c>
      <c r="H59" s="27" cm="1">
        <f t="array" ref="H59">Common_InputFunctions.Utility_DisplayArrayInTable(Fuel_SourceData.Fuel_Scope1Scope3EmissionFactorsStationaryLiquid_Data(), Table_Fuel_EFs_StationaryLiquid[[#Headers],[Fuel combusted]],0)</f>
        <v>0.2</v>
      </c>
      <c r="I59" s="27" cm="1">
        <f t="array" ref="I59">Common_InputFunctions.Utility_DisplayArrayInTable(Fuel_SourceData.Fuel_Scope1Scope3EmissionFactorsStationaryLiquid_Data(), Table_Fuel_EFs_StationaryLiquid[[#Headers],[Fuel combusted]],0)</f>
        <v>0.2</v>
      </c>
      <c r="J59" s="27" cm="1">
        <f t="array" ref="J59">Common_InputFunctions.Utility_DisplayArrayInTable(Fuel_SourceData.Fuel_Scope1Scope3EmissionFactorsStationaryLiquid_Data(), Table_Fuel_EFs_StationaryLiquid[[#Headers],[Fuel combusted]],0)</f>
        <v>67.400000000000006</v>
      </c>
      <c r="K59" s="27" cm="1">
        <f t="array" ref="K59">Common_InputFunctions.Utility_DisplayArrayInTable(Fuel_SourceData.Fuel_Scope1Scope3EmissionFactorsStationaryLiquid_Data(), Table_Fuel_EFs_StationaryLiquid[[#Headers],[Fuel combusted]],0)</f>
        <v>18</v>
      </c>
      <c r="L59" s="17"/>
    </row>
    <row r="60" spans="4:12" ht="20.100000000000001" customHeight="1" x14ac:dyDescent="0.25">
      <c r="D60" s="27" t="str" cm="1">
        <f t="array" ref="D60">Common_InputFunctions.Utility_DisplayArrayInTable(Fuel_SourceData.Fuel_Scope1Scope3EmissionFactorsStationaryLiquid_Data(), Table_Fuel_EFs_StationaryLiquid[[#Headers],[Fuel combusted]],0)</f>
        <v>Kerosene (other than for use as fuel in an aircraft)</v>
      </c>
      <c r="E60" s="27" cm="1">
        <f t="array" ref="E60">Common_InputFunctions.Utility_DisplayArrayInTable(Fuel_SourceData.Fuel_Scope1Scope3EmissionFactorsStationaryLiquid_Data(), Table_Fuel_EFs_StationaryLiquid[[#Headers],[Fuel combusted]],0)</f>
        <v>37.5</v>
      </c>
      <c r="F60" s="27" t="str" cm="1">
        <f t="array" ref="F60">Common_InputFunctions.Utility_DisplayArrayInTable(Fuel_SourceData.Fuel_Scope1Scope3EmissionFactorsStationaryLiquid_Data(), Table_Fuel_EFs_StationaryLiquid[[#Headers],[Fuel combusted]],0)</f>
        <v>kL</v>
      </c>
      <c r="G60" s="27" cm="1">
        <f t="array" ref="G60">Common_InputFunctions.Utility_DisplayArrayInTable(Fuel_SourceData.Fuel_Scope1Scope3EmissionFactorsStationaryLiquid_Data(), Table_Fuel_EFs_StationaryLiquid[[#Headers],[Fuel combusted]],0)</f>
        <v>68.900000000000006</v>
      </c>
      <c r="H60" s="27" cm="1">
        <f t="array" ref="H60">Common_InputFunctions.Utility_DisplayArrayInTable(Fuel_SourceData.Fuel_Scope1Scope3EmissionFactorsStationaryLiquid_Data(), Table_Fuel_EFs_StationaryLiquid[[#Headers],[Fuel combusted]],0)</f>
        <v>0.01</v>
      </c>
      <c r="I60" s="27" cm="1">
        <f t="array" ref="I60">Common_InputFunctions.Utility_DisplayArrayInTable(Fuel_SourceData.Fuel_Scope1Scope3EmissionFactorsStationaryLiquid_Data(), Table_Fuel_EFs_StationaryLiquid[[#Headers],[Fuel combusted]],0)</f>
        <v>0.2</v>
      </c>
      <c r="J60" s="27" cm="1">
        <f t="array" ref="J60">Common_InputFunctions.Utility_DisplayArrayInTable(Fuel_SourceData.Fuel_Scope1Scope3EmissionFactorsStationaryLiquid_Data(), Table_Fuel_EFs_StationaryLiquid[[#Headers],[Fuel combusted]],0)</f>
        <v>69.11</v>
      </c>
      <c r="K60" s="27" cm="1">
        <f t="array" ref="K60">Common_InputFunctions.Utility_DisplayArrayInTable(Fuel_SourceData.Fuel_Scope1Scope3EmissionFactorsStationaryLiquid_Data(), Table_Fuel_EFs_StationaryLiquid[[#Headers],[Fuel combusted]],0)</f>
        <v>18</v>
      </c>
      <c r="L60" s="17"/>
    </row>
    <row r="61" spans="4:12" ht="20.100000000000001" customHeight="1" x14ac:dyDescent="0.25">
      <c r="D61" s="27" t="str" cm="1">
        <f t="array" ref="D61">Common_InputFunctions.Utility_DisplayArrayInTable(Fuel_SourceData.Fuel_Scope1Scope3EmissionFactorsStationaryLiquid_Data(), Table_Fuel_EFs_StationaryLiquid[[#Headers],[Fuel combusted]],0)</f>
        <v>Aviation turbine fuel / kerosene</v>
      </c>
      <c r="E61" s="27" cm="1">
        <f t="array" ref="E61">Common_InputFunctions.Utility_DisplayArrayInTable(Fuel_SourceData.Fuel_Scope1Scope3EmissionFactorsStationaryLiquid_Data(), Table_Fuel_EFs_StationaryLiquid[[#Headers],[Fuel combusted]],0)</f>
        <v>36.799999999999997</v>
      </c>
      <c r="F61" s="27" t="str" cm="1">
        <f t="array" ref="F61">Common_InputFunctions.Utility_DisplayArrayInTable(Fuel_SourceData.Fuel_Scope1Scope3EmissionFactorsStationaryLiquid_Data(), Table_Fuel_EFs_StationaryLiquid[[#Headers],[Fuel combusted]],0)</f>
        <v>kL</v>
      </c>
      <c r="G61" s="27" cm="1">
        <f t="array" ref="G61">Common_InputFunctions.Utility_DisplayArrayInTable(Fuel_SourceData.Fuel_Scope1Scope3EmissionFactorsStationaryLiquid_Data(), Table_Fuel_EFs_StationaryLiquid[[#Headers],[Fuel combusted]],0)</f>
        <v>69.599999999999994</v>
      </c>
      <c r="H61" s="27" cm="1">
        <f t="array" ref="H61">Common_InputFunctions.Utility_DisplayArrayInTable(Fuel_SourceData.Fuel_Scope1Scope3EmissionFactorsStationaryLiquid_Data(), Table_Fuel_EFs_StationaryLiquid[[#Headers],[Fuel combusted]],0)</f>
        <v>0.02</v>
      </c>
      <c r="I61" s="27" cm="1">
        <f t="array" ref="I61">Common_InputFunctions.Utility_DisplayArrayInTable(Fuel_SourceData.Fuel_Scope1Scope3EmissionFactorsStationaryLiquid_Data(), Table_Fuel_EFs_StationaryLiquid[[#Headers],[Fuel combusted]],0)</f>
        <v>0.2</v>
      </c>
      <c r="J61" s="27" cm="1">
        <f t="array" ref="J61">Common_InputFunctions.Utility_DisplayArrayInTable(Fuel_SourceData.Fuel_Scope1Scope3EmissionFactorsStationaryLiquid_Data(), Table_Fuel_EFs_StationaryLiquid[[#Headers],[Fuel combusted]],0)</f>
        <v>69.819999999999993</v>
      </c>
      <c r="K61" s="27" cm="1">
        <f t="array" ref="K61">Common_InputFunctions.Utility_DisplayArrayInTable(Fuel_SourceData.Fuel_Scope1Scope3EmissionFactorsStationaryLiquid_Data(), Table_Fuel_EFs_StationaryLiquid[[#Headers],[Fuel combusted]],0)</f>
        <v>18</v>
      </c>
      <c r="L61" s="17"/>
    </row>
    <row r="62" spans="4:12" ht="20.100000000000001" customHeight="1" x14ac:dyDescent="0.25">
      <c r="D62" s="27" t="str" cm="1">
        <f t="array" ref="D62">Common_InputFunctions.Utility_DisplayArrayInTable(Fuel_SourceData.Fuel_Scope1Scope3EmissionFactorsStationaryLiquid_Data(), Table_Fuel_EFs_StationaryLiquid[[#Headers],[Fuel combusted]],0)</f>
        <v>Heating oil</v>
      </c>
      <c r="E62" s="27" cm="1">
        <f t="array" ref="E62">Common_InputFunctions.Utility_DisplayArrayInTable(Fuel_SourceData.Fuel_Scope1Scope3EmissionFactorsStationaryLiquid_Data(), Table_Fuel_EFs_StationaryLiquid[[#Headers],[Fuel combusted]],0)</f>
        <v>37.299999999999997</v>
      </c>
      <c r="F62" s="27" t="str" cm="1">
        <f t="array" ref="F62">Common_InputFunctions.Utility_DisplayArrayInTable(Fuel_SourceData.Fuel_Scope1Scope3EmissionFactorsStationaryLiquid_Data(), Table_Fuel_EFs_StationaryLiquid[[#Headers],[Fuel combusted]],0)</f>
        <v>kL</v>
      </c>
      <c r="G62" s="27" cm="1">
        <f t="array" ref="G62">Common_InputFunctions.Utility_DisplayArrayInTable(Fuel_SourceData.Fuel_Scope1Scope3EmissionFactorsStationaryLiquid_Data(), Table_Fuel_EFs_StationaryLiquid[[#Headers],[Fuel combusted]],0)</f>
        <v>69.5</v>
      </c>
      <c r="H62" s="27" cm="1">
        <f t="array" ref="H62">Common_InputFunctions.Utility_DisplayArrayInTable(Fuel_SourceData.Fuel_Scope1Scope3EmissionFactorsStationaryLiquid_Data(), Table_Fuel_EFs_StationaryLiquid[[#Headers],[Fuel combusted]],0)</f>
        <v>0.03</v>
      </c>
      <c r="I62" s="27" cm="1">
        <f t="array" ref="I62">Common_InputFunctions.Utility_DisplayArrayInTable(Fuel_SourceData.Fuel_Scope1Scope3EmissionFactorsStationaryLiquid_Data(), Table_Fuel_EFs_StationaryLiquid[[#Headers],[Fuel combusted]],0)</f>
        <v>0.2</v>
      </c>
      <c r="J62" s="27" cm="1">
        <f t="array" ref="J62">Common_InputFunctions.Utility_DisplayArrayInTable(Fuel_SourceData.Fuel_Scope1Scope3EmissionFactorsStationaryLiquid_Data(), Table_Fuel_EFs_StationaryLiquid[[#Headers],[Fuel combusted]],0)</f>
        <v>69.73</v>
      </c>
      <c r="K62" s="27" cm="1">
        <f t="array" ref="K62">Common_InputFunctions.Utility_DisplayArrayInTable(Fuel_SourceData.Fuel_Scope1Scope3EmissionFactorsStationaryLiquid_Data(), Table_Fuel_EFs_StationaryLiquid[[#Headers],[Fuel combusted]],0)</f>
        <v>18</v>
      </c>
      <c r="L62" s="17"/>
    </row>
    <row r="63" spans="4:12" ht="20.100000000000001" customHeight="1" x14ac:dyDescent="0.25">
      <c r="D63" s="27" t="str" cm="1">
        <f t="array" ref="D63">Common_InputFunctions.Utility_DisplayArrayInTable(Fuel_SourceData.Fuel_Scope1Scope3EmissionFactorsStationaryLiquid_Data(), Table_Fuel_EFs_StationaryLiquid[[#Headers],[Fuel combusted]],0)</f>
        <v>Diesel oil</v>
      </c>
      <c r="E63" s="27" cm="1">
        <f t="array" ref="E63">Common_InputFunctions.Utility_DisplayArrayInTable(Fuel_SourceData.Fuel_Scope1Scope3EmissionFactorsStationaryLiquid_Data(), Table_Fuel_EFs_StationaryLiquid[[#Headers],[Fuel combusted]],0)</f>
        <v>38.6</v>
      </c>
      <c r="F63" s="27" t="str" cm="1">
        <f t="array" ref="F63">Common_InputFunctions.Utility_DisplayArrayInTable(Fuel_SourceData.Fuel_Scope1Scope3EmissionFactorsStationaryLiquid_Data(), Table_Fuel_EFs_StationaryLiquid[[#Headers],[Fuel combusted]],0)</f>
        <v>kL</v>
      </c>
      <c r="G63" s="27" cm="1">
        <f t="array" ref="G63">Common_InputFunctions.Utility_DisplayArrayInTable(Fuel_SourceData.Fuel_Scope1Scope3EmissionFactorsStationaryLiquid_Data(), Table_Fuel_EFs_StationaryLiquid[[#Headers],[Fuel combusted]],0)</f>
        <v>69.900000000000006</v>
      </c>
      <c r="H63" s="27" cm="1">
        <f t="array" ref="H63">Common_InputFunctions.Utility_DisplayArrayInTable(Fuel_SourceData.Fuel_Scope1Scope3EmissionFactorsStationaryLiquid_Data(), Table_Fuel_EFs_StationaryLiquid[[#Headers],[Fuel combusted]],0)</f>
        <v>0.1</v>
      </c>
      <c r="I63" s="27" cm="1">
        <f t="array" ref="I63">Common_InputFunctions.Utility_DisplayArrayInTable(Fuel_SourceData.Fuel_Scope1Scope3EmissionFactorsStationaryLiquid_Data(), Table_Fuel_EFs_StationaryLiquid[[#Headers],[Fuel combusted]],0)</f>
        <v>0.2</v>
      </c>
      <c r="J63" s="27" cm="1">
        <f t="array" ref="J63">Common_InputFunctions.Utility_DisplayArrayInTable(Fuel_SourceData.Fuel_Scope1Scope3EmissionFactorsStationaryLiquid_Data(), Table_Fuel_EFs_StationaryLiquid[[#Headers],[Fuel combusted]],0)</f>
        <v>70.2</v>
      </c>
      <c r="K63" s="27" cm="1">
        <f t="array" ref="K63">Common_InputFunctions.Utility_DisplayArrayInTable(Fuel_SourceData.Fuel_Scope1Scope3EmissionFactorsStationaryLiquid_Data(), Table_Fuel_EFs_StationaryLiquid[[#Headers],[Fuel combusted]],0)</f>
        <v>17.3</v>
      </c>
      <c r="L63" s="17"/>
    </row>
    <row r="64" spans="4:12" ht="20.100000000000001" customHeight="1" x14ac:dyDescent="0.25">
      <c r="D64" s="27" t="str" cm="1">
        <f t="array" ref="D64">Common_InputFunctions.Utility_DisplayArrayInTable(Fuel_SourceData.Fuel_Scope1Scope3EmissionFactorsStationaryLiquid_Data(), Table_Fuel_EFs_StationaryLiquid[[#Headers],[Fuel combusted]],0)</f>
        <v>Fuel oil</v>
      </c>
      <c r="E64" s="27" cm="1">
        <f t="array" ref="E64">Common_InputFunctions.Utility_DisplayArrayInTable(Fuel_SourceData.Fuel_Scope1Scope3EmissionFactorsStationaryLiquid_Data(), Table_Fuel_EFs_StationaryLiquid[[#Headers],[Fuel combusted]],0)</f>
        <v>39.700000000000003</v>
      </c>
      <c r="F64" s="27" t="str" cm="1">
        <f t="array" ref="F64">Common_InputFunctions.Utility_DisplayArrayInTable(Fuel_SourceData.Fuel_Scope1Scope3EmissionFactorsStationaryLiquid_Data(), Table_Fuel_EFs_StationaryLiquid[[#Headers],[Fuel combusted]],0)</f>
        <v>kL</v>
      </c>
      <c r="G64" s="27" cm="1">
        <f t="array" ref="G64">Common_InputFunctions.Utility_DisplayArrayInTable(Fuel_SourceData.Fuel_Scope1Scope3EmissionFactorsStationaryLiquid_Data(), Table_Fuel_EFs_StationaryLiquid[[#Headers],[Fuel combusted]],0)</f>
        <v>73.599999999999994</v>
      </c>
      <c r="H64" s="27" cm="1">
        <f t="array" ref="H64">Common_InputFunctions.Utility_DisplayArrayInTable(Fuel_SourceData.Fuel_Scope1Scope3EmissionFactorsStationaryLiquid_Data(), Table_Fuel_EFs_StationaryLiquid[[#Headers],[Fuel combusted]],0)</f>
        <v>0.04</v>
      </c>
      <c r="I64" s="27" cm="1">
        <f t="array" ref="I64">Common_InputFunctions.Utility_DisplayArrayInTable(Fuel_SourceData.Fuel_Scope1Scope3EmissionFactorsStationaryLiquid_Data(), Table_Fuel_EFs_StationaryLiquid[[#Headers],[Fuel combusted]],0)</f>
        <v>0.2</v>
      </c>
      <c r="J64" s="27" cm="1">
        <f t="array" ref="J64">Common_InputFunctions.Utility_DisplayArrayInTable(Fuel_SourceData.Fuel_Scope1Scope3EmissionFactorsStationaryLiquid_Data(), Table_Fuel_EFs_StationaryLiquid[[#Headers],[Fuel combusted]],0)</f>
        <v>73.84</v>
      </c>
      <c r="K64" s="27" cm="1">
        <f t="array" ref="K64">Common_InputFunctions.Utility_DisplayArrayInTable(Fuel_SourceData.Fuel_Scope1Scope3EmissionFactorsStationaryLiquid_Data(), Table_Fuel_EFs_StationaryLiquid[[#Headers],[Fuel combusted]],0)</f>
        <v>18</v>
      </c>
      <c r="L64" s="17"/>
    </row>
    <row r="65" spans="4:13" ht="20.100000000000001" customHeight="1" x14ac:dyDescent="0.25">
      <c r="D65" s="27" t="str" cm="1">
        <f t="array" ref="D65">Common_InputFunctions.Utility_DisplayArrayInTable(Fuel_SourceData.Fuel_Scope1Scope3EmissionFactorsStationaryLiquid_Data(), Table_Fuel_EFs_StationaryLiquid[[#Headers],[Fuel combusted]],0)</f>
        <v>Liquefied aromatic hydrocarbons</v>
      </c>
      <c r="E65" s="27" cm="1">
        <f t="array" ref="E65">Common_InputFunctions.Utility_DisplayArrayInTable(Fuel_SourceData.Fuel_Scope1Scope3EmissionFactorsStationaryLiquid_Data(), Table_Fuel_EFs_StationaryLiquid[[#Headers],[Fuel combusted]],0)</f>
        <v>34.4</v>
      </c>
      <c r="F65" s="27" t="str" cm="1">
        <f t="array" ref="F65">Common_InputFunctions.Utility_DisplayArrayInTable(Fuel_SourceData.Fuel_Scope1Scope3EmissionFactorsStationaryLiquid_Data(), Table_Fuel_EFs_StationaryLiquid[[#Headers],[Fuel combusted]],0)</f>
        <v>kL</v>
      </c>
      <c r="G65" s="27" cm="1">
        <f t="array" ref="G65">Common_InputFunctions.Utility_DisplayArrayInTable(Fuel_SourceData.Fuel_Scope1Scope3EmissionFactorsStationaryLiquid_Data(), Table_Fuel_EFs_StationaryLiquid[[#Headers],[Fuel combusted]],0)</f>
        <v>69.7</v>
      </c>
      <c r="H65" s="27" cm="1">
        <f t="array" ref="H65">Common_InputFunctions.Utility_DisplayArrayInTable(Fuel_SourceData.Fuel_Scope1Scope3EmissionFactorsStationaryLiquid_Data(), Table_Fuel_EFs_StationaryLiquid[[#Headers],[Fuel combusted]],0)</f>
        <v>0.03</v>
      </c>
      <c r="I65" s="27" cm="1">
        <f t="array" ref="I65">Common_InputFunctions.Utility_DisplayArrayInTable(Fuel_SourceData.Fuel_Scope1Scope3EmissionFactorsStationaryLiquid_Data(), Table_Fuel_EFs_StationaryLiquid[[#Headers],[Fuel combusted]],0)</f>
        <v>0.2</v>
      </c>
      <c r="J65" s="27" cm="1">
        <f t="array" ref="J65">Common_InputFunctions.Utility_DisplayArrayInTable(Fuel_SourceData.Fuel_Scope1Scope3EmissionFactorsStationaryLiquid_Data(), Table_Fuel_EFs_StationaryLiquid[[#Headers],[Fuel combusted]],0)</f>
        <v>69.930000000000007</v>
      </c>
      <c r="K65" s="27" cm="1">
        <f t="array" ref="K65">Common_InputFunctions.Utility_DisplayArrayInTable(Fuel_SourceData.Fuel_Scope1Scope3EmissionFactorsStationaryLiquid_Data(), Table_Fuel_EFs_StationaryLiquid[[#Headers],[Fuel combusted]],0)</f>
        <v>18</v>
      </c>
      <c r="L65" s="17"/>
    </row>
    <row r="66" spans="4:13" ht="20.100000000000001" customHeight="1" x14ac:dyDescent="0.25">
      <c r="D66" s="27" t="str" cm="1">
        <f t="array" ref="D66">Common_InputFunctions.Utility_DisplayArrayInTable(Fuel_SourceData.Fuel_Scope1Scope3EmissionFactorsStationaryLiquid_Data(), Table_Fuel_EFs_StationaryLiquid[[#Headers],[Fuel combusted]],0)</f>
        <v>Solvents: mineral turpentine or white spirits</v>
      </c>
      <c r="E66" s="27" cm="1">
        <f t="array" ref="E66">Common_InputFunctions.Utility_DisplayArrayInTable(Fuel_SourceData.Fuel_Scope1Scope3EmissionFactorsStationaryLiquid_Data(), Table_Fuel_EFs_StationaryLiquid[[#Headers],[Fuel combusted]],0)</f>
        <v>34.4</v>
      </c>
      <c r="F66" s="27" t="str" cm="1">
        <f t="array" ref="F66">Common_InputFunctions.Utility_DisplayArrayInTable(Fuel_SourceData.Fuel_Scope1Scope3EmissionFactorsStationaryLiquid_Data(), Table_Fuel_EFs_StationaryLiquid[[#Headers],[Fuel combusted]],0)</f>
        <v>kL</v>
      </c>
      <c r="G66" s="27" cm="1">
        <f t="array" ref="G66">Common_InputFunctions.Utility_DisplayArrayInTable(Fuel_SourceData.Fuel_Scope1Scope3EmissionFactorsStationaryLiquid_Data(), Table_Fuel_EFs_StationaryLiquid[[#Headers],[Fuel combusted]],0)</f>
        <v>69.7</v>
      </c>
      <c r="H66" s="27" cm="1">
        <f t="array" ref="H66">Common_InputFunctions.Utility_DisplayArrayInTable(Fuel_SourceData.Fuel_Scope1Scope3EmissionFactorsStationaryLiquid_Data(), Table_Fuel_EFs_StationaryLiquid[[#Headers],[Fuel combusted]],0)</f>
        <v>0.03</v>
      </c>
      <c r="I66" s="27" cm="1">
        <f t="array" ref="I66">Common_InputFunctions.Utility_DisplayArrayInTable(Fuel_SourceData.Fuel_Scope1Scope3EmissionFactorsStationaryLiquid_Data(), Table_Fuel_EFs_StationaryLiquid[[#Headers],[Fuel combusted]],0)</f>
        <v>0.2</v>
      </c>
      <c r="J66" s="27" cm="1">
        <f t="array" ref="J66">Common_InputFunctions.Utility_DisplayArrayInTable(Fuel_SourceData.Fuel_Scope1Scope3EmissionFactorsStationaryLiquid_Data(), Table_Fuel_EFs_StationaryLiquid[[#Headers],[Fuel combusted]],0)</f>
        <v>69.930000000000007</v>
      </c>
      <c r="K66" s="27" cm="1">
        <f t="array" ref="K66">Common_InputFunctions.Utility_DisplayArrayInTable(Fuel_SourceData.Fuel_Scope1Scope3EmissionFactorsStationaryLiquid_Data(), Table_Fuel_EFs_StationaryLiquid[[#Headers],[Fuel combusted]],0)</f>
        <v>18</v>
      </c>
      <c r="L66" s="17"/>
    </row>
    <row r="67" spans="4:13" ht="20.100000000000001" customHeight="1" x14ac:dyDescent="0.25">
      <c r="D67" s="27" t="str" cm="1">
        <f t="array" ref="D67">Common_InputFunctions.Utility_DisplayArrayInTable(Fuel_SourceData.Fuel_Scope1Scope3EmissionFactorsStationaryLiquid_Data(), Table_Fuel_EFs_StationaryLiquid[[#Headers],[Fuel combusted]],0)</f>
        <v>Liquefied petroleum gas (LPG)</v>
      </c>
      <c r="E67" s="27" cm="1">
        <f t="array" ref="E67">Common_InputFunctions.Utility_DisplayArrayInTable(Fuel_SourceData.Fuel_Scope1Scope3EmissionFactorsStationaryLiquid_Data(), Table_Fuel_EFs_StationaryLiquid[[#Headers],[Fuel combusted]],0)</f>
        <v>25.7</v>
      </c>
      <c r="F67" s="27" t="str" cm="1">
        <f t="array" ref="F67">Common_InputFunctions.Utility_DisplayArrayInTable(Fuel_SourceData.Fuel_Scope1Scope3EmissionFactorsStationaryLiquid_Data(), Table_Fuel_EFs_StationaryLiquid[[#Headers],[Fuel combusted]],0)</f>
        <v>kL</v>
      </c>
      <c r="G67" s="27" cm="1">
        <f t="array" ref="G67">Common_InputFunctions.Utility_DisplayArrayInTable(Fuel_SourceData.Fuel_Scope1Scope3EmissionFactorsStationaryLiquid_Data(), Table_Fuel_EFs_StationaryLiquid[[#Headers],[Fuel combusted]],0)</f>
        <v>60.2</v>
      </c>
      <c r="H67" s="27" cm="1">
        <f t="array" ref="H67">Common_InputFunctions.Utility_DisplayArrayInTable(Fuel_SourceData.Fuel_Scope1Scope3EmissionFactorsStationaryLiquid_Data(), Table_Fuel_EFs_StationaryLiquid[[#Headers],[Fuel combusted]],0)</f>
        <v>0.2</v>
      </c>
      <c r="I67" s="27" cm="1">
        <f t="array" ref="I67">Common_InputFunctions.Utility_DisplayArrayInTable(Fuel_SourceData.Fuel_Scope1Scope3EmissionFactorsStationaryLiquid_Data(), Table_Fuel_EFs_StationaryLiquid[[#Headers],[Fuel combusted]],0)</f>
        <v>0.2</v>
      </c>
      <c r="J67" s="27" cm="1">
        <f t="array" ref="J67">Common_InputFunctions.Utility_DisplayArrayInTable(Fuel_SourceData.Fuel_Scope1Scope3EmissionFactorsStationaryLiquid_Data(), Table_Fuel_EFs_StationaryLiquid[[#Headers],[Fuel combusted]],0)</f>
        <v>60.6</v>
      </c>
      <c r="K67" s="27" cm="1">
        <f t="array" ref="K67">Common_InputFunctions.Utility_DisplayArrayInTable(Fuel_SourceData.Fuel_Scope1Scope3EmissionFactorsStationaryLiquid_Data(), Table_Fuel_EFs_StationaryLiquid[[#Headers],[Fuel combusted]],0)</f>
        <v>20.2</v>
      </c>
      <c r="L67" s="17"/>
    </row>
    <row r="68" spans="4:13" ht="20.100000000000001" customHeight="1" x14ac:dyDescent="0.25">
      <c r="D68" s="27" t="str" cm="1">
        <f t="array" ref="D68">Common_InputFunctions.Utility_DisplayArrayInTable(Fuel_SourceData.Fuel_Scope1Scope3EmissionFactorsStationaryLiquid_Data(), Table_Fuel_EFs_StationaryLiquid[[#Headers],[Fuel combusted]],0)</f>
        <v>Naphtha</v>
      </c>
      <c r="E68" s="27" cm="1">
        <f t="array" ref="E68">Common_InputFunctions.Utility_DisplayArrayInTable(Fuel_SourceData.Fuel_Scope1Scope3EmissionFactorsStationaryLiquid_Data(), Table_Fuel_EFs_StationaryLiquid[[#Headers],[Fuel combusted]],0)</f>
        <v>31.4</v>
      </c>
      <c r="F68" s="27" t="str" cm="1">
        <f t="array" ref="F68">Common_InputFunctions.Utility_DisplayArrayInTable(Fuel_SourceData.Fuel_Scope1Scope3EmissionFactorsStationaryLiquid_Data(), Table_Fuel_EFs_StationaryLiquid[[#Headers],[Fuel combusted]],0)</f>
        <v>kL</v>
      </c>
      <c r="G68" s="27" cm="1">
        <f t="array" ref="G68">Common_InputFunctions.Utility_DisplayArrayInTable(Fuel_SourceData.Fuel_Scope1Scope3EmissionFactorsStationaryLiquid_Data(), Table_Fuel_EFs_StationaryLiquid[[#Headers],[Fuel combusted]],0)</f>
        <v>69.8</v>
      </c>
      <c r="H68" s="27" cm="1">
        <f t="array" ref="H68">Common_InputFunctions.Utility_DisplayArrayInTable(Fuel_SourceData.Fuel_Scope1Scope3EmissionFactorsStationaryLiquid_Data(), Table_Fuel_EFs_StationaryLiquid[[#Headers],[Fuel combusted]],0)</f>
        <v>0.01</v>
      </c>
      <c r="I68" s="27" cm="1">
        <f t="array" ref="I68">Common_InputFunctions.Utility_DisplayArrayInTable(Fuel_SourceData.Fuel_Scope1Scope3EmissionFactorsStationaryLiquid_Data(), Table_Fuel_EFs_StationaryLiquid[[#Headers],[Fuel combusted]],0)</f>
        <v>0.01</v>
      </c>
      <c r="J68" s="27" cm="1">
        <f t="array" ref="J68">Common_InputFunctions.Utility_DisplayArrayInTable(Fuel_SourceData.Fuel_Scope1Scope3EmissionFactorsStationaryLiquid_Data(), Table_Fuel_EFs_StationaryLiquid[[#Headers],[Fuel combusted]],0)</f>
        <v>69.819999999999993</v>
      </c>
      <c r="K68" s="27" cm="1">
        <f t="array" ref="K68">Common_InputFunctions.Utility_DisplayArrayInTable(Fuel_SourceData.Fuel_Scope1Scope3EmissionFactorsStationaryLiquid_Data(), Table_Fuel_EFs_StationaryLiquid[[#Headers],[Fuel combusted]],0)</f>
        <v>18</v>
      </c>
      <c r="L68" s="17"/>
    </row>
    <row r="69" spans="4:13" ht="20.100000000000001" customHeight="1" x14ac:dyDescent="0.25">
      <c r="D69" s="27" t="str" cm="1">
        <f t="array" ref="D69">Common_InputFunctions.Utility_DisplayArrayInTable(Fuel_SourceData.Fuel_Scope1Scope3EmissionFactorsStationaryLiquid_Data(), Table_Fuel_EFs_StationaryLiquid[[#Headers],[Fuel combusted]],0)</f>
        <v>Petroleum coke</v>
      </c>
      <c r="E69" s="27" cm="1">
        <f t="array" ref="E69">Common_InputFunctions.Utility_DisplayArrayInTable(Fuel_SourceData.Fuel_Scope1Scope3EmissionFactorsStationaryLiquid_Data(), Table_Fuel_EFs_StationaryLiquid[[#Headers],[Fuel combusted]],0)</f>
        <v>34.200000000000003</v>
      </c>
      <c r="F69" s="27" t="str" cm="1">
        <f t="array" ref="F69">Common_InputFunctions.Utility_DisplayArrayInTable(Fuel_SourceData.Fuel_Scope1Scope3EmissionFactorsStationaryLiquid_Data(), Table_Fuel_EFs_StationaryLiquid[[#Headers],[Fuel combusted]],0)</f>
        <v>t</v>
      </c>
      <c r="G69" s="27" cm="1">
        <f t="array" ref="G69">Common_InputFunctions.Utility_DisplayArrayInTable(Fuel_SourceData.Fuel_Scope1Scope3EmissionFactorsStationaryLiquid_Data(), Table_Fuel_EFs_StationaryLiquid[[#Headers],[Fuel combusted]],0)</f>
        <v>92.6</v>
      </c>
      <c r="H69" s="27" cm="1">
        <f t="array" ref="H69">Common_InputFunctions.Utility_DisplayArrayInTable(Fuel_SourceData.Fuel_Scope1Scope3EmissionFactorsStationaryLiquid_Data(), Table_Fuel_EFs_StationaryLiquid[[#Headers],[Fuel combusted]],0)</f>
        <v>0.08</v>
      </c>
      <c r="I69" s="27" cm="1">
        <f t="array" ref="I69">Common_InputFunctions.Utility_DisplayArrayInTable(Fuel_SourceData.Fuel_Scope1Scope3EmissionFactorsStationaryLiquid_Data(), Table_Fuel_EFs_StationaryLiquid[[#Headers],[Fuel combusted]],0)</f>
        <v>0.2</v>
      </c>
      <c r="J69" s="27" cm="1">
        <f t="array" ref="J69">Common_InputFunctions.Utility_DisplayArrayInTable(Fuel_SourceData.Fuel_Scope1Scope3EmissionFactorsStationaryLiquid_Data(), Table_Fuel_EFs_StationaryLiquid[[#Headers],[Fuel combusted]],0)</f>
        <v>92.88</v>
      </c>
      <c r="K69" s="27" cm="1">
        <f t="array" ref="K69">Common_InputFunctions.Utility_DisplayArrayInTable(Fuel_SourceData.Fuel_Scope1Scope3EmissionFactorsStationaryLiquid_Data(), Table_Fuel_EFs_StationaryLiquid[[#Headers],[Fuel combusted]],0)</f>
        <v>18</v>
      </c>
      <c r="L69" s="17"/>
    </row>
    <row r="70" spans="4:13" ht="20.100000000000001" customHeight="1" x14ac:dyDescent="0.25">
      <c r="D70" s="27" t="str" cm="1">
        <f t="array" ref="D70">Common_InputFunctions.Utility_DisplayArrayInTable(Fuel_SourceData.Fuel_Scope1Scope3EmissionFactorsStationaryLiquid_Data(), Table_Fuel_EFs_StationaryLiquid[[#Headers],[Fuel combusted]],0)</f>
        <v>Refinery gas and liquids</v>
      </c>
      <c r="E70" s="27" cm="1">
        <f t="array" ref="E70">Common_InputFunctions.Utility_DisplayArrayInTable(Fuel_SourceData.Fuel_Scope1Scope3EmissionFactorsStationaryLiquid_Data(), Table_Fuel_EFs_StationaryLiquid[[#Headers],[Fuel combusted]],0)</f>
        <v>42.9</v>
      </c>
      <c r="F70" s="27" t="str" cm="1">
        <f t="array" ref="F70">Common_InputFunctions.Utility_DisplayArrayInTable(Fuel_SourceData.Fuel_Scope1Scope3EmissionFactorsStationaryLiquid_Data(), Table_Fuel_EFs_StationaryLiquid[[#Headers],[Fuel combusted]],0)</f>
        <v>t</v>
      </c>
      <c r="G70" s="27" cm="1">
        <f t="array" ref="G70">Common_InputFunctions.Utility_DisplayArrayInTable(Fuel_SourceData.Fuel_Scope1Scope3EmissionFactorsStationaryLiquid_Data(), Table_Fuel_EFs_StationaryLiquid[[#Headers],[Fuel combusted]],0)</f>
        <v>54.7</v>
      </c>
      <c r="H70" s="27" cm="1">
        <f t="array" ref="H70">Common_InputFunctions.Utility_DisplayArrayInTable(Fuel_SourceData.Fuel_Scope1Scope3EmissionFactorsStationaryLiquid_Data(), Table_Fuel_EFs_StationaryLiquid[[#Headers],[Fuel combusted]],0)</f>
        <v>0.03</v>
      </c>
      <c r="I70" s="27" cm="1">
        <f t="array" ref="I70">Common_InputFunctions.Utility_DisplayArrayInTable(Fuel_SourceData.Fuel_Scope1Scope3EmissionFactorsStationaryLiquid_Data(), Table_Fuel_EFs_StationaryLiquid[[#Headers],[Fuel combusted]],0)</f>
        <v>0.03</v>
      </c>
      <c r="J70" s="27" cm="1">
        <f t="array" ref="J70">Common_InputFunctions.Utility_DisplayArrayInTable(Fuel_SourceData.Fuel_Scope1Scope3EmissionFactorsStationaryLiquid_Data(), Table_Fuel_EFs_StationaryLiquid[[#Headers],[Fuel combusted]],0)</f>
        <v>54.76</v>
      </c>
      <c r="K70" s="27" cm="1">
        <f t="array" ref="K70">Common_InputFunctions.Utility_DisplayArrayInTable(Fuel_SourceData.Fuel_Scope1Scope3EmissionFactorsStationaryLiquid_Data(), Table_Fuel_EFs_StationaryLiquid[[#Headers],[Fuel combusted]],0)</f>
        <v>18</v>
      </c>
      <c r="L70" s="17"/>
    </row>
    <row r="71" spans="4:13" ht="20.100000000000001" customHeight="1" x14ac:dyDescent="0.25">
      <c r="D71" s="27" t="str" cm="1">
        <f t="array" ref="D71">Common_InputFunctions.Utility_DisplayArrayInTable(Fuel_SourceData.Fuel_Scope1Scope3EmissionFactorsStationaryLiquid_Data(), Table_Fuel_EFs_StationaryLiquid[[#Headers],[Fuel combusted]],0)</f>
        <v>Refinery coke</v>
      </c>
      <c r="E71" s="27" cm="1">
        <f t="array" ref="E71">Common_InputFunctions.Utility_DisplayArrayInTable(Fuel_SourceData.Fuel_Scope1Scope3EmissionFactorsStationaryLiquid_Data(), Table_Fuel_EFs_StationaryLiquid[[#Headers],[Fuel combusted]],0)</f>
        <v>34.200000000000003</v>
      </c>
      <c r="F71" s="27" t="str" cm="1">
        <f t="array" ref="F71">Common_InputFunctions.Utility_DisplayArrayInTable(Fuel_SourceData.Fuel_Scope1Scope3EmissionFactorsStationaryLiquid_Data(), Table_Fuel_EFs_StationaryLiquid[[#Headers],[Fuel combusted]],0)</f>
        <v>t</v>
      </c>
      <c r="G71" s="27" cm="1">
        <f t="array" ref="G71">Common_InputFunctions.Utility_DisplayArrayInTable(Fuel_SourceData.Fuel_Scope1Scope3EmissionFactorsStationaryLiquid_Data(), Table_Fuel_EFs_StationaryLiquid[[#Headers],[Fuel combusted]],0)</f>
        <v>92.6</v>
      </c>
      <c r="H71" s="27" cm="1">
        <f t="array" ref="H71">Common_InputFunctions.Utility_DisplayArrayInTable(Fuel_SourceData.Fuel_Scope1Scope3EmissionFactorsStationaryLiquid_Data(), Table_Fuel_EFs_StationaryLiquid[[#Headers],[Fuel combusted]],0)</f>
        <v>0.08</v>
      </c>
      <c r="I71" s="27" cm="1">
        <f t="array" ref="I71">Common_InputFunctions.Utility_DisplayArrayInTable(Fuel_SourceData.Fuel_Scope1Scope3EmissionFactorsStationaryLiquid_Data(), Table_Fuel_EFs_StationaryLiquid[[#Headers],[Fuel combusted]],0)</f>
        <v>0.2</v>
      </c>
      <c r="J71" s="27" cm="1">
        <f t="array" ref="J71">Common_InputFunctions.Utility_DisplayArrayInTable(Fuel_SourceData.Fuel_Scope1Scope3EmissionFactorsStationaryLiquid_Data(), Table_Fuel_EFs_StationaryLiquid[[#Headers],[Fuel combusted]],0)</f>
        <v>92.88</v>
      </c>
      <c r="K71" s="27" cm="1">
        <f t="array" ref="K71">Common_InputFunctions.Utility_DisplayArrayInTable(Fuel_SourceData.Fuel_Scope1Scope3EmissionFactorsStationaryLiquid_Data(), Table_Fuel_EFs_StationaryLiquid[[#Headers],[Fuel combusted]],0)</f>
        <v>18</v>
      </c>
      <c r="L71" s="17"/>
    </row>
    <row r="72" spans="4:13" ht="20.100000000000001" customHeight="1" x14ac:dyDescent="0.25">
      <c r="D72" s="27" t="str" cm="1">
        <f t="array" ref="D72">Common_InputFunctions.Utility_DisplayArrayInTable(Fuel_SourceData.Fuel_Scope1Scope3EmissionFactorsStationaryLiquid_Data(), Table_Fuel_EFs_StationaryLiquid[[#Headers],[Fuel combusted]],0)</f>
        <v>Petroleum based products other than mentioned in the items above</v>
      </c>
      <c r="E72" s="27" cm="1">
        <f t="array" ref="E72">Common_InputFunctions.Utility_DisplayArrayInTable(Fuel_SourceData.Fuel_Scope1Scope3EmissionFactorsStationaryLiquid_Data(), Table_Fuel_EFs_StationaryLiquid[[#Headers],[Fuel combusted]],0)</f>
        <v>34.4</v>
      </c>
      <c r="F72" s="27" t="str" cm="1">
        <f t="array" ref="F72">Common_InputFunctions.Utility_DisplayArrayInTable(Fuel_SourceData.Fuel_Scope1Scope3EmissionFactorsStationaryLiquid_Data(), Table_Fuel_EFs_StationaryLiquid[[#Headers],[Fuel combusted]],0)</f>
        <v>kL</v>
      </c>
      <c r="G72" s="27" cm="1">
        <f t="array" ref="G72">Common_InputFunctions.Utility_DisplayArrayInTable(Fuel_SourceData.Fuel_Scope1Scope3EmissionFactorsStationaryLiquid_Data(), Table_Fuel_EFs_StationaryLiquid[[#Headers],[Fuel combusted]],0)</f>
        <v>69.8</v>
      </c>
      <c r="H72" s="27" cm="1">
        <f t="array" ref="H72">Common_InputFunctions.Utility_DisplayArrayInTable(Fuel_SourceData.Fuel_Scope1Scope3EmissionFactorsStationaryLiquid_Data(), Table_Fuel_EFs_StationaryLiquid[[#Headers],[Fuel combusted]],0)</f>
        <v>0.02</v>
      </c>
      <c r="I72" s="27" cm="1">
        <f t="array" ref="I72">Common_InputFunctions.Utility_DisplayArrayInTable(Fuel_SourceData.Fuel_Scope1Scope3EmissionFactorsStationaryLiquid_Data(), Table_Fuel_EFs_StationaryLiquid[[#Headers],[Fuel combusted]],0)</f>
        <v>0.1</v>
      </c>
      <c r="J72" s="27" cm="1">
        <f t="array" ref="J72">Common_InputFunctions.Utility_DisplayArrayInTable(Fuel_SourceData.Fuel_Scope1Scope3EmissionFactorsStationaryLiquid_Data(), Table_Fuel_EFs_StationaryLiquid[[#Headers],[Fuel combusted]],0)</f>
        <v>69.92</v>
      </c>
      <c r="K72" s="27" cm="1">
        <f t="array" ref="K72">Common_InputFunctions.Utility_DisplayArrayInTable(Fuel_SourceData.Fuel_Scope1Scope3EmissionFactorsStationaryLiquid_Data(), Table_Fuel_EFs_StationaryLiquid[[#Headers],[Fuel combusted]],0)</f>
        <v>18</v>
      </c>
      <c r="L72" s="17"/>
    </row>
    <row r="73" spans="4:13" ht="20.100000000000001" customHeight="1" x14ac:dyDescent="0.25">
      <c r="D73" s="27" t="str" cm="1">
        <f t="array" ref="D73">Common_InputFunctions.Utility_DisplayArrayInTable(Fuel_SourceData.Fuel_Scope1Scope3EmissionFactorsStationaryLiquid_Data(), Table_Fuel_EFs_StationaryLiquid[[#Headers],[Fuel combusted]],0)</f>
        <v>Biodiesel</v>
      </c>
      <c r="E73" s="27" cm="1">
        <f t="array" ref="E73">Common_InputFunctions.Utility_DisplayArrayInTable(Fuel_SourceData.Fuel_Scope1Scope3EmissionFactorsStationaryLiquid_Data(), Table_Fuel_EFs_StationaryLiquid[[#Headers],[Fuel combusted]],0)</f>
        <v>34.6</v>
      </c>
      <c r="F73" s="27" t="str" cm="1">
        <f t="array" ref="F73">Common_InputFunctions.Utility_DisplayArrayInTable(Fuel_SourceData.Fuel_Scope1Scope3EmissionFactorsStationaryLiquid_Data(), Table_Fuel_EFs_StationaryLiquid[[#Headers],[Fuel combusted]],0)</f>
        <v>kL</v>
      </c>
      <c r="G73" s="27" cm="1">
        <f t="array" ref="G73">Common_InputFunctions.Utility_DisplayArrayInTable(Fuel_SourceData.Fuel_Scope1Scope3EmissionFactorsStationaryLiquid_Data(), Table_Fuel_EFs_StationaryLiquid[[#Headers],[Fuel combusted]],0)</f>
        <v>0</v>
      </c>
      <c r="H73" s="27" cm="1">
        <f t="array" ref="H73">Common_InputFunctions.Utility_DisplayArrayInTable(Fuel_SourceData.Fuel_Scope1Scope3EmissionFactorsStationaryLiquid_Data(), Table_Fuel_EFs_StationaryLiquid[[#Headers],[Fuel combusted]],0)</f>
        <v>0.08</v>
      </c>
      <c r="I73" s="27" cm="1">
        <f t="array" ref="I73">Common_InputFunctions.Utility_DisplayArrayInTable(Fuel_SourceData.Fuel_Scope1Scope3EmissionFactorsStationaryLiquid_Data(), Table_Fuel_EFs_StationaryLiquid[[#Headers],[Fuel combusted]],0)</f>
        <v>0.2</v>
      </c>
      <c r="J73" s="27" cm="1">
        <f t="array" ref="J73">Common_InputFunctions.Utility_DisplayArrayInTable(Fuel_SourceData.Fuel_Scope1Scope3EmissionFactorsStationaryLiquid_Data(), Table_Fuel_EFs_StationaryLiquid[[#Headers],[Fuel combusted]],0)</f>
        <v>0.28000000000000003</v>
      </c>
      <c r="K73" s="27" t="str" cm="1">
        <f t="array" ref="K73">Common_InputFunctions.Utility_DisplayArrayInTable(Fuel_SourceData.Fuel_Scope1Scope3EmissionFactorsStationaryLiquid_Data(), Table_Fuel_EFs_StationaryLiquid[[#Headers],[Fuel combusted]],0)</f>
        <v>NE</v>
      </c>
      <c r="L73" s="17"/>
    </row>
    <row r="74" spans="4:13" ht="20.100000000000001" customHeight="1" x14ac:dyDescent="0.25">
      <c r="D74" s="27" t="str" cm="1">
        <f t="array" ref="D74">Common_InputFunctions.Utility_DisplayArrayInTable(Fuel_SourceData.Fuel_Scope1Scope3EmissionFactorsStationaryLiquid_Data(), Table_Fuel_EFs_StationaryLiquid[[#Headers],[Fuel combusted]],0)</f>
        <v>Ethanol for use as a fuel in an internal combustion engine</v>
      </c>
      <c r="E74" s="27" cm="1">
        <f t="array" ref="E74">Common_InputFunctions.Utility_DisplayArrayInTable(Fuel_SourceData.Fuel_Scope1Scope3EmissionFactorsStationaryLiquid_Data(), Table_Fuel_EFs_StationaryLiquid[[#Headers],[Fuel combusted]],0)</f>
        <v>23.4</v>
      </c>
      <c r="F74" s="27" t="str" cm="1">
        <f t="array" ref="F74">Common_InputFunctions.Utility_DisplayArrayInTable(Fuel_SourceData.Fuel_Scope1Scope3EmissionFactorsStationaryLiquid_Data(), Table_Fuel_EFs_StationaryLiquid[[#Headers],[Fuel combusted]],0)</f>
        <v>kL</v>
      </c>
      <c r="G74" s="27" cm="1">
        <f t="array" ref="G74">Common_InputFunctions.Utility_DisplayArrayInTable(Fuel_SourceData.Fuel_Scope1Scope3EmissionFactorsStationaryLiquid_Data(), Table_Fuel_EFs_StationaryLiquid[[#Headers],[Fuel combusted]],0)</f>
        <v>0</v>
      </c>
      <c r="H74" s="27" cm="1">
        <f t="array" ref="H74">Common_InputFunctions.Utility_DisplayArrayInTable(Fuel_SourceData.Fuel_Scope1Scope3EmissionFactorsStationaryLiquid_Data(), Table_Fuel_EFs_StationaryLiquid[[#Headers],[Fuel combusted]],0)</f>
        <v>0.08</v>
      </c>
      <c r="I74" s="27" cm="1">
        <f t="array" ref="I74">Common_InputFunctions.Utility_DisplayArrayInTable(Fuel_SourceData.Fuel_Scope1Scope3EmissionFactorsStationaryLiquid_Data(), Table_Fuel_EFs_StationaryLiquid[[#Headers],[Fuel combusted]],0)</f>
        <v>0.2</v>
      </c>
      <c r="J74" s="27" cm="1">
        <f t="array" ref="J74">Common_InputFunctions.Utility_DisplayArrayInTable(Fuel_SourceData.Fuel_Scope1Scope3EmissionFactorsStationaryLiquid_Data(), Table_Fuel_EFs_StationaryLiquid[[#Headers],[Fuel combusted]],0)</f>
        <v>0.28000000000000003</v>
      </c>
      <c r="K74" s="27" t="str" cm="1">
        <f t="array" ref="K74">Common_InputFunctions.Utility_DisplayArrayInTable(Fuel_SourceData.Fuel_Scope1Scope3EmissionFactorsStationaryLiquid_Data(), Table_Fuel_EFs_StationaryLiquid[[#Headers],[Fuel combusted]],0)</f>
        <v>NE</v>
      </c>
      <c r="L74" s="17"/>
    </row>
    <row r="75" spans="4:13" ht="20.100000000000001" customHeight="1" x14ac:dyDescent="0.25">
      <c r="D75" s="27" t="str" cm="1">
        <f t="array" ref="D75">Common_InputFunctions.Utility_DisplayArrayInTable(Fuel_SourceData.Fuel_Scope1Scope3EmissionFactorsStationaryLiquid_Data(), Table_Fuel_EFs_StationaryLiquid[[#Headers],[Fuel combusted]],0)</f>
        <v>Biofuels other than those mentioned in the items above and below</v>
      </c>
      <c r="E75" s="27" cm="1">
        <f t="array" ref="E75">Common_InputFunctions.Utility_DisplayArrayInTable(Fuel_SourceData.Fuel_Scope1Scope3EmissionFactorsStationaryLiquid_Data(), Table_Fuel_EFs_StationaryLiquid[[#Headers],[Fuel combusted]],0)</f>
        <v>23.4</v>
      </c>
      <c r="F75" s="27" t="str" cm="1">
        <f t="array" ref="F75">Common_InputFunctions.Utility_DisplayArrayInTable(Fuel_SourceData.Fuel_Scope1Scope3EmissionFactorsStationaryLiquid_Data(), Table_Fuel_EFs_StationaryLiquid[[#Headers],[Fuel combusted]],0)</f>
        <v>kL</v>
      </c>
      <c r="G75" s="27" cm="1">
        <f t="array" ref="G75">Common_InputFunctions.Utility_DisplayArrayInTable(Fuel_SourceData.Fuel_Scope1Scope3EmissionFactorsStationaryLiquid_Data(), Table_Fuel_EFs_StationaryLiquid[[#Headers],[Fuel combusted]],0)</f>
        <v>0</v>
      </c>
      <c r="H75" s="27" cm="1">
        <f t="array" ref="H75">Common_InputFunctions.Utility_DisplayArrayInTable(Fuel_SourceData.Fuel_Scope1Scope3EmissionFactorsStationaryLiquid_Data(), Table_Fuel_EFs_StationaryLiquid[[#Headers],[Fuel combusted]],0)</f>
        <v>0.08</v>
      </c>
      <c r="I75" s="27" cm="1">
        <f t="array" ref="I75">Common_InputFunctions.Utility_DisplayArrayInTable(Fuel_SourceData.Fuel_Scope1Scope3EmissionFactorsStationaryLiquid_Data(), Table_Fuel_EFs_StationaryLiquid[[#Headers],[Fuel combusted]],0)</f>
        <v>0.2</v>
      </c>
      <c r="J75" s="27" cm="1">
        <f t="array" ref="J75">Common_InputFunctions.Utility_DisplayArrayInTable(Fuel_SourceData.Fuel_Scope1Scope3EmissionFactorsStationaryLiquid_Data(), Table_Fuel_EFs_StationaryLiquid[[#Headers],[Fuel combusted]],0)</f>
        <v>0.28000000000000003</v>
      </c>
      <c r="K75" s="27" t="str" cm="1">
        <f t="array" ref="K75">Common_InputFunctions.Utility_DisplayArrayInTable(Fuel_SourceData.Fuel_Scope1Scope3EmissionFactorsStationaryLiquid_Data(), Table_Fuel_EFs_StationaryLiquid[[#Headers],[Fuel combusted]],0)</f>
        <v>NE</v>
      </c>
      <c r="L75" s="17"/>
    </row>
    <row r="76" spans="4:13" ht="20.100000000000001" customHeight="1" x14ac:dyDescent="0.25">
      <c r="D76" s="27" t="str" cm="1">
        <f t="array" ref="D76">Common_InputFunctions.Utility_DisplayArrayInTable(Fuel_SourceData.Fuel_Scope1Scope3EmissionFactorsStationaryLiquid_Data(), Table_Fuel_EFs_StationaryLiquid[[#Headers],[Fuel combusted]],0)</f>
        <v>Renewable aviation kerosene</v>
      </c>
      <c r="E76" s="27" cm="1">
        <f t="array" ref="E76">Common_InputFunctions.Utility_DisplayArrayInTable(Fuel_SourceData.Fuel_Scope1Scope3EmissionFactorsStationaryLiquid_Data(), Table_Fuel_EFs_StationaryLiquid[[#Headers],[Fuel combusted]],0)</f>
        <v>36.799999999999997</v>
      </c>
      <c r="F76" s="27" t="str" cm="1">
        <f t="array" ref="F76">Common_InputFunctions.Utility_DisplayArrayInTable(Fuel_SourceData.Fuel_Scope1Scope3EmissionFactorsStationaryLiquid_Data(), Table_Fuel_EFs_StationaryLiquid[[#Headers],[Fuel combusted]],0)</f>
        <v>kL</v>
      </c>
      <c r="G76" s="27" cm="1">
        <f t="array" ref="G76">Common_InputFunctions.Utility_DisplayArrayInTable(Fuel_SourceData.Fuel_Scope1Scope3EmissionFactorsStationaryLiquid_Data(), Table_Fuel_EFs_StationaryLiquid[[#Headers],[Fuel combusted]],0)</f>
        <v>0</v>
      </c>
      <c r="H76" s="27" cm="1">
        <f t="array" ref="H76">Common_InputFunctions.Utility_DisplayArrayInTable(Fuel_SourceData.Fuel_Scope1Scope3EmissionFactorsStationaryLiquid_Data(), Table_Fuel_EFs_StationaryLiquid[[#Headers],[Fuel combusted]],0)</f>
        <v>0.02</v>
      </c>
      <c r="I76" s="27" cm="1">
        <f t="array" ref="I76">Common_InputFunctions.Utility_DisplayArrayInTable(Fuel_SourceData.Fuel_Scope1Scope3EmissionFactorsStationaryLiquid_Data(), Table_Fuel_EFs_StationaryLiquid[[#Headers],[Fuel combusted]],0)</f>
        <v>0.2</v>
      </c>
      <c r="J76" s="27" cm="1">
        <f t="array" ref="J76">Common_InputFunctions.Utility_DisplayArrayInTable(Fuel_SourceData.Fuel_Scope1Scope3EmissionFactorsStationaryLiquid_Data(), Table_Fuel_EFs_StationaryLiquid[[#Headers],[Fuel combusted]],0)</f>
        <v>0.22</v>
      </c>
      <c r="K76" s="27" t="str" cm="1">
        <f t="array" ref="K76">Common_InputFunctions.Utility_DisplayArrayInTable(Fuel_SourceData.Fuel_Scope1Scope3EmissionFactorsStationaryLiquid_Data(), Table_Fuel_EFs_StationaryLiquid[[#Headers],[Fuel combusted]],0)</f>
        <v>NE</v>
      </c>
      <c r="L76" s="17"/>
    </row>
    <row r="77" spans="4:13" ht="20.100000000000001" customHeight="1" x14ac:dyDescent="0.25">
      <c r="D77" s="27" t="str" cm="1">
        <f t="array" ref="D77">Common_InputFunctions.Utility_DisplayArrayInTable(Fuel_SourceData.Fuel_Scope1Scope3EmissionFactorsStationaryLiquid_Data(), Table_Fuel_EFs_StationaryLiquid[[#Headers],[Fuel combusted]],0)</f>
        <v>Renewable diesel</v>
      </c>
      <c r="E77" s="27" cm="1">
        <f t="array" ref="E77">Common_InputFunctions.Utility_DisplayArrayInTable(Fuel_SourceData.Fuel_Scope1Scope3EmissionFactorsStationaryLiquid_Data(), Table_Fuel_EFs_StationaryLiquid[[#Headers],[Fuel combusted]],0)</f>
        <v>38.6</v>
      </c>
      <c r="F77" s="27" t="str" cm="1">
        <f t="array" ref="F77">Common_InputFunctions.Utility_DisplayArrayInTable(Fuel_SourceData.Fuel_Scope1Scope3EmissionFactorsStationaryLiquid_Data(), Table_Fuel_EFs_StationaryLiquid[[#Headers],[Fuel combusted]],0)</f>
        <v>kL</v>
      </c>
      <c r="G77" s="27" cm="1">
        <f t="array" ref="G77">Common_InputFunctions.Utility_DisplayArrayInTable(Fuel_SourceData.Fuel_Scope1Scope3EmissionFactorsStationaryLiquid_Data(), Table_Fuel_EFs_StationaryLiquid[[#Headers],[Fuel combusted]],0)</f>
        <v>0</v>
      </c>
      <c r="H77" s="27" cm="1">
        <f t="array" ref="H77">Common_InputFunctions.Utility_DisplayArrayInTable(Fuel_SourceData.Fuel_Scope1Scope3EmissionFactorsStationaryLiquid_Data(), Table_Fuel_EFs_StationaryLiquid[[#Headers],[Fuel combusted]],0)</f>
        <v>0.1</v>
      </c>
      <c r="I77" s="27" cm="1">
        <f t="array" ref="I77">Common_InputFunctions.Utility_DisplayArrayInTable(Fuel_SourceData.Fuel_Scope1Scope3EmissionFactorsStationaryLiquid_Data(), Table_Fuel_EFs_StationaryLiquid[[#Headers],[Fuel combusted]],0)</f>
        <v>0.2</v>
      </c>
      <c r="J77" s="27" cm="1">
        <f t="array" ref="J77">Common_InputFunctions.Utility_DisplayArrayInTable(Fuel_SourceData.Fuel_Scope1Scope3EmissionFactorsStationaryLiquid_Data(), Table_Fuel_EFs_StationaryLiquid[[#Headers],[Fuel combusted]],0)</f>
        <v>0.3</v>
      </c>
      <c r="K77" s="27" t="str" cm="1">
        <f t="array" ref="K77">Common_InputFunctions.Utility_DisplayArrayInTable(Fuel_SourceData.Fuel_Scope1Scope3EmissionFactorsStationaryLiquid_Data(), Table_Fuel_EFs_StationaryLiquid[[#Headers],[Fuel combusted]],0)</f>
        <v>NE</v>
      </c>
      <c r="L77" s="17"/>
    </row>
    <row r="78" spans="4:13" ht="20.100000000000001" customHeight="1" x14ac:dyDescent="0.25">
      <c r="D78" s="17"/>
      <c r="E78" s="17"/>
      <c r="F78" s="17"/>
      <c r="G78" s="17"/>
      <c r="H78" s="17"/>
      <c r="I78" s="17"/>
      <c r="J78" s="17"/>
      <c r="K78" s="17"/>
      <c r="L78" s="17"/>
    </row>
    <row r="79" spans="4:13" ht="20.100000000000001" customHeight="1" x14ac:dyDescent="0.25">
      <c r="D79" s="17"/>
      <c r="E79" s="17"/>
      <c r="F79" s="17"/>
      <c r="G79" s="17"/>
      <c r="H79" s="17"/>
      <c r="I79" s="17"/>
      <c r="J79" s="17"/>
      <c r="K79" s="17"/>
      <c r="L79" s="17"/>
      <c r="M79" s="17"/>
    </row>
    <row r="80" spans="4:13" ht="20.100000000000001" customHeight="1" x14ac:dyDescent="0.25">
      <c r="D80" s="17"/>
      <c r="E80" s="17"/>
      <c r="F80" s="17"/>
      <c r="G80" s="17"/>
      <c r="H80" s="17"/>
      <c r="I80" s="17"/>
      <c r="J80" s="17"/>
      <c r="K80" s="17"/>
      <c r="L80" s="17"/>
      <c r="M80" s="17"/>
    </row>
    <row r="81" spans="4:12" ht="20.100000000000001" customHeight="1" x14ac:dyDescent="0.25">
      <c r="D81" s="9" t="str" cm="1">
        <f t="array" ref="D81">Fuel_SourceData.Fuel_Scope1EmissionFactorsStationaryGaseous_Title()</f>
        <v>Fuel scope 1 emission factors - Stationary gaseous fuels</v>
      </c>
      <c r="E81" s="17"/>
      <c r="F81" s="17"/>
      <c r="G81" s="17"/>
      <c r="H81" s="17"/>
      <c r="I81" s="17"/>
      <c r="J81" s="17"/>
      <c r="K81" s="17"/>
      <c r="L81" s="17"/>
    </row>
    <row r="82" spans="4:12" ht="20.100000000000001" customHeight="1" x14ac:dyDescent="0.25">
      <c r="D82" s="8" t="str" cm="1">
        <f t="array" ref="D82">Fuel_SourceData.Fuel_Scope1EmissionFactorsStationaryGaseous_Description()</f>
        <v xml:space="preserve">Direct (Scope 1) emission factors for the consumption of gaseous fuels including liquefied natural gas  </v>
      </c>
      <c r="E82" s="17"/>
      <c r="F82" s="17"/>
      <c r="G82" s="17"/>
      <c r="H82" s="17"/>
      <c r="I82" s="17"/>
      <c r="J82" s="17"/>
      <c r="K82" s="17"/>
      <c r="L82" s="17"/>
    </row>
    <row r="83" spans="4:12" ht="20.100000000000001" customHeight="1" x14ac:dyDescent="0.25">
      <c r="D83" s="11" t="str" cm="1">
        <f t="array" ref="D83">Fuel_SourceData.Fuel_Scope1EmissionFactorsStationaryGaseous_Source()</f>
        <v>Australian National Greenhouse Accounts Factors 2025 - Table 5</v>
      </c>
      <c r="E83" s="17"/>
      <c r="F83" s="17"/>
      <c r="G83" s="17"/>
      <c r="H83" s="17"/>
      <c r="I83" s="17"/>
      <c r="J83" s="17"/>
      <c r="K83" s="17"/>
      <c r="L83" s="17"/>
    </row>
    <row r="84" spans="4:12" ht="20.100000000000001" customHeight="1" x14ac:dyDescent="0.25">
      <c r="D84" s="12"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
      <c r="F84" s="17"/>
      <c r="G84" s="17"/>
      <c r="H84" s="17"/>
      <c r="I84" s="17"/>
      <c r="J84" s="17"/>
      <c r="K84" s="17"/>
      <c r="L84" s="17"/>
    </row>
    <row r="85" spans="4:12" ht="20.100000000000001" customHeight="1" x14ac:dyDescent="0.25">
      <c r="D85" s="17"/>
      <c r="E85" s="17"/>
      <c r="F85" s="17"/>
      <c r="G85" s="17"/>
      <c r="H85" s="17"/>
      <c r="I85" s="17"/>
      <c r="J85" s="17"/>
      <c r="K85" s="17"/>
      <c r="L85" s="17"/>
    </row>
    <row r="86" spans="4:12" ht="20.100000000000001" customHeight="1" x14ac:dyDescent="0.25">
      <c r="D86" s="26" t="s">
        <v>69</v>
      </c>
      <c r="E86" s="20" t="s">
        <v>70</v>
      </c>
      <c r="F86" s="26" t="s">
        <v>71</v>
      </c>
      <c r="G86" s="20" t="s">
        <v>72</v>
      </c>
      <c r="H86" s="20" t="s">
        <v>73</v>
      </c>
      <c r="I86" s="20" t="s">
        <v>74</v>
      </c>
      <c r="J86" s="20" t="s">
        <v>75</v>
      </c>
      <c r="K86" s="17"/>
      <c r="L86" s="17"/>
    </row>
    <row r="87" spans="4:12" ht="20.100000000000001" customHeight="1" x14ac:dyDescent="0.25">
      <c r="D87" s="27" t="str" cm="1">
        <f t="array" ref="D87">Common_InputFunctions.Utility_DisplayArrayInTable(Fuel_SourceData.Fuel_Scope1EmissionFactorsStationaryGaseous_Data(), Table_Fuel_EFs_StationaryGaseous[[#Headers],[Fuel combusted]],0)</f>
        <v>Natural gas distributed in a pipeline</v>
      </c>
      <c r="E87" s="27" cm="1">
        <f t="array" ref="E87">Common_InputFunctions.Utility_DisplayArrayInTable(Fuel_SourceData.Fuel_Scope1EmissionFactorsStationaryGaseous_Data(), Table_Fuel_EFs_StationaryGaseous[[#Headers],[Fuel combusted]],0)</f>
        <v>3.9300000000000002E-2</v>
      </c>
      <c r="F87" s="27" t="str" cm="1">
        <f t="array" ref="F87">Common_InputFunctions.Utility_DisplayArrayInTable(Fuel_SourceData.Fuel_Scope1EmissionFactorsStationaryGaseous_Data(), Table_Fuel_EFs_StationaryGaseous[[#Headers],[Fuel combusted]],0)</f>
        <v>m3</v>
      </c>
      <c r="G87" s="27" cm="1">
        <f t="array" ref="G87">Common_InputFunctions.Utility_DisplayArrayInTable(Fuel_SourceData.Fuel_Scope1EmissionFactorsStationaryGaseous_Data(), Table_Fuel_EFs_StationaryGaseous[[#Headers],[Fuel combusted]],0)</f>
        <v>51.4</v>
      </c>
      <c r="H87" s="27" cm="1">
        <f t="array" ref="H87">Common_InputFunctions.Utility_DisplayArrayInTable(Fuel_SourceData.Fuel_Scope1EmissionFactorsStationaryGaseous_Data(), Table_Fuel_EFs_StationaryGaseous[[#Headers],[Fuel combusted]],0)</f>
        <v>0.1</v>
      </c>
      <c r="I87" s="27" cm="1">
        <f t="array" ref="I87">Common_InputFunctions.Utility_DisplayArrayInTable(Fuel_SourceData.Fuel_Scope1EmissionFactorsStationaryGaseous_Data(), Table_Fuel_EFs_StationaryGaseous[[#Headers],[Fuel combusted]],0)</f>
        <v>0.03</v>
      </c>
      <c r="J87" s="27" cm="1">
        <f t="array" ref="J87">Common_InputFunctions.Utility_DisplayArrayInTable(Fuel_SourceData.Fuel_Scope1EmissionFactorsStationaryGaseous_Data(), Table_Fuel_EFs_StationaryGaseous[[#Headers],[Fuel combusted]],0)</f>
        <v>51.53</v>
      </c>
      <c r="K87" s="17"/>
      <c r="L87" s="17"/>
    </row>
    <row r="88" spans="4:12" ht="20.100000000000001" customHeight="1" x14ac:dyDescent="0.25">
      <c r="D88" s="27" t="str" cm="1">
        <f t="array" ref="D88">Common_InputFunctions.Utility_DisplayArrayInTable(Fuel_SourceData.Fuel_Scope1EmissionFactorsStationaryGaseous_Data(), Table_Fuel_EFs_StationaryGaseous[[#Headers],[Fuel combusted]],0)</f>
        <v>Coal seam methane that is captured for combustion</v>
      </c>
      <c r="E88" s="27" cm="1">
        <f t="array" ref="E88">Common_InputFunctions.Utility_DisplayArrayInTable(Fuel_SourceData.Fuel_Scope1EmissionFactorsStationaryGaseous_Data(), Table_Fuel_EFs_StationaryGaseous[[#Headers],[Fuel combusted]],0)</f>
        <v>3.7699999999999997E-2</v>
      </c>
      <c r="F88" s="27" t="str" cm="1">
        <f t="array" ref="F88">Common_InputFunctions.Utility_DisplayArrayInTable(Fuel_SourceData.Fuel_Scope1EmissionFactorsStationaryGaseous_Data(), Table_Fuel_EFs_StationaryGaseous[[#Headers],[Fuel combusted]],0)</f>
        <v>m3</v>
      </c>
      <c r="G88" s="27" cm="1">
        <f t="array" ref="G88">Common_InputFunctions.Utility_DisplayArrayInTable(Fuel_SourceData.Fuel_Scope1EmissionFactorsStationaryGaseous_Data(), Table_Fuel_EFs_StationaryGaseous[[#Headers],[Fuel combusted]],0)</f>
        <v>51.4</v>
      </c>
      <c r="H88" s="27" cm="1">
        <f t="array" ref="H88">Common_InputFunctions.Utility_DisplayArrayInTable(Fuel_SourceData.Fuel_Scope1EmissionFactorsStationaryGaseous_Data(), Table_Fuel_EFs_StationaryGaseous[[#Headers],[Fuel combusted]],0)</f>
        <v>0.2</v>
      </c>
      <c r="I88" s="27" cm="1">
        <f t="array" ref="I88">Common_InputFunctions.Utility_DisplayArrayInTable(Fuel_SourceData.Fuel_Scope1EmissionFactorsStationaryGaseous_Data(), Table_Fuel_EFs_StationaryGaseous[[#Headers],[Fuel combusted]],0)</f>
        <v>0.03</v>
      </c>
      <c r="J88" s="27" cm="1">
        <f t="array" ref="J88">Common_InputFunctions.Utility_DisplayArrayInTable(Fuel_SourceData.Fuel_Scope1EmissionFactorsStationaryGaseous_Data(), Table_Fuel_EFs_StationaryGaseous[[#Headers],[Fuel combusted]],0)</f>
        <v>51.63</v>
      </c>
      <c r="K88" s="17"/>
      <c r="L88" s="17"/>
    </row>
    <row r="89" spans="4:12" ht="20.100000000000001" customHeight="1" x14ac:dyDescent="0.25">
      <c r="D89" s="27" t="str" cm="1">
        <f t="array" ref="D89">Common_InputFunctions.Utility_DisplayArrayInTable(Fuel_SourceData.Fuel_Scope1EmissionFactorsStationaryGaseous_Data(), Table_Fuel_EFs_StationaryGaseous[[#Headers],[Fuel combusted]],0)</f>
        <v>Coal mine waste gas that is captured for combustion</v>
      </c>
      <c r="E89" s="27" cm="1">
        <f t="array" ref="E89">Common_InputFunctions.Utility_DisplayArrayInTable(Fuel_SourceData.Fuel_Scope1EmissionFactorsStationaryGaseous_Data(), Table_Fuel_EFs_StationaryGaseous[[#Headers],[Fuel combusted]],0)</f>
        <v>3.7699999999999997E-2</v>
      </c>
      <c r="F89" s="27" t="str" cm="1">
        <f t="array" ref="F89">Common_InputFunctions.Utility_DisplayArrayInTable(Fuel_SourceData.Fuel_Scope1EmissionFactorsStationaryGaseous_Data(), Table_Fuel_EFs_StationaryGaseous[[#Headers],[Fuel combusted]],0)</f>
        <v>m3</v>
      </c>
      <c r="G89" s="27" cm="1">
        <f t="array" ref="G89">Common_InputFunctions.Utility_DisplayArrayInTable(Fuel_SourceData.Fuel_Scope1EmissionFactorsStationaryGaseous_Data(), Table_Fuel_EFs_StationaryGaseous[[#Headers],[Fuel combusted]],0)</f>
        <v>51.9</v>
      </c>
      <c r="H89" s="27" cm="1">
        <f t="array" ref="H89">Common_InputFunctions.Utility_DisplayArrayInTable(Fuel_SourceData.Fuel_Scope1EmissionFactorsStationaryGaseous_Data(), Table_Fuel_EFs_StationaryGaseous[[#Headers],[Fuel combusted]],0)</f>
        <v>4.5999999999999996</v>
      </c>
      <c r="I89" s="27" cm="1">
        <f t="array" ref="I89">Common_InputFunctions.Utility_DisplayArrayInTable(Fuel_SourceData.Fuel_Scope1EmissionFactorsStationaryGaseous_Data(), Table_Fuel_EFs_StationaryGaseous[[#Headers],[Fuel combusted]],0)</f>
        <v>0.3</v>
      </c>
      <c r="J89" s="27" cm="1">
        <f t="array" ref="J89">Common_InputFunctions.Utility_DisplayArrayInTable(Fuel_SourceData.Fuel_Scope1EmissionFactorsStationaryGaseous_Data(), Table_Fuel_EFs_StationaryGaseous[[#Headers],[Fuel combusted]],0)</f>
        <v>56.8</v>
      </c>
      <c r="K89" s="17"/>
      <c r="L89" s="17"/>
    </row>
    <row r="90" spans="4:12" ht="20.100000000000001" customHeight="1" x14ac:dyDescent="0.25">
      <c r="D90" s="27" t="str" cm="1">
        <f t="array" ref="D90">Common_InputFunctions.Utility_DisplayArrayInTable(Fuel_SourceData.Fuel_Scope1EmissionFactorsStationaryGaseous_Data(), Table_Fuel_EFs_StationaryGaseous[[#Headers],[Fuel combusted]],0)</f>
        <v>Compressed natural gas(reverting to standard conditions)</v>
      </c>
      <c r="E90" s="27" cm="1">
        <f t="array" ref="E90">Common_InputFunctions.Utility_DisplayArrayInTable(Fuel_SourceData.Fuel_Scope1EmissionFactorsStationaryGaseous_Data(), Table_Fuel_EFs_StationaryGaseous[[#Headers],[Fuel combusted]],0)</f>
        <v>3.9300000000000002E-2</v>
      </c>
      <c r="F90" s="27" t="str" cm="1">
        <f t="array" ref="F90">Common_InputFunctions.Utility_DisplayArrayInTable(Fuel_SourceData.Fuel_Scope1EmissionFactorsStationaryGaseous_Data(), Table_Fuel_EFs_StationaryGaseous[[#Headers],[Fuel combusted]],0)</f>
        <v>m3</v>
      </c>
      <c r="G90" s="27" cm="1">
        <f t="array" ref="G90">Common_InputFunctions.Utility_DisplayArrayInTable(Fuel_SourceData.Fuel_Scope1EmissionFactorsStationaryGaseous_Data(), Table_Fuel_EFs_StationaryGaseous[[#Headers],[Fuel combusted]],0)</f>
        <v>51.4</v>
      </c>
      <c r="H90" s="27" cm="1">
        <f t="array" ref="H90">Common_InputFunctions.Utility_DisplayArrayInTable(Fuel_SourceData.Fuel_Scope1EmissionFactorsStationaryGaseous_Data(), Table_Fuel_EFs_StationaryGaseous[[#Headers],[Fuel combusted]],0)</f>
        <v>0.1</v>
      </c>
      <c r="I90" s="27" cm="1">
        <f t="array" ref="I90">Common_InputFunctions.Utility_DisplayArrayInTable(Fuel_SourceData.Fuel_Scope1EmissionFactorsStationaryGaseous_Data(), Table_Fuel_EFs_StationaryGaseous[[#Headers],[Fuel combusted]],0)</f>
        <v>0.03</v>
      </c>
      <c r="J90" s="27" cm="1">
        <f t="array" ref="J90">Common_InputFunctions.Utility_DisplayArrayInTable(Fuel_SourceData.Fuel_Scope1EmissionFactorsStationaryGaseous_Data(), Table_Fuel_EFs_StationaryGaseous[[#Headers],[Fuel combusted]],0)</f>
        <v>51.53</v>
      </c>
      <c r="K90" s="17"/>
      <c r="L90" s="17"/>
    </row>
    <row r="91" spans="4:12" ht="20.100000000000001" customHeight="1" x14ac:dyDescent="0.25">
      <c r="D91" s="27" t="str" cm="1">
        <f t="array" ref="D91">Common_InputFunctions.Utility_DisplayArrayInTable(Fuel_SourceData.Fuel_Scope1EmissionFactorsStationaryGaseous_Data(), Table_Fuel_EFs_StationaryGaseous[[#Headers],[Fuel combusted]],0)</f>
        <v>Unprocessed natural gas</v>
      </c>
      <c r="E91" s="27" cm="1">
        <f t="array" ref="E91">Common_InputFunctions.Utility_DisplayArrayInTable(Fuel_SourceData.Fuel_Scope1EmissionFactorsStationaryGaseous_Data(), Table_Fuel_EFs_StationaryGaseous[[#Headers],[Fuel combusted]],0)</f>
        <v>3.9300000000000002E-2</v>
      </c>
      <c r="F91" s="27" t="str" cm="1">
        <f t="array" ref="F91">Common_InputFunctions.Utility_DisplayArrayInTable(Fuel_SourceData.Fuel_Scope1EmissionFactorsStationaryGaseous_Data(), Table_Fuel_EFs_StationaryGaseous[[#Headers],[Fuel combusted]],0)</f>
        <v>m3</v>
      </c>
      <c r="G91" s="27" cm="1">
        <f t="array" ref="G91">Common_InputFunctions.Utility_DisplayArrayInTable(Fuel_SourceData.Fuel_Scope1EmissionFactorsStationaryGaseous_Data(), Table_Fuel_EFs_StationaryGaseous[[#Headers],[Fuel combusted]],0)</f>
        <v>51.4</v>
      </c>
      <c r="H91" s="27" cm="1">
        <f t="array" ref="H91">Common_InputFunctions.Utility_DisplayArrayInTable(Fuel_SourceData.Fuel_Scope1EmissionFactorsStationaryGaseous_Data(), Table_Fuel_EFs_StationaryGaseous[[#Headers],[Fuel combusted]],0)</f>
        <v>0.1</v>
      </c>
      <c r="I91" s="27" cm="1">
        <f t="array" ref="I91">Common_InputFunctions.Utility_DisplayArrayInTable(Fuel_SourceData.Fuel_Scope1EmissionFactorsStationaryGaseous_Data(), Table_Fuel_EFs_StationaryGaseous[[#Headers],[Fuel combusted]],0)</f>
        <v>0.03</v>
      </c>
      <c r="J91" s="27" cm="1">
        <f t="array" ref="J91">Common_InputFunctions.Utility_DisplayArrayInTable(Fuel_SourceData.Fuel_Scope1EmissionFactorsStationaryGaseous_Data(), Table_Fuel_EFs_StationaryGaseous[[#Headers],[Fuel combusted]],0)</f>
        <v>51.53</v>
      </c>
      <c r="K91" s="17"/>
      <c r="L91" s="17"/>
    </row>
    <row r="92" spans="4:12" ht="20.100000000000001" customHeight="1" x14ac:dyDescent="0.25">
      <c r="D92" s="27" t="str" cm="1">
        <f t="array" ref="D92">Common_InputFunctions.Utility_DisplayArrayInTable(Fuel_SourceData.Fuel_Scope1EmissionFactorsStationaryGaseous_Data(), Table_Fuel_EFs_StationaryGaseous[[#Headers],[Fuel combusted]],0)</f>
        <v>Ethane</v>
      </c>
      <c r="E92" s="27" cm="1">
        <f t="array" ref="E92">Common_InputFunctions.Utility_DisplayArrayInTable(Fuel_SourceData.Fuel_Scope1EmissionFactorsStationaryGaseous_Data(), Table_Fuel_EFs_StationaryGaseous[[#Headers],[Fuel combusted]],0)</f>
        <v>6.2899999999999998E-2</v>
      </c>
      <c r="F92" s="27" t="str" cm="1">
        <f t="array" ref="F92">Common_InputFunctions.Utility_DisplayArrayInTable(Fuel_SourceData.Fuel_Scope1EmissionFactorsStationaryGaseous_Data(), Table_Fuel_EFs_StationaryGaseous[[#Headers],[Fuel combusted]],0)</f>
        <v>m3</v>
      </c>
      <c r="G92" s="27" cm="1">
        <f t="array" ref="G92">Common_InputFunctions.Utility_DisplayArrayInTable(Fuel_SourceData.Fuel_Scope1EmissionFactorsStationaryGaseous_Data(), Table_Fuel_EFs_StationaryGaseous[[#Headers],[Fuel combusted]],0)</f>
        <v>56.5</v>
      </c>
      <c r="H92" s="27" cm="1">
        <f t="array" ref="H92">Common_InputFunctions.Utility_DisplayArrayInTable(Fuel_SourceData.Fuel_Scope1EmissionFactorsStationaryGaseous_Data(), Table_Fuel_EFs_StationaryGaseous[[#Headers],[Fuel combusted]],0)</f>
        <v>0.03</v>
      </c>
      <c r="I92" s="27" cm="1">
        <f t="array" ref="I92">Common_InputFunctions.Utility_DisplayArrayInTable(Fuel_SourceData.Fuel_Scope1EmissionFactorsStationaryGaseous_Data(), Table_Fuel_EFs_StationaryGaseous[[#Headers],[Fuel combusted]],0)</f>
        <v>0.03</v>
      </c>
      <c r="J92" s="27" cm="1">
        <f t="array" ref="J92">Common_InputFunctions.Utility_DisplayArrayInTable(Fuel_SourceData.Fuel_Scope1EmissionFactorsStationaryGaseous_Data(), Table_Fuel_EFs_StationaryGaseous[[#Headers],[Fuel combusted]],0)</f>
        <v>56.56</v>
      </c>
      <c r="K92" s="17"/>
      <c r="L92" s="17"/>
    </row>
    <row r="93" spans="4:12" ht="20.100000000000001" customHeight="1" x14ac:dyDescent="0.25">
      <c r="D93" s="27" t="str" cm="1">
        <f t="array" ref="D93">Common_InputFunctions.Utility_DisplayArrayInTable(Fuel_SourceData.Fuel_Scope1EmissionFactorsStationaryGaseous_Data(), Table_Fuel_EFs_StationaryGaseous[[#Headers],[Fuel combusted]],0)</f>
        <v>Coke oven gas</v>
      </c>
      <c r="E93" s="27" cm="1">
        <f t="array" ref="E93">Common_InputFunctions.Utility_DisplayArrayInTable(Fuel_SourceData.Fuel_Scope1EmissionFactorsStationaryGaseous_Data(), Table_Fuel_EFs_StationaryGaseous[[#Headers],[Fuel combusted]],0)</f>
        <v>1.8100000000000002E-2</v>
      </c>
      <c r="F93" s="27" t="str" cm="1">
        <f t="array" ref="F93">Common_InputFunctions.Utility_DisplayArrayInTable(Fuel_SourceData.Fuel_Scope1EmissionFactorsStationaryGaseous_Data(), Table_Fuel_EFs_StationaryGaseous[[#Headers],[Fuel combusted]],0)</f>
        <v>m3</v>
      </c>
      <c r="G93" s="27" cm="1">
        <f t="array" ref="G93">Common_InputFunctions.Utility_DisplayArrayInTable(Fuel_SourceData.Fuel_Scope1EmissionFactorsStationaryGaseous_Data(), Table_Fuel_EFs_StationaryGaseous[[#Headers],[Fuel combusted]],0)</f>
        <v>37</v>
      </c>
      <c r="H93" s="27" cm="1">
        <f t="array" ref="H93">Common_InputFunctions.Utility_DisplayArrayInTable(Fuel_SourceData.Fuel_Scope1EmissionFactorsStationaryGaseous_Data(), Table_Fuel_EFs_StationaryGaseous[[#Headers],[Fuel combusted]],0)</f>
        <v>0.03</v>
      </c>
      <c r="I93" s="27" cm="1">
        <f t="array" ref="I93">Common_InputFunctions.Utility_DisplayArrayInTable(Fuel_SourceData.Fuel_Scope1EmissionFactorsStationaryGaseous_Data(), Table_Fuel_EFs_StationaryGaseous[[#Headers],[Fuel combusted]],0)</f>
        <v>0.05</v>
      </c>
      <c r="J93" s="27" cm="1">
        <f t="array" ref="J93">Common_InputFunctions.Utility_DisplayArrayInTable(Fuel_SourceData.Fuel_Scope1EmissionFactorsStationaryGaseous_Data(), Table_Fuel_EFs_StationaryGaseous[[#Headers],[Fuel combusted]],0)</f>
        <v>37.08</v>
      </c>
      <c r="K93" s="17"/>
      <c r="L93" s="17"/>
    </row>
    <row r="94" spans="4:12" ht="20.100000000000001" customHeight="1" x14ac:dyDescent="0.25">
      <c r="D94" s="27" t="str" cm="1">
        <f t="array" ref="D94">Common_InputFunctions.Utility_DisplayArrayInTable(Fuel_SourceData.Fuel_Scope1EmissionFactorsStationaryGaseous_Data(), Table_Fuel_EFs_StationaryGaseous[[#Headers],[Fuel combusted]],0)</f>
        <v>Blast furnace gas</v>
      </c>
      <c r="E94" s="27" cm="1">
        <f t="array" ref="E94">Common_InputFunctions.Utility_DisplayArrayInTable(Fuel_SourceData.Fuel_Scope1EmissionFactorsStationaryGaseous_Data(), Table_Fuel_EFs_StationaryGaseous[[#Headers],[Fuel combusted]],0)</f>
        <v>4.0000000000000001E-3</v>
      </c>
      <c r="F94" s="27" t="str" cm="1">
        <f t="array" ref="F94">Common_InputFunctions.Utility_DisplayArrayInTable(Fuel_SourceData.Fuel_Scope1EmissionFactorsStationaryGaseous_Data(), Table_Fuel_EFs_StationaryGaseous[[#Headers],[Fuel combusted]],0)</f>
        <v>m3</v>
      </c>
      <c r="G94" s="27" cm="1">
        <f t="array" ref="G94">Common_InputFunctions.Utility_DisplayArrayInTable(Fuel_SourceData.Fuel_Scope1EmissionFactorsStationaryGaseous_Data(), Table_Fuel_EFs_StationaryGaseous[[#Headers],[Fuel combusted]],0)</f>
        <v>234</v>
      </c>
      <c r="H94" s="27" cm="1">
        <f t="array" ref="H94">Common_InputFunctions.Utility_DisplayArrayInTable(Fuel_SourceData.Fuel_Scope1EmissionFactorsStationaryGaseous_Data(), Table_Fuel_EFs_StationaryGaseous[[#Headers],[Fuel combusted]],0)</f>
        <v>0.03</v>
      </c>
      <c r="I94" s="27" cm="1">
        <f t="array" ref="I94">Common_InputFunctions.Utility_DisplayArrayInTable(Fuel_SourceData.Fuel_Scope1EmissionFactorsStationaryGaseous_Data(), Table_Fuel_EFs_StationaryGaseous[[#Headers],[Fuel combusted]],0)</f>
        <v>0.02</v>
      </c>
      <c r="J94" s="27" cm="1">
        <f t="array" ref="J94">Common_InputFunctions.Utility_DisplayArrayInTable(Fuel_SourceData.Fuel_Scope1EmissionFactorsStationaryGaseous_Data(), Table_Fuel_EFs_StationaryGaseous[[#Headers],[Fuel combusted]],0)</f>
        <v>234.05</v>
      </c>
      <c r="K94" s="17"/>
      <c r="L94" s="17"/>
    </row>
    <row r="95" spans="4:12" ht="20.100000000000001" customHeight="1" x14ac:dyDescent="0.25">
      <c r="D95" s="27" t="str" cm="1">
        <f t="array" ref="D95">Common_InputFunctions.Utility_DisplayArrayInTable(Fuel_SourceData.Fuel_Scope1EmissionFactorsStationaryGaseous_Data(), Table_Fuel_EFs_StationaryGaseous[[#Headers],[Fuel combusted]],0)</f>
        <v>Town gas</v>
      </c>
      <c r="E95" s="27" cm="1">
        <f t="array" ref="E95">Common_InputFunctions.Utility_DisplayArrayInTable(Fuel_SourceData.Fuel_Scope1EmissionFactorsStationaryGaseous_Data(), Table_Fuel_EFs_StationaryGaseous[[#Headers],[Fuel combusted]],0)</f>
        <v>3.9E-2</v>
      </c>
      <c r="F95" s="27" t="str" cm="1">
        <f t="array" ref="F95">Common_InputFunctions.Utility_DisplayArrayInTable(Fuel_SourceData.Fuel_Scope1EmissionFactorsStationaryGaseous_Data(), Table_Fuel_EFs_StationaryGaseous[[#Headers],[Fuel combusted]],0)</f>
        <v>m3</v>
      </c>
      <c r="G95" s="27" cm="1">
        <f t="array" ref="G95">Common_InputFunctions.Utility_DisplayArrayInTable(Fuel_SourceData.Fuel_Scope1EmissionFactorsStationaryGaseous_Data(), Table_Fuel_EFs_StationaryGaseous[[#Headers],[Fuel combusted]],0)</f>
        <v>60.2</v>
      </c>
      <c r="H95" s="27" cm="1">
        <f t="array" ref="H95">Common_InputFunctions.Utility_DisplayArrayInTable(Fuel_SourceData.Fuel_Scope1EmissionFactorsStationaryGaseous_Data(), Table_Fuel_EFs_StationaryGaseous[[#Headers],[Fuel combusted]],0)</f>
        <v>0.04</v>
      </c>
      <c r="I95" s="27" cm="1">
        <f t="array" ref="I95">Common_InputFunctions.Utility_DisplayArrayInTable(Fuel_SourceData.Fuel_Scope1EmissionFactorsStationaryGaseous_Data(), Table_Fuel_EFs_StationaryGaseous[[#Headers],[Fuel combusted]],0)</f>
        <v>0.03</v>
      </c>
      <c r="J95" s="27" cm="1">
        <f t="array" ref="J95">Common_InputFunctions.Utility_DisplayArrayInTable(Fuel_SourceData.Fuel_Scope1EmissionFactorsStationaryGaseous_Data(), Table_Fuel_EFs_StationaryGaseous[[#Headers],[Fuel combusted]],0)</f>
        <v>60.27</v>
      </c>
      <c r="K95" s="17"/>
      <c r="L95" s="17"/>
    </row>
    <row r="96" spans="4:12" ht="20.100000000000001" customHeight="1" x14ac:dyDescent="0.25">
      <c r="D96" s="27" t="str" cm="1">
        <f t="array" ref="D96">Common_InputFunctions.Utility_DisplayArrayInTable(Fuel_SourceData.Fuel_Scope1EmissionFactorsStationaryGaseous_Data(), Table_Fuel_EFs_StationaryGaseous[[#Headers],[Fuel combusted]],0)</f>
        <v>Liquefied natural gas</v>
      </c>
      <c r="E96" s="27" cm="1">
        <f t="array" ref="E96">Common_InputFunctions.Utility_DisplayArrayInTable(Fuel_SourceData.Fuel_Scope1EmissionFactorsStationaryGaseous_Data(), Table_Fuel_EFs_StationaryGaseous[[#Headers],[Fuel combusted]],0)</f>
        <v>25.3</v>
      </c>
      <c r="F96" s="27" t="str" cm="1">
        <f t="array" ref="F96">Common_InputFunctions.Utility_DisplayArrayInTable(Fuel_SourceData.Fuel_Scope1EmissionFactorsStationaryGaseous_Data(), Table_Fuel_EFs_StationaryGaseous[[#Headers],[Fuel combusted]],0)</f>
        <v>kL</v>
      </c>
      <c r="G96" s="27" cm="1">
        <f t="array" ref="G96">Common_InputFunctions.Utility_DisplayArrayInTable(Fuel_SourceData.Fuel_Scope1EmissionFactorsStationaryGaseous_Data(), Table_Fuel_EFs_StationaryGaseous[[#Headers],[Fuel combusted]],0)</f>
        <v>51.4</v>
      </c>
      <c r="H96" s="27" cm="1">
        <f t="array" ref="H96">Common_InputFunctions.Utility_DisplayArrayInTable(Fuel_SourceData.Fuel_Scope1EmissionFactorsStationaryGaseous_Data(), Table_Fuel_EFs_StationaryGaseous[[#Headers],[Fuel combusted]],0)</f>
        <v>0.1</v>
      </c>
      <c r="I96" s="27" cm="1">
        <f t="array" ref="I96">Common_InputFunctions.Utility_DisplayArrayInTable(Fuel_SourceData.Fuel_Scope1EmissionFactorsStationaryGaseous_Data(), Table_Fuel_EFs_StationaryGaseous[[#Headers],[Fuel combusted]],0)</f>
        <v>0.03</v>
      </c>
      <c r="J96" s="27" cm="1">
        <f t="array" ref="J96">Common_InputFunctions.Utility_DisplayArrayInTable(Fuel_SourceData.Fuel_Scope1EmissionFactorsStationaryGaseous_Data(), Table_Fuel_EFs_StationaryGaseous[[#Headers],[Fuel combusted]],0)</f>
        <v>51.53</v>
      </c>
      <c r="K96" s="17"/>
      <c r="L96" s="17"/>
    </row>
    <row r="97" spans="4:13" ht="20.100000000000001" customHeight="1" x14ac:dyDescent="0.25">
      <c r="D97" s="27" t="str" cm="1">
        <f t="array" ref="D97">Common_InputFunctions.Utility_DisplayArrayInTable(Fuel_SourceData.Fuel_Scope1EmissionFactorsStationaryGaseous_Data(), Table_Fuel_EFs_StationaryGaseous[[#Headers],[Fuel combusted]],0)</f>
        <v>Gaseous fossil fuels other than those mentioned in the items above</v>
      </c>
      <c r="E97" s="27" cm="1">
        <f t="array" ref="E97">Common_InputFunctions.Utility_DisplayArrayInTable(Fuel_SourceData.Fuel_Scope1EmissionFactorsStationaryGaseous_Data(), Table_Fuel_EFs_StationaryGaseous[[#Headers],[Fuel combusted]],0)</f>
        <v>3.9E-2</v>
      </c>
      <c r="F97" s="27" t="str" cm="1">
        <f t="array" ref="F97">Common_InputFunctions.Utility_DisplayArrayInTable(Fuel_SourceData.Fuel_Scope1EmissionFactorsStationaryGaseous_Data(), Table_Fuel_EFs_StationaryGaseous[[#Headers],[Fuel combusted]],0)</f>
        <v>m3</v>
      </c>
      <c r="G97" s="27" cm="1">
        <f t="array" ref="G97">Common_InputFunctions.Utility_DisplayArrayInTable(Fuel_SourceData.Fuel_Scope1EmissionFactorsStationaryGaseous_Data(), Table_Fuel_EFs_StationaryGaseous[[#Headers],[Fuel combusted]],0)</f>
        <v>51.4</v>
      </c>
      <c r="H97" s="27" cm="1">
        <f t="array" ref="H97">Common_InputFunctions.Utility_DisplayArrayInTable(Fuel_SourceData.Fuel_Scope1EmissionFactorsStationaryGaseous_Data(), Table_Fuel_EFs_StationaryGaseous[[#Headers],[Fuel combusted]],0)</f>
        <v>0.1</v>
      </c>
      <c r="I97" s="27" cm="1">
        <f t="array" ref="I97">Common_InputFunctions.Utility_DisplayArrayInTable(Fuel_SourceData.Fuel_Scope1EmissionFactorsStationaryGaseous_Data(), Table_Fuel_EFs_StationaryGaseous[[#Headers],[Fuel combusted]],0)</f>
        <v>0.03</v>
      </c>
      <c r="J97" s="27" cm="1">
        <f t="array" ref="J97">Common_InputFunctions.Utility_DisplayArrayInTable(Fuel_SourceData.Fuel_Scope1EmissionFactorsStationaryGaseous_Data(), Table_Fuel_EFs_StationaryGaseous[[#Headers],[Fuel combusted]],0)</f>
        <v>51.53</v>
      </c>
      <c r="K97" s="17"/>
      <c r="L97" s="17"/>
    </row>
    <row r="98" spans="4:13" ht="20.100000000000001" customHeight="1" x14ac:dyDescent="0.25">
      <c r="D98" s="27" t="str" cm="1">
        <f t="array" ref="D98">Common_InputFunctions.Utility_DisplayArrayInTable(Fuel_SourceData.Fuel_Scope1EmissionFactorsStationaryGaseous_Data(), Table_Fuel_EFs_StationaryGaseous[[#Headers],[Fuel combusted]],0)</f>
        <v>Landfill biogas that is captured for combustion (methane only)</v>
      </c>
      <c r="E98" s="27" cm="1">
        <f t="array" ref="E98">Common_InputFunctions.Utility_DisplayArrayInTable(Fuel_SourceData.Fuel_Scope1EmissionFactorsStationaryGaseous_Data(), Table_Fuel_EFs_StationaryGaseous[[#Headers],[Fuel combusted]],0)</f>
        <v>3.7699999999999997E-2</v>
      </c>
      <c r="F98" s="27" t="str" cm="1">
        <f t="array" ref="F98">Common_InputFunctions.Utility_DisplayArrayInTable(Fuel_SourceData.Fuel_Scope1EmissionFactorsStationaryGaseous_Data(), Table_Fuel_EFs_StationaryGaseous[[#Headers],[Fuel combusted]],0)</f>
        <v>m3</v>
      </c>
      <c r="G98" s="27" cm="1">
        <f t="array" ref="G98">Common_InputFunctions.Utility_DisplayArrayInTable(Fuel_SourceData.Fuel_Scope1EmissionFactorsStationaryGaseous_Data(), Table_Fuel_EFs_StationaryGaseous[[#Headers],[Fuel combusted]],0)</f>
        <v>0</v>
      </c>
      <c r="H98" s="27" cm="1">
        <f t="array" ref="H98">Common_InputFunctions.Utility_DisplayArrayInTable(Fuel_SourceData.Fuel_Scope1EmissionFactorsStationaryGaseous_Data(), Table_Fuel_EFs_StationaryGaseous[[#Headers],[Fuel combusted]],0)</f>
        <v>6.4</v>
      </c>
      <c r="I98" s="27" cm="1">
        <f t="array" ref="I98">Common_InputFunctions.Utility_DisplayArrayInTable(Fuel_SourceData.Fuel_Scope1EmissionFactorsStationaryGaseous_Data(), Table_Fuel_EFs_StationaryGaseous[[#Headers],[Fuel combusted]],0)</f>
        <v>0.03</v>
      </c>
      <c r="J98" s="27" cm="1">
        <f t="array" ref="J98">Common_InputFunctions.Utility_DisplayArrayInTable(Fuel_SourceData.Fuel_Scope1EmissionFactorsStationaryGaseous_Data(), Table_Fuel_EFs_StationaryGaseous[[#Headers],[Fuel combusted]],0)</f>
        <v>6.43</v>
      </c>
      <c r="K98" s="17"/>
      <c r="L98" s="17"/>
    </row>
    <row r="99" spans="4:13" ht="20.100000000000001" customHeight="1" x14ac:dyDescent="0.25">
      <c r="D99" s="27" t="str" cm="1">
        <f t="array" ref="D99">Common_InputFunctions.Utility_DisplayArrayInTable(Fuel_SourceData.Fuel_Scope1EmissionFactorsStationaryGaseous_Data(), Table_Fuel_EFs_StationaryGaseous[[#Headers],[Fuel combusted]],0)</f>
        <v>Sludge biogas that is captured for combustion (methane only)</v>
      </c>
      <c r="E99" s="27" cm="1">
        <f t="array" ref="E99">Common_InputFunctions.Utility_DisplayArrayInTable(Fuel_SourceData.Fuel_Scope1EmissionFactorsStationaryGaseous_Data(), Table_Fuel_EFs_StationaryGaseous[[#Headers],[Fuel combusted]],0)</f>
        <v>3.7699999999999997E-2</v>
      </c>
      <c r="F99" s="27" t="str" cm="1">
        <f t="array" ref="F99">Common_InputFunctions.Utility_DisplayArrayInTable(Fuel_SourceData.Fuel_Scope1EmissionFactorsStationaryGaseous_Data(), Table_Fuel_EFs_StationaryGaseous[[#Headers],[Fuel combusted]],0)</f>
        <v>m3</v>
      </c>
      <c r="G99" s="27" cm="1">
        <f t="array" ref="G99">Common_InputFunctions.Utility_DisplayArrayInTable(Fuel_SourceData.Fuel_Scope1EmissionFactorsStationaryGaseous_Data(), Table_Fuel_EFs_StationaryGaseous[[#Headers],[Fuel combusted]],0)</f>
        <v>0</v>
      </c>
      <c r="H99" s="27" cm="1">
        <f t="array" ref="H99">Common_InputFunctions.Utility_DisplayArrayInTable(Fuel_SourceData.Fuel_Scope1EmissionFactorsStationaryGaseous_Data(), Table_Fuel_EFs_StationaryGaseous[[#Headers],[Fuel combusted]],0)</f>
        <v>6.4</v>
      </c>
      <c r="I99" s="27" cm="1">
        <f t="array" ref="I99">Common_InputFunctions.Utility_DisplayArrayInTable(Fuel_SourceData.Fuel_Scope1EmissionFactorsStationaryGaseous_Data(), Table_Fuel_EFs_StationaryGaseous[[#Headers],[Fuel combusted]],0)</f>
        <v>0.03</v>
      </c>
      <c r="J99" s="27" cm="1">
        <f t="array" ref="J99">Common_InputFunctions.Utility_DisplayArrayInTable(Fuel_SourceData.Fuel_Scope1EmissionFactorsStationaryGaseous_Data(), Table_Fuel_EFs_StationaryGaseous[[#Headers],[Fuel combusted]],0)</f>
        <v>6.43</v>
      </c>
      <c r="K99" s="17"/>
      <c r="L99" s="17"/>
    </row>
    <row r="100" spans="4:13" ht="20.100000000000001" customHeight="1" x14ac:dyDescent="0.25">
      <c r="D100" s="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7" cm="1">
        <f t="array" ref="E100">Common_InputFunctions.Utility_DisplayArrayInTable(Fuel_SourceData.Fuel_Scope1EmissionFactorsStationaryGaseous_Data(), Table_Fuel_EFs_StationaryGaseous[[#Headers],[Fuel combusted]],0)</f>
        <v>3.6999999999999998E-2</v>
      </c>
      <c r="F100" s="27" t="str" cm="1">
        <f t="array" ref="F100">Common_InputFunctions.Utility_DisplayArrayInTable(Fuel_SourceData.Fuel_Scope1EmissionFactorsStationaryGaseous_Data(), Table_Fuel_EFs_StationaryGaseous[[#Headers],[Fuel combusted]],0)</f>
        <v>m3</v>
      </c>
      <c r="G100" s="27" cm="1">
        <f t="array" ref="G100">Common_InputFunctions.Utility_DisplayArrayInTable(Fuel_SourceData.Fuel_Scope1EmissionFactorsStationaryGaseous_Data(), Table_Fuel_EFs_StationaryGaseous[[#Headers],[Fuel combusted]],0)</f>
        <v>0</v>
      </c>
      <c r="H100" s="27" cm="1">
        <f t="array" ref="H100">Common_InputFunctions.Utility_DisplayArrayInTable(Fuel_SourceData.Fuel_Scope1EmissionFactorsStationaryGaseous_Data(), Table_Fuel_EFs_StationaryGaseous[[#Headers],[Fuel combusted]],0)</f>
        <v>6.4</v>
      </c>
      <c r="I100" s="27" cm="1">
        <f t="array" ref="I100">Common_InputFunctions.Utility_DisplayArrayInTable(Fuel_SourceData.Fuel_Scope1EmissionFactorsStationaryGaseous_Data(), Table_Fuel_EFs_StationaryGaseous[[#Headers],[Fuel combusted]],0)</f>
        <v>0.03</v>
      </c>
      <c r="J100" s="27" cm="1">
        <f t="array" ref="J100">Common_InputFunctions.Utility_DisplayArrayInTable(Fuel_SourceData.Fuel_Scope1EmissionFactorsStationaryGaseous_Data(), Table_Fuel_EFs_StationaryGaseous[[#Headers],[Fuel combusted]],0)</f>
        <v>6.43</v>
      </c>
      <c r="K100" s="17"/>
      <c r="L100" s="17"/>
    </row>
    <row r="101" spans="4:13" ht="20.100000000000001" customHeight="1" x14ac:dyDescent="0.25">
      <c r="D101" s="27" t="str" cm="1">
        <f t="array" ref="D101">Common_InputFunctions.Utility_DisplayArrayInTable(Fuel_SourceData.Fuel_Scope1EmissionFactorsStationaryGaseous_Data(), Table_Fuel_EFs_StationaryGaseous[[#Headers],[Fuel combusted]],0)</f>
        <v>Biomethane</v>
      </c>
      <c r="E101" s="27" cm="1">
        <f t="array" ref="E101">Common_InputFunctions.Utility_DisplayArrayInTable(Fuel_SourceData.Fuel_Scope1EmissionFactorsStationaryGaseous_Data(), Table_Fuel_EFs_StationaryGaseous[[#Headers],[Fuel combusted]],0)</f>
        <v>3.9300000000000002E-2</v>
      </c>
      <c r="F101" s="27" t="str" cm="1">
        <f t="array" ref="F101">Common_InputFunctions.Utility_DisplayArrayInTable(Fuel_SourceData.Fuel_Scope1EmissionFactorsStationaryGaseous_Data(), Table_Fuel_EFs_StationaryGaseous[[#Headers],[Fuel combusted]],0)</f>
        <v>m3</v>
      </c>
      <c r="G101" s="27" cm="1">
        <f t="array" ref="G101">Common_InputFunctions.Utility_DisplayArrayInTable(Fuel_SourceData.Fuel_Scope1EmissionFactorsStationaryGaseous_Data(), Table_Fuel_EFs_StationaryGaseous[[#Headers],[Fuel combusted]],0)</f>
        <v>0</v>
      </c>
      <c r="H101" s="27" cm="1">
        <f t="array" ref="H101">Common_InputFunctions.Utility_DisplayArrayInTable(Fuel_SourceData.Fuel_Scope1EmissionFactorsStationaryGaseous_Data(), Table_Fuel_EFs_StationaryGaseous[[#Headers],[Fuel combusted]],0)</f>
        <v>0.1</v>
      </c>
      <c r="I101" s="27" cm="1">
        <f t="array" ref="I101">Common_InputFunctions.Utility_DisplayArrayInTable(Fuel_SourceData.Fuel_Scope1EmissionFactorsStationaryGaseous_Data(), Table_Fuel_EFs_StationaryGaseous[[#Headers],[Fuel combusted]],0)</f>
        <v>0.03</v>
      </c>
      <c r="J101" s="27" cm="1">
        <f t="array" ref="J101">Common_InputFunctions.Utility_DisplayArrayInTable(Fuel_SourceData.Fuel_Scope1EmissionFactorsStationaryGaseous_Data(), Table_Fuel_EFs_StationaryGaseous[[#Headers],[Fuel combusted]],0)</f>
        <v>0.13</v>
      </c>
      <c r="K101" s="17"/>
      <c r="L101" s="17"/>
    </row>
    <row r="102" spans="4:13" ht="20.100000000000001" customHeight="1" x14ac:dyDescent="0.25">
      <c r="D102" s="27" t="str" cm="1">
        <f t="array" ref="D102">Common_InputFunctions.Utility_DisplayArrayInTable(Fuel_SourceData.Fuel_Scope1EmissionFactorsStationaryGaseous_Data(), Table_Fuel_EFs_StationaryGaseous[[#Headers],[Fuel combusted]],0)</f>
        <v>Hydrogen</v>
      </c>
      <c r="E102" s="27" cm="1">
        <f t="array" ref="E102">Common_InputFunctions.Utility_DisplayArrayInTable(Fuel_SourceData.Fuel_Scope1EmissionFactorsStationaryGaseous_Data(), Table_Fuel_EFs_StationaryGaseous[[#Headers],[Fuel combusted]],0)</f>
        <v>1.2200000000000001E-2</v>
      </c>
      <c r="F102" s="27" t="str" cm="1">
        <f t="array" ref="F102">Common_InputFunctions.Utility_DisplayArrayInTable(Fuel_SourceData.Fuel_Scope1EmissionFactorsStationaryGaseous_Data(), Table_Fuel_EFs_StationaryGaseous[[#Headers],[Fuel combusted]],0)</f>
        <v>m3</v>
      </c>
      <c r="G102" s="27" cm="1">
        <f t="array" ref="G102">Common_InputFunctions.Utility_DisplayArrayInTable(Fuel_SourceData.Fuel_Scope1EmissionFactorsStationaryGaseous_Data(), Table_Fuel_EFs_StationaryGaseous[[#Headers],[Fuel combusted]],0)</f>
        <v>0</v>
      </c>
      <c r="H102" s="27" cm="1">
        <f t="array" ref="H102">Common_InputFunctions.Utility_DisplayArrayInTable(Fuel_SourceData.Fuel_Scope1EmissionFactorsStationaryGaseous_Data(), Table_Fuel_EFs_StationaryGaseous[[#Headers],[Fuel combusted]],0)</f>
        <v>0</v>
      </c>
      <c r="I102" s="27" cm="1">
        <f t="array" ref="I102">Common_InputFunctions.Utility_DisplayArrayInTable(Fuel_SourceData.Fuel_Scope1EmissionFactorsStationaryGaseous_Data(), Table_Fuel_EFs_StationaryGaseous[[#Headers],[Fuel combusted]],0)</f>
        <v>0.5</v>
      </c>
      <c r="J102" s="27" cm="1">
        <f t="array" ref="J102">Common_InputFunctions.Utility_DisplayArrayInTable(Fuel_SourceData.Fuel_Scope1EmissionFactorsStationaryGaseous_Data(), Table_Fuel_EFs_StationaryGaseous[[#Headers],[Fuel combusted]],0)</f>
        <v>0.5</v>
      </c>
      <c r="K102" s="17"/>
      <c r="L102" s="17"/>
    </row>
    <row r="103" spans="4:13" ht="20.100000000000001" customHeight="1" x14ac:dyDescent="0.25">
      <c r="D103" s="27" t="str" cm="1">
        <f t="array" ref="D103">Common_InputFunctions.Utility_DisplayArrayInTable(Fuel_SourceData.Fuel_Scope1EmissionFactorsStationaryGaseous_Data(), Table_Fuel_EFs_StationaryGaseous[[#Headers],[Fuel combusted]],0)</f>
        <v>Natural gas distributed in a pipeline - Gigajoules</v>
      </c>
      <c r="E103" s="27" cm="1">
        <f t="array" ref="E103">Common_InputFunctions.Utility_DisplayArrayInTable(Fuel_SourceData.Fuel_Scope1EmissionFactorsStationaryGaseous_Data(), Table_Fuel_EFs_StationaryGaseous[[#Headers],[Fuel combusted]],0)</f>
        <v>1</v>
      </c>
      <c r="F103" s="27" t="str" cm="1">
        <f t="array" ref="F103">Common_InputFunctions.Utility_DisplayArrayInTable(Fuel_SourceData.Fuel_Scope1EmissionFactorsStationaryGaseous_Data(), Table_Fuel_EFs_StationaryGaseous[[#Headers],[Fuel combusted]],0)</f>
        <v>GJ</v>
      </c>
      <c r="G103" s="27" cm="1">
        <f t="array" ref="G103">Common_InputFunctions.Utility_DisplayArrayInTable(Fuel_SourceData.Fuel_Scope1EmissionFactorsStationaryGaseous_Data(), Table_Fuel_EFs_StationaryGaseous[[#Headers],[Fuel combusted]],0)</f>
        <v>51.4</v>
      </c>
      <c r="H103" s="27" cm="1">
        <f t="array" ref="H103">Common_InputFunctions.Utility_DisplayArrayInTable(Fuel_SourceData.Fuel_Scope1EmissionFactorsStationaryGaseous_Data(), Table_Fuel_EFs_StationaryGaseous[[#Headers],[Fuel combusted]],0)</f>
        <v>0.1</v>
      </c>
      <c r="I103" s="27" cm="1">
        <f t="array" ref="I103">Common_InputFunctions.Utility_DisplayArrayInTable(Fuel_SourceData.Fuel_Scope1EmissionFactorsStationaryGaseous_Data(), Table_Fuel_EFs_StationaryGaseous[[#Headers],[Fuel combusted]],0)</f>
        <v>0.03</v>
      </c>
      <c r="J103" s="27" cm="1">
        <f t="array" ref="J103">Common_InputFunctions.Utility_DisplayArrayInTable(Fuel_SourceData.Fuel_Scope1EmissionFactorsStationaryGaseous_Data(), Table_Fuel_EFs_StationaryGaseous[[#Headers],[Fuel combusted]],0)</f>
        <v>51.53</v>
      </c>
      <c r="K103" s="17"/>
      <c r="L103" s="17"/>
    </row>
    <row r="104" spans="4:13" ht="20.100000000000001" customHeight="1" x14ac:dyDescent="0.25">
      <c r="D104" s="27" t="str" cm="1">
        <f t="array" ref="D104">Common_InputFunctions.Utility_DisplayArrayInTable(Fuel_SourceData.Fuel_Scope1EmissionFactorsStationaryGaseous_Data(), Table_Fuel_EFs_StationaryGaseous[[#Headers],[Fuel combusted]],0)</f>
        <v>Town gas - Gigajoules</v>
      </c>
      <c r="E104" s="27" cm="1">
        <f t="array" ref="E104">Common_InputFunctions.Utility_DisplayArrayInTable(Fuel_SourceData.Fuel_Scope1EmissionFactorsStationaryGaseous_Data(), Table_Fuel_EFs_StationaryGaseous[[#Headers],[Fuel combusted]],0)</f>
        <v>1</v>
      </c>
      <c r="F104" s="27" t="str" cm="1">
        <f t="array" ref="F104">Common_InputFunctions.Utility_DisplayArrayInTable(Fuel_SourceData.Fuel_Scope1EmissionFactorsStationaryGaseous_Data(), Table_Fuel_EFs_StationaryGaseous[[#Headers],[Fuel combusted]],0)</f>
        <v>GJ</v>
      </c>
      <c r="G104" s="27" cm="1">
        <f t="array" ref="G104">Common_InputFunctions.Utility_DisplayArrayInTable(Fuel_SourceData.Fuel_Scope1EmissionFactorsStationaryGaseous_Data(), Table_Fuel_EFs_StationaryGaseous[[#Headers],[Fuel combusted]],0)</f>
        <v>60.2</v>
      </c>
      <c r="H104" s="27" cm="1">
        <f t="array" ref="H104">Common_InputFunctions.Utility_DisplayArrayInTable(Fuel_SourceData.Fuel_Scope1EmissionFactorsStationaryGaseous_Data(), Table_Fuel_EFs_StationaryGaseous[[#Headers],[Fuel combusted]],0)</f>
        <v>0.04</v>
      </c>
      <c r="I104" s="27" cm="1">
        <f t="array" ref="I104">Common_InputFunctions.Utility_DisplayArrayInTable(Fuel_SourceData.Fuel_Scope1EmissionFactorsStationaryGaseous_Data(), Table_Fuel_EFs_StationaryGaseous[[#Headers],[Fuel combusted]],0)</f>
        <v>0.03</v>
      </c>
      <c r="J104" s="27" cm="1">
        <f t="array" ref="J104">Common_InputFunctions.Utility_DisplayArrayInTable(Fuel_SourceData.Fuel_Scope1EmissionFactorsStationaryGaseous_Data(), Table_Fuel_EFs_StationaryGaseous[[#Headers],[Fuel combusted]],0)</f>
        <v>60.27</v>
      </c>
      <c r="K104" s="17"/>
      <c r="L104" s="17"/>
    </row>
    <row r="105" spans="4:13" ht="20.100000000000001" customHeight="1" x14ac:dyDescent="0.25">
      <c r="D105" s="17"/>
      <c r="E105" s="17"/>
      <c r="F105" s="17"/>
      <c r="G105" s="17"/>
      <c r="H105" s="17"/>
      <c r="I105" s="17"/>
      <c r="J105" s="17"/>
      <c r="K105" s="17"/>
      <c r="L105" s="17"/>
      <c r="M105" s="17"/>
    </row>
    <row r="106" spans="4:13" ht="20.100000000000001" customHeight="1" x14ac:dyDescent="0.25">
      <c r="D106" s="17"/>
      <c r="E106" s="17"/>
      <c r="F106" s="17"/>
      <c r="G106" s="17"/>
      <c r="H106" s="17"/>
      <c r="I106" s="17"/>
      <c r="J106" s="17"/>
      <c r="K106" s="17"/>
      <c r="L106" s="17"/>
      <c r="M106" s="17"/>
    </row>
    <row r="107" spans="4:13" ht="20.100000000000001" customHeight="1" x14ac:dyDescent="0.25">
      <c r="D107" s="9" t="str" cm="1">
        <f t="array" ref="D107">Fuel_SourceData.Fuel_Scope3EmissionFactorsStationaryGaseous_Title()</f>
        <v>Fuel scope 3 emission factors - Stationary gaseous fuels</v>
      </c>
      <c r="E107" s="17"/>
      <c r="F107" s="17"/>
      <c r="G107" s="17"/>
      <c r="H107" s="17"/>
      <c r="I107" s="17"/>
      <c r="J107" s="17"/>
      <c r="K107" s="17"/>
      <c r="L107" s="17"/>
    </row>
    <row r="108" spans="4:13" ht="20.100000000000001" customHeight="1" x14ac:dyDescent="0.25">
      <c r="D108" s="8" t="str" cm="1">
        <f t="array" ref="D108">Fuel_SourceData.Fuel_Scope3EmissionFactorsStationaryGaseous_Description()</f>
        <v>Indirect (Scope 3) emission factors for the consumption of natural gas.</v>
      </c>
      <c r="E108" s="17"/>
      <c r="F108" s="17"/>
      <c r="G108" s="17"/>
      <c r="H108" s="17"/>
      <c r="I108" s="17"/>
      <c r="J108" s="17"/>
      <c r="K108" s="17"/>
      <c r="L108" s="17"/>
    </row>
    <row r="109" spans="4:13" ht="20.100000000000001" customHeight="1" x14ac:dyDescent="0.25">
      <c r="D109" s="11" t="str" cm="1">
        <f t="array" ref="D109">Fuel_SourceData.Fuel_Scope3EmissionFactorsStationaryGaseous_Source()</f>
        <v>Australian National Greenhouse Accounts Factors 2025 - Table 6</v>
      </c>
      <c r="E109" s="17"/>
      <c r="F109" s="17"/>
      <c r="G109" s="17"/>
      <c r="H109" s="17"/>
      <c r="I109" s="17"/>
      <c r="J109" s="17"/>
      <c r="K109" s="17"/>
      <c r="L109" s="17"/>
    </row>
    <row r="110" spans="4:13" ht="20.100000000000001" customHeight="1" x14ac:dyDescent="0.25">
      <c r="D110" s="12"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
      <c r="F110" s="17"/>
      <c r="G110" s="17"/>
      <c r="H110" s="17"/>
      <c r="I110" s="17"/>
      <c r="J110" s="17"/>
      <c r="K110" s="17"/>
      <c r="L110" s="17"/>
    </row>
    <row r="111" spans="4:13" ht="20.100000000000001" customHeight="1" x14ac:dyDescent="0.25">
      <c r="D111" s="17"/>
      <c r="E111" s="17"/>
      <c r="F111" s="17"/>
      <c r="G111" s="17"/>
      <c r="H111" s="17"/>
      <c r="I111" s="17"/>
      <c r="J111" s="17"/>
      <c r="K111" s="17"/>
      <c r="L111" s="17"/>
    </row>
    <row r="112" spans="4:13" ht="20.100000000000001" customHeight="1" x14ac:dyDescent="0.25">
      <c r="D112" s="26" t="s">
        <v>86</v>
      </c>
      <c r="E112" s="20" t="s">
        <v>87</v>
      </c>
      <c r="F112" s="20" t="s">
        <v>88</v>
      </c>
      <c r="G112" s="17"/>
      <c r="H112" s="28" t="s">
        <v>89</v>
      </c>
      <c r="I112" s="17"/>
      <c r="J112" s="17"/>
      <c r="K112" s="17"/>
      <c r="L112" s="17"/>
    </row>
    <row r="113" spans="4:13" ht="20.100000000000001" customHeight="1" x14ac:dyDescent="0.25">
      <c r="D113" s="29" t="str" cm="1">
        <f t="array" ref="D113">Common_InputFunctions.Utility_DisplayArrayInTable(Fuel_SourceData.Fuel_Scope3EmissionFactorsStationaryGaseous_Data(), Table_Fuel_EFs_StationaryGaseous34[[#Headers],[State or territory]],0)</f>
        <v>New South Wales</v>
      </c>
      <c r="E113" s="29" cm="1">
        <f t="array" ref="E113">Common_InputFunctions.Utility_DisplayArrayInTable(Fuel_SourceData.Fuel_Scope3EmissionFactorsStationaryGaseous_Data(), Table_Fuel_EFs_StationaryGaseous34[[#Headers],[State or territory]],0)</f>
        <v>13.1</v>
      </c>
      <c r="F113" s="29" cm="1">
        <f t="array" ref="F113">Common_InputFunctions.Utility_DisplayArrayInTable(Fuel_SourceData.Fuel_Scope3EmissionFactorsStationaryGaseous_Data(), Table_Fuel_EFs_StationaryGaseous34[[#Headers],[State or territory]],0)</f>
        <v>14</v>
      </c>
      <c r="G113" s="30" t="str" cm="1">
        <f t="array" ref="G113:H124">Fuel_SourceData.Fuel_Scope3EmissionFactorsStationaryGaseous_Appendices()</f>
        <v>-</v>
      </c>
      <c r="H113" s="8" t="str">
        <v>As Scope 3 factors are calculated at the point where natural gas is delivered to end users, it is necessary to calculate consumption at each of the load centres.</v>
      </c>
      <c r="I113" s="17"/>
      <c r="J113" s="17"/>
      <c r="K113" s="17"/>
      <c r="L113" s="17"/>
    </row>
    <row r="114" spans="4:13" ht="20.100000000000001" customHeight="1" x14ac:dyDescent="0.25">
      <c r="D114" s="29" t="str" cm="1">
        <f t="array" ref="D114">Common_InputFunctions.Utility_DisplayArrayInTable(Fuel_SourceData.Fuel_Scope3EmissionFactorsStationaryGaseous_Data(), Table_Fuel_EFs_StationaryGaseous34[[#Headers],[State or territory]],0)</f>
        <v>ACT</v>
      </c>
      <c r="E114" s="29" cm="1">
        <f t="array" ref="E114">Common_InputFunctions.Utility_DisplayArrayInTable(Fuel_SourceData.Fuel_Scope3EmissionFactorsStationaryGaseous_Data(), Table_Fuel_EFs_StationaryGaseous34[[#Headers],[State or territory]],0)</f>
        <v>13.1</v>
      </c>
      <c r="F114" s="29" cm="1">
        <f t="array" ref="F114">Common_InputFunctions.Utility_DisplayArrayInTable(Fuel_SourceData.Fuel_Scope3EmissionFactorsStationaryGaseous_Data(), Table_Fuel_EFs_StationaryGaseous34[[#Headers],[State or territory]],0)</f>
        <v>14</v>
      </c>
      <c r="G114" s="30" t="str">
        <v/>
      </c>
      <c r="H114" s="8" t="str">
        <v>Gas reaches end users either from the metro distribution networks or direct from the high - pressure distribution pipelines.</v>
      </c>
      <c r="I114" s="17"/>
      <c r="J114" s="17"/>
      <c r="K114" s="17"/>
      <c r="L114" s="17"/>
    </row>
    <row r="115" spans="4:13" ht="20.100000000000001" customHeight="1" x14ac:dyDescent="0.25">
      <c r="D115" s="29" t="str" cm="1">
        <f t="array" ref="D115">Common_InputFunctions.Utility_DisplayArrayInTable(Fuel_SourceData.Fuel_Scope3EmissionFactorsStationaryGaseous_Data(), Table_Fuel_EFs_StationaryGaseous34[[#Headers],[State or territory]],0)</f>
        <v>Victoria</v>
      </c>
      <c r="E115" s="29" cm="1">
        <f t="array" ref="E115">Common_InputFunctions.Utility_DisplayArrayInTable(Fuel_SourceData.Fuel_Scope3EmissionFactorsStationaryGaseous_Data(), Table_Fuel_EFs_StationaryGaseous34[[#Headers],[State or territory]],0)</f>
        <v>4</v>
      </c>
      <c r="F115" s="29" cm="1">
        <f t="array" ref="F115">Common_InputFunctions.Utility_DisplayArrayInTable(Fuel_SourceData.Fuel_Scope3EmissionFactorsStationaryGaseous_Data(), Table_Fuel_EFs_StationaryGaseous34[[#Headers],[State or territory]],0)</f>
        <v>4</v>
      </c>
      <c r="G115" s="30" t="str">
        <v/>
      </c>
      <c r="H115" s="8" t="str">
        <v>Households and commercial users tend to be served by the former, and electricity generators and large industrial plants from the latter.</v>
      </c>
      <c r="I115" s="17"/>
      <c r="J115" s="17"/>
      <c r="K115" s="17"/>
      <c r="L115" s="17"/>
    </row>
    <row r="116" spans="4:13" ht="20.100000000000001" customHeight="1" x14ac:dyDescent="0.25">
      <c r="D116" s="29" t="str" cm="1">
        <f t="array" ref="D116">Common_InputFunctions.Utility_DisplayArrayInTable(Fuel_SourceData.Fuel_Scope3EmissionFactorsStationaryGaseous_Data(), Table_Fuel_EFs_StationaryGaseous34[[#Headers],[State or territory]],0)</f>
        <v>Queensland</v>
      </c>
      <c r="E116" s="29" cm="1">
        <f t="array" ref="E116">Common_InputFunctions.Utility_DisplayArrayInTable(Fuel_SourceData.Fuel_Scope3EmissionFactorsStationaryGaseous_Data(), Table_Fuel_EFs_StationaryGaseous34[[#Headers],[State or territory]],0)</f>
        <v>8.8000000000000007</v>
      </c>
      <c r="F116" s="29" cm="1">
        <f t="array" ref="F116">Common_InputFunctions.Utility_DisplayArrayInTable(Fuel_SourceData.Fuel_Scope3EmissionFactorsStationaryGaseous_Data(), Table_Fuel_EFs_StationaryGaseous34[[#Headers],[State or territory]],0)</f>
        <v>7.9</v>
      </c>
      <c r="G116" s="30" t="str">
        <v>-</v>
      </c>
      <c r="H116" s="8" t="str">
        <v>Metro is defined as located on or east of the dividing range in NSW, including Canberra and Queanbeyan, Melbourne, Brisbane, Adelaide or Perth.</v>
      </c>
      <c r="I116" s="17"/>
      <c r="J116" s="17"/>
      <c r="K116" s="17"/>
      <c r="L116" s="17"/>
    </row>
    <row r="117" spans="4:13" ht="20.100000000000001" customHeight="1" x14ac:dyDescent="0.25">
      <c r="D117" s="29" t="str" cm="1">
        <f t="array" ref="D117">Common_InputFunctions.Utility_DisplayArrayInTable(Fuel_SourceData.Fuel_Scope3EmissionFactorsStationaryGaseous_Data(), Table_Fuel_EFs_StationaryGaseous34[[#Headers],[State or territory]],0)</f>
        <v>South Australia</v>
      </c>
      <c r="E117" s="29" cm="1">
        <f t="array" ref="E117">Common_InputFunctions.Utility_DisplayArrayInTable(Fuel_SourceData.Fuel_Scope3EmissionFactorsStationaryGaseous_Data(), Table_Fuel_EFs_StationaryGaseous34[[#Headers],[State or territory]],0)</f>
        <v>10.7</v>
      </c>
      <c r="F117" s="29" cm="1">
        <f t="array" ref="F117">Common_InputFunctions.Utility_DisplayArrayInTable(Fuel_SourceData.Fuel_Scope3EmissionFactorsStationaryGaseous_Data(), Table_Fuel_EFs_StationaryGaseous34[[#Headers],[State or territory]],0)</f>
        <v>10.6</v>
      </c>
      <c r="G117" s="30" t="str">
        <v/>
      </c>
      <c r="H117" s="8" t="str">
        <v>Otherwise, the non - metro factor should be used.</v>
      </c>
      <c r="I117" s="17"/>
      <c r="J117" s="17"/>
      <c r="K117" s="17"/>
      <c r="L117" s="17"/>
    </row>
    <row r="118" spans="4:13" ht="20.100000000000001" customHeight="1" x14ac:dyDescent="0.25">
      <c r="D118" s="29" t="str" cm="1">
        <f t="array" ref="D118">Common_InputFunctions.Utility_DisplayArrayInTable(Fuel_SourceData.Fuel_Scope3EmissionFactorsStationaryGaseous_Data(), Table_Fuel_EFs_StationaryGaseous34[[#Headers],[State or territory]],0)</f>
        <v>Western Australia</v>
      </c>
      <c r="E118" s="29" cm="1">
        <f t="array" ref="E118">Common_InputFunctions.Utility_DisplayArrayInTable(Fuel_SourceData.Fuel_Scope3EmissionFactorsStationaryGaseous_Data(), Table_Fuel_EFs_StationaryGaseous34[[#Headers],[State or territory]],0)</f>
        <v>4.0999999999999996</v>
      </c>
      <c r="F118" s="29" cm="1">
        <f t="array" ref="F118">Common_InputFunctions.Utility_DisplayArrayInTable(Fuel_SourceData.Fuel_Scope3EmissionFactorsStationaryGaseous_Data(), Table_Fuel_EFs_StationaryGaseous34[[#Headers],[State or territory]],0)</f>
        <v>4</v>
      </c>
      <c r="G118" s="30" t="str">
        <v>-</v>
      </c>
      <c r="H118" s="8" t="str">
        <v>Factors are calculated for all natural gas distributed in a pipeline which may include coal seam methane.</v>
      </c>
      <c r="I118" s="17"/>
      <c r="J118" s="17"/>
      <c r="K118" s="17"/>
      <c r="L118" s="17"/>
    </row>
    <row r="119" spans="4:13" ht="20.100000000000001" customHeight="1" x14ac:dyDescent="0.25">
      <c r="D119" s="29" t="str" cm="1">
        <f t="array" ref="D119">Common_InputFunctions.Utility_DisplayArrayInTable(Fuel_SourceData.Fuel_Scope3EmissionFactorsStationaryGaseous_Data(), Table_Fuel_EFs_StationaryGaseous34[[#Headers],[State or territory]],0)</f>
        <v>Tasmania</v>
      </c>
      <c r="E119" s="29" cm="1">
        <f t="array" ref="E119">Common_InputFunctions.Utility_DisplayArrayInTable(Fuel_SourceData.Fuel_Scope3EmissionFactorsStationaryGaseous_Data(), Table_Fuel_EFs_StationaryGaseous34[[#Headers],[State or territory]],0)</f>
        <v>4</v>
      </c>
      <c r="F119" s="29" cm="1">
        <f t="array" ref="F119">Common_InputFunctions.Utility_DisplayArrayInTable(Fuel_SourceData.Fuel_Scope3EmissionFactorsStationaryGaseous_Data(), Table_Fuel_EFs_StationaryGaseous34[[#Headers],[State or territory]],0)</f>
        <v>4</v>
      </c>
      <c r="G119" s="30" t="str">
        <v>-</v>
      </c>
      <c r="H119" s="8" t="str">
        <v>Table 6 is not applicable to ethane. See Table 7 Indirect (Scope 3) emissions from the consumption of ethane.</v>
      </c>
      <c r="I119" s="17"/>
      <c r="J119" s="17"/>
      <c r="K119" s="17"/>
      <c r="L119" s="17"/>
    </row>
    <row r="120" spans="4:13" ht="20.100000000000001" customHeight="1" x14ac:dyDescent="0.25">
      <c r="D120" s="29" t="str" cm="1">
        <f t="array" ref="D120">Common_InputFunctions.Utility_DisplayArrayInTable(Fuel_SourceData.Fuel_Scope3EmissionFactorsStationaryGaseous_Data(), Table_Fuel_EFs_StationaryGaseous34[[#Headers],[State or territory]],0)</f>
        <v>Northern Territory</v>
      </c>
      <c r="E120" s="29" cm="1">
        <f t="array" ref="E120">Common_InputFunctions.Utility_DisplayArrayInTable(Fuel_SourceData.Fuel_Scope3EmissionFactorsStationaryGaseous_Data(), Table_Fuel_EFs_StationaryGaseous34[[#Headers],[State or territory]],0)</f>
        <v>4.0999999999999996</v>
      </c>
      <c r="F120" s="29" cm="1">
        <f t="array" ref="F120">Common_InputFunctions.Utility_DisplayArrayInTable(Fuel_SourceData.Fuel_Scope3EmissionFactorsStationaryGaseous_Data(), Table_Fuel_EFs_StationaryGaseous34[[#Headers],[State or territory]],0)</f>
        <v>4</v>
      </c>
      <c r="G120" s="30" t="str">
        <v>-</v>
      </c>
      <c r="H120" s="8" t="str">
        <v>C = Confidential. Scope 3 emission factors for Tasmania and the Northern Territory are not available due to confidentiality constraints that arise</v>
      </c>
      <c r="I120" s="17"/>
      <c r="J120" s="17"/>
      <c r="K120" s="17"/>
      <c r="L120" s="17"/>
    </row>
    <row r="121" spans="4:13" ht="20.100000000000001" customHeight="1" x14ac:dyDescent="0.25">
      <c r="D121" s="14"/>
      <c r="E121" s="14"/>
      <c r="F121" s="14"/>
      <c r="G121" s="30" t="str">
        <v/>
      </c>
      <c r="H121" s="8" t="str">
        <v>from the use of a limited number of NGER data inputs. It is suggested that for Tasmania the use of the Victorian emission factors is appropriate,</v>
      </c>
      <c r="I121" s="17"/>
      <c r="J121" s="17"/>
      <c r="K121" s="17"/>
      <c r="L121" s="17"/>
    </row>
    <row r="122" spans="4:13" ht="20.100000000000001" customHeight="1" x14ac:dyDescent="0.25">
      <c r="D122" s="17"/>
      <c r="F122" s="31"/>
      <c r="G122" s="30" t="str">
        <v/>
      </c>
      <c r="H122" s="8" t="str">
        <v>while for Northern Territory the use of the Western Australian emission factors is appropriate.</v>
      </c>
      <c r="I122" s="17"/>
      <c r="J122" s="17"/>
      <c r="K122" s="17"/>
      <c r="L122" s="17"/>
    </row>
    <row r="123" spans="4:13" ht="20.100000000000001" customHeight="1" x14ac:dyDescent="0.25">
      <c r="D123" s="32"/>
      <c r="F123" s="31"/>
      <c r="G123" s="30" t="str">
        <v>-</v>
      </c>
      <c r="H123" s="8" t="str">
        <v>Scope 3 emission factors do not include fugitive emission leakage from low pressure natural gas distribution pipeline networks while those from high pressure</v>
      </c>
      <c r="I123" s="17"/>
      <c r="J123" s="17"/>
      <c r="K123" s="17"/>
      <c r="L123" s="17"/>
    </row>
    <row r="124" spans="4:13" ht="20.100000000000001" customHeight="1" x14ac:dyDescent="0.25">
      <c r="D124" s="32"/>
      <c r="F124" s="31"/>
      <c r="G124" s="17" t="str">
        <v/>
      </c>
      <c r="H124" s="8" t="str">
        <v>gas networks are considered negligible.</v>
      </c>
      <c r="I124" s="17"/>
      <c r="J124" s="17"/>
      <c r="K124" s="17"/>
      <c r="L124" s="17"/>
    </row>
    <row r="125" spans="4:13" ht="20.100000000000001" customHeight="1" x14ac:dyDescent="0.25">
      <c r="D125" s="32"/>
      <c r="F125" s="31"/>
      <c r="G125" s="17"/>
      <c r="H125" s="17"/>
      <c r="I125" s="17"/>
      <c r="J125" s="17"/>
      <c r="K125" s="17"/>
      <c r="L125" s="17"/>
    </row>
    <row r="126" spans="4:13" ht="20.100000000000001" customHeight="1" x14ac:dyDescent="0.25">
      <c r="D126" s="17"/>
      <c r="E126" s="17"/>
      <c r="F126" s="17"/>
      <c r="G126" s="17"/>
      <c r="H126" s="17"/>
      <c r="I126" s="17"/>
      <c r="J126" s="17"/>
      <c r="K126" s="17"/>
      <c r="L126" s="17"/>
      <c r="M126" s="17"/>
    </row>
    <row r="127" spans="4:13" ht="20.100000000000001" customHeight="1" x14ac:dyDescent="0.25">
      <c r="D127" s="17"/>
      <c r="E127" s="17"/>
      <c r="F127" s="17"/>
      <c r="G127" s="17"/>
      <c r="H127" s="17"/>
      <c r="I127" s="17"/>
      <c r="J127" s="17"/>
      <c r="K127" s="17"/>
      <c r="L127" s="17"/>
      <c r="M127" s="17"/>
    </row>
    <row r="128" spans="4:13" ht="20.100000000000001" customHeight="1" x14ac:dyDescent="0.25">
      <c r="D128" s="17"/>
      <c r="E128" s="17"/>
      <c r="F128" s="17"/>
      <c r="G128" s="17"/>
      <c r="H128" s="17"/>
      <c r="I128" s="17"/>
      <c r="J128" s="17"/>
      <c r="K128" s="17"/>
      <c r="L128" s="17"/>
      <c r="M128" s="17"/>
    </row>
    <row r="129" spans="4:33" ht="20.100000000000001" customHeight="1" x14ac:dyDescent="0.25">
      <c r="D129" s="33"/>
      <c r="E129" s="17"/>
      <c r="F129" s="17"/>
      <c r="G129" s="17"/>
      <c r="H129" s="17"/>
      <c r="I129" s="17"/>
      <c r="J129" s="17"/>
      <c r="K129" s="17"/>
      <c r="L129" s="17"/>
    </row>
    <row r="130" spans="4:33" ht="20.100000000000001" customHeight="1" x14ac:dyDescent="0.25">
      <c r="D130" s="34" t="s">
        <v>90</v>
      </c>
      <c r="E130" s="34" t="s">
        <v>91</v>
      </c>
      <c r="F130" s="34" t="s">
        <v>92</v>
      </c>
      <c r="G130" s="34" t="s">
        <v>93</v>
      </c>
      <c r="H130" s="34" t="s">
        <v>94</v>
      </c>
      <c r="I130" s="34" t="s">
        <v>95</v>
      </c>
      <c r="J130" s="34" t="s">
        <v>96</v>
      </c>
      <c r="K130" s="17"/>
      <c r="L130" s="17"/>
      <c r="M130" s="17"/>
      <c r="AG130" s="8"/>
    </row>
    <row r="131" spans="4:33" ht="20.100000000000001" customHeight="1" x14ac:dyDescent="0.25">
      <c r="D131" s="35" t="str">
        <f>$D$143</f>
        <v>Petrol</v>
      </c>
      <c r="E131" s="35" t="str">
        <f>$D$143</f>
        <v>Petrol</v>
      </c>
      <c r="F131" s="35" t="str">
        <f>$D$150</f>
        <v>Avgas</v>
      </c>
      <c r="G131" s="35" t="str">
        <f>$D$143</f>
        <v>Petrol</v>
      </c>
      <c r="H131" s="35" t="str">
        <f>$D$144</f>
        <v>Diesel</v>
      </c>
      <c r="I131" s="35" t="str">
        <f>$D$143</f>
        <v>Petrol</v>
      </c>
      <c r="J131" s="35" t="str">
        <f>$D$143</f>
        <v>Petrol</v>
      </c>
      <c r="K131" s="17"/>
      <c r="L131" s="17"/>
      <c r="M131" s="17"/>
      <c r="AG131" s="8"/>
    </row>
    <row r="132" spans="4:33" ht="20.100000000000001" customHeight="1" x14ac:dyDescent="0.25">
      <c r="D132" s="35" t="str">
        <f>$D$144</f>
        <v>Diesel</v>
      </c>
      <c r="E132" s="35" t="str">
        <f>$D$144</f>
        <v>Diesel</v>
      </c>
      <c r="F132" s="35" t="str">
        <f>$D$151</f>
        <v>Jet A1, Jet B</v>
      </c>
      <c r="G132" s="35" t="str">
        <f>$D$144</f>
        <v>Diesel</v>
      </c>
      <c r="H132" s="35"/>
      <c r="I132" s="35" t="str">
        <f>$D$144</f>
        <v>Diesel</v>
      </c>
      <c r="J132" s="35" t="str">
        <f>$D$144</f>
        <v>Diesel</v>
      </c>
      <c r="K132" s="17"/>
      <c r="L132" s="17"/>
      <c r="M132" s="17"/>
      <c r="AG132" s="8"/>
    </row>
    <row r="133" spans="4:33" ht="20.100000000000001" customHeight="1" x14ac:dyDescent="0.25">
      <c r="D133" s="35" t="str">
        <f>$D$145</f>
        <v>Liquefied petroleum gas (LPG)</v>
      </c>
      <c r="E133" s="35" t="str">
        <f>$D$145</f>
        <v>Liquefied petroleum gas (LPG)</v>
      </c>
      <c r="F133" s="35" t="str">
        <f>$D$152</f>
        <v>Renewable aviation kerosene</v>
      </c>
      <c r="G133" s="35" t="str">
        <f>$D$145</f>
        <v>Liquefied petroleum gas (LPG)</v>
      </c>
      <c r="H133" s="35"/>
      <c r="I133" s="35" t="s">
        <v>97</v>
      </c>
      <c r="J133" s="35" t="str">
        <f>$D$145</f>
        <v>Liquefied petroleum gas (LPG)</v>
      </c>
      <c r="K133" s="17"/>
      <c r="L133" s="17"/>
      <c r="M133" s="17"/>
      <c r="AG133" s="8"/>
    </row>
    <row r="134" spans="4:33" ht="20.100000000000001" customHeight="1" x14ac:dyDescent="0.25">
      <c r="D134" s="35" t="str">
        <f>$D$146</f>
        <v>Biodiesel</v>
      </c>
      <c r="E134" s="35" t="str">
        <f>$D$146</f>
        <v>Biodiesel</v>
      </c>
      <c r="F134" s="34"/>
      <c r="G134" s="35" t="str">
        <f>$D$160</f>
        <v>Fuel oil</v>
      </c>
      <c r="H134" s="35"/>
      <c r="I134" s="35"/>
      <c r="J134" s="35" t="str">
        <f>$D$146</f>
        <v>Biodiesel</v>
      </c>
      <c r="K134" s="17"/>
      <c r="L134" s="17"/>
      <c r="M134" s="17"/>
      <c r="AG134" s="8"/>
    </row>
    <row r="135" spans="4:33" ht="20.100000000000001" customHeight="1" x14ac:dyDescent="0.25">
      <c r="D135" s="35" t="str">
        <f>$D$147</f>
        <v>Ethanol</v>
      </c>
      <c r="E135" s="35" t="str">
        <f>$D$147</f>
        <v>Ethanol</v>
      </c>
      <c r="F135" s="34"/>
      <c r="G135" s="35" t="str">
        <f>$D$147</f>
        <v>Ethanol</v>
      </c>
      <c r="H135" s="35"/>
      <c r="I135" s="35"/>
      <c r="J135" s="35" t="str">
        <f>$D$147</f>
        <v>Ethanol</v>
      </c>
      <c r="K135" s="17"/>
      <c r="L135" s="17"/>
      <c r="M135" s="17"/>
      <c r="AG135" s="8"/>
    </row>
    <row r="136" spans="4:33" ht="20.100000000000001" customHeight="1" x14ac:dyDescent="0.25">
      <c r="D136" s="35" t="str">
        <f>$D$148</f>
        <v>Other biofuels</v>
      </c>
      <c r="E136" s="35" t="str">
        <f>$D$148</f>
        <v>Other biofuels</v>
      </c>
      <c r="F136" s="34"/>
      <c r="G136" s="35" t="str">
        <f>$D$146</f>
        <v>Biodiesel</v>
      </c>
      <c r="H136" s="35"/>
      <c r="I136" s="35"/>
      <c r="J136" s="35" t="str">
        <f>$D$148</f>
        <v>Other biofuels</v>
      </c>
      <c r="K136" s="17"/>
      <c r="L136" s="17"/>
      <c r="M136" s="17"/>
      <c r="AG136" s="8"/>
    </row>
    <row r="137" spans="4:33" ht="20.100000000000001" customHeight="1" x14ac:dyDescent="0.25">
      <c r="D137" s="35" t="str">
        <f>$D$149</f>
        <v>Renewable diesel</v>
      </c>
      <c r="E137" s="35" t="str">
        <f>$D$149</f>
        <v>Renewable diesel</v>
      </c>
      <c r="F137" s="34"/>
      <c r="G137" s="35" t="str">
        <f>$D$149</f>
        <v>Renewable diesel</v>
      </c>
      <c r="H137" s="35"/>
      <c r="I137" s="35"/>
      <c r="J137" s="35" t="str">
        <f>$D$149</f>
        <v>Renewable diesel</v>
      </c>
      <c r="K137" s="17"/>
      <c r="L137" s="17"/>
      <c r="M137" s="17"/>
      <c r="AG137" s="8"/>
    </row>
    <row r="138" spans="4:33" ht="20.100000000000001" customHeight="1" x14ac:dyDescent="0.25">
      <c r="D138" s="34"/>
      <c r="E138" s="36" t="str">
        <f>$D$161</f>
        <v>Natural gas (via pipeline) in GJ</v>
      </c>
      <c r="F138" s="36"/>
      <c r="G138" s="35" t="str">
        <f>$D$148</f>
        <v>Other biofuels</v>
      </c>
      <c r="H138" s="35"/>
      <c r="I138" s="35"/>
      <c r="J138" s="36" t="str">
        <f>$D$161</f>
        <v>Natural gas (via pipeline) in GJ</v>
      </c>
      <c r="K138" s="17"/>
      <c r="L138" s="17"/>
      <c r="M138" s="17"/>
      <c r="AG138" s="8"/>
    </row>
    <row r="139" spans="4:33" ht="20.100000000000001" customHeight="1" x14ac:dyDescent="0.25">
      <c r="D139" s="36"/>
      <c r="E139" s="36" t="str">
        <f>$D$162</f>
        <v>Town gas in GJ</v>
      </c>
      <c r="F139" s="36"/>
      <c r="G139" s="36"/>
      <c r="H139" s="36"/>
      <c r="I139" s="36"/>
      <c r="J139" s="36" t="str">
        <f>$D$162</f>
        <v>Town gas in GJ</v>
      </c>
      <c r="K139" s="17"/>
      <c r="L139" s="17"/>
      <c r="M139" s="17"/>
      <c r="AG139" s="8"/>
    </row>
    <row r="140" spans="4:33" ht="20.100000000000001" customHeight="1" x14ac:dyDescent="0.25">
      <c r="D140" s="17"/>
      <c r="E140" s="17"/>
      <c r="F140" s="17"/>
      <c r="G140" s="17"/>
      <c r="H140" s="17"/>
      <c r="I140" s="17"/>
      <c r="J140" s="17"/>
      <c r="K140" s="17"/>
      <c r="L140" s="17"/>
    </row>
    <row r="141" spans="4:33" ht="20.100000000000001" customHeight="1" x14ac:dyDescent="0.25">
      <c r="D141" s="17"/>
      <c r="E141" s="17"/>
      <c r="F141" s="17"/>
      <c r="G141" s="17"/>
      <c r="H141" s="17"/>
      <c r="I141" s="17"/>
      <c r="J141" s="17"/>
      <c r="K141" s="17"/>
      <c r="L141" s="17"/>
    </row>
    <row r="142" spans="4:33" ht="20.100000000000001" customHeight="1" x14ac:dyDescent="0.25">
      <c r="D142" s="3" t="s">
        <v>98</v>
      </c>
      <c r="E142" s="3" t="s">
        <v>99</v>
      </c>
      <c r="F142" s="17"/>
      <c r="G142" s="17"/>
      <c r="H142" s="17"/>
      <c r="I142" s="17"/>
      <c r="J142" s="17"/>
      <c r="K142" s="17"/>
      <c r="L142" s="17"/>
    </row>
    <row r="143" spans="4:33" ht="20.100000000000001" customHeight="1" x14ac:dyDescent="0.25">
      <c r="D143" s="35" t="s">
        <v>100</v>
      </c>
      <c r="E143" s="3" t="s">
        <v>101</v>
      </c>
      <c r="F143" s="17"/>
      <c r="G143" s="17"/>
      <c r="H143" s="17"/>
      <c r="I143" s="17"/>
      <c r="J143" s="17"/>
      <c r="K143" s="17"/>
      <c r="L143" s="17"/>
    </row>
    <row r="144" spans="4:33" ht="20.100000000000001" customHeight="1" x14ac:dyDescent="0.25">
      <c r="D144" s="35" t="s">
        <v>102</v>
      </c>
      <c r="E144" s="3" t="s">
        <v>101</v>
      </c>
      <c r="F144" s="17"/>
      <c r="G144" s="17"/>
      <c r="H144" s="17"/>
      <c r="I144" s="17"/>
      <c r="J144" s="17"/>
      <c r="K144" s="17"/>
      <c r="L144" s="17"/>
    </row>
    <row r="145" spans="4:12" ht="20.100000000000001" customHeight="1" x14ac:dyDescent="0.25">
      <c r="D145" s="35" t="s">
        <v>103</v>
      </c>
      <c r="E145" s="3" t="s">
        <v>101</v>
      </c>
      <c r="F145" s="17"/>
      <c r="G145" s="17"/>
      <c r="H145" s="17"/>
      <c r="I145" s="17"/>
      <c r="J145" s="17"/>
      <c r="K145" s="17"/>
      <c r="L145" s="17"/>
    </row>
    <row r="146" spans="4:12" ht="20.100000000000001" customHeight="1" x14ac:dyDescent="0.25">
      <c r="D146" s="35" t="s">
        <v>104</v>
      </c>
      <c r="E146" s="3" t="s">
        <v>101</v>
      </c>
      <c r="F146" s="17"/>
      <c r="G146" s="17"/>
      <c r="H146" s="17"/>
      <c r="I146" s="17"/>
      <c r="J146" s="17"/>
      <c r="K146" s="17"/>
      <c r="L146" s="17"/>
    </row>
    <row r="147" spans="4:12" ht="20.100000000000001" customHeight="1" x14ac:dyDescent="0.25">
      <c r="D147" s="35" t="s">
        <v>105</v>
      </c>
      <c r="E147" s="3" t="s">
        <v>101</v>
      </c>
      <c r="F147" s="17"/>
      <c r="G147" s="17"/>
      <c r="H147" s="17"/>
      <c r="I147" s="17"/>
      <c r="J147" s="17"/>
      <c r="K147" s="17"/>
      <c r="L147" s="17"/>
    </row>
    <row r="148" spans="4:12" ht="20.100000000000001" customHeight="1" x14ac:dyDescent="0.25">
      <c r="D148" s="35" t="s">
        <v>106</v>
      </c>
      <c r="E148" s="3" t="s">
        <v>101</v>
      </c>
      <c r="F148" s="17"/>
      <c r="G148" s="17"/>
      <c r="H148" s="17"/>
      <c r="I148" s="17"/>
      <c r="J148" s="17"/>
      <c r="K148" s="17"/>
      <c r="L148" s="17"/>
    </row>
    <row r="149" spans="4:12" ht="20.100000000000001" customHeight="1" x14ac:dyDescent="0.25">
      <c r="D149" s="35" t="s">
        <v>107</v>
      </c>
      <c r="E149" s="3" t="s">
        <v>101</v>
      </c>
      <c r="F149" s="17"/>
      <c r="G149" s="17"/>
      <c r="H149" s="17"/>
      <c r="I149" s="17"/>
      <c r="J149" s="17"/>
      <c r="K149" s="17"/>
      <c r="L149" s="17"/>
    </row>
    <row r="150" spans="4:12" ht="20.100000000000001" customHeight="1" x14ac:dyDescent="0.25">
      <c r="D150" s="35" t="s">
        <v>108</v>
      </c>
      <c r="E150" s="3" t="s">
        <v>101</v>
      </c>
      <c r="F150" s="17"/>
      <c r="G150" s="17"/>
      <c r="H150" s="17"/>
      <c r="I150" s="17"/>
      <c r="J150" s="17"/>
      <c r="K150" s="17"/>
      <c r="L150" s="17"/>
    </row>
    <row r="151" spans="4:12" ht="20.100000000000001" customHeight="1" x14ac:dyDescent="0.25">
      <c r="D151" s="35" t="s">
        <v>109</v>
      </c>
      <c r="E151" s="3" t="s">
        <v>101</v>
      </c>
      <c r="F151" s="17"/>
      <c r="G151" s="17"/>
      <c r="H151" s="17"/>
      <c r="I151" s="17"/>
      <c r="J151" s="17"/>
      <c r="K151" s="17"/>
      <c r="L151" s="17"/>
    </row>
    <row r="152" spans="4:12" ht="20.100000000000001" customHeight="1" x14ac:dyDescent="0.25">
      <c r="D152" s="37" t="s">
        <v>110</v>
      </c>
      <c r="E152" s="14" t="s">
        <v>101</v>
      </c>
      <c r="F152" s="17"/>
      <c r="G152" s="17"/>
      <c r="H152" s="17"/>
      <c r="I152" s="17"/>
      <c r="J152" s="17"/>
      <c r="K152" s="17"/>
      <c r="L152" s="17"/>
    </row>
    <row r="153" spans="4:12" ht="20.100000000000001" customHeight="1" x14ac:dyDescent="0.25">
      <c r="D153" s="37" t="s">
        <v>111</v>
      </c>
      <c r="E153" s="14" t="s">
        <v>101</v>
      </c>
      <c r="F153" s="17"/>
      <c r="G153" s="17"/>
      <c r="H153" s="17"/>
      <c r="I153" s="17"/>
      <c r="J153" s="17"/>
      <c r="K153" s="17"/>
      <c r="L153" s="17"/>
    </row>
    <row r="154" spans="4:12" ht="20.100000000000001" customHeight="1" x14ac:dyDescent="0.25">
      <c r="D154" s="37" t="s">
        <v>112</v>
      </c>
      <c r="E154" s="14" t="s">
        <v>101</v>
      </c>
      <c r="F154" s="17"/>
      <c r="G154" s="17"/>
      <c r="H154" s="17"/>
      <c r="I154" s="17"/>
      <c r="J154" s="17"/>
      <c r="K154" s="17"/>
      <c r="L154" s="17"/>
    </row>
    <row r="155" spans="4:12" ht="20.100000000000001" customHeight="1" x14ac:dyDescent="0.25">
      <c r="D155" s="37" t="s">
        <v>113</v>
      </c>
      <c r="E155" s="14" t="s">
        <v>101</v>
      </c>
      <c r="F155" s="17"/>
      <c r="G155" s="17"/>
      <c r="H155" s="17"/>
      <c r="I155" s="17"/>
      <c r="J155" s="17"/>
      <c r="K155" s="17"/>
      <c r="L155" s="17"/>
    </row>
    <row r="156" spans="4:12" ht="20.100000000000001" customHeight="1" x14ac:dyDescent="0.25">
      <c r="D156" s="37" t="s">
        <v>114</v>
      </c>
      <c r="E156" s="14" t="s">
        <v>101</v>
      </c>
      <c r="F156" s="17"/>
      <c r="G156" s="17"/>
      <c r="H156" s="17"/>
      <c r="I156" s="17"/>
      <c r="J156" s="17"/>
      <c r="K156" s="17"/>
      <c r="L156" s="17"/>
    </row>
    <row r="157" spans="4:12" ht="20.100000000000001" customHeight="1" x14ac:dyDescent="0.25">
      <c r="D157" s="37" t="s">
        <v>115</v>
      </c>
      <c r="E157" s="14" t="s">
        <v>101</v>
      </c>
      <c r="F157" s="17"/>
      <c r="G157" s="17"/>
      <c r="H157" s="17"/>
      <c r="I157" s="17"/>
      <c r="J157" s="17"/>
      <c r="K157" s="17"/>
      <c r="L157" s="17"/>
    </row>
    <row r="158" spans="4:12" ht="20.100000000000001" customHeight="1" x14ac:dyDescent="0.25">
      <c r="D158" s="37" t="s">
        <v>116</v>
      </c>
      <c r="E158" s="14" t="s">
        <v>101</v>
      </c>
      <c r="F158" s="17"/>
      <c r="G158" s="17"/>
      <c r="H158" s="17"/>
      <c r="I158" s="17"/>
      <c r="J158" s="17"/>
      <c r="K158" s="17"/>
      <c r="L158" s="17"/>
    </row>
    <row r="159" spans="4:12" ht="20.100000000000001" customHeight="1" x14ac:dyDescent="0.25">
      <c r="D159" s="37" t="s">
        <v>117</v>
      </c>
      <c r="E159" s="14" t="s">
        <v>101</v>
      </c>
      <c r="F159" s="17"/>
      <c r="G159" s="17"/>
      <c r="H159" s="17"/>
      <c r="I159" s="17"/>
      <c r="J159" s="17"/>
      <c r="K159" s="17"/>
      <c r="L159" s="17"/>
    </row>
    <row r="160" spans="4:12" ht="20.100000000000001" customHeight="1" x14ac:dyDescent="0.25">
      <c r="D160" s="37" t="s">
        <v>97</v>
      </c>
      <c r="E160" s="14" t="s">
        <v>101</v>
      </c>
      <c r="F160" s="17"/>
      <c r="G160" s="17"/>
      <c r="H160" s="17"/>
      <c r="I160" s="17"/>
      <c r="J160" s="17"/>
      <c r="K160" s="17"/>
      <c r="L160" s="17"/>
    </row>
    <row r="161" spans="4:12" ht="20.100000000000001" customHeight="1" x14ac:dyDescent="0.25">
      <c r="D161" s="36" t="s">
        <v>118</v>
      </c>
      <c r="E161" s="17" t="s">
        <v>119</v>
      </c>
      <c r="F161" s="17"/>
      <c r="G161" s="17"/>
      <c r="H161" s="17"/>
      <c r="I161" s="17"/>
      <c r="J161" s="17"/>
      <c r="K161" s="17"/>
      <c r="L161" s="17"/>
    </row>
    <row r="162" spans="4:12" ht="20.100000000000001" customHeight="1" x14ac:dyDescent="0.25">
      <c r="D162" s="17" t="s">
        <v>120</v>
      </c>
      <c r="E162" s="17" t="s">
        <v>119</v>
      </c>
      <c r="F162" s="17"/>
      <c r="G162" s="17"/>
      <c r="H162" s="17"/>
      <c r="I162" s="17"/>
      <c r="J162" s="17"/>
      <c r="K162" s="17"/>
      <c r="L162" s="17"/>
    </row>
    <row r="163" spans="4:12" ht="20.100000000000001" customHeight="1" x14ac:dyDescent="0.25"/>
    <row r="164" spans="4:12" ht="20.100000000000001" customHeight="1" x14ac:dyDescent="0.25"/>
    <row r="165" spans="4:12"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864D7-894B-4062-A058-3EA5D26C0564}">
  <dimension ref="A1:AI165"/>
  <sheetViews>
    <sheetView showGridLines="0" zoomScaleNormal="100" workbookViewId="0">
      <selection activeCell="F18" sqref="F18"/>
    </sheetView>
  </sheetViews>
  <sheetFormatPr defaultRowHeight="15.75" x14ac:dyDescent="0.25"/>
  <cols>
    <col min="1" max="1" width="26.875" style="3" customWidth="1"/>
    <col min="2" max="2" width="4.125" style="3" customWidth="1"/>
    <col min="3" max="3" width="4.125" style="8" customWidth="1"/>
    <col min="4" max="4" width="34.25" style="8" customWidth="1"/>
    <col min="5" max="5" width="26.875" style="8" customWidth="1"/>
    <col min="6" max="6" width="25.875" style="8" customWidth="1"/>
    <col min="7" max="8" width="38" style="8" customWidth="1"/>
    <col min="9" max="9" width="38.125" style="8" customWidth="1"/>
    <col min="10" max="10" width="32.875" style="8" customWidth="1"/>
    <col min="11" max="11" width="29.375" style="8" customWidth="1"/>
    <col min="12" max="31" width="18.125" style="8" customWidth="1"/>
    <col min="32" max="32" width="4.125" style="8" customWidth="1"/>
    <col min="33" max="16384" width="9" style="3"/>
  </cols>
  <sheetData>
    <row r="1" spans="1:35" s="1" customFormat="1" ht="30" customHeight="1" x14ac:dyDescent="0.35">
      <c r="A1" s="1" t="e" vm="1">
        <v>#VALUE!</v>
      </c>
      <c r="C1" s="1" t="s">
        <v>246</v>
      </c>
      <c r="AG1" s="3"/>
      <c r="AH1" s="3"/>
      <c r="AI1" s="3"/>
    </row>
    <row r="2" spans="1:35" s="2" customFormat="1" ht="20.100000000000001" customHeight="1" x14ac:dyDescent="0.25">
      <c r="AG2" s="3"/>
      <c r="AH2" s="3"/>
      <c r="AI2" s="3"/>
    </row>
    <row r="3" spans="1:35" ht="20.100000000000001" customHeight="1" x14ac:dyDescent="0.25">
      <c r="A3" s="16" t="str">
        <f>HYPERLINK("#'Home'!A1", "Home")</f>
        <v>Home</v>
      </c>
      <c r="C3" s="5"/>
      <c r="D3" s="5"/>
      <c r="E3" s="5"/>
      <c r="F3" s="5"/>
      <c r="G3" s="5"/>
      <c r="H3" s="5"/>
      <c r="I3" s="5"/>
      <c r="J3" s="5"/>
      <c r="K3" s="5"/>
      <c r="L3" s="5"/>
      <c r="M3" s="5"/>
      <c r="N3" s="5"/>
      <c r="O3" s="5"/>
      <c r="P3" s="5"/>
      <c r="Q3" s="5"/>
      <c r="R3" s="5"/>
      <c r="S3" s="5"/>
      <c r="T3" s="5"/>
      <c r="U3" s="5"/>
      <c r="V3" s="5"/>
      <c r="W3" s="5"/>
      <c r="X3" s="5"/>
      <c r="Y3" s="5"/>
      <c r="Z3" s="5"/>
      <c r="AA3" s="5"/>
      <c r="AB3" s="5"/>
      <c r="AC3" s="5"/>
      <c r="AD3" s="5"/>
      <c r="AE3" s="5"/>
      <c r="AF3" s="5"/>
    </row>
    <row r="4" spans="1:35" ht="20.100000000000001" customHeight="1" x14ac:dyDescent="0.25">
      <c r="A4" s="16" t="str">
        <f>HYPERLINK("#'Overview'!A1", "Overview")</f>
        <v>Overview</v>
      </c>
    </row>
    <row r="5" spans="1:35" ht="20.100000000000001" customHeight="1" x14ac:dyDescent="0.25">
      <c r="A5" s="16" t="str">
        <f>HYPERLINK("#'Results'!A1", "Results")</f>
        <v>Results</v>
      </c>
      <c r="D5" s="9" t="str" cm="1">
        <f t="array" ref="D5">Electricity_SourceData.Electricity_Scope2Scope3LocationBased_Title()</f>
        <v>Electricity scope 2 and scope 3 location-based emission factors</v>
      </c>
    </row>
    <row r="6" spans="1:35" ht="20.100000000000001" customHeight="1" x14ac:dyDescent="0.25">
      <c r="A6" s="18"/>
      <c r="D6" s="11" t="str" cm="1">
        <f t="array" ref="D6">Electricity_SourceData.Electricity_Scope2Scope3LocationBased_Source()</f>
        <v>Australian National Greenhouse Accounts Factors 2025 - Table 1</v>
      </c>
      <c r="E6" s="14"/>
      <c r="F6" s="14"/>
    </row>
    <row r="7" spans="1:35" ht="20.100000000000001" customHeight="1" x14ac:dyDescent="0.25">
      <c r="A7" s="19" t="s">
        <v>67</v>
      </c>
      <c r="D7" s="12" t="str" cm="1">
        <f t="array" ref="D7">"⚠️" &amp; Electricity_SourceData.Electricity_Scope2Scope3LocationBased_Variation()</f>
        <v>⚠️VARIATION OF SOURCE DATA: NSW and ACT split into separate rows.</v>
      </c>
      <c r="E7" s="14"/>
      <c r="F7" s="14"/>
    </row>
    <row r="8" spans="1:35" ht="20.100000000000001" customHeight="1" x14ac:dyDescent="0.25">
      <c r="A8" s="16" t="str">
        <f>HYPERLINK("#'Input - Electricity'!A1", "Electricity")</f>
        <v>Electricity</v>
      </c>
      <c r="D8" s="14"/>
      <c r="E8" s="14"/>
      <c r="F8" s="14"/>
    </row>
    <row r="9" spans="1:35" ht="20.100000000000001" customHeight="1" x14ac:dyDescent="0.25">
      <c r="A9" s="16"/>
      <c r="D9" s="26" t="s">
        <v>247</v>
      </c>
      <c r="E9" s="26" t="s">
        <v>248</v>
      </c>
      <c r="F9" s="26" t="s">
        <v>249</v>
      </c>
    </row>
    <row r="10" spans="1:35" ht="20.100000000000001" customHeight="1" x14ac:dyDescent="0.25">
      <c r="A10" s="21" t="s">
        <v>77</v>
      </c>
      <c r="D10" s="3" t="str" cm="1">
        <f t="array" ref="D10">Common_InputFunctions.Utility_DisplayArrayInTable(Electricity_SourceData.Electricity_Scope2Scope3LocationBased_Data(), Table_SourceData_ElectricityEFs[[#Headers],[State, Territory or grid description]], 0)</f>
        <v>New South Wales</v>
      </c>
      <c r="E10" s="3" cm="1">
        <f t="array" ref="E10">Common_InputFunctions.Utility_DisplayArrayInTable(Electricity_SourceData.Electricity_Scope2Scope3LocationBased_Data(), Table_SourceData_ElectricityEFs[[#Headers],[State, Territory or grid description]], 0)</f>
        <v>0.64</v>
      </c>
      <c r="F10" s="3"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16" t="str">
        <f>HYPERLINK("#'14.1.1-2 Purchased electricity'!A1", "14.1.1-2 Purchased electricity")</f>
        <v>14.1.1-2 Purchased electricity</v>
      </c>
      <c r="D11" s="3" t="str" cm="1">
        <f t="array" ref="D11">Common_InputFunctions.Utility_DisplayArrayInTable(Electricity_SourceData.Electricity_Scope2Scope3LocationBased_Data(), Table_SourceData_ElectricityEFs[[#Headers],[State, Territory or grid description]], 0)</f>
        <v>ACT</v>
      </c>
      <c r="E11" s="3" cm="1">
        <f t="array" ref="E11">Common_InputFunctions.Utility_DisplayArrayInTable(Electricity_SourceData.Electricity_Scope2Scope3LocationBased_Data(), Table_SourceData_ElectricityEFs[[#Headers],[State, Territory or grid description]], 0)</f>
        <v>0.64</v>
      </c>
      <c r="F11" s="3"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16"/>
      <c r="D12" s="3" t="str" cm="1">
        <f t="array" ref="D12">Common_InputFunctions.Utility_DisplayArrayInTable(Electricity_SourceData.Electricity_Scope2Scope3LocationBased_Data(), Table_SourceData_ElectricityEFs[[#Headers],[State, Territory or grid description]], 0)</f>
        <v>Victoria</v>
      </c>
      <c r="E12" s="3" cm="1">
        <f t="array" ref="E12">Common_InputFunctions.Utility_DisplayArrayInTable(Electricity_SourceData.Electricity_Scope2Scope3LocationBased_Data(), Table_SourceData_ElectricityEFs[[#Headers],[State, Territory or grid description]], 0)</f>
        <v>0.78</v>
      </c>
      <c r="F12" s="3"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23" t="s">
        <v>78</v>
      </c>
      <c r="D13" s="3" t="str" cm="1">
        <f t="array" ref="D13">Common_InputFunctions.Utility_DisplayArrayInTable(Electricity_SourceData.Electricity_Scope2Scope3LocationBased_Data(), Table_SourceData_ElectricityEFs[[#Headers],[State, Territory or grid description]], 0)</f>
        <v>Queensland</v>
      </c>
      <c r="E13" s="3" cm="1">
        <f t="array" ref="E13">Common_InputFunctions.Utility_DisplayArrayInTable(Electricity_SourceData.Electricity_Scope2Scope3LocationBased_Data(), Table_SourceData_ElectricityEFs[[#Headers],[State, Territory or grid description]], 0)</f>
        <v>0.67</v>
      </c>
      <c r="F13" s="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24" t="str">
        <f>HYPERLINK("#'Constants - Electricity'!A1", "Constants - Electricity")</f>
        <v>Constants - Electricity</v>
      </c>
      <c r="D14" s="3" t="str" cm="1">
        <f t="array" ref="D14">Common_InputFunctions.Utility_DisplayArrayInTable(Electricity_SourceData.Electricity_Scope2Scope3LocationBased_Data(), Table_SourceData_ElectricityEFs[[#Headers],[State, Territory or grid description]], 0)</f>
        <v>South Australia</v>
      </c>
      <c r="E14" s="3" cm="1">
        <f t="array" ref="E14">Common_InputFunctions.Utility_DisplayArrayInTable(Electricity_SourceData.Electricity_Scope2Scope3LocationBased_Data(), Table_SourceData_ElectricityEFs[[#Headers],[State, Territory or grid description]], 0)</f>
        <v>0.22</v>
      </c>
      <c r="F14" s="3"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16" t="str">
        <f>HYPERLINK("#'Constants - Common'!A1", "Constants - Common")</f>
        <v>Constants - Common</v>
      </c>
      <c r="D15" s="3"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s="3" cm="1">
        <f t="array" ref="E15">Common_InputFunctions.Utility_DisplayArrayInTable(Electricity_SourceData.Electricity_Scope2Scope3LocationBased_Data(), Table_SourceData_ElectricityEFs[[#Headers],[State, Territory or grid description]], 0)</f>
        <v>0.5</v>
      </c>
      <c r="F15" s="3"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s="3"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s="3" cm="1">
        <f t="array" ref="E16">Common_InputFunctions.Utility_DisplayArrayInTable(Electricity_SourceData.Electricity_Scope2Scope3LocationBased_Data(), Table_SourceData_ElectricityEFs[[#Headers],[State, Territory or grid description]], 0)</f>
        <v>0.56000000000000005</v>
      </c>
      <c r="F16" s="3"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s="3" t="str" cm="1">
        <f t="array" ref="D17">Common_InputFunctions.Utility_DisplayArrayInTable(Electricity_SourceData.Electricity_Scope2Scope3LocationBased_Data(), Table_SourceData_ElectricityEFs[[#Headers],[State, Territory or grid description]], 0)</f>
        <v>Tasmania</v>
      </c>
      <c r="E17" s="3" cm="1">
        <f t="array" ref="E17">Common_InputFunctions.Utility_DisplayArrayInTable(Electricity_SourceData.Electricity_Scope2Scope3LocationBased_Data(), Table_SourceData_ElectricityEFs[[#Headers],[State, Territory or grid description]], 0)</f>
        <v>0.2</v>
      </c>
      <c r="F17" s="3"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D18" s="3"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s="3" cm="1">
        <f t="array" ref="E18">Common_InputFunctions.Utility_DisplayArrayInTable(Electricity_SourceData.Electricity_Scope2Scope3LocationBased_Data(), Table_SourceData_ElectricityEFs[[#Headers],[State, Territory or grid description]], 0)</f>
        <v>0.56000000000000005</v>
      </c>
      <c r="F18" s="3"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D19" s="3" t="str" cm="1">
        <f t="array" ref="D19">Common_InputFunctions.Utility_DisplayArrayInTable(Electricity_SourceData.Electricity_Scope2Scope3LocationBased_Data(), Table_SourceData_ElectricityEFs[[#Headers],[State, Territory or grid description]], 0)</f>
        <v>National</v>
      </c>
      <c r="E19" s="3" cm="1">
        <f t="array" ref="E19">Common_InputFunctions.Utility_DisplayArrayInTable(Electricity_SourceData.Electricity_Scope2Scope3LocationBased_Data(), Table_SourceData_ElectricityEFs[[#Headers],[State, Territory or grid description]], 0)</f>
        <v>0.62</v>
      </c>
      <c r="F19" s="3"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16"/>
    </row>
    <row r="21" spans="1:8" ht="20.100000000000001" customHeight="1" x14ac:dyDescent="0.25">
      <c r="A21" s="16"/>
      <c r="D21" s="9" t="str" cm="1">
        <f t="array" ref="D21">Electricity_SourceData.Electricity_Scope2Scope3MarketBased_Title()</f>
        <v>Electricity scope 2 and scope 3 market-based emission factors</v>
      </c>
    </row>
    <row r="22" spans="1:8" ht="20.100000000000001" customHeight="1" x14ac:dyDescent="0.25">
      <c r="D22" s="11" t="str" cm="1">
        <f t="array" ref="D22">Electricity_SourceData.Electricity_Scope2Scope3MarketBased_Source()</f>
        <v>Australian National Greenhouse Accounts Factors 2025 - Table 2a</v>
      </c>
    </row>
    <row r="23" spans="1:8" ht="20.100000000000001" customHeight="1" x14ac:dyDescent="0.25">
      <c r="A23" s="16"/>
    </row>
    <row r="24" spans="1:8" ht="20.100000000000001" customHeight="1" x14ac:dyDescent="0.25">
      <c r="D24" s="65" t="s">
        <v>247</v>
      </c>
      <c r="E24" s="65" t="s">
        <v>250</v>
      </c>
      <c r="F24" s="65" t="s">
        <v>251</v>
      </c>
      <c r="G24" s="65" t="s">
        <v>252</v>
      </c>
      <c r="H24" s="65" t="s">
        <v>253</v>
      </c>
    </row>
    <row r="25" spans="1:8" ht="20.100000000000001" customHeight="1" x14ac:dyDescent="0.25">
      <c r="D25" s="3" t="str" cm="1">
        <f t="array" ref="D25">Common_InputFunctions.Utility_DisplayArrayInTable(Electricity_SourceData.Electricity_Scope2Scope3MarketBased_Data(), Table_SourceData_ElectricityEFsMarketBased[[#Headers],[State, Territory or grid description]], 0)</f>
        <v>National</v>
      </c>
      <c r="E25" s="3" cm="1">
        <f t="array" ref="E25">Common_InputFunctions.Utility_DisplayArrayInTable(Electricity_SourceData.Electricity_Scope2Scope3MarketBased_Data(), Table_SourceData_ElectricityEFsMarketBased[[#Headers],[State, Territory or grid description]], 0)</f>
        <v>0.81</v>
      </c>
      <c r="F25" s="3" cm="1">
        <f t="array" ref="F25">Common_InputFunctions.Utility_DisplayArrayInTable(Electricity_SourceData.Electricity_Scope2Scope3MarketBased_Data(), Table_SourceData_ElectricityEFsMarketBased[[#Headers],[State, Territory or grid description]], 0)</f>
        <v>226</v>
      </c>
      <c r="G25" s="3" cm="1">
        <f t="array" ref="G25">Common_InputFunctions.Utility_DisplayArrayInTable(Electricity_SourceData.Electricity_Scope2Scope3MarketBased_Data(), Table_SourceData_ElectricityEFsMarketBased[[#Headers],[State, Territory or grid description]], 0)</f>
        <v>0.1</v>
      </c>
      <c r="H25" s="3"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D23AD1-C9C2-421A-B7E6-200CAC66A40A}">
  <dimension ref="A1:BY259"/>
  <sheetViews>
    <sheetView showGridLines="0" zoomScale="85" zoomScaleNormal="85" workbookViewId="0">
      <selection activeCell="D19" sqref="D19"/>
    </sheetView>
  </sheetViews>
  <sheetFormatPr defaultColWidth="8" defaultRowHeight="15.75" x14ac:dyDescent="0.25"/>
  <cols>
    <col min="1" max="1" width="26.875" style="4" customWidth="1"/>
    <col min="2" max="2" width="2.375" style="4" customWidth="1"/>
    <col min="3" max="3" width="4.125" style="8" customWidth="1"/>
    <col min="4" max="4" width="42" style="8" customWidth="1"/>
    <col min="5" max="6" width="18.125" style="8" customWidth="1"/>
    <col min="7" max="7" width="26.5" style="8" customWidth="1"/>
    <col min="8" max="9" width="18.125" style="8" customWidth="1"/>
    <col min="10" max="10" width="30" style="8" customWidth="1"/>
    <col min="11" max="13" width="18.125" style="8" customWidth="1"/>
    <col min="14" max="14" width="29" style="8" customWidth="1"/>
    <col min="15" max="15" width="31.875" style="8" customWidth="1"/>
    <col min="16" max="16" width="18.375" style="8" customWidth="1"/>
    <col min="17" max="17" width="18.625" style="8" customWidth="1"/>
    <col min="18" max="18" width="27.25" style="8" customWidth="1"/>
    <col min="19" max="20" width="18.125" style="8" customWidth="1"/>
    <col min="21" max="21" width="4.125" style="8" customWidth="1"/>
    <col min="22" max="33" width="18.125" style="4" customWidth="1"/>
    <col min="34" max="39" width="19.125" style="4" customWidth="1"/>
    <col min="40" max="44" width="18.125" style="4" customWidth="1"/>
    <col min="45" max="65" width="8" style="4"/>
    <col min="66" max="16384" width="8" style="7"/>
  </cols>
  <sheetData>
    <row r="1" spans="1:65" s="1" customFormat="1" ht="30" customHeight="1" x14ac:dyDescent="0.35">
      <c r="A1" s="1" t="e" vm="1">
        <v>#VALUE!</v>
      </c>
      <c r="C1" s="1" t="s">
        <v>0</v>
      </c>
    </row>
    <row r="2" spans="1:65" s="2" customFormat="1" ht="20.100000000000001" customHeight="1" x14ac:dyDescent="0.25"/>
    <row r="3" spans="1:65" ht="20.100000000000001" customHeight="1" x14ac:dyDescent="0.25">
      <c r="A3" s="3"/>
      <c r="C3" s="5"/>
      <c r="D3" s="5"/>
      <c r="E3" s="5"/>
      <c r="F3" s="5"/>
      <c r="G3" s="5"/>
      <c r="H3" s="5"/>
      <c r="I3" s="5"/>
      <c r="J3" s="5"/>
      <c r="K3" s="5"/>
      <c r="L3" s="5"/>
      <c r="M3" s="5"/>
      <c r="N3" s="5"/>
      <c r="O3" s="5"/>
      <c r="P3" s="5"/>
      <c r="Q3" s="5"/>
      <c r="R3" s="5"/>
      <c r="S3" s="5"/>
      <c r="T3" s="5"/>
      <c r="U3" s="5"/>
      <c r="V3" s="6"/>
      <c r="W3" s="6"/>
    </row>
    <row r="4" spans="1:65" ht="20.100000000000001" customHeight="1" x14ac:dyDescent="0.25">
      <c r="A4" s="3"/>
      <c r="BM4" s="7"/>
    </row>
    <row r="5" spans="1:65" ht="20.100000000000001" customHeight="1" x14ac:dyDescent="0.25">
      <c r="A5" s="3"/>
      <c r="D5" s="9" t="str" cm="1">
        <f t="array" ref="D5">Common_SourceData.Common_SourceData_AustralianStatesTerritories_Title()</f>
        <v>Australian states and territories</v>
      </c>
      <c r="BM5" s="7"/>
    </row>
    <row r="6" spans="1:65" ht="20.100000000000001" customHeight="1" x14ac:dyDescent="0.25">
      <c r="A6" s="3"/>
      <c r="D6" s="10" t="s">
        <v>1</v>
      </c>
      <c r="E6" s="10" t="s">
        <v>2</v>
      </c>
      <c r="F6" s="10" t="s">
        <v>3</v>
      </c>
    </row>
    <row r="7" spans="1:65" ht="20.100000000000001" customHeight="1" x14ac:dyDescent="0.25">
      <c r="A7" s="3"/>
      <c r="D7" s="10" t="str" cm="1">
        <f t="array" ref="D7">Common_InputFunctions.Utility_DisplayArrayInTable(Common_SourceData.Common_SourceData_AustralianStatesTerritories_Data(),Table_AustralianStates[[#Headers],[State/Territory]],0)</f>
        <v>New South Wales</v>
      </c>
      <c r="E7" s="10" t="str" cm="1">
        <f t="array" ref="E7">Common_InputFunctions.Utility_DisplayArrayInTable(Common_SourceData.Common_SourceData_AustralianStatesTerritories_Data(),Table_AustralianStates[[#Headers],[State/Territory]],0)</f>
        <v>New South Wales</v>
      </c>
      <c r="F7" s="10" t="str" cm="1">
        <f t="array" ref="F7">Common_InputFunctions.Utility_DisplayArrayInTable(Common_SourceData.Common_SourceData_AustralianStatesTerritories_Data(),Table_AustralianStates[[#Headers],[State/Territory]],0)</f>
        <v>NSW</v>
      </c>
    </row>
    <row r="8" spans="1:65" ht="20.100000000000001" customHeight="1" x14ac:dyDescent="0.25">
      <c r="A8" s="3"/>
      <c r="D8" s="10" t="str" cm="1">
        <f t="array" ref="D8">Common_InputFunctions.Utility_DisplayArrayInTable(Common_SourceData.Common_SourceData_AustralianStatesTerritories_Data(),Table_AustralianStates[[#Headers],[State/Territory]],0)</f>
        <v>Australian Capital Territory</v>
      </c>
      <c r="E8" s="10" t="str" cm="1">
        <f t="array" ref="E8">Common_InputFunctions.Utility_DisplayArrayInTable(Common_SourceData.Common_SourceData_AustralianStatesTerritories_Data(),Table_AustralianStates[[#Headers],[State/Territory]],0)</f>
        <v>ACT</v>
      </c>
      <c r="F8" s="10" t="str" cm="1">
        <f t="array" ref="F8">Common_InputFunctions.Utility_DisplayArrayInTable(Common_SourceData.Common_SourceData_AustralianStatesTerritories_Data(),Table_AustralianStates[[#Headers],[State/Territory]],0)</f>
        <v>ACT</v>
      </c>
    </row>
    <row r="9" spans="1:65" ht="20.100000000000001" customHeight="1" x14ac:dyDescent="0.25">
      <c r="A9" s="3"/>
      <c r="D9" s="10" t="str" cm="1">
        <f t="array" ref="D9">Common_InputFunctions.Utility_DisplayArrayInTable(Common_SourceData.Common_SourceData_AustralianStatesTerritories_Data(),Table_AustralianStates[[#Headers],[State/Territory]],0)</f>
        <v>Victoria</v>
      </c>
      <c r="E9" s="10" t="str" cm="1">
        <f t="array" ref="E9">Common_InputFunctions.Utility_DisplayArrayInTable(Common_SourceData.Common_SourceData_AustralianStatesTerritories_Data(),Table_AustralianStates[[#Headers],[State/Territory]],0)</f>
        <v>Victoria</v>
      </c>
      <c r="F9" s="10" t="str" cm="1">
        <f t="array" ref="F9">Common_InputFunctions.Utility_DisplayArrayInTable(Common_SourceData.Common_SourceData_AustralianStatesTerritories_Data(),Table_AustralianStates[[#Headers],[State/Territory]],0)</f>
        <v>VIC</v>
      </c>
    </row>
    <row r="10" spans="1:65" ht="20.100000000000001" customHeight="1" x14ac:dyDescent="0.25">
      <c r="A10" s="3"/>
      <c r="D10" s="10" t="str" cm="1">
        <f t="array" ref="D10">Common_InputFunctions.Utility_DisplayArrayInTable(Common_SourceData.Common_SourceData_AustralianStatesTerritories_Data(),Table_AustralianStates[[#Headers],[State/Territory]],0)</f>
        <v>Queensland</v>
      </c>
      <c r="E10" s="10" t="str" cm="1">
        <f t="array" ref="E10">Common_InputFunctions.Utility_DisplayArrayInTable(Common_SourceData.Common_SourceData_AustralianStatesTerritories_Data(),Table_AustralianStates[[#Headers],[State/Territory]],0)</f>
        <v>Queensland</v>
      </c>
      <c r="F10" s="10" t="str" cm="1">
        <f t="array" ref="F10">Common_InputFunctions.Utility_DisplayArrayInTable(Common_SourceData.Common_SourceData_AustralianStatesTerritories_Data(),Table_AustralianStates[[#Headers],[State/Territory]],0)</f>
        <v>QLD</v>
      </c>
    </row>
    <row r="11" spans="1:65" ht="20.100000000000001" customHeight="1" x14ac:dyDescent="0.25">
      <c r="A11" s="3"/>
      <c r="D11" s="10" t="str" cm="1">
        <f t="array" ref="D11">Common_InputFunctions.Utility_DisplayArrayInTable(Common_SourceData.Common_SourceData_AustralianStatesTerritories_Data(),Table_AustralianStates[[#Headers],[State/Territory]],0)</f>
        <v>South Australia</v>
      </c>
      <c r="E11" s="10" t="str" cm="1">
        <f t="array" ref="E11">Common_InputFunctions.Utility_DisplayArrayInTable(Common_SourceData.Common_SourceData_AustralianStatesTerritories_Data(),Table_AustralianStates[[#Headers],[State/Territory]],0)</f>
        <v>South Australia</v>
      </c>
      <c r="F11" s="10" t="str" cm="1">
        <f t="array" ref="F11">Common_InputFunctions.Utility_DisplayArrayInTable(Common_SourceData.Common_SourceData_AustralianStatesTerritories_Data(),Table_AustralianStates[[#Headers],[State/Territory]],0)</f>
        <v>SA</v>
      </c>
      <c r="BM11" s="7"/>
    </row>
    <row r="12" spans="1:65" ht="20.100000000000001" customHeight="1" x14ac:dyDescent="0.25">
      <c r="A12" s="3"/>
      <c r="D12" s="10" t="str" cm="1">
        <f t="array" ref="D12">Common_InputFunctions.Utility_DisplayArrayInTable(Common_SourceData.Common_SourceData_AustralianStatesTerritories_Data(),Table_AustralianStates[[#Headers],[State/Territory]],0)</f>
        <v>Western Australia</v>
      </c>
      <c r="E12" s="10" t="str" cm="1">
        <f t="array" ref="E12">Common_InputFunctions.Utility_DisplayArrayInTable(Common_SourceData.Common_SourceData_AustralianStatesTerritories_Data(),Table_AustralianStates[[#Headers],[State/Territory]],0)</f>
        <v>Western Australia</v>
      </c>
      <c r="F12" s="10" t="str" cm="1">
        <f t="array" ref="F12">Common_InputFunctions.Utility_DisplayArrayInTable(Common_SourceData.Common_SourceData_AustralianStatesTerritories_Data(),Table_AustralianStates[[#Headers],[State/Territory]],0)</f>
        <v>WA</v>
      </c>
      <c r="BM12" s="7"/>
    </row>
    <row r="13" spans="1:65" ht="20.100000000000001" customHeight="1" x14ac:dyDescent="0.25">
      <c r="A13" s="3"/>
      <c r="D13" s="10" t="str" cm="1">
        <f t="array" ref="D13">Common_InputFunctions.Utility_DisplayArrayInTable(Common_SourceData.Common_SourceData_AustralianStatesTerritories_Data(),Table_AustralianStates[[#Headers],[State/Territory]],0)</f>
        <v>Tasmania</v>
      </c>
      <c r="E13" s="10" t="str" cm="1">
        <f t="array" ref="E13">Common_InputFunctions.Utility_DisplayArrayInTable(Common_SourceData.Common_SourceData_AustralianStatesTerritories_Data(),Table_AustralianStates[[#Headers],[State/Territory]],0)</f>
        <v>Tasmania</v>
      </c>
      <c r="F13" s="10" t="str" cm="1">
        <f t="array" ref="F13">Common_InputFunctions.Utility_DisplayArrayInTable(Common_SourceData.Common_SourceData_AustralianStatesTerritories_Data(),Table_AustralianStates[[#Headers],[State/Territory]],0)</f>
        <v>TAS</v>
      </c>
    </row>
    <row r="14" spans="1:65" ht="20.100000000000001" customHeight="1" x14ac:dyDescent="0.25">
      <c r="A14" s="3"/>
      <c r="D14" s="10" t="str" cm="1">
        <f t="array" ref="D14">Common_InputFunctions.Utility_DisplayArrayInTable(Common_SourceData.Common_SourceData_AustralianStatesTerritories_Data(),Table_AustralianStates[[#Headers],[State/Territory]],0)</f>
        <v>Northern Territory</v>
      </c>
      <c r="E14" s="10" t="str" cm="1">
        <f t="array" ref="E14">Common_InputFunctions.Utility_DisplayArrayInTable(Common_SourceData.Common_SourceData_AustralianStatesTerritories_Data(),Table_AustralianStates[[#Headers],[State/Territory]],0)</f>
        <v>Northern Territory</v>
      </c>
      <c r="F14" s="10" t="str" cm="1">
        <f t="array" ref="F14">Common_InputFunctions.Utility_DisplayArrayInTable(Common_SourceData.Common_SourceData_AustralianStatesTerritories_Data(),Table_AustralianStates[[#Headers],[State/Territory]],0)</f>
        <v>NT</v>
      </c>
    </row>
    <row r="15" spans="1:65" ht="20.100000000000001" customHeight="1" x14ac:dyDescent="0.25">
      <c r="A15" s="3"/>
    </row>
    <row r="16" spans="1:65" ht="20.100000000000001" customHeight="1" x14ac:dyDescent="0.25">
      <c r="A16" s="3"/>
    </row>
    <row r="17" spans="1:4" ht="20.100000000000001" customHeight="1" x14ac:dyDescent="0.25">
      <c r="A17" s="3"/>
    </row>
    <row r="18" spans="1:4" ht="20.100000000000001" customHeight="1" x14ac:dyDescent="0.25">
      <c r="A18" s="3"/>
      <c r="D18" s="9" t="str" cm="1">
        <f t="array" ref="D18">Common_SourceData.Common_SourceData_WASA4Areas_Title()</f>
        <v>ABS Statistcal Areas Level 4 - Western Australia</v>
      </c>
    </row>
    <row r="19" spans="1:4" ht="20.100000000000001" customHeight="1" x14ac:dyDescent="0.25">
      <c r="A19" s="3"/>
      <c r="D19" s="11" t="str" cm="1">
        <f t="array" ref="D19">Common_SourceData.Common_SourceData_WASA4Areas_Source()</f>
        <v>Australian Bureau of Statistics (ABS) - Statistical Areas Level 2 - 2021 - Shapefile</v>
      </c>
    </row>
    <row r="20" spans="1:4" ht="20.100000000000001" customHeight="1" x14ac:dyDescent="0.25">
      <c r="A20" s="3"/>
      <c r="D20" s="10" t="s">
        <v>4</v>
      </c>
    </row>
    <row r="21" spans="1:4" ht="20.100000000000001" customHeight="1" x14ac:dyDescent="0.25">
      <c r="A21" s="3"/>
      <c r="D21" s="10" t="str" cm="1">
        <f t="array" ref="D21">Common_InputFunctions.Utility_DisplayArrayInTable(Common_SourceData.Common_SourceData_WASA4Areas_Data(), Table_WASA4Areas[[#Headers],[SA 4 Name]], 0)</f>
        <v>Bunbury</v>
      </c>
    </row>
    <row r="22" spans="1:4" ht="20.100000000000001" customHeight="1" x14ac:dyDescent="0.25">
      <c r="A22" s="3"/>
      <c r="D22" s="10" t="str" cm="1">
        <f t="array" ref="D22">Common_InputFunctions.Utility_DisplayArrayInTable(Common_SourceData.Common_SourceData_WASA4Areas_Data(), Table_WASA4Areas[[#Headers],[SA 4 Name]], 0)</f>
        <v>Mandurah</v>
      </c>
    </row>
    <row r="23" spans="1:4" ht="20.100000000000001" customHeight="1" x14ac:dyDescent="0.25">
      <c r="A23" s="3"/>
      <c r="D23" s="10" t="str" cm="1">
        <f t="array" ref="D23">Common_InputFunctions.Utility_DisplayArrayInTable(Common_SourceData.Common_SourceData_WASA4Areas_Data(), Table_WASA4Areas[[#Headers],[SA 4 Name]], 0)</f>
        <v>Perth - Inner</v>
      </c>
    </row>
    <row r="24" spans="1:4" ht="20.100000000000001" customHeight="1" x14ac:dyDescent="0.25">
      <c r="A24" s="3"/>
      <c r="D24" s="10" t="str" cm="1">
        <f t="array" ref="D24">Common_InputFunctions.Utility_DisplayArrayInTable(Common_SourceData.Common_SourceData_WASA4Areas_Data(), Table_WASA4Areas[[#Headers],[SA 4 Name]], 0)</f>
        <v>Perth - North East</v>
      </c>
    </row>
    <row r="25" spans="1:4" ht="20.100000000000001" customHeight="1" x14ac:dyDescent="0.25">
      <c r="A25" s="3"/>
      <c r="D25" s="10" t="str" cm="1">
        <f t="array" ref="D25">Common_InputFunctions.Utility_DisplayArrayInTable(Common_SourceData.Common_SourceData_WASA4Areas_Data(), Table_WASA4Areas[[#Headers],[SA 4 Name]], 0)</f>
        <v>Perth - North West</v>
      </c>
    </row>
    <row r="26" spans="1:4" ht="20.100000000000001" customHeight="1" x14ac:dyDescent="0.25">
      <c r="A26" s="3"/>
      <c r="D26" s="10" t="str" cm="1">
        <f t="array" ref="D26">Common_InputFunctions.Utility_DisplayArrayInTable(Common_SourceData.Common_SourceData_WASA4Areas_Data(), Table_WASA4Areas[[#Headers],[SA 4 Name]], 0)</f>
        <v>Perth - South East</v>
      </c>
    </row>
    <row r="27" spans="1:4" ht="20.100000000000001" customHeight="1" x14ac:dyDescent="0.25">
      <c r="A27" s="3"/>
      <c r="D27" s="10" t="str" cm="1">
        <f t="array" ref="D27">Common_InputFunctions.Utility_DisplayArrayInTable(Common_SourceData.Common_SourceData_WASA4Areas_Data(), Table_WASA4Areas[[#Headers],[SA 4 Name]], 0)</f>
        <v>Perth - South West</v>
      </c>
    </row>
    <row r="28" spans="1:4" ht="20.100000000000001" customHeight="1" x14ac:dyDescent="0.25">
      <c r="A28" s="3"/>
      <c r="D28" s="10" t="str" cm="1">
        <f t="array" ref="D28">Common_InputFunctions.Utility_DisplayArrayInTable(Common_SourceData.Common_SourceData_WASA4Areas_Data(), Table_WASA4Areas[[#Headers],[SA 4 Name]], 0)</f>
        <v>Western Australia - Wheat Belt</v>
      </c>
    </row>
    <row r="29" spans="1:4" ht="20.100000000000001" customHeight="1" x14ac:dyDescent="0.25">
      <c r="A29" s="3"/>
      <c r="D29" s="10" t="str" cm="1">
        <f t="array" ref="D29">Common_InputFunctions.Utility_DisplayArrayInTable(Common_SourceData.Common_SourceData_WASA4Areas_Data(), Table_WASA4Areas[[#Headers],[SA 4 Name]], 0)</f>
        <v>Western Australia - Outback (North)</v>
      </c>
    </row>
    <row r="30" spans="1:4" ht="20.100000000000001" customHeight="1" x14ac:dyDescent="0.25">
      <c r="A30" s="3"/>
      <c r="D30" s="10" t="str" cm="1">
        <f t="array" ref="D30">Common_InputFunctions.Utility_DisplayArrayInTable(Common_SourceData.Common_SourceData_WASA4Areas_Data(), Table_WASA4Areas[[#Headers],[SA 4 Name]], 0)</f>
        <v>Western Australia - Outback (South)</v>
      </c>
    </row>
    <row r="31" spans="1:4" ht="20.100000000000001" customHeight="1" x14ac:dyDescent="0.25">
      <c r="A31" s="3"/>
    </row>
    <row r="32" spans="1:4" ht="20.100000000000001" customHeight="1" x14ac:dyDescent="0.25">
      <c r="A32" s="3"/>
    </row>
    <row r="33" spans="1:8" ht="20.100000000000001" customHeight="1" x14ac:dyDescent="0.25">
      <c r="A33" s="3"/>
    </row>
    <row r="34" spans="1:8" ht="20.100000000000001" customHeight="1" x14ac:dyDescent="0.25">
      <c r="A34" s="3"/>
      <c r="D34" s="9" t="str" cm="1">
        <f t="array" ref="D34">Common_SourceData.Common_SourceData_GWP_Title()</f>
        <v>Global warming potential for greenhouse gases</v>
      </c>
    </row>
    <row r="35" spans="1:8" ht="20.100000000000001" customHeight="1" x14ac:dyDescent="0.25">
      <c r="A35" s="3"/>
      <c r="D35" s="11" t="str" cm="1">
        <f t="array" ref="D35">Common_SourceData.Common_SourceData_GWP_Source()</f>
        <v>XXXXXXX</v>
      </c>
    </row>
    <row r="36" spans="1:8" ht="20.100000000000001" customHeight="1" x14ac:dyDescent="0.25">
      <c r="A36" s="3"/>
      <c r="D36" s="10" t="s">
        <v>5</v>
      </c>
      <c r="E36" s="10" t="s">
        <v>6</v>
      </c>
    </row>
    <row r="37" spans="1:8" ht="20.100000000000001" customHeight="1" x14ac:dyDescent="0.25">
      <c r="A37" s="3"/>
      <c r="D37" s="10" t="str" cm="1">
        <f t="array" ref="D37">Common_InputFunctions.Utility_DisplayArrayInTable(Common_SourceData.Common_SourceData_GWP_Data(), Table_GWPData[[#Headers],[Gas]], 0)</f>
        <v>CO2</v>
      </c>
      <c r="E37" s="10" cm="1">
        <f t="array" ref="E37">Common_InputFunctions.Utility_DisplayArrayInTable(Common_SourceData.Common_SourceData_GWP_Data(), Table_GWPData[[#Headers],[Gas]], 0)</f>
        <v>1</v>
      </c>
    </row>
    <row r="38" spans="1:8" ht="20.100000000000001" customHeight="1" x14ac:dyDescent="0.25">
      <c r="A38" s="3"/>
      <c r="D38" s="10" t="str" cm="1">
        <f t="array" ref="D38">Common_InputFunctions.Utility_DisplayArrayInTable(Common_SourceData.Common_SourceData_GWP_Data(), Table_GWPData[[#Headers],[Gas]], 0)</f>
        <v>CH4</v>
      </c>
      <c r="E38" s="10" cm="1">
        <f t="array" ref="E38">Common_InputFunctions.Utility_DisplayArrayInTable(Common_SourceData.Common_SourceData_GWP_Data(), Table_GWPData[[#Headers],[Gas]], 0)</f>
        <v>28</v>
      </c>
    </row>
    <row r="39" spans="1:8" ht="20.100000000000001" customHeight="1" x14ac:dyDescent="0.25">
      <c r="A39" s="3"/>
      <c r="D39" s="10" t="str" cm="1">
        <f t="array" ref="D39">Common_InputFunctions.Utility_DisplayArrayInTable(Common_SourceData.Common_SourceData_GWP_Data(), Table_GWPData[[#Headers],[Gas]], 0)</f>
        <v>N2O</v>
      </c>
      <c r="E39" s="10" cm="1">
        <f t="array" ref="E39">Common_InputFunctions.Utility_DisplayArrayInTable(Common_SourceData.Common_SourceData_GWP_Data(), Table_GWPData[[#Headers],[Gas]], 0)</f>
        <v>265</v>
      </c>
    </row>
    <row r="40" spans="1:8" ht="20.100000000000001" customHeight="1" x14ac:dyDescent="0.25">
      <c r="A40" s="3"/>
      <c r="D40" s="10" t="str" cm="1">
        <f t="array" ref="D40">Common_InputFunctions.Utility_DisplayArrayInTable(Common_SourceData.Common_SourceData_GWP_Data(), Table_GWPData[[#Headers],[Gas]], 0)</f>
        <v>CF4</v>
      </c>
      <c r="E40" s="10" cm="1">
        <f t="array" ref="E40">Common_InputFunctions.Utility_DisplayArrayInTable(Common_SourceData.Common_SourceData_GWP_Data(), Table_GWPData[[#Headers],[Gas]], 0)</f>
        <v>6630</v>
      </c>
    </row>
    <row r="41" spans="1:8" ht="20.100000000000001" customHeight="1" x14ac:dyDescent="0.25">
      <c r="A41" s="3"/>
      <c r="D41" s="10" t="str" cm="1">
        <f t="array" ref="D41">Common_InputFunctions.Utility_DisplayArrayInTable(Common_SourceData.Common_SourceData_GWP_Data(), Table_GWPData[[#Headers],[Gas]], 0)</f>
        <v>C2F6</v>
      </c>
      <c r="E41" s="10" cm="1">
        <f t="array" ref="E41">Common_InputFunctions.Utility_DisplayArrayInTable(Common_SourceData.Common_SourceData_GWP_Data(), Table_GWPData[[#Headers],[Gas]], 0)</f>
        <v>12200</v>
      </c>
    </row>
    <row r="42" spans="1:8" ht="20.100000000000001" customHeight="1" x14ac:dyDescent="0.25">
      <c r="D42" s="10" t="str" cm="1">
        <f t="array" ref="D42">Common_InputFunctions.Utility_DisplayArrayInTable(Common_SourceData.Common_SourceData_GWP_Data(), Table_GWPData[[#Headers],[Gas]], 0)</f>
        <v>SF6</v>
      </c>
      <c r="E42" s="10" cm="1">
        <f t="array" ref="E42">Common_InputFunctions.Utility_DisplayArrayInTable(Common_SourceData.Common_SourceData_GWP_Data(), Table_GWPData[[#Headers],[Gas]], 0)</f>
        <v>22800</v>
      </c>
    </row>
    <row r="43" spans="1:8" ht="20.100000000000001" customHeight="1" x14ac:dyDescent="0.25">
      <c r="D43" s="10" t="str" cm="1">
        <f t="array" ref="D43">Common_InputFunctions.Utility_DisplayArrayInTable(Common_SourceData.Common_SourceData_GWP_Data(), Table_GWPData[[#Headers],[Gas]], 0)</f>
        <v>NF3</v>
      </c>
      <c r="E43" s="10"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9" t="str" cm="1">
        <f t="array" ref="D45">Common_SourceData.Common_SourceData_ConvertGasElementalToMolecular_Title()</f>
        <v>Factor to convert elemental mass of gas to molecular mass</v>
      </c>
    </row>
    <row r="46" spans="1:8" ht="20.100000000000001" customHeight="1" x14ac:dyDescent="0.25">
      <c r="D46" s="11" t="str" cm="1">
        <f t="array" ref="D46">Common_SourceData.Common_SourceData_ConvertGasElementalToMolecular_Source()</f>
        <v>XXXXXXX</v>
      </c>
    </row>
    <row r="47" spans="1:8" ht="20.100000000000001" customHeight="1" x14ac:dyDescent="0.25">
      <c r="D47" s="10" t="s">
        <v>5</v>
      </c>
      <c r="E47" s="10" t="s">
        <v>7</v>
      </c>
      <c r="F47" s="10" t="s">
        <v>8</v>
      </c>
      <c r="G47" s="10" t="s">
        <v>9</v>
      </c>
      <c r="H47" s="10" t="s">
        <v>10</v>
      </c>
    </row>
    <row r="48" spans="1:8" ht="20.100000000000001" customHeight="1" x14ac:dyDescent="0.25">
      <c r="D48" s="10" t="str" cm="1">
        <f t="array" ref="D48">Common_InputFunctions.Utility_DisplayArrayInTable(Common_SourceData.Common_SourceData_ConvertGasElementalToMolecular_Data(),Table_GasToMolecularConversionFactor[[#Headers],[Gas]], 0)</f>
        <v>CO2</v>
      </c>
      <c r="E48" s="10" t="str" cm="1">
        <f t="array" ref="E48">Common_InputFunctions.Utility_DisplayArrayInTable(Common_SourceData.Common_SourceData_ConvertGasElementalToMolecular_Data(),Table_GasToMolecularConversionFactor[[#Headers],[Gas]], 0)</f>
        <v>44/12</v>
      </c>
      <c r="F48" s="10" cm="1">
        <f t="array" ref="F48">Common_InputFunctions.Utility_DisplayArrayInTable(Common_SourceData.Common_SourceData_ConvertGasElementalToMolecular_Data(),Table_GasToMolecularConversionFactor[[#Headers],[Gas]], 0)</f>
        <v>44</v>
      </c>
      <c r="G48" s="10" cm="1">
        <f t="array" ref="G48">Common_InputFunctions.Utility_DisplayArrayInTable(Common_SourceData.Common_SourceData_ConvertGasElementalToMolecular_Data(),Table_GasToMolecularConversionFactor[[#Headers],[Gas]], 0)</f>
        <v>12</v>
      </c>
      <c r="H48" s="10">
        <f>Table_GasToMolecularConversionFactor[[#This Row],[Conversion factor 1]]/Table_GasToMolecularConversionFactor[[#This Row],[Conversion factor 2]]</f>
        <v>3.6666666666666665</v>
      </c>
    </row>
    <row r="49" spans="4:8" ht="20.100000000000001" customHeight="1" x14ac:dyDescent="0.25">
      <c r="D49" s="10" t="str" cm="1">
        <f t="array" ref="D49">Common_InputFunctions.Utility_DisplayArrayInTable(Common_SourceData.Common_SourceData_ConvertGasElementalToMolecular_Data(),Table_GasToMolecularConversionFactor[[#Headers],[Gas]], 0)</f>
        <v>CH4</v>
      </c>
      <c r="E49" s="10" t="str" cm="1">
        <f t="array" ref="E49">Common_InputFunctions.Utility_DisplayArrayInTable(Common_SourceData.Common_SourceData_ConvertGasElementalToMolecular_Data(),Table_GasToMolecularConversionFactor[[#Headers],[Gas]], 0)</f>
        <v>16/12</v>
      </c>
      <c r="F49" s="10" cm="1">
        <f t="array" ref="F49">Common_InputFunctions.Utility_DisplayArrayInTable(Common_SourceData.Common_SourceData_ConvertGasElementalToMolecular_Data(),Table_GasToMolecularConversionFactor[[#Headers],[Gas]], 0)</f>
        <v>16</v>
      </c>
      <c r="G49" s="10" cm="1">
        <f t="array" ref="G49">Common_InputFunctions.Utility_DisplayArrayInTable(Common_SourceData.Common_SourceData_ConvertGasElementalToMolecular_Data(),Table_GasToMolecularConversionFactor[[#Headers],[Gas]], 0)</f>
        <v>12</v>
      </c>
      <c r="H49" s="10">
        <f>Table_GasToMolecularConversionFactor[[#This Row],[Conversion factor 1]]/Table_GasToMolecularConversionFactor[[#This Row],[Conversion factor 2]]</f>
        <v>1.3333333333333333</v>
      </c>
    </row>
    <row r="50" spans="4:8" ht="20.100000000000001" customHeight="1" x14ac:dyDescent="0.25">
      <c r="D50" s="10" t="str" cm="1">
        <f t="array" ref="D50">Common_InputFunctions.Utility_DisplayArrayInTable(Common_SourceData.Common_SourceData_ConvertGasElementalToMolecular_Data(),Table_GasToMolecularConversionFactor[[#Headers],[Gas]], 0)</f>
        <v>N2O</v>
      </c>
      <c r="E50" s="10" t="str" cm="1">
        <f t="array" ref="E50">Common_InputFunctions.Utility_DisplayArrayInTable(Common_SourceData.Common_SourceData_ConvertGasElementalToMolecular_Data(),Table_GasToMolecularConversionFactor[[#Headers],[Gas]], 0)</f>
        <v>44/28</v>
      </c>
      <c r="F50" s="10" cm="1">
        <f t="array" ref="F50">Common_InputFunctions.Utility_DisplayArrayInTable(Common_SourceData.Common_SourceData_ConvertGasElementalToMolecular_Data(),Table_GasToMolecularConversionFactor[[#Headers],[Gas]], 0)</f>
        <v>44</v>
      </c>
      <c r="G50" s="10" cm="1">
        <f t="array" ref="G50">Common_InputFunctions.Utility_DisplayArrayInTable(Common_SourceData.Common_SourceData_ConvertGasElementalToMolecular_Data(),Table_GasToMolecularConversionFactor[[#Headers],[Gas]], 0)</f>
        <v>28</v>
      </c>
      <c r="H50" s="10">
        <f>Table_GasToMolecularConversionFactor[[#This Row],[Conversion factor 1]]/Table_GasToMolecularConversionFactor[[#This Row],[Conversion factor 2]]</f>
        <v>1.5714285714285714</v>
      </c>
    </row>
    <row r="51" spans="4:8" ht="20.100000000000001" customHeight="1" x14ac:dyDescent="0.25">
      <c r="D51" s="10" t="str" cm="1">
        <f t="array" ref="D51">Common_InputFunctions.Utility_DisplayArrayInTable(Common_SourceData.Common_SourceData_ConvertGasElementalToMolecular_Data(),Table_GasToMolecularConversionFactor[[#Headers],[Gas]], 0)</f>
        <v>Nox</v>
      </c>
      <c r="E51" s="10" t="str" cm="1">
        <f t="array" ref="E51">Common_InputFunctions.Utility_DisplayArrayInTable(Common_SourceData.Common_SourceData_ConvertGasElementalToMolecular_Data(),Table_GasToMolecularConversionFactor[[#Headers],[Gas]], 0)</f>
        <v>46/14</v>
      </c>
      <c r="F51" s="10" cm="1">
        <f t="array" ref="F51">Common_InputFunctions.Utility_DisplayArrayInTable(Common_SourceData.Common_SourceData_ConvertGasElementalToMolecular_Data(),Table_GasToMolecularConversionFactor[[#Headers],[Gas]], 0)</f>
        <v>46</v>
      </c>
      <c r="G51" s="10" cm="1">
        <f t="array" ref="G51">Common_InputFunctions.Utility_DisplayArrayInTable(Common_SourceData.Common_SourceData_ConvertGasElementalToMolecular_Data(),Table_GasToMolecularConversionFactor[[#Headers],[Gas]], 0)</f>
        <v>14</v>
      </c>
      <c r="H51" s="10">
        <f>Table_GasToMolecularConversionFactor[[#This Row],[Conversion factor 1]]/Table_GasToMolecularConversionFactor[[#This Row],[Conversion factor 2]]</f>
        <v>3.2857142857142856</v>
      </c>
    </row>
    <row r="52" spans="4:8" ht="20.100000000000001" customHeight="1" x14ac:dyDescent="0.25">
      <c r="D52" s="10" t="str" cm="1">
        <f t="array" ref="D52">Common_InputFunctions.Utility_DisplayArrayInTable(Common_SourceData.Common_SourceData_ConvertGasElementalToMolecular_Data(),Table_GasToMolecularConversionFactor[[#Headers],[Gas]], 0)</f>
        <v>CO</v>
      </c>
      <c r="E52" s="10" t="str" cm="1">
        <f t="array" ref="E52">Common_InputFunctions.Utility_DisplayArrayInTable(Common_SourceData.Common_SourceData_ConvertGasElementalToMolecular_Data(),Table_GasToMolecularConversionFactor[[#Headers],[Gas]], 0)</f>
        <v>28/12</v>
      </c>
      <c r="F52" s="10" cm="1">
        <f t="array" ref="F52">Common_InputFunctions.Utility_DisplayArrayInTable(Common_SourceData.Common_SourceData_ConvertGasElementalToMolecular_Data(),Table_GasToMolecularConversionFactor[[#Headers],[Gas]], 0)</f>
        <v>28</v>
      </c>
      <c r="G52" s="10" cm="1">
        <f t="array" ref="G52">Common_InputFunctions.Utility_DisplayArrayInTable(Common_SourceData.Common_SourceData_ConvertGasElementalToMolecular_Data(),Table_GasToMolecularConversionFactor[[#Headers],[Gas]], 0)</f>
        <v>12</v>
      </c>
      <c r="H52" s="10">
        <f>Table_GasToMolecularConversionFactor[[#This Row],[Conversion factor 1]]/Table_GasToMolecularConversionFactor[[#This Row],[Conversion factor 2]]</f>
        <v>2.3333333333333335</v>
      </c>
    </row>
    <row r="53" spans="4:8" ht="20.100000000000001" customHeight="1" x14ac:dyDescent="0.25">
      <c r="D53" s="10" t="str" cm="1">
        <f t="array" ref="D53">Common_InputFunctions.Utility_DisplayArrayInTable(Common_SourceData.Common_SourceData_ConvertGasElementalToMolecular_Data(),Table_GasToMolecularConversionFactor[[#Headers],[Gas]], 0)</f>
        <v>CO2 Lime</v>
      </c>
      <c r="E53" s="10" t="str" cm="1">
        <f t="array" ref="E53">Common_InputFunctions.Utility_DisplayArrayInTable(Common_SourceData.Common_SourceData_ConvertGasElementalToMolecular_Data(),Table_GasToMolecularConversionFactor[[#Headers],[Gas]], 0)</f>
        <v>44/12</v>
      </c>
      <c r="F53" s="10" cm="1">
        <f t="array" ref="F53">Common_InputFunctions.Utility_DisplayArrayInTable(Common_SourceData.Common_SourceData_ConvertGasElementalToMolecular_Data(),Table_GasToMolecularConversionFactor[[#Headers],[Gas]], 0)</f>
        <v>44</v>
      </c>
      <c r="G53" s="10" cm="1">
        <f t="array" ref="G53">Common_InputFunctions.Utility_DisplayArrayInTable(Common_SourceData.Common_SourceData_ConvertGasElementalToMolecular_Data(),Table_GasToMolecularConversionFactor[[#Headers],[Gas]], 0)</f>
        <v>12</v>
      </c>
      <c r="H53" s="10">
        <f>Table_GasToMolecularConversionFactor[[#This Row],[Conversion factor 1]]/Table_GasToMolecularConversionFactor[[#This Row],[Conversion factor 2]]</f>
        <v>3.6666666666666665</v>
      </c>
    </row>
    <row r="54" spans="4:8" ht="20.100000000000001" customHeight="1" x14ac:dyDescent="0.25">
      <c r="D54" s="10" t="str" cm="1">
        <f t="array" ref="D54">Common_InputFunctions.Utility_DisplayArrayInTable(Common_SourceData.Common_SourceData_ConvertGasElementalToMolecular_Data(),Table_GasToMolecularConversionFactor[[#Headers],[Gas]], 0)</f>
        <v>NMVOC</v>
      </c>
      <c r="E54" s="10" t="str" cm="1">
        <f t="array" ref="E54">Common_InputFunctions.Utility_DisplayArrayInTable(Common_SourceData.Common_SourceData_ConvertGasElementalToMolecular_Data(),Table_GasToMolecularConversionFactor[[#Headers],[Gas]], 0)</f>
        <v>14/12</v>
      </c>
      <c r="F54" s="10" cm="1">
        <f t="array" ref="F54">Common_InputFunctions.Utility_DisplayArrayInTable(Common_SourceData.Common_SourceData_ConvertGasElementalToMolecular_Data(),Table_GasToMolecularConversionFactor[[#Headers],[Gas]], 0)</f>
        <v>14</v>
      </c>
      <c r="G54" s="10" cm="1">
        <f t="array" ref="G54">Common_InputFunctions.Utility_DisplayArrayInTable(Common_SourceData.Common_SourceData_ConvertGasElementalToMolecular_Data(),Table_GasToMolecularConversionFactor[[#Headers],[Gas]], 0)</f>
        <v>12</v>
      </c>
      <c r="H54" s="10">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9" t="str" cm="1">
        <f t="array" ref="D57">Common_SourceData.Common_SourceData_WetAndDryZones_Title()</f>
        <v>VEERG Australian wet and dry zones</v>
      </c>
    </row>
    <row r="58" spans="4:8" ht="20.100000000000001" customHeight="1" x14ac:dyDescent="0.25">
      <c r="D58" s="11" t="str" cm="1">
        <f t="array" ref="D58">Common_SourceData.Common_SourceData_WetAndDryZones_Source()</f>
        <v>VEERG 2026: Table 1.2: Translating climate zones to wet and dry zones</v>
      </c>
    </row>
    <row r="59" spans="4:8" ht="20.100000000000001" customHeight="1" x14ac:dyDescent="0.25">
      <c r="D59" s="12" t="str" cm="1">
        <f t="array" ref="D59:D61">"⚠️" &amp; Common_SourceData.Common_SourceData_WetAndDryZones_Variation()</f>
        <v>⚠️VARIATION OF SOURCE DATA:</v>
      </c>
    </row>
    <row r="60" spans="4:8" ht="20.100000000000001" customHeight="1" x14ac:dyDescent="0.25">
      <c r="D60" s="12" t="str">
        <v>⚠️Added warm / cool temperate moist / dry - low frost and high temp classes to accommodate climate scenarios excluded by VEERG criteria.</v>
      </c>
    </row>
    <row r="61" spans="4:8" ht="20.100000000000001" customHeight="1" x14ac:dyDescent="0.25">
      <c r="D61" s="12" t="str">
        <v>⚠️Fixed typo - Changed 'Fry' to 'Dry'.</v>
      </c>
    </row>
    <row r="62" spans="4:8" ht="20.100000000000001" customHeight="1" x14ac:dyDescent="0.25"/>
    <row r="63" spans="4:8" ht="20.100000000000001" customHeight="1" x14ac:dyDescent="0.25">
      <c r="D63" s="10" t="s">
        <v>11</v>
      </c>
      <c r="E63" s="10" t="s">
        <v>12</v>
      </c>
    </row>
    <row r="64" spans="4:8" ht="20.100000000000001" customHeight="1" x14ac:dyDescent="0.25">
      <c r="D64" s="10" t="str" cm="1">
        <f t="array" ref="D64">Common_InputFunctions.Utility_DisplayArrayInTable(Common_SourceData.Common_SourceData_WetAndDryZones_Data(), Table_SourceData_WetDryZones[[#Headers],[Climate zone]], 0)</f>
        <v>Tropical montane</v>
      </c>
      <c r="E64" s="10"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10" t="str" cm="1">
        <f t="array" ref="D65">Common_InputFunctions.Utility_DisplayArrayInTable(Common_SourceData.Common_SourceData_WetAndDryZones_Data(), Table_SourceData_WetDryZones[[#Headers],[Climate zone]], 0)</f>
        <v>Tropical wet</v>
      </c>
      <c r="E65" s="10"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10" t="str" cm="1">
        <f t="array" ref="D66">Common_InputFunctions.Utility_DisplayArrayInTable(Common_SourceData.Common_SourceData_WetAndDryZones_Data(), Table_SourceData_WetDryZones[[#Headers],[Climate zone]], 0)</f>
        <v>Tropical moist</v>
      </c>
      <c r="E66" s="10"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10" t="str" cm="1">
        <f t="array" ref="D67">Common_InputFunctions.Utility_DisplayArrayInTable(Common_SourceData.Common_SourceData_WetAndDryZones_Data(), Table_SourceData_WetDryZones[[#Headers],[Climate zone]], 0)</f>
        <v>Tropical dry</v>
      </c>
      <c r="E67" s="10"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10" t="str" cm="1">
        <f t="array" ref="D68">Common_InputFunctions.Utility_DisplayArrayInTable(Common_SourceData.Common_SourceData_WetAndDryZones_Data(), Table_SourceData_WetDryZones[[#Headers],[Climate zone]], 0)</f>
        <v>Warm temperate moist</v>
      </c>
      <c r="E68" s="10"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10" t="str" cm="1">
        <f t="array" ref="D69">Common_InputFunctions.Utility_DisplayArrayInTable(Common_SourceData.Common_SourceData_WetAndDryZones_Data(), Table_SourceData_WetDryZones[[#Headers],[Climate zone]], 0)</f>
        <v>Warm temperate dry</v>
      </c>
      <c r="E69" s="10"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10" t="str" cm="1">
        <f t="array" ref="D70">Common_InputFunctions.Utility_DisplayArrayInTable(Common_SourceData.Common_SourceData_WetAndDryZones_Data(), Table_SourceData_WetDryZones[[#Headers],[Climate zone]], 0)</f>
        <v>Cool temperate moist</v>
      </c>
      <c r="E70" s="10"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10" t="str" cm="1">
        <f t="array" ref="D71">Common_InputFunctions.Utility_DisplayArrayInTable(Common_SourceData.Common_SourceData_WetAndDryZones_Data(), Table_SourceData_WetDryZones[[#Headers],[Climate zone]], 0)</f>
        <v>Cool temperate dry</v>
      </c>
      <c r="E71" s="10"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10" t="str" cm="1">
        <f t="array" ref="D72">Common_InputFunctions.Utility_DisplayArrayInTable(Common_SourceData.Common_SourceData_WetAndDryZones_Data(), Table_SourceData_WetDryZones[[#Headers],[Climate zone]], 0)</f>
        <v>Warm temperate moist - low frost</v>
      </c>
      <c r="E72" s="10"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10" t="str" cm="1">
        <f t="array" ref="D73">Common_InputFunctions.Utility_DisplayArrayInTable(Common_SourceData.Common_SourceData_WetAndDryZones_Data(), Table_SourceData_WetDryZones[[#Headers],[Climate zone]], 0)</f>
        <v>Warm temperate dry - low frost</v>
      </c>
      <c r="E73" s="10"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10" t="str" cm="1">
        <f t="array" ref="D74">Common_InputFunctions.Utility_DisplayArrayInTable(Common_SourceData.Common_SourceData_WetAndDryZones_Data(), Table_SourceData_WetDryZones[[#Headers],[Climate zone]], 0)</f>
        <v>Warm temperate moist - high temp</v>
      </c>
      <c r="E74" s="10"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10" t="str" cm="1">
        <f t="array" ref="D75">Common_InputFunctions.Utility_DisplayArrayInTable(Common_SourceData.Common_SourceData_WetAndDryZones_Data(), Table_SourceData_WetDryZones[[#Headers],[Climate zone]], 0)</f>
        <v>Warm temperate dry - high temp</v>
      </c>
      <c r="E75" s="10"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10" t="str" cm="1">
        <f t="array" ref="D76">Common_InputFunctions.Utility_DisplayArrayInTable(Common_SourceData.Common_SourceData_WetAndDryZones_Data(), Table_SourceData_WetDryZones[[#Headers],[Climate zone]], 0)</f>
        <v>Cool temperate moist - low frost</v>
      </c>
      <c r="E76" s="10"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10" t="str" cm="1">
        <f t="array" ref="D77">Common_InputFunctions.Utility_DisplayArrayInTable(Common_SourceData.Common_SourceData_WetAndDryZones_Data(), Table_SourceData_WetDryZones[[#Headers],[Climate zone]], 0)</f>
        <v>Cool temperate dry - low frost</v>
      </c>
      <c r="E77" s="10"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9" t="str" cm="1">
        <f t="array" ref="D81">Common_SourceData.Common_SourceData_ClimateZones_Title()</f>
        <v>VEERG Australian climate zones</v>
      </c>
    </row>
    <row r="82" spans="4:20" ht="20.100000000000001" customHeight="1" x14ac:dyDescent="0.25">
      <c r="D82" s="11" t="str" cm="1">
        <f t="array" ref="D82">Common_SourceData.Common_SourceData_ClimateZones_Source()</f>
        <v>VEERG 2026: Table 1.3: Climate and Rainfall zone classifications and definitions</v>
      </c>
    </row>
    <row r="83" spans="4:20" ht="20.100000000000001" customHeight="1" x14ac:dyDescent="0.25">
      <c r="D83" s="12" t="str" cm="1">
        <f t="array" ref="D83:D87">"⚠️" &amp; Common_SourceData.Common_SourceData_ClimateZones_Variation()</f>
        <v>⚠️VARIATION OF SOURCE DATA:</v>
      </c>
    </row>
    <row r="84" spans="4:20" ht="20.100000000000001" customHeight="1" x14ac:dyDescent="0.25">
      <c r="D84" s="12" t="str">
        <v>⚠️Added warm / cool temperate moist / dry - low frost and high temp classes to accommodate climate scenarios excluded by VEERG criteria.</v>
      </c>
    </row>
    <row r="85" spans="4:20" ht="20.100000000000001" customHeight="1" x14ac:dyDescent="0.25">
      <c r="D85" s="12" t="str">
        <v>⚠️Fixed typo in MAT value for warm temperate dry - changed 10 to 11.</v>
      </c>
    </row>
    <row r="86" spans="4:20" ht="20.100000000000001" customHeight="1" x14ac:dyDescent="0.25">
      <c r="D86" s="12" t="str">
        <v>⚠️Added min and max columns for MAT, MAP, frost days per year, elevation, MAP:PET to calculate zones from real climate data.</v>
      </c>
    </row>
    <row r="87" spans="4:20" ht="20.100000000000001" customHeight="1" x14ac:dyDescent="0.25">
      <c r="D87" s="12" t="str">
        <v>⚠️GAF accepts rainfall as a proxy for precipitation.</v>
      </c>
    </row>
    <row r="88" spans="4:20" ht="20.100000000000001" customHeight="1" x14ac:dyDescent="0.25"/>
    <row r="89" spans="4:20" ht="20.100000000000001" customHeight="1" x14ac:dyDescent="0.25">
      <c r="D89" s="10" t="s">
        <v>11</v>
      </c>
      <c r="E89" s="10" t="s">
        <v>13</v>
      </c>
      <c r="F89" s="10" t="s">
        <v>14</v>
      </c>
      <c r="G89" s="10" t="s">
        <v>15</v>
      </c>
      <c r="H89" s="10" t="s">
        <v>16</v>
      </c>
      <c r="I89" s="10" t="s">
        <v>17</v>
      </c>
      <c r="J89" s="10" t="s">
        <v>18</v>
      </c>
      <c r="K89" s="10" t="s">
        <v>19</v>
      </c>
      <c r="L89" s="10" t="s">
        <v>20</v>
      </c>
      <c r="M89" s="10" t="s">
        <v>21</v>
      </c>
      <c r="N89" s="10" t="s">
        <v>22</v>
      </c>
      <c r="O89" s="10" t="s">
        <v>23</v>
      </c>
      <c r="P89" s="10" t="s">
        <v>24</v>
      </c>
      <c r="Q89" s="10" t="s">
        <v>25</v>
      </c>
      <c r="R89" s="10" t="s">
        <v>26</v>
      </c>
      <c r="S89" s="10" t="s">
        <v>27</v>
      </c>
      <c r="T89" s="10"/>
    </row>
    <row r="90" spans="4:20" ht="20.100000000000001" customHeight="1" x14ac:dyDescent="0.25">
      <c r="D90" s="10" t="str" cm="1">
        <f t="array" ref="D90">Common_InputFunctions.Utility_DisplayArrayInTable(Common_SourceData.Common_SourceData_ClimateZones_Data(), Table_SourceData_ClimateZones[[#Headers],[Climate zone]], 0)</f>
        <v>Tropical montane</v>
      </c>
      <c r="E90" s="10" t="str" cm="1">
        <f t="array" ref="E90">Common_InputFunctions.Utility_DisplayArrayInTable(Common_SourceData.Common_SourceData_ClimateZones_Data(), Table_SourceData_ClimateZones[[#Headers],[Climate zone]], 0)</f>
        <v>&gt; 18 C</v>
      </c>
      <c r="F90" s="10" t="str" cm="1">
        <f t="array" ref="F90">Common_InputFunctions.Utility_DisplayArrayInTable(Common_SourceData.Common_SourceData_ClimateZones_Data(), Table_SourceData_ClimateZones[[#Headers],[Climate zone]], 0)</f>
        <v>Any</v>
      </c>
      <c r="G90" s="10" t="str" cm="1">
        <f t="array" ref="G90">Common_InputFunctions.Utility_DisplayArrayInTable(Common_SourceData.Common_SourceData_ClimateZones_Data(), Table_SourceData_ClimateZones[[#Headers],[Climate zone]], 0)</f>
        <v>≤ 7</v>
      </c>
      <c r="H90" s="10" t="str" cm="1">
        <f t="array" ref="H90">Common_InputFunctions.Utility_DisplayArrayInTable(Common_SourceData.Common_SourceData_ClimateZones_Data(), Table_SourceData_ClimateZones[[#Headers],[Climate zone]], 0)</f>
        <v>&gt; 1000 m</v>
      </c>
      <c r="I90" s="10" t="str" cm="1">
        <f t="array" ref="I90">Common_InputFunctions.Utility_DisplayArrayInTable(Common_SourceData.Common_SourceData_ClimateZones_Data(), Table_SourceData_ClimateZones[[#Headers],[Climate zone]], 0)</f>
        <v>Any</v>
      </c>
      <c r="J90" s="10" cm="1">
        <f t="array" ref="J90">Common_InputFunctions.Utility_DisplayArrayInTable(Common_SourceData.Common_SourceData_ClimateZones_Data(), Table_SourceData_ClimateZones[[#Headers],[Climate zone]], 0)</f>
        <v>18.001000000000001</v>
      </c>
      <c r="K90" s="10" cm="1">
        <f t="array" ref="K90">Common_InputFunctions.Utility_DisplayArrayInTable(Common_SourceData.Common_SourceData_ClimateZones_Data(), Table_SourceData_ClimateZones[[#Headers],[Climate zone]], 0)</f>
        <v>999999</v>
      </c>
      <c r="L90" s="10" cm="1">
        <f t="array" ref="L90">Common_InputFunctions.Utility_DisplayArrayInTable(Common_SourceData.Common_SourceData_ClimateZones_Data(), Table_SourceData_ClimateZones[[#Headers],[Climate zone]], 0)</f>
        <v>-999999</v>
      </c>
      <c r="M90" s="10" cm="1">
        <f t="array" ref="M90">Common_InputFunctions.Utility_DisplayArrayInTable(Common_SourceData.Common_SourceData_ClimateZones_Data(), Table_SourceData_ClimateZones[[#Headers],[Climate zone]], 0)</f>
        <v>999999</v>
      </c>
      <c r="N90" s="10" cm="1">
        <f t="array" ref="N90">Common_InputFunctions.Utility_DisplayArrayInTable(Common_SourceData.Common_SourceData_ClimateZones_Data(), Table_SourceData_ClimateZones[[#Headers],[Climate zone]], 0)</f>
        <v>-999999</v>
      </c>
      <c r="O90" s="10" cm="1">
        <f t="array" ref="O90">Common_InputFunctions.Utility_DisplayArrayInTable(Common_SourceData.Common_SourceData_ClimateZones_Data(), Table_SourceData_ClimateZones[[#Headers],[Climate zone]], 0)</f>
        <v>7</v>
      </c>
      <c r="P90" s="10" cm="1">
        <f t="array" ref="P90">Common_InputFunctions.Utility_DisplayArrayInTable(Common_SourceData.Common_SourceData_ClimateZones_Data(), Table_SourceData_ClimateZones[[#Headers],[Climate zone]], 0)</f>
        <v>1000</v>
      </c>
      <c r="Q90" s="10" cm="1">
        <f t="array" ref="Q90">Common_InputFunctions.Utility_DisplayArrayInTable(Common_SourceData.Common_SourceData_ClimateZones_Data(), Table_SourceData_ClimateZones[[#Headers],[Climate zone]], 0)</f>
        <v>999999</v>
      </c>
      <c r="R90" s="10" cm="1">
        <f t="array" ref="R90">Common_InputFunctions.Utility_DisplayArrayInTable(Common_SourceData.Common_SourceData_ClimateZones_Data(), Table_SourceData_ClimateZones[[#Headers],[Climate zone]], 0)</f>
        <v>-999999</v>
      </c>
      <c r="S90" s="10" cm="1">
        <f t="array" ref="S90">Common_InputFunctions.Utility_DisplayArrayInTable(Common_SourceData.Common_SourceData_ClimateZones_Data(), Table_SourceData_ClimateZones[[#Headers],[Climate zone]], 0)</f>
        <v>999999</v>
      </c>
      <c r="T90" s="10"/>
    </row>
    <row r="91" spans="4:20" ht="20.100000000000001" customHeight="1" x14ac:dyDescent="0.25">
      <c r="D91" s="10" t="str" cm="1">
        <f t="array" ref="D91">Common_InputFunctions.Utility_DisplayArrayInTable(Common_SourceData.Common_SourceData_ClimateZones_Data(), Table_SourceData_ClimateZones[[#Headers],[Climate zone]], 0)</f>
        <v>Tropical wet</v>
      </c>
      <c r="E91" s="10" t="str" cm="1">
        <f t="array" ref="E91">Common_InputFunctions.Utility_DisplayArrayInTable(Common_SourceData.Common_SourceData_ClimateZones_Data(), Table_SourceData_ClimateZones[[#Headers],[Climate zone]], 0)</f>
        <v>&gt; 18 C</v>
      </c>
      <c r="F91" s="10" t="str" cm="1">
        <f t="array" ref="F91">Common_InputFunctions.Utility_DisplayArrayInTable(Common_SourceData.Common_SourceData_ClimateZones_Data(), Table_SourceData_ClimateZones[[#Headers],[Climate zone]], 0)</f>
        <v>&gt; 2000 mm</v>
      </c>
      <c r="G91" s="10" t="str" cm="1">
        <f t="array" ref="G91">Common_InputFunctions.Utility_DisplayArrayInTable(Common_SourceData.Common_SourceData_ClimateZones_Data(), Table_SourceData_ClimateZones[[#Headers],[Climate zone]], 0)</f>
        <v>≤ 7</v>
      </c>
      <c r="H91" s="10" t="str" cm="1">
        <f t="array" ref="H91">Common_InputFunctions.Utility_DisplayArrayInTable(Common_SourceData.Common_SourceData_ClimateZones_Data(), Table_SourceData_ClimateZones[[#Headers],[Climate zone]], 0)</f>
        <v>≤ 1000 m</v>
      </c>
      <c r="I91" s="10" t="str" cm="1">
        <f t="array" ref="I91">Common_InputFunctions.Utility_DisplayArrayInTable(Common_SourceData.Common_SourceData_ClimateZones_Data(), Table_SourceData_ClimateZones[[#Headers],[Climate zone]], 0)</f>
        <v>Any</v>
      </c>
      <c r="J91" s="10" cm="1">
        <f t="array" ref="J91">Common_InputFunctions.Utility_DisplayArrayInTable(Common_SourceData.Common_SourceData_ClimateZones_Data(), Table_SourceData_ClimateZones[[#Headers],[Climate zone]], 0)</f>
        <v>18.001000000000001</v>
      </c>
      <c r="K91" s="10" cm="1">
        <f t="array" ref="K91">Common_InputFunctions.Utility_DisplayArrayInTable(Common_SourceData.Common_SourceData_ClimateZones_Data(), Table_SourceData_ClimateZones[[#Headers],[Climate zone]], 0)</f>
        <v>999999</v>
      </c>
      <c r="L91" s="10" cm="1">
        <f t="array" ref="L91">Common_InputFunctions.Utility_DisplayArrayInTable(Common_SourceData.Common_SourceData_ClimateZones_Data(), Table_SourceData_ClimateZones[[#Headers],[Climate zone]], 0)</f>
        <v>2000.001</v>
      </c>
      <c r="M91" s="10" cm="1">
        <f t="array" ref="M91">Common_InputFunctions.Utility_DisplayArrayInTable(Common_SourceData.Common_SourceData_ClimateZones_Data(), Table_SourceData_ClimateZones[[#Headers],[Climate zone]], 0)</f>
        <v>999999</v>
      </c>
      <c r="N91" s="10" cm="1">
        <f t="array" ref="N91">Common_InputFunctions.Utility_DisplayArrayInTable(Common_SourceData.Common_SourceData_ClimateZones_Data(), Table_SourceData_ClimateZones[[#Headers],[Climate zone]], 0)</f>
        <v>-999999</v>
      </c>
      <c r="O91" s="10" cm="1">
        <f t="array" ref="O91">Common_InputFunctions.Utility_DisplayArrayInTable(Common_SourceData.Common_SourceData_ClimateZones_Data(), Table_SourceData_ClimateZones[[#Headers],[Climate zone]], 0)</f>
        <v>7</v>
      </c>
      <c r="P91" s="10" cm="1">
        <f t="array" ref="P91">Common_InputFunctions.Utility_DisplayArrayInTable(Common_SourceData.Common_SourceData_ClimateZones_Data(), Table_SourceData_ClimateZones[[#Headers],[Climate zone]], 0)</f>
        <v>-999999</v>
      </c>
      <c r="Q91" s="10" cm="1">
        <f t="array" ref="Q91">Common_InputFunctions.Utility_DisplayArrayInTable(Common_SourceData.Common_SourceData_ClimateZones_Data(), Table_SourceData_ClimateZones[[#Headers],[Climate zone]], 0)</f>
        <v>999.99900000000002</v>
      </c>
      <c r="R91" s="10" cm="1">
        <f t="array" ref="R91">Common_InputFunctions.Utility_DisplayArrayInTable(Common_SourceData.Common_SourceData_ClimateZones_Data(), Table_SourceData_ClimateZones[[#Headers],[Climate zone]], 0)</f>
        <v>-999999</v>
      </c>
      <c r="S91" s="10" cm="1">
        <f t="array" ref="S91">Common_InputFunctions.Utility_DisplayArrayInTable(Common_SourceData.Common_SourceData_ClimateZones_Data(), Table_SourceData_ClimateZones[[#Headers],[Climate zone]], 0)</f>
        <v>999999</v>
      </c>
      <c r="T91" s="10"/>
    </row>
    <row r="92" spans="4:20" ht="20.100000000000001" customHeight="1" x14ac:dyDescent="0.25">
      <c r="D92" s="10" t="str" cm="1">
        <f t="array" ref="D92">Common_InputFunctions.Utility_DisplayArrayInTable(Common_SourceData.Common_SourceData_ClimateZones_Data(), Table_SourceData_ClimateZones[[#Headers],[Climate zone]], 0)</f>
        <v>Tropical moist</v>
      </c>
      <c r="E92" s="10" t="str" cm="1">
        <f t="array" ref="E92">Common_InputFunctions.Utility_DisplayArrayInTable(Common_SourceData.Common_SourceData_ClimateZones_Data(), Table_SourceData_ClimateZones[[#Headers],[Climate zone]], 0)</f>
        <v>&gt; 18 C</v>
      </c>
      <c r="F92" s="10" t="str" cm="1">
        <f t="array" ref="F92">Common_InputFunctions.Utility_DisplayArrayInTable(Common_SourceData.Common_SourceData_ClimateZones_Data(), Table_SourceData_ClimateZones[[#Headers],[Climate zone]], 0)</f>
        <v>&gt; 1000 mm - ≤ 2000 mm</v>
      </c>
      <c r="G92" s="10" t="str" cm="1">
        <f t="array" ref="G92">Common_InputFunctions.Utility_DisplayArrayInTable(Common_SourceData.Common_SourceData_ClimateZones_Data(), Table_SourceData_ClimateZones[[#Headers],[Climate zone]], 0)</f>
        <v>≤ 7</v>
      </c>
      <c r="H92" s="10" t="str" cm="1">
        <f t="array" ref="H92">Common_InputFunctions.Utility_DisplayArrayInTable(Common_SourceData.Common_SourceData_ClimateZones_Data(), Table_SourceData_ClimateZones[[#Headers],[Climate zone]], 0)</f>
        <v>≤ 1000 m</v>
      </c>
      <c r="I92" s="10" t="str" cm="1">
        <f t="array" ref="I92">Common_InputFunctions.Utility_DisplayArrayInTable(Common_SourceData.Common_SourceData_ClimateZones_Data(), Table_SourceData_ClimateZones[[#Headers],[Climate zone]], 0)</f>
        <v>Any</v>
      </c>
      <c r="J92" s="10" cm="1">
        <f t="array" ref="J92">Common_InputFunctions.Utility_DisplayArrayInTable(Common_SourceData.Common_SourceData_ClimateZones_Data(), Table_SourceData_ClimateZones[[#Headers],[Climate zone]], 0)</f>
        <v>18.001000000000001</v>
      </c>
      <c r="K92" s="10" cm="1">
        <f t="array" ref="K92">Common_InputFunctions.Utility_DisplayArrayInTable(Common_SourceData.Common_SourceData_ClimateZones_Data(), Table_SourceData_ClimateZones[[#Headers],[Climate zone]], 0)</f>
        <v>999999</v>
      </c>
      <c r="L92" s="10" cm="1">
        <f t="array" ref="L92">Common_InputFunctions.Utility_DisplayArrayInTable(Common_SourceData.Common_SourceData_ClimateZones_Data(), Table_SourceData_ClimateZones[[#Headers],[Climate zone]], 0)</f>
        <v>1000.001</v>
      </c>
      <c r="M92" s="10" cm="1">
        <f t="array" ref="M92">Common_InputFunctions.Utility_DisplayArrayInTable(Common_SourceData.Common_SourceData_ClimateZones_Data(), Table_SourceData_ClimateZones[[#Headers],[Climate zone]], 0)</f>
        <v>2000</v>
      </c>
      <c r="N92" s="10" cm="1">
        <f t="array" ref="N92">Common_InputFunctions.Utility_DisplayArrayInTable(Common_SourceData.Common_SourceData_ClimateZones_Data(), Table_SourceData_ClimateZones[[#Headers],[Climate zone]], 0)</f>
        <v>-999999</v>
      </c>
      <c r="O92" s="10" cm="1">
        <f t="array" ref="O92">Common_InputFunctions.Utility_DisplayArrayInTable(Common_SourceData.Common_SourceData_ClimateZones_Data(), Table_SourceData_ClimateZones[[#Headers],[Climate zone]], 0)</f>
        <v>7</v>
      </c>
      <c r="P92" s="10" cm="1">
        <f t="array" ref="P92">Common_InputFunctions.Utility_DisplayArrayInTable(Common_SourceData.Common_SourceData_ClimateZones_Data(), Table_SourceData_ClimateZones[[#Headers],[Climate zone]], 0)</f>
        <v>-999999</v>
      </c>
      <c r="Q92" s="10" cm="1">
        <f t="array" ref="Q92">Common_InputFunctions.Utility_DisplayArrayInTable(Common_SourceData.Common_SourceData_ClimateZones_Data(), Table_SourceData_ClimateZones[[#Headers],[Climate zone]], 0)</f>
        <v>999.99900000000002</v>
      </c>
      <c r="R92" s="10" cm="1">
        <f t="array" ref="R92">Common_InputFunctions.Utility_DisplayArrayInTable(Common_SourceData.Common_SourceData_ClimateZones_Data(), Table_SourceData_ClimateZones[[#Headers],[Climate zone]], 0)</f>
        <v>-999999</v>
      </c>
      <c r="S92" s="10" cm="1">
        <f t="array" ref="S92">Common_InputFunctions.Utility_DisplayArrayInTable(Common_SourceData.Common_SourceData_ClimateZones_Data(), Table_SourceData_ClimateZones[[#Headers],[Climate zone]], 0)</f>
        <v>999999</v>
      </c>
      <c r="T92" s="10"/>
    </row>
    <row r="93" spans="4:20" ht="20.100000000000001" customHeight="1" x14ac:dyDescent="0.25">
      <c r="D93" s="10" t="str" cm="1">
        <f t="array" ref="D93">Common_InputFunctions.Utility_DisplayArrayInTable(Common_SourceData.Common_SourceData_ClimateZones_Data(), Table_SourceData_ClimateZones[[#Headers],[Climate zone]], 0)</f>
        <v>Tropical dry</v>
      </c>
      <c r="E93" s="10" t="str" cm="1">
        <f t="array" ref="E93">Common_InputFunctions.Utility_DisplayArrayInTable(Common_SourceData.Common_SourceData_ClimateZones_Data(), Table_SourceData_ClimateZones[[#Headers],[Climate zone]], 0)</f>
        <v>&gt; 18 C</v>
      </c>
      <c r="F93" s="10" t="str" cm="1">
        <f t="array" ref="F93">Common_InputFunctions.Utility_DisplayArrayInTable(Common_SourceData.Common_SourceData_ClimateZones_Data(), Table_SourceData_ClimateZones[[#Headers],[Climate zone]], 0)</f>
        <v>≤ 1000 mm</v>
      </c>
      <c r="G93" s="10" t="str" cm="1">
        <f t="array" ref="G93">Common_InputFunctions.Utility_DisplayArrayInTable(Common_SourceData.Common_SourceData_ClimateZones_Data(), Table_SourceData_ClimateZones[[#Headers],[Climate zone]], 0)</f>
        <v>≤ 7</v>
      </c>
      <c r="H93" s="10" t="str" cm="1">
        <f t="array" ref="H93">Common_InputFunctions.Utility_DisplayArrayInTable(Common_SourceData.Common_SourceData_ClimateZones_Data(), Table_SourceData_ClimateZones[[#Headers],[Climate zone]], 0)</f>
        <v>≤ 1000 m</v>
      </c>
      <c r="I93" s="10" t="str" cm="1">
        <f t="array" ref="I93">Common_InputFunctions.Utility_DisplayArrayInTable(Common_SourceData.Common_SourceData_ClimateZones_Data(), Table_SourceData_ClimateZones[[#Headers],[Climate zone]], 0)</f>
        <v>Any</v>
      </c>
      <c r="J93" s="10" cm="1">
        <f t="array" ref="J93">Common_InputFunctions.Utility_DisplayArrayInTable(Common_SourceData.Common_SourceData_ClimateZones_Data(), Table_SourceData_ClimateZones[[#Headers],[Climate zone]], 0)</f>
        <v>18.001000000000001</v>
      </c>
      <c r="K93" s="10" cm="1">
        <f t="array" ref="K93">Common_InputFunctions.Utility_DisplayArrayInTable(Common_SourceData.Common_SourceData_ClimateZones_Data(), Table_SourceData_ClimateZones[[#Headers],[Climate zone]], 0)</f>
        <v>999999</v>
      </c>
      <c r="L93" s="10" cm="1">
        <f t="array" ref="L93">Common_InputFunctions.Utility_DisplayArrayInTable(Common_SourceData.Common_SourceData_ClimateZones_Data(), Table_SourceData_ClimateZones[[#Headers],[Climate zone]], 0)</f>
        <v>-999999</v>
      </c>
      <c r="M93" s="10" cm="1">
        <f t="array" ref="M93">Common_InputFunctions.Utility_DisplayArrayInTable(Common_SourceData.Common_SourceData_ClimateZones_Data(), Table_SourceData_ClimateZones[[#Headers],[Climate zone]], 0)</f>
        <v>1000</v>
      </c>
      <c r="N93" s="10" cm="1">
        <f t="array" ref="N93">Common_InputFunctions.Utility_DisplayArrayInTable(Common_SourceData.Common_SourceData_ClimateZones_Data(), Table_SourceData_ClimateZones[[#Headers],[Climate zone]], 0)</f>
        <v>-999999</v>
      </c>
      <c r="O93" s="10" cm="1">
        <f t="array" ref="O93">Common_InputFunctions.Utility_DisplayArrayInTable(Common_SourceData.Common_SourceData_ClimateZones_Data(), Table_SourceData_ClimateZones[[#Headers],[Climate zone]], 0)</f>
        <v>7</v>
      </c>
      <c r="P93" s="10" cm="1">
        <f t="array" ref="P93">Common_InputFunctions.Utility_DisplayArrayInTable(Common_SourceData.Common_SourceData_ClimateZones_Data(), Table_SourceData_ClimateZones[[#Headers],[Climate zone]], 0)</f>
        <v>-999999</v>
      </c>
      <c r="Q93" s="10" cm="1">
        <f t="array" ref="Q93">Common_InputFunctions.Utility_DisplayArrayInTable(Common_SourceData.Common_SourceData_ClimateZones_Data(), Table_SourceData_ClimateZones[[#Headers],[Climate zone]], 0)</f>
        <v>999.99900000000002</v>
      </c>
      <c r="R93" s="10" cm="1">
        <f t="array" ref="R93">Common_InputFunctions.Utility_DisplayArrayInTable(Common_SourceData.Common_SourceData_ClimateZones_Data(), Table_SourceData_ClimateZones[[#Headers],[Climate zone]], 0)</f>
        <v>-999999</v>
      </c>
      <c r="S93" s="10" cm="1">
        <f t="array" ref="S93">Common_InputFunctions.Utility_DisplayArrayInTable(Common_SourceData.Common_SourceData_ClimateZones_Data(), Table_SourceData_ClimateZones[[#Headers],[Climate zone]], 0)</f>
        <v>999999</v>
      </c>
      <c r="T93" s="10"/>
    </row>
    <row r="94" spans="4:20" ht="20.100000000000001" customHeight="1" x14ac:dyDescent="0.25">
      <c r="D94" s="10" t="str" cm="1">
        <f t="array" ref="D94">Common_InputFunctions.Utility_DisplayArrayInTable(Common_SourceData.Common_SourceData_ClimateZones_Data(), Table_SourceData_ClimateZones[[#Headers],[Climate zone]], 0)</f>
        <v>Warm temperate moist</v>
      </c>
      <c r="E94" s="10" t="str" cm="1">
        <f t="array" ref="E94">Common_InputFunctions.Utility_DisplayArrayInTable(Common_SourceData.Common_SourceData_ClimateZones_Data(), Table_SourceData_ClimateZones[[#Headers],[Climate zone]], 0)</f>
        <v>&gt; 10 C</v>
      </c>
      <c r="F94" s="10" t="str" cm="1">
        <f t="array" ref="F94">Common_InputFunctions.Utility_DisplayArrayInTable(Common_SourceData.Common_SourceData_ClimateZones_Data(), Table_SourceData_ClimateZones[[#Headers],[Climate zone]], 0)</f>
        <v>Any</v>
      </c>
      <c r="G94" s="10" t="str" cm="1">
        <f t="array" ref="G94">Common_InputFunctions.Utility_DisplayArrayInTable(Common_SourceData.Common_SourceData_ClimateZones_Data(), Table_SourceData_ClimateZones[[#Headers],[Climate zone]], 0)</f>
        <v>Any</v>
      </c>
      <c r="H94" s="10" t="str" cm="1">
        <f t="array" ref="H94">Common_InputFunctions.Utility_DisplayArrayInTable(Common_SourceData.Common_SourceData_ClimateZones_Data(), Table_SourceData_ClimateZones[[#Headers],[Climate zone]], 0)</f>
        <v>Any</v>
      </c>
      <c r="I94" s="10" t="str" cm="1">
        <f t="array" ref="I94">Common_InputFunctions.Utility_DisplayArrayInTable(Common_SourceData.Common_SourceData_ClimateZones_Data(), Table_SourceData_ClimateZones[[#Headers],[Climate zone]], 0)</f>
        <v>&gt; 1</v>
      </c>
      <c r="J94" s="10" cm="1">
        <f t="array" ref="J94">Common_InputFunctions.Utility_DisplayArrayInTable(Common_SourceData.Common_SourceData_ClimateZones_Data(), Table_SourceData_ClimateZones[[#Headers],[Climate zone]], 0)</f>
        <v>10.000999999999999</v>
      </c>
      <c r="K94" s="10" cm="1">
        <f t="array" ref="K94">Common_InputFunctions.Utility_DisplayArrayInTable(Common_SourceData.Common_SourceData_ClimateZones_Data(), Table_SourceData_ClimateZones[[#Headers],[Climate zone]], 0)</f>
        <v>999999</v>
      </c>
      <c r="L94" s="10" cm="1">
        <f t="array" ref="L94">Common_InputFunctions.Utility_DisplayArrayInTable(Common_SourceData.Common_SourceData_ClimateZones_Data(), Table_SourceData_ClimateZones[[#Headers],[Climate zone]], 0)</f>
        <v>-999999</v>
      </c>
      <c r="M94" s="10" cm="1">
        <f t="array" ref="M94">Common_InputFunctions.Utility_DisplayArrayInTable(Common_SourceData.Common_SourceData_ClimateZones_Data(), Table_SourceData_ClimateZones[[#Headers],[Climate zone]], 0)</f>
        <v>999999</v>
      </c>
      <c r="N94" s="10" cm="1">
        <f t="array" ref="N94">Common_InputFunctions.Utility_DisplayArrayInTable(Common_SourceData.Common_SourceData_ClimateZones_Data(), Table_SourceData_ClimateZones[[#Headers],[Climate zone]], 0)</f>
        <v>-999999</v>
      </c>
      <c r="O94" s="10" cm="1">
        <f t="array" ref="O94">Common_InputFunctions.Utility_DisplayArrayInTable(Common_SourceData.Common_SourceData_ClimateZones_Data(), Table_SourceData_ClimateZones[[#Headers],[Climate zone]], 0)</f>
        <v>999999</v>
      </c>
      <c r="P94" s="10" cm="1">
        <f t="array" ref="P94">Common_InputFunctions.Utility_DisplayArrayInTable(Common_SourceData.Common_SourceData_ClimateZones_Data(), Table_SourceData_ClimateZones[[#Headers],[Climate zone]], 0)</f>
        <v>-999999</v>
      </c>
      <c r="Q94" s="10" cm="1">
        <f t="array" ref="Q94">Common_InputFunctions.Utility_DisplayArrayInTable(Common_SourceData.Common_SourceData_ClimateZones_Data(), Table_SourceData_ClimateZones[[#Headers],[Climate zone]], 0)</f>
        <v>999999</v>
      </c>
      <c r="R94" s="10" cm="1">
        <f t="array" ref="R94">Common_InputFunctions.Utility_DisplayArrayInTable(Common_SourceData.Common_SourceData_ClimateZones_Data(), Table_SourceData_ClimateZones[[#Headers],[Climate zone]], 0)</f>
        <v>1.0009999999999999</v>
      </c>
      <c r="S94" s="10" cm="1">
        <f t="array" ref="S94">Common_InputFunctions.Utility_DisplayArrayInTable(Common_SourceData.Common_SourceData_ClimateZones_Data(), Table_SourceData_ClimateZones[[#Headers],[Climate zone]], 0)</f>
        <v>999999</v>
      </c>
      <c r="T94" s="10"/>
    </row>
    <row r="95" spans="4:20" ht="20.100000000000001" customHeight="1" x14ac:dyDescent="0.25">
      <c r="D95" s="10" t="str" cm="1">
        <f t="array" ref="D95">Common_InputFunctions.Utility_DisplayArrayInTable(Common_SourceData.Common_SourceData_ClimateZones_Data(), Table_SourceData_ClimateZones[[#Headers],[Climate zone]], 0)</f>
        <v>Warm temperate dry</v>
      </c>
      <c r="E95" s="10" t="str" cm="1">
        <f t="array" ref="E95">Common_InputFunctions.Utility_DisplayArrayInTable(Common_SourceData.Common_SourceData_ClimateZones_Data(), Table_SourceData_ClimateZones[[#Headers],[Climate zone]], 0)</f>
        <v>&gt; 10 C</v>
      </c>
      <c r="F95" s="10" t="str" cm="1">
        <f t="array" ref="F95">Common_InputFunctions.Utility_DisplayArrayInTable(Common_SourceData.Common_SourceData_ClimateZones_Data(), Table_SourceData_ClimateZones[[#Headers],[Climate zone]], 0)</f>
        <v>Any</v>
      </c>
      <c r="G95" s="10" t="str" cm="1">
        <f t="array" ref="G95">Common_InputFunctions.Utility_DisplayArrayInTable(Common_SourceData.Common_SourceData_ClimateZones_Data(), Table_SourceData_ClimateZones[[#Headers],[Climate zone]], 0)</f>
        <v>Any</v>
      </c>
      <c r="H95" s="10" t="str" cm="1">
        <f t="array" ref="H95">Common_InputFunctions.Utility_DisplayArrayInTable(Common_SourceData.Common_SourceData_ClimateZones_Data(), Table_SourceData_ClimateZones[[#Headers],[Climate zone]], 0)</f>
        <v>Any</v>
      </c>
      <c r="I95" s="10" t="str" cm="1">
        <f t="array" ref="I95">Common_InputFunctions.Utility_DisplayArrayInTable(Common_SourceData.Common_SourceData_ClimateZones_Data(), Table_SourceData_ClimateZones[[#Headers],[Climate zone]], 0)</f>
        <v>≤ 1</v>
      </c>
      <c r="J95" s="10" cm="1">
        <f t="array" ref="J95">Common_InputFunctions.Utility_DisplayArrayInTable(Common_SourceData.Common_SourceData_ClimateZones_Data(), Table_SourceData_ClimateZones[[#Headers],[Climate zone]], 0)</f>
        <v>10.000999999999999</v>
      </c>
      <c r="K95" s="10" cm="1">
        <f t="array" ref="K95">Common_InputFunctions.Utility_DisplayArrayInTable(Common_SourceData.Common_SourceData_ClimateZones_Data(), Table_SourceData_ClimateZones[[#Headers],[Climate zone]], 0)</f>
        <v>999999</v>
      </c>
      <c r="L95" s="10" cm="1">
        <f t="array" ref="L95">Common_InputFunctions.Utility_DisplayArrayInTable(Common_SourceData.Common_SourceData_ClimateZones_Data(), Table_SourceData_ClimateZones[[#Headers],[Climate zone]], 0)</f>
        <v>-999999</v>
      </c>
      <c r="M95" s="10" cm="1">
        <f t="array" ref="M95">Common_InputFunctions.Utility_DisplayArrayInTable(Common_SourceData.Common_SourceData_ClimateZones_Data(), Table_SourceData_ClimateZones[[#Headers],[Climate zone]], 0)</f>
        <v>999999</v>
      </c>
      <c r="N95" s="10" cm="1">
        <f t="array" ref="N95">Common_InputFunctions.Utility_DisplayArrayInTable(Common_SourceData.Common_SourceData_ClimateZones_Data(), Table_SourceData_ClimateZones[[#Headers],[Climate zone]], 0)</f>
        <v>-999999</v>
      </c>
      <c r="O95" s="10" cm="1">
        <f t="array" ref="O95">Common_InputFunctions.Utility_DisplayArrayInTable(Common_SourceData.Common_SourceData_ClimateZones_Data(), Table_SourceData_ClimateZones[[#Headers],[Climate zone]], 0)</f>
        <v>999999</v>
      </c>
      <c r="P95" s="10" cm="1">
        <f t="array" ref="P95">Common_InputFunctions.Utility_DisplayArrayInTable(Common_SourceData.Common_SourceData_ClimateZones_Data(), Table_SourceData_ClimateZones[[#Headers],[Climate zone]], 0)</f>
        <v>-999999</v>
      </c>
      <c r="Q95" s="10" cm="1">
        <f t="array" ref="Q95">Common_InputFunctions.Utility_DisplayArrayInTable(Common_SourceData.Common_SourceData_ClimateZones_Data(), Table_SourceData_ClimateZones[[#Headers],[Climate zone]], 0)</f>
        <v>999999</v>
      </c>
      <c r="R95" s="10" cm="1">
        <f t="array" ref="R95">Common_InputFunctions.Utility_DisplayArrayInTable(Common_SourceData.Common_SourceData_ClimateZones_Data(), Table_SourceData_ClimateZones[[#Headers],[Climate zone]], 0)</f>
        <v>-999999</v>
      </c>
      <c r="S95" s="10" cm="1">
        <f t="array" ref="S95">Common_InputFunctions.Utility_DisplayArrayInTable(Common_SourceData.Common_SourceData_ClimateZones_Data(), Table_SourceData_ClimateZones[[#Headers],[Climate zone]], 0)</f>
        <v>1</v>
      </c>
      <c r="T95" s="10"/>
    </row>
    <row r="96" spans="4:20" ht="20.100000000000001" customHeight="1" x14ac:dyDescent="0.25">
      <c r="D96" s="10" t="str" cm="1">
        <f t="array" ref="D96">Common_InputFunctions.Utility_DisplayArrayInTable(Common_SourceData.Common_SourceData_ClimateZones_Data(), Table_SourceData_ClimateZones[[#Headers],[Climate zone]], 0)</f>
        <v>Cool temperate moist</v>
      </c>
      <c r="E96" s="10" t="str" cm="1">
        <f t="array" ref="E96">Common_InputFunctions.Utility_DisplayArrayInTable(Common_SourceData.Common_SourceData_ClimateZones_Data(), Table_SourceData_ClimateZones[[#Headers],[Climate zone]], 0)</f>
        <v>&gt; 0 C - ≤ 10 C</v>
      </c>
      <c r="F96" s="10" t="str" cm="1">
        <f t="array" ref="F96">Common_InputFunctions.Utility_DisplayArrayInTable(Common_SourceData.Common_SourceData_ClimateZones_Data(), Table_SourceData_ClimateZones[[#Headers],[Climate zone]], 0)</f>
        <v>Any</v>
      </c>
      <c r="G96" s="10" t="str" cm="1">
        <f t="array" ref="G96">Common_InputFunctions.Utility_DisplayArrayInTable(Common_SourceData.Common_SourceData_ClimateZones_Data(), Table_SourceData_ClimateZones[[#Headers],[Climate zone]], 0)</f>
        <v>Any</v>
      </c>
      <c r="H96" s="10" t="str" cm="1">
        <f t="array" ref="H96">Common_InputFunctions.Utility_DisplayArrayInTable(Common_SourceData.Common_SourceData_ClimateZones_Data(), Table_SourceData_ClimateZones[[#Headers],[Climate zone]], 0)</f>
        <v>Any</v>
      </c>
      <c r="I96" s="10" t="str" cm="1">
        <f t="array" ref="I96">Common_InputFunctions.Utility_DisplayArrayInTable(Common_SourceData.Common_SourceData_ClimateZones_Data(), Table_SourceData_ClimateZones[[#Headers],[Climate zone]], 0)</f>
        <v>&gt; 1</v>
      </c>
      <c r="J96" s="10" cm="1">
        <f t="array" ref="J96">Common_InputFunctions.Utility_DisplayArrayInTable(Common_SourceData.Common_SourceData_ClimateZones_Data(), Table_SourceData_ClimateZones[[#Headers],[Climate zone]], 0)</f>
        <v>-999999</v>
      </c>
      <c r="K96" s="10" cm="1">
        <f t="array" ref="K96">Common_InputFunctions.Utility_DisplayArrayInTable(Common_SourceData.Common_SourceData_ClimateZones_Data(), Table_SourceData_ClimateZones[[#Headers],[Climate zone]], 0)</f>
        <v>10</v>
      </c>
      <c r="L96" s="10" cm="1">
        <f t="array" ref="L96">Common_InputFunctions.Utility_DisplayArrayInTable(Common_SourceData.Common_SourceData_ClimateZones_Data(), Table_SourceData_ClimateZones[[#Headers],[Climate zone]], 0)</f>
        <v>-999999</v>
      </c>
      <c r="M96" s="10" cm="1">
        <f t="array" ref="M96">Common_InputFunctions.Utility_DisplayArrayInTable(Common_SourceData.Common_SourceData_ClimateZones_Data(), Table_SourceData_ClimateZones[[#Headers],[Climate zone]], 0)</f>
        <v>999999</v>
      </c>
      <c r="N96" s="10" cm="1">
        <f t="array" ref="N96">Common_InputFunctions.Utility_DisplayArrayInTable(Common_SourceData.Common_SourceData_ClimateZones_Data(), Table_SourceData_ClimateZones[[#Headers],[Climate zone]], 0)</f>
        <v>-999999</v>
      </c>
      <c r="O96" s="10" cm="1">
        <f t="array" ref="O96">Common_InputFunctions.Utility_DisplayArrayInTable(Common_SourceData.Common_SourceData_ClimateZones_Data(), Table_SourceData_ClimateZones[[#Headers],[Climate zone]], 0)</f>
        <v>999999</v>
      </c>
      <c r="P96" s="10" cm="1">
        <f t="array" ref="P96">Common_InputFunctions.Utility_DisplayArrayInTable(Common_SourceData.Common_SourceData_ClimateZones_Data(), Table_SourceData_ClimateZones[[#Headers],[Climate zone]], 0)</f>
        <v>-999999</v>
      </c>
      <c r="Q96" s="10" cm="1">
        <f t="array" ref="Q96">Common_InputFunctions.Utility_DisplayArrayInTable(Common_SourceData.Common_SourceData_ClimateZones_Data(), Table_SourceData_ClimateZones[[#Headers],[Climate zone]], 0)</f>
        <v>999999</v>
      </c>
      <c r="R96" s="10" cm="1">
        <f t="array" ref="R96">Common_InputFunctions.Utility_DisplayArrayInTable(Common_SourceData.Common_SourceData_ClimateZones_Data(), Table_SourceData_ClimateZones[[#Headers],[Climate zone]], 0)</f>
        <v>1.0009999999999999</v>
      </c>
      <c r="S96" s="10" cm="1">
        <f t="array" ref="S96">Common_InputFunctions.Utility_DisplayArrayInTable(Common_SourceData.Common_SourceData_ClimateZones_Data(), Table_SourceData_ClimateZones[[#Headers],[Climate zone]], 0)</f>
        <v>999999</v>
      </c>
      <c r="T96" s="10"/>
    </row>
    <row r="97" spans="4:20" ht="20.100000000000001" customHeight="1" x14ac:dyDescent="0.25">
      <c r="D97" s="10" t="str" cm="1">
        <f t="array" ref="D97">Common_InputFunctions.Utility_DisplayArrayInTable(Common_SourceData.Common_SourceData_ClimateZones_Data(), Table_SourceData_ClimateZones[[#Headers],[Climate zone]], 0)</f>
        <v>Cool temperate dry</v>
      </c>
      <c r="E97" s="10" t="str" cm="1">
        <f t="array" ref="E97">Common_InputFunctions.Utility_DisplayArrayInTable(Common_SourceData.Common_SourceData_ClimateZones_Data(), Table_SourceData_ClimateZones[[#Headers],[Climate zone]], 0)</f>
        <v>&gt; 0 C - ≤ 10 C</v>
      </c>
      <c r="F97" s="10" t="str" cm="1">
        <f t="array" ref="F97">Common_InputFunctions.Utility_DisplayArrayInTable(Common_SourceData.Common_SourceData_ClimateZones_Data(), Table_SourceData_ClimateZones[[#Headers],[Climate zone]], 0)</f>
        <v>Any</v>
      </c>
      <c r="G97" s="10" t="str" cm="1">
        <f t="array" ref="G97">Common_InputFunctions.Utility_DisplayArrayInTable(Common_SourceData.Common_SourceData_ClimateZones_Data(), Table_SourceData_ClimateZones[[#Headers],[Climate zone]], 0)</f>
        <v>Any</v>
      </c>
      <c r="H97" s="10" t="str" cm="1">
        <f t="array" ref="H97">Common_InputFunctions.Utility_DisplayArrayInTable(Common_SourceData.Common_SourceData_ClimateZones_Data(), Table_SourceData_ClimateZones[[#Headers],[Climate zone]], 0)</f>
        <v>Any</v>
      </c>
      <c r="I97" s="10" t="str" cm="1">
        <f t="array" ref="I97">Common_InputFunctions.Utility_DisplayArrayInTable(Common_SourceData.Common_SourceData_ClimateZones_Data(), Table_SourceData_ClimateZones[[#Headers],[Climate zone]], 0)</f>
        <v>≤ 1</v>
      </c>
      <c r="J97" s="10" cm="1">
        <f t="array" ref="J97">Common_InputFunctions.Utility_DisplayArrayInTable(Common_SourceData.Common_SourceData_ClimateZones_Data(), Table_SourceData_ClimateZones[[#Headers],[Climate zone]], 0)</f>
        <v>-999999</v>
      </c>
      <c r="K97" s="10" cm="1">
        <f t="array" ref="K97">Common_InputFunctions.Utility_DisplayArrayInTable(Common_SourceData.Common_SourceData_ClimateZones_Data(), Table_SourceData_ClimateZones[[#Headers],[Climate zone]], 0)</f>
        <v>10</v>
      </c>
      <c r="L97" s="10" cm="1">
        <f t="array" ref="L97">Common_InputFunctions.Utility_DisplayArrayInTable(Common_SourceData.Common_SourceData_ClimateZones_Data(), Table_SourceData_ClimateZones[[#Headers],[Climate zone]], 0)</f>
        <v>-999999</v>
      </c>
      <c r="M97" s="10" cm="1">
        <f t="array" ref="M97">Common_InputFunctions.Utility_DisplayArrayInTable(Common_SourceData.Common_SourceData_ClimateZones_Data(), Table_SourceData_ClimateZones[[#Headers],[Climate zone]], 0)</f>
        <v>999999</v>
      </c>
      <c r="N97" s="10" cm="1">
        <f t="array" ref="N97">Common_InputFunctions.Utility_DisplayArrayInTable(Common_SourceData.Common_SourceData_ClimateZones_Data(), Table_SourceData_ClimateZones[[#Headers],[Climate zone]], 0)</f>
        <v>-999999</v>
      </c>
      <c r="O97" s="10" cm="1">
        <f t="array" ref="O97">Common_InputFunctions.Utility_DisplayArrayInTable(Common_SourceData.Common_SourceData_ClimateZones_Data(), Table_SourceData_ClimateZones[[#Headers],[Climate zone]], 0)</f>
        <v>999999</v>
      </c>
      <c r="P97" s="10" cm="1">
        <f t="array" ref="P97">Common_InputFunctions.Utility_DisplayArrayInTable(Common_SourceData.Common_SourceData_ClimateZones_Data(), Table_SourceData_ClimateZones[[#Headers],[Climate zone]], 0)</f>
        <v>-999999</v>
      </c>
      <c r="Q97" s="10" cm="1">
        <f t="array" ref="Q97">Common_InputFunctions.Utility_DisplayArrayInTable(Common_SourceData.Common_SourceData_ClimateZones_Data(), Table_SourceData_ClimateZones[[#Headers],[Climate zone]], 0)</f>
        <v>999999</v>
      </c>
      <c r="R97" s="10" cm="1">
        <f t="array" ref="R97">Common_InputFunctions.Utility_DisplayArrayInTable(Common_SourceData.Common_SourceData_ClimateZones_Data(), Table_SourceData_ClimateZones[[#Headers],[Climate zone]], 0)</f>
        <v>-999999</v>
      </c>
      <c r="S97" s="10" cm="1">
        <f t="array" ref="S97">Common_InputFunctions.Utility_DisplayArrayInTable(Common_SourceData.Common_SourceData_ClimateZones_Data(), Table_SourceData_ClimateZones[[#Headers],[Climate zone]], 0)</f>
        <v>1</v>
      </c>
      <c r="T97" s="10"/>
    </row>
    <row r="98" spans="4:20" ht="20.100000000000001" customHeight="1" x14ac:dyDescent="0.25">
      <c r="D98" s="13" t="str" cm="1">
        <f t="array" ref="D98:D101">Common_SourceData.Common_SourceData_ClimateZones_Appendices()</f>
        <v>Note:</v>
      </c>
    </row>
    <row r="99" spans="4:20" ht="20.100000000000001" customHeight="1" x14ac:dyDescent="0.25">
      <c r="D99" s="13" t="str">
        <v>MAT = mean annual temperature</v>
      </c>
    </row>
    <row r="100" spans="4:20" ht="20.100000000000001" customHeight="1" x14ac:dyDescent="0.25">
      <c r="D100" s="13" t="str">
        <v>MAP = mean annual precipitation</v>
      </c>
    </row>
    <row r="101" spans="4:20" ht="20.100000000000001" customHeight="1" x14ac:dyDescent="0.25">
      <c r="D101" s="13" t="str">
        <v>PET = potential evapotranspiration</v>
      </c>
    </row>
    <row r="102" spans="4:20" ht="20.100000000000001" customHeight="1" x14ac:dyDescent="0.25">
      <c r="D102" s="13"/>
    </row>
    <row r="103" spans="4:20" ht="20.100000000000001" customHeight="1" x14ac:dyDescent="0.25"/>
    <row r="104" spans="4:20" ht="20.100000000000001" customHeight="1" x14ac:dyDescent="0.25"/>
    <row r="105" spans="4:20" ht="20.100000000000001" customHeight="1" x14ac:dyDescent="0.25">
      <c r="D105" s="9" t="str" cm="1">
        <f t="array" ref="D105">Common_SourceData.Common_SourceData_TemperatureZones_Title()</f>
        <v>VEERG Australian temperature zones</v>
      </c>
    </row>
    <row r="106" spans="4:20" ht="20.100000000000001" customHeight="1" x14ac:dyDescent="0.25">
      <c r="D106" s="11" t="str" cm="1">
        <f t="array" ref="D106">Common_SourceData.Common_SourceData_TemperatureZones_Source()</f>
        <v>VEERG 2026: Table 1.3: Climate and Rainfall zone classifications and definitions</v>
      </c>
    </row>
    <row r="107" spans="4:20" ht="20.100000000000001" customHeight="1" x14ac:dyDescent="0.25">
      <c r="D107" s="12"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10" t="s">
        <v>28</v>
      </c>
      <c r="E109" s="10" t="s">
        <v>13</v>
      </c>
      <c r="F109" s="10" t="s">
        <v>29</v>
      </c>
      <c r="G109" s="10" t="s">
        <v>30</v>
      </c>
    </row>
    <row r="110" spans="4:20" ht="20.100000000000001" customHeight="1" x14ac:dyDescent="0.25">
      <c r="D110" s="10" t="str" cm="1">
        <f t="array" ref="D110">Common_InputFunctions.Utility_DisplayArrayInTable(Common_SourceData.Common_SourceData_TemperatureZones_Data(),Table_SourceData_TemperatureZones[[#Headers],[Temperature Zone]],0)</f>
        <v>Warm</v>
      </c>
      <c r="E110" s="10" t="str" cm="1">
        <f t="array" ref="E110">Common_InputFunctions.Utility_DisplayArrayInTable(Common_SourceData.Common_SourceData_TemperatureZones_Data(),Table_SourceData_TemperatureZones[[#Headers],[Temperature Zone]],0)</f>
        <v>≥ 26 C</v>
      </c>
      <c r="F110" s="10" cm="1">
        <f t="array" ref="F110">Common_InputFunctions.Utility_DisplayArrayInTable(Common_SourceData.Common_SourceData_TemperatureZones_Data(),Table_SourceData_TemperatureZones[[#Headers],[Temperature Zone]],0)</f>
        <v>26</v>
      </c>
      <c r="G110" s="10" cm="1">
        <f t="array" ref="G110">Common_InputFunctions.Utility_DisplayArrayInTable(Common_SourceData.Common_SourceData_TemperatureZones_Data(),Table_SourceData_TemperatureZones[[#Headers],[Temperature Zone]],0)</f>
        <v>999999</v>
      </c>
    </row>
    <row r="111" spans="4:20" ht="20.100000000000001" customHeight="1" x14ac:dyDescent="0.25">
      <c r="D111" s="10" t="str" cm="1">
        <f t="array" ref="D111">Common_InputFunctions.Utility_DisplayArrayInTable(Common_SourceData.Common_SourceData_TemperatureZones_Data(),Table_SourceData_TemperatureZones[[#Headers],[Temperature Zone]],0)</f>
        <v>Temperate</v>
      </c>
      <c r="E111" s="10" t="str" cm="1">
        <f t="array" ref="E111">Common_InputFunctions.Utility_DisplayArrayInTable(Common_SourceData.Common_SourceData_TemperatureZones_Data(),Table_SourceData_TemperatureZones[[#Headers],[Temperature Zone]],0)</f>
        <v>15 - 25 C</v>
      </c>
      <c r="F111" s="10" cm="1">
        <f t="array" ref="F111">Common_InputFunctions.Utility_DisplayArrayInTable(Common_SourceData.Common_SourceData_TemperatureZones_Data(),Table_SourceData_TemperatureZones[[#Headers],[Temperature Zone]],0)</f>
        <v>15</v>
      </c>
      <c r="G111" s="10"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10" t="str" cm="1">
        <f t="array" ref="D112">Common_InputFunctions.Utility_DisplayArrayInTable(Common_SourceData.Common_SourceData_TemperatureZones_Data(),Table_SourceData_TemperatureZones[[#Headers],[Temperature Zone]],0)</f>
        <v>Cool</v>
      </c>
      <c r="E112" s="10" t="str" cm="1">
        <f t="array" ref="E112">Common_InputFunctions.Utility_DisplayArrayInTable(Common_SourceData.Common_SourceData_TemperatureZones_Data(),Table_SourceData_TemperatureZones[[#Headers],[Temperature Zone]],0)</f>
        <v>≤ 14 C</v>
      </c>
      <c r="F112" s="10" cm="1">
        <f t="array" ref="F112">Common_InputFunctions.Utility_DisplayArrayInTable(Common_SourceData.Common_SourceData_TemperatureZones_Data(),Table_SourceData_TemperatureZones[[#Headers],[Temperature Zone]],0)</f>
        <v>-999999</v>
      </c>
      <c r="G112" s="10"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9" t="str" cm="1">
        <f t="array" ref="D115">Common_SourceData.Common_SourceData_RainfallZones_Title()</f>
        <v>VEERG Australian rainfall zones</v>
      </c>
      <c r="BN115" s="4"/>
    </row>
    <row r="116" spans="4:66" ht="20.100000000000001" customHeight="1" x14ac:dyDescent="0.25">
      <c r="D116" s="11" t="str" cm="1">
        <f t="array" ref="D116">Common_SourceData.Common_SourceData_RainfallZones_Source()</f>
        <v>VEERG 2026: Table 1.3: Climate and Rainfall zone classifications and definitions</v>
      </c>
      <c r="BN116" s="4"/>
    </row>
    <row r="117" spans="4:66" ht="20.100000000000001" customHeight="1" x14ac:dyDescent="0.25">
      <c r="D117" s="12" t="str" cm="1">
        <f t="array" ref="D117">"⚠️" &amp; Common_SourceData.Common_SourceData_RainfallZones_Variation()</f>
        <v>⚠️VARIATION OF SOURCE DATA: Added extra Rainfall min and Rainfall max columns to calculate zone from real rainfall data.</v>
      </c>
      <c r="BN117" s="4"/>
    </row>
    <row r="118" spans="4:66" ht="20.100000000000001" customHeight="1" x14ac:dyDescent="0.25">
      <c r="BN118" s="4"/>
    </row>
    <row r="119" spans="4:66" ht="20.100000000000001" customHeight="1" x14ac:dyDescent="0.25">
      <c r="D119" s="10" t="s">
        <v>31</v>
      </c>
      <c r="E119" s="10" t="s">
        <v>32</v>
      </c>
      <c r="F119" s="10" t="s">
        <v>20</v>
      </c>
      <c r="G119" s="10" t="s">
        <v>21</v>
      </c>
      <c r="BN119" s="4"/>
    </row>
    <row r="120" spans="4:66" ht="20.100000000000001" customHeight="1" x14ac:dyDescent="0.25">
      <c r="D120" s="10" t="str" cm="1">
        <f t="array" ref="D120">Common_InputFunctions.Utility_DisplayArrayInTable(Common_SourceData.Common_SourceData_RainfallZones_Data(),Table_SourceData_RainfallZones[[#Headers],[Rainfall Zone]],0)</f>
        <v>High rainfall</v>
      </c>
      <c r="E120" s="10" t="str" cm="1">
        <f t="array" ref="E120">Common_InputFunctions.Utility_DisplayArrayInTable(Common_SourceData.Common_SourceData_RainfallZones_Data(),Table_SourceData_RainfallZones[[#Headers],[Rainfall Zone]],0)</f>
        <v>Annual rainfall &gt; 600mm</v>
      </c>
      <c r="F120" s="10" cm="1">
        <f t="array" ref="F120">Common_InputFunctions.Utility_DisplayArrayInTable(Common_SourceData.Common_SourceData_RainfallZones_Data(),Table_SourceData_RainfallZones[[#Headers],[Rainfall Zone]],0)</f>
        <v>600.00099999999998</v>
      </c>
      <c r="G120" s="10" cm="1">
        <f t="array" ref="G120">Common_InputFunctions.Utility_DisplayArrayInTable(Common_SourceData.Common_SourceData_RainfallZones_Data(),Table_SourceData_RainfallZones[[#Headers],[Rainfall Zone]],0)</f>
        <v>999999</v>
      </c>
      <c r="BN120" s="4"/>
    </row>
    <row r="121" spans="4:66" ht="20.100000000000001" customHeight="1" x14ac:dyDescent="0.25">
      <c r="D121" s="10" t="str" cm="1">
        <f t="array" ref="D121">Common_InputFunctions.Utility_DisplayArrayInTable(Common_SourceData.Common_SourceData_RainfallZones_Data(),Table_SourceData_RainfallZones[[#Headers],[Rainfall Zone]],0)</f>
        <v>Low rainfall</v>
      </c>
      <c r="E121" s="10" t="str" cm="1">
        <f t="array" ref="E121">Common_InputFunctions.Utility_DisplayArrayInTable(Common_SourceData.Common_SourceData_RainfallZones_Data(),Table_SourceData_RainfallZones[[#Headers],[Rainfall Zone]],0)</f>
        <v>Annual rainfall ≤ 600mm</v>
      </c>
      <c r="F121" s="10" cm="1">
        <f t="array" ref="F121">Common_InputFunctions.Utility_DisplayArrayInTable(Common_SourceData.Common_SourceData_RainfallZones_Data(),Table_SourceData_RainfallZones[[#Headers],[Rainfall Zone]],0)</f>
        <v>-999999</v>
      </c>
      <c r="G121" s="10" cm="1">
        <f t="array" ref="G121">Common_InputFunctions.Utility_DisplayArrayInTable(Common_SourceData.Common_SourceData_RainfallZones_Data(),Table_SourceData_RainfallZones[[#Headers],[Rainfall Zone]],0)</f>
        <v>600</v>
      </c>
      <c r="BN121" s="4"/>
    </row>
    <row r="122" spans="4:66" ht="20.100000000000001" customHeight="1" x14ac:dyDescent="0.25">
      <c r="BN122" s="4"/>
    </row>
    <row r="123" spans="4:66" ht="20.100000000000001" customHeight="1" x14ac:dyDescent="0.25"/>
    <row r="124" spans="4:66" ht="20.100000000000001" customHeight="1" x14ac:dyDescent="0.25">
      <c r="D124" s="9" t="str" cm="1">
        <f t="array" ref="D124">Common_SourceData.Common_SourceData_LeachingZones_Title()</f>
        <v>VEERG Australian leaching zones</v>
      </c>
    </row>
    <row r="125" spans="4:66" ht="20.100000000000001" customHeight="1" x14ac:dyDescent="0.25">
      <c r="D125" s="11"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10" t="s">
        <v>33</v>
      </c>
      <c r="E127" s="10" t="s">
        <v>34</v>
      </c>
    </row>
    <row r="128" spans="4:66" ht="20.100000000000001" customHeight="1" x14ac:dyDescent="0.25">
      <c r="D128" s="10" t="str" cm="1">
        <f t="array" ref="D128">Common_InputFunctions.Utility_DisplayArrayInTable(Common_SourceData.Common_SourceData_LeachingZones_Data(), Table_SourceData_LeachingZones[[#Headers],[Leaching Zone]], 0)</f>
        <v>Leaching occurs</v>
      </c>
      <c r="E128" s="1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10" t="str" cm="1">
        <f t="array" ref="D129">Common_InputFunctions.Utility_DisplayArrayInTable(Common_SourceData.Common_SourceData_LeachingZones_Data(), Table_SourceData_LeachingZones[[#Headers],[Leaching Zone]], 0)</f>
        <v>Leaching does not occur</v>
      </c>
      <c r="E129" s="1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9" t="str" cm="1">
        <f t="array" ref="D132">Common_SourceData.Common_SourceData_FracWET_Title()</f>
        <v>Fraction of N that is available for leaching and runoff</v>
      </c>
      <c r="E132" s="14"/>
    </row>
    <row r="133" spans="4:77" ht="20.100000000000001" customHeight="1" x14ac:dyDescent="0.25">
      <c r="D133" s="11" t="str" cm="1">
        <f t="array" ref="D133">Common_SourceData.Common_SourceData_FracWET_Source()</f>
        <v>VEERG 2026:5.5.2.3 Constant Parameters</v>
      </c>
      <c r="E133" s="14"/>
    </row>
    <row r="134" spans="4:77" ht="20.100000000000001" customHeight="1" x14ac:dyDescent="0.25">
      <c r="D134" s="3" t="s">
        <v>35</v>
      </c>
      <c r="E134" s="3" t="s">
        <v>36</v>
      </c>
    </row>
    <row r="135" spans="4:77" ht="20.100000000000001" customHeight="1" x14ac:dyDescent="0.25">
      <c r="D135" s="3" t="str" cm="1">
        <f t="array" ref="D135">Common_InputFunctions.Utility_DisplayArrayInTable(Common_SourceData.Common_SourceData_FracWET_Data(),Table_SourceData_FracWET[[#Headers],[Is in leaching zone]],0)</f>
        <v>Yes - in leaching zone</v>
      </c>
      <c r="E135" s="3" cm="1">
        <f t="array" ref="E135">Common_InputFunctions.Utility_DisplayArrayInTable(Common_SourceData.Common_SourceData_FracWET_Data(),Table_SourceData_FracWET[[#Headers],[Is in leaching zone]],0)</f>
        <v>1</v>
      </c>
    </row>
    <row r="136" spans="4:77" ht="20.100000000000001" customHeight="1" x14ac:dyDescent="0.25">
      <c r="D136" s="8" t="str" cm="1">
        <f t="array" ref="D136">Common_InputFunctions.Utility_DisplayArrayInTable(Common_SourceData.Common_SourceData_FracWET_Data(),Table_SourceData_FracWET[[#Headers],[Is in leaching zone]],0)</f>
        <v>No - not in leaching zone</v>
      </c>
      <c r="E136" s="10"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4"/>
      <c r="BO138" s="4"/>
      <c r="BP138" s="4"/>
      <c r="BQ138" s="4"/>
      <c r="BR138" s="4"/>
      <c r="BS138" s="4"/>
      <c r="BT138" s="4"/>
      <c r="BU138" s="4"/>
      <c r="BV138" s="4"/>
      <c r="BW138" s="4"/>
      <c r="BX138" s="4"/>
      <c r="BY138" s="4"/>
    </row>
    <row r="139" spans="4:77" ht="20.100000000000001" customHeight="1" x14ac:dyDescent="0.25">
      <c r="D139" s="9" t="str" cm="1">
        <f t="array" ref="D139">Common_SourceData.Common_SourceData_FracWETIrrigation_Title()</f>
        <v>FracWET for irrigation types</v>
      </c>
      <c r="BN139" s="4"/>
      <c r="BO139" s="4"/>
      <c r="BP139" s="4"/>
      <c r="BQ139" s="4"/>
      <c r="BR139" s="4"/>
      <c r="BS139" s="4"/>
      <c r="BT139" s="4"/>
      <c r="BU139" s="4"/>
      <c r="BV139" s="4"/>
      <c r="BW139" s="4"/>
      <c r="BX139" s="4"/>
      <c r="BY139" s="4"/>
    </row>
    <row r="140" spans="4:77" ht="20.100000000000001" customHeight="1" x14ac:dyDescent="0.25">
      <c r="D140" s="11" t="str" cm="1">
        <f t="array" ref="D140">Common_SourceData.Common_SourceData_FracWETIrrigation_Source()</f>
        <v>VEERG 2026: Chapter 1, section 1.8.2 Leaching, climate and rainfall zones</v>
      </c>
      <c r="BN140" s="4"/>
      <c r="BO140" s="4"/>
      <c r="BP140" s="4"/>
      <c r="BQ140" s="4"/>
      <c r="BR140" s="4"/>
      <c r="BS140" s="4"/>
      <c r="BT140" s="4"/>
      <c r="BU140" s="4"/>
      <c r="BV140" s="4"/>
      <c r="BW140" s="4"/>
      <c r="BX140" s="4"/>
      <c r="BY140" s="4"/>
    </row>
    <row r="141" spans="4:77" ht="20.100000000000001" customHeight="1" x14ac:dyDescent="0.25">
      <c r="D141" s="12" t="str" cm="1">
        <f t="array" ref="D141">Common_SourceData.Common_SourceData_FracWETIrrigation_Variation()</f>
        <v>VARIATION FROM SOURCE DATA: Table created based on VEERG text 'Areas are subject to leaching (i.e., in the leaching zone) when... the land is irrigated (except drip irrigation).'</v>
      </c>
      <c r="BN141" s="4"/>
    </row>
    <row r="142" spans="4:77" ht="20.100000000000001" customHeight="1" x14ac:dyDescent="0.25">
      <c r="D142" s="10" t="s">
        <v>37</v>
      </c>
      <c r="E142" s="10" t="s">
        <v>36</v>
      </c>
      <c r="BN142" s="4"/>
    </row>
    <row r="143" spans="4:77" ht="20.100000000000001" customHeight="1" x14ac:dyDescent="0.25">
      <c r="D143" s="10" t="str" cm="1">
        <f t="array" ref="D143">Common_InputFunctions.Utility_DisplayArrayInTable(Common_SourceData.Common_SourceData_FracWETIrrigation_Data(), Table_SourceData_FracWETIrrigation[[#Headers],[Irrigation type i]], 0)</f>
        <v>Not irrigated</v>
      </c>
      <c r="E143" s="10" cm="1">
        <f t="array" ref="E143">Common_InputFunctions.Utility_DisplayArrayInTable(Common_SourceData.Common_SourceData_FracWETIrrigation_Data(), Table_SourceData_FracWETIrrigation[[#Headers],[Irrigation type i]], 0)</f>
        <v>0</v>
      </c>
      <c r="BN143" s="4"/>
    </row>
    <row r="144" spans="4:77" ht="20.100000000000001" customHeight="1" x14ac:dyDescent="0.25">
      <c r="D144" s="8" t="str" cm="1">
        <f t="array" ref="D144">Common_InputFunctions.Utility_DisplayArrayInTable(Common_SourceData.Common_SourceData_FracWETIrrigation_Data(), Table_SourceData_FracWETIrrigation[[#Headers],[Irrigation type i]], 0)</f>
        <v>Drip irrigation</v>
      </c>
      <c r="E144" s="10" cm="1">
        <f t="array" ref="E144">Common_InputFunctions.Utility_DisplayArrayInTable(Common_SourceData.Common_SourceData_FracWETIrrigation_Data(), Table_SourceData_FracWETIrrigation[[#Headers],[Irrigation type i]], 0)</f>
        <v>0</v>
      </c>
      <c r="BN144" s="4"/>
    </row>
    <row r="145" spans="4:66" ht="20.100000000000001" customHeight="1" x14ac:dyDescent="0.25">
      <c r="D145" s="8" t="str" cm="1">
        <f t="array" ref="D145">Common_InputFunctions.Utility_DisplayArrayInTable(Common_SourceData.Common_SourceData_FracWETIrrigation_Data(), Table_SourceData_FracWETIrrigation[[#Headers],[Irrigation type i]], 0)</f>
        <v>Sprinkler irrigation</v>
      </c>
      <c r="E145" s="10" cm="1">
        <f t="array" ref="E145">Common_InputFunctions.Utility_DisplayArrayInTable(Common_SourceData.Common_SourceData_FracWETIrrigation_Data(), Table_SourceData_FracWETIrrigation[[#Headers],[Irrigation type i]], 0)</f>
        <v>1</v>
      </c>
      <c r="BN145" s="4"/>
    </row>
    <row r="146" spans="4:66" ht="20.100000000000001" customHeight="1" x14ac:dyDescent="0.25">
      <c r="D146" s="8" t="str" cm="1">
        <f t="array" ref="D146">Common_InputFunctions.Utility_DisplayArrayInTable(Common_SourceData.Common_SourceData_FracWETIrrigation_Data(), Table_SourceData_FracWETIrrigation[[#Headers],[Irrigation type i]], 0)</f>
        <v>Surface irrigation</v>
      </c>
      <c r="E146" s="10" cm="1">
        <f t="array" ref="E146">Common_InputFunctions.Utility_DisplayArrayInTable(Common_SourceData.Common_SourceData_FracWETIrrigation_Data(), Table_SourceData_FracWETIrrigation[[#Headers],[Irrigation type i]], 0)</f>
        <v>1</v>
      </c>
      <c r="BN146" s="4"/>
    </row>
    <row r="147" spans="4:66" ht="20.100000000000001" customHeight="1" x14ac:dyDescent="0.25">
      <c r="D147" s="8" t="str" cm="1">
        <f t="array" ref="D147">Common_InputFunctions.Utility_DisplayArrayInTable(Common_SourceData.Common_SourceData_FracWETIrrigation_Data(), Table_SourceData_FracWETIrrigation[[#Headers],[Irrigation type i]], 0)</f>
        <v>Other irrigation</v>
      </c>
      <c r="E147" s="10" cm="1">
        <f t="array" ref="E147">Common_InputFunctions.Utility_DisplayArrayInTable(Common_SourceData.Common_SourceData_FracWETIrrigation_Data(), Table_SourceData_FracWETIrrigation[[#Headers],[Irrigation type i]], 0)</f>
        <v>1</v>
      </c>
      <c r="BN147" s="4"/>
    </row>
    <row r="148" spans="4:66" ht="20.100000000000001" customHeight="1" x14ac:dyDescent="0.25">
      <c r="BN148" s="4"/>
    </row>
    <row r="149" spans="4:66" ht="20.100000000000001" customHeight="1" x14ac:dyDescent="0.25">
      <c r="BN149" s="4"/>
    </row>
    <row r="150" spans="4:66" ht="20.100000000000001" customHeight="1" x14ac:dyDescent="0.25">
      <c r="D150" s="9" t="str" cm="1">
        <f t="array" ref="D150">Common_SourceData.Common_SourceData_DataScores_Scope3_Title()</f>
        <v>Australian data scores for scope 3</v>
      </c>
      <c r="BN150" s="4"/>
    </row>
    <row r="151" spans="4:66" ht="20.100000000000001" customHeight="1" x14ac:dyDescent="0.25">
      <c r="D151" s="11" t="str" cm="1">
        <f t="array" ref="D151">Common_SourceData.Common_SourceData_DataScores_Scope3_Source()</f>
        <v>VEERG 2026: XXXXXXXX</v>
      </c>
      <c r="BN151" s="4"/>
    </row>
    <row r="152" spans="4:66" ht="20.100000000000001" customHeight="1" x14ac:dyDescent="0.25">
      <c r="BN152" s="4"/>
    </row>
    <row r="153" spans="4:66" ht="20.100000000000001" customHeight="1" x14ac:dyDescent="0.25">
      <c r="D153" s="10" t="s">
        <v>38</v>
      </c>
      <c r="E153" s="10" t="s">
        <v>39</v>
      </c>
      <c r="BC153" s="7"/>
      <c r="BD153" s="7"/>
      <c r="BE153" s="7"/>
      <c r="BF153" s="7"/>
      <c r="BG153" s="7"/>
      <c r="BH153" s="7"/>
      <c r="BI153" s="7"/>
      <c r="BJ153" s="7"/>
      <c r="BK153" s="7"/>
      <c r="BL153" s="7"/>
      <c r="BM153" s="7"/>
    </row>
    <row r="154" spans="4:66" ht="20.100000000000001" customHeight="1" x14ac:dyDescent="0.25">
      <c r="D154" s="10" t="str" cm="1">
        <f t="array" ref="D154">Common_InputFunctions.Utility_DisplayArrayInTable(Common_SourceData.Common_SourceData_DataScores_Scope3_Data(), Table_SourceData_DataScores_Scope3[[#Headers],[Data source]], 0)</f>
        <v>International scope 3 database</v>
      </c>
      <c r="E154" s="10" cm="1">
        <f t="array" ref="E154">Common_InputFunctions.Utility_DisplayArrayInTable(Common_SourceData.Common_SourceData_DataScores_Scope3_Data(), Table_SourceData_DataScores_Scope3[[#Headers],[Data source]], 0)</f>
        <v>1</v>
      </c>
      <c r="BC154" s="7"/>
      <c r="BD154" s="7"/>
      <c r="BE154" s="7"/>
      <c r="BF154" s="7"/>
      <c r="BG154" s="7"/>
      <c r="BH154" s="7"/>
      <c r="BI154" s="7"/>
      <c r="BJ154" s="7"/>
      <c r="BK154" s="7"/>
      <c r="BL154" s="7"/>
      <c r="BM154" s="7"/>
    </row>
    <row r="155" spans="4:66" ht="20.100000000000001" customHeight="1" x14ac:dyDescent="0.25">
      <c r="D155" s="10" t="str" cm="1">
        <f t="array" ref="D155">Common_InputFunctions.Utility_DisplayArrayInTable(Common_SourceData.Common_SourceData_DataScores_Scope3_Data(), Table_SourceData_DataScores_Scope3[[#Headers],[Data source]], 0)</f>
        <v>Australian scope 3 database</v>
      </c>
      <c r="E155" s="10" cm="1">
        <f t="array" ref="E155">Common_InputFunctions.Utility_DisplayArrayInTable(Common_SourceData.Common_SourceData_DataScores_Scope3_Data(), Table_SourceData_DataScores_Scope3[[#Headers],[Data source]], 0)</f>
        <v>2</v>
      </c>
      <c r="BC155" s="7"/>
      <c r="BD155" s="7"/>
      <c r="BE155" s="7"/>
      <c r="BF155" s="7"/>
      <c r="BG155" s="7"/>
      <c r="BH155" s="7"/>
      <c r="BI155" s="7"/>
      <c r="BJ155" s="7"/>
      <c r="BK155" s="7"/>
      <c r="BL155" s="7"/>
      <c r="BM155" s="7"/>
    </row>
    <row r="156" spans="4:66" ht="20.100000000000001" customHeight="1" x14ac:dyDescent="0.25">
      <c r="D156" s="10" t="str" cm="1">
        <f t="array" ref="D156">Common_InputFunctions.Utility_DisplayArrayInTable(Common_SourceData.Common_SourceData_DataScores_Scope3_Data(), Table_SourceData_DataScores_Scope3[[#Headers],[Data source]], 0)</f>
        <v>State or regional scope 3 database</v>
      </c>
      <c r="E156" s="10" cm="1">
        <f t="array" ref="E156">Common_InputFunctions.Utility_DisplayArrayInTable(Common_SourceData.Common_SourceData_DataScores_Scope3_Data(), Table_SourceData_DataScores_Scope3[[#Headers],[Data source]], 0)</f>
        <v>3</v>
      </c>
    </row>
    <row r="157" spans="4:66" ht="20.100000000000001" customHeight="1" x14ac:dyDescent="0.25">
      <c r="D157" s="10" t="str" cm="1">
        <f t="array" ref="D157">Common_InputFunctions.Utility_DisplayArrayInTable(Common_SourceData.Common_SourceData_DataScores_Scope3_Data(), Table_SourceData_DataScores_Scope3[[#Headers],[Data source]], 0)</f>
        <v>Emissions intensity calculated from approved method</v>
      </c>
      <c r="E157" s="10" cm="1">
        <f t="array" ref="E157">Common_InputFunctions.Utility_DisplayArrayInTable(Common_SourceData.Common_SourceData_DataScores_Scope3_Data(), Table_SourceData_DataScores_Scope3[[#Headers],[Data source]], 0)</f>
        <v>4</v>
      </c>
    </row>
    <row r="158" spans="4:66" ht="20.100000000000001" customHeight="1" x14ac:dyDescent="0.25">
      <c r="D158" s="10" t="str" cm="1">
        <f t="array" ref="D158">Common_InputFunctions.Utility_DisplayArrayInTable(Common_SourceData.Common_SourceData_DataScores_Scope3_Data(), Table_SourceData_DataScores_Scope3[[#Headers],[Data source]], 0)</f>
        <v>Verified credential matching ISO14067</v>
      </c>
      <c r="E158" s="10"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9" t="str" cm="1">
        <f t="array" ref="D161">Common_SourceData.Common_SourceData_FracLEACH_Title()</f>
        <v>Fraction of N that is available for leaching and runoff</v>
      </c>
      <c r="E161" s="14"/>
    </row>
    <row r="162" spans="4:68" ht="20.100000000000001" customHeight="1" x14ac:dyDescent="0.25">
      <c r="D162" s="11" t="str" cm="1">
        <f t="array" ref="D162">Common_SourceData.Common_SourceData_FracLEACH_Source()</f>
        <v>VEERG 2026:5.5.2.3 Constant Parameters</v>
      </c>
      <c r="E162" s="14"/>
    </row>
    <row r="163" spans="4:68" ht="20.100000000000001" customHeight="1" x14ac:dyDescent="0.25">
      <c r="D163" s="11" t="str" cm="1">
        <f t="array" ref="D163">Common_SourceData.Common_SourceData_FracLEACH_NIRReference()</f>
        <v>National Inventory Report Volume 1: Leaching and runoff (3.D.b.2)</v>
      </c>
      <c r="E163" s="14"/>
    </row>
    <row r="164" spans="4:68" ht="20.100000000000001" customHeight="1" x14ac:dyDescent="0.25">
      <c r="D164" s="14" t="str" cm="1">
        <f t="array" ref="D164:E164">Common_SourceData.Common_SourceData_FracLEACH_Data()</f>
        <v>FracLEACH</v>
      </c>
      <c r="E164" s="14">
        <v>0.24</v>
      </c>
    </row>
    <row r="165" spans="4:68" ht="20.100000000000001" customHeight="1" x14ac:dyDescent="0.25">
      <c r="BN165" s="4"/>
      <c r="BO165" s="4"/>
      <c r="BP165" s="4"/>
    </row>
    <row r="166" spans="4:68" ht="20.100000000000001" customHeight="1" x14ac:dyDescent="0.25">
      <c r="BN166" s="4"/>
      <c r="BO166" s="4"/>
      <c r="BP166" s="4"/>
    </row>
    <row r="167" spans="4:68" ht="20.100000000000001" customHeight="1" x14ac:dyDescent="0.25">
      <c r="D167" s="9" t="str" cm="1">
        <f t="array" ref="D167">Common_SourceData.Common_SourceData_EFleach_Title()</f>
        <v>Emission factor for nitrogen leaching and runoff</v>
      </c>
      <c r="BN167" s="4"/>
      <c r="BO167" s="4"/>
      <c r="BP167" s="4"/>
    </row>
    <row r="168" spans="4:68" ht="20.100000000000001" customHeight="1" x14ac:dyDescent="0.25">
      <c r="D168" s="11" t="str" cm="1">
        <f t="array" ref="D168">Common_SourceData.Common_SourceData_EFleach_Source()</f>
        <v>VEERG 2026:5.5.2.3 Constant Parameters</v>
      </c>
      <c r="BN168" s="4"/>
      <c r="BO168" s="4"/>
      <c r="BP168" s="4"/>
    </row>
    <row r="169" spans="4:68" ht="20.100000000000001" customHeight="1" x14ac:dyDescent="0.25">
      <c r="D169" s="11" t="str" cm="1">
        <f t="array" ref="D169">Common_SourceData.Common_SourceData_EFleach_NIRReference()</f>
        <v>National Inventory Report Volume 1: Equation 3.D.B_10</v>
      </c>
      <c r="BN169" s="4"/>
      <c r="BO169" s="4"/>
      <c r="BP169" s="4"/>
    </row>
    <row r="170" spans="4:68" ht="20.100000000000001" customHeight="1" x14ac:dyDescent="0.25">
      <c r="D170" s="8" t="str" cm="1">
        <f t="array" ref="D170:E170">Common_SourceData.Common_SourceData_EFleach_Data()</f>
        <v>EFleach</v>
      </c>
      <c r="E170" s="8">
        <v>1.0999999999999999E-2</v>
      </c>
      <c r="BN170" s="4"/>
      <c r="BO170" s="4"/>
      <c r="BP170" s="4"/>
    </row>
    <row r="171" spans="4:68" ht="20.100000000000001" customHeight="1" x14ac:dyDescent="0.25">
      <c r="BN171" s="4"/>
      <c r="BO171" s="4"/>
      <c r="BP171" s="4"/>
    </row>
    <row r="172" spans="4:68" ht="20.100000000000001" customHeight="1" x14ac:dyDescent="0.25">
      <c r="BN172" s="4"/>
      <c r="BO172" s="4"/>
      <c r="BP172" s="4"/>
    </row>
    <row r="173" spans="4:68" ht="20.100000000000001" customHeight="1" x14ac:dyDescent="0.25">
      <c r="D173" s="9" t="str" cm="1">
        <f t="array" ref="D173">Common_SourceData.Common_SourceData_DensityOfMethane_Title()</f>
        <v>p = density of methane</v>
      </c>
      <c r="BN173" s="4"/>
      <c r="BO173" s="4"/>
      <c r="BP173" s="4"/>
    </row>
    <row r="174" spans="4:68" ht="20.100000000000001" customHeight="1" x14ac:dyDescent="0.25">
      <c r="D174" s="11" t="str" cm="1">
        <f t="array" ref="D174">Common_SourceData.Common_SourceData_DensityOfMethane_Source()</f>
        <v>National Inventory Report 2023 Volume 1: Equations 3.B.1a_2, 3.B.1c_2, 3.B.3_1, 3.B.4g_2</v>
      </c>
      <c r="BN174" s="4"/>
      <c r="BO174" s="4"/>
      <c r="BP174" s="4"/>
    </row>
    <row r="175" spans="4:68" ht="20.100000000000001" customHeight="1" x14ac:dyDescent="0.25">
      <c r="D175" s="8" cm="1">
        <f t="array" ref="D175">Common_SourceData.Common_SourceData_DensityOfMethane_Data()</f>
        <v>0.6784</v>
      </c>
      <c r="E175" s="13" t="str" cm="1">
        <f t="array" ref="E175">Common_SourceData.Common_SourceData_DensityOfMethane_Unit()</f>
        <v>kg/m3</v>
      </c>
      <c r="BN175" s="4"/>
      <c r="BO175" s="4"/>
      <c r="BP175" s="4"/>
    </row>
    <row r="176" spans="4:68" ht="20.100000000000001" customHeight="1" x14ac:dyDescent="0.25">
      <c r="BN176" s="4"/>
      <c r="BO176" s="4"/>
      <c r="BP176" s="4"/>
    </row>
    <row r="177" spans="4:68" ht="20.100000000000001" customHeight="1" x14ac:dyDescent="0.25">
      <c r="BN177" s="4"/>
      <c r="BO177" s="4"/>
      <c r="BP177" s="4"/>
    </row>
    <row r="178" spans="4:68" ht="20.100000000000001" customHeight="1" x14ac:dyDescent="0.25">
      <c r="D178" s="9" t="str" cm="1">
        <f t="array" ref="D178">Common_SourceData.Common_SourceData_EFN2O_Title()</f>
        <v>Nitrous oxide emission factors for inorganic fertiliser application</v>
      </c>
      <c r="BN178" s="4"/>
      <c r="BO178" s="4"/>
      <c r="BP178" s="4"/>
    </row>
    <row r="179" spans="4:68" ht="20.100000000000001" customHeight="1" x14ac:dyDescent="0.25">
      <c r="D179" s="11" t="str" cm="1">
        <f t="array" ref="D179">Common_SourceData.Common_SourceData_EFN2O_Source()</f>
        <v>VEERG 2026: Table A.2.2.1</v>
      </c>
      <c r="BN179" s="4"/>
      <c r="BO179" s="4"/>
      <c r="BP179" s="4"/>
    </row>
    <row r="180" spans="4:68" ht="20.100000000000001" customHeight="1" x14ac:dyDescent="0.25">
      <c r="D180" s="13" t="str" cm="1">
        <f t="array" ref="D180">Common_SourceData.Common_SourceData_EFN2O_Unit()</f>
        <v>(kg N2O-N / kg N</v>
      </c>
    </row>
    <row r="181" spans="4:68" ht="20.100000000000001" customHeight="1" x14ac:dyDescent="0.25">
      <c r="D181" s="12" t="str" cm="1">
        <f t="array" ref="D181:D185">Common_SourceData.Common_SourceData_EFN2O_Variation()</f>
        <v>VARIATION OF SOURCE DATA:</v>
      </c>
    </row>
    <row r="182" spans="4:68" ht="20.100000000000001" customHeight="1" x14ac:dyDescent="0.25">
      <c r="D182" s="12" t="str">
        <v>Removed duplicate 'Aquaculture' row.</v>
      </c>
    </row>
    <row r="183" spans="4:68" ht="20.100000000000001" customHeight="1" x14ac:dyDescent="0.25">
      <c r="D183" s="12" t="str">
        <v>Removed asterisks to aid lookup.</v>
      </c>
    </row>
    <row r="184" spans="4:68" ht="20.100000000000001" customHeight="1" x14ac:dyDescent="0.25">
      <c r="D184" s="12" t="str">
        <v>Added 'production system only', 'rainfall zone' and 'irrigation method' columns to aid lookup.</v>
      </c>
    </row>
    <row r="185" spans="4:68" ht="20.100000000000001" customHeight="1" x14ac:dyDescent="0.25">
      <c r="D185" s="12" t="str">
        <v>Duplicated 'non-irrigated pasture' row with same EF for low and high rainfall zones to aid lookup.</v>
      </c>
    </row>
    <row r="186" spans="4:68" ht="20.100000000000001" customHeight="1" x14ac:dyDescent="0.25">
      <c r="D186" s="10" t="s">
        <v>40</v>
      </c>
      <c r="E186" s="10" t="s">
        <v>41</v>
      </c>
      <c r="F186" s="10" t="s">
        <v>42</v>
      </c>
      <c r="G186" s="10" t="s">
        <v>43</v>
      </c>
      <c r="H186" s="10" t="s">
        <v>44</v>
      </c>
    </row>
    <row r="187" spans="4:68" ht="20.100000000000001" customHeight="1" x14ac:dyDescent="0.25">
      <c r="D187" s="10" t="str" cm="1">
        <f t="array" ref="D187">Common_InputFunctions.Utility_DisplayArrayInTable(Common_SourceData.Common_SourceData_EFN2O_Data(), Table_SourceData_Common_EFN2O[[#Headers],[Production system j]], 0)</f>
        <v>Irrigated pasture</v>
      </c>
      <c r="E187" s="10" cm="1">
        <f t="array" ref="E187">Common_InputFunctions.Utility_DisplayArrayInTable(Common_SourceData.Common_SourceData_EFN2O_Data(), Table_SourceData_Common_EFN2O[[#Headers],[Production system j]], 0)</f>
        <v>5.8999999999999999E-3</v>
      </c>
      <c r="F187" s="10" t="str" cm="1">
        <f t="array" ref="F187">Common_InputFunctions.Utility_DisplayArrayInTable(Common_SourceData.Common_SourceData_EFN2O_Data(), Table_SourceData_Common_EFN2O[[#Headers],[Production system j]], 0)</f>
        <v>Pasture</v>
      </c>
      <c r="G187" s="10" t="str" cm="1">
        <f t="array" ref="G187">Common_InputFunctions.Utility_DisplayArrayInTable(Common_SourceData.Common_SourceData_EFN2O_Data(), Table_SourceData_Common_EFN2O[[#Headers],[Production system j]], 0)</f>
        <v>Any</v>
      </c>
      <c r="H187" s="10" t="str" cm="1">
        <f t="array" ref="H187">Common_InputFunctions.Utility_DisplayArrayInTable(Common_SourceData.Common_SourceData_EFN2O_Data(), Table_SourceData_Common_EFN2O[[#Headers],[Production system j]], 0)</f>
        <v>Any</v>
      </c>
    </row>
    <row r="188" spans="4:68" ht="20.100000000000001" customHeight="1" x14ac:dyDescent="0.25">
      <c r="D188" s="10" t="str" cm="1">
        <f t="array" ref="D188">Common_InputFunctions.Utility_DisplayArrayInTable(Common_SourceData.Common_SourceData_EFN2O_Data(), Table_SourceData_Common_EFN2O[[#Headers],[Production system j]], 0)</f>
        <v>Irrigated crop</v>
      </c>
      <c r="E188" s="10" cm="1">
        <f t="array" ref="E188">Common_InputFunctions.Utility_DisplayArrayInTable(Common_SourceData.Common_SourceData_EFN2O_Data(), Table_SourceData_Common_EFN2O[[#Headers],[Production system j]], 0)</f>
        <v>7.0000000000000001E-3</v>
      </c>
      <c r="F188" s="10" t="str" cm="1">
        <f t="array" ref="F188">Common_InputFunctions.Utility_DisplayArrayInTable(Common_SourceData.Common_SourceData_EFN2O_Data(), Table_SourceData_Common_EFN2O[[#Headers],[Production system j]], 0)</f>
        <v>Crop</v>
      </c>
      <c r="G188" s="10" t="str" cm="1">
        <f t="array" ref="G188">Common_InputFunctions.Utility_DisplayArrayInTable(Common_SourceData.Common_SourceData_EFN2O_Data(), Table_SourceData_Common_EFN2O[[#Headers],[Production system j]], 0)</f>
        <v>Any</v>
      </c>
      <c r="H188" s="10" t="str" cm="1">
        <f t="array" ref="H188">Common_InputFunctions.Utility_DisplayArrayInTable(Common_SourceData.Common_SourceData_EFN2O_Data(), Table_SourceData_Common_EFN2O[[#Headers],[Production system j]], 0)</f>
        <v>Any</v>
      </c>
    </row>
    <row r="189" spans="4:68" ht="20.100000000000001" customHeight="1" x14ac:dyDescent="0.25">
      <c r="D189" s="10" t="str" cm="1">
        <f t="array" ref="D189">Common_InputFunctions.Utility_DisplayArrayInTable(Common_SourceData.Common_SourceData_EFN2O_Data(), Table_SourceData_Common_EFN2O[[#Headers],[Production system j]], 0)</f>
        <v>Non-irrigated pasture</v>
      </c>
      <c r="E189" s="10" cm="1">
        <f t="array" ref="E189">Common_InputFunctions.Utility_DisplayArrayInTable(Common_SourceData.Common_SourceData_EFN2O_Data(), Table_SourceData_Common_EFN2O[[#Headers],[Production system j]], 0)</f>
        <v>1.8E-3</v>
      </c>
      <c r="F189" s="10" t="str" cm="1">
        <f t="array" ref="F189">Common_InputFunctions.Utility_DisplayArrayInTable(Common_SourceData.Common_SourceData_EFN2O_Data(), Table_SourceData_Common_EFN2O[[#Headers],[Production system j]], 0)</f>
        <v>Pasture</v>
      </c>
      <c r="G189" s="10" t="str" cm="1">
        <f t="array" ref="G189">Common_InputFunctions.Utility_DisplayArrayInTable(Common_SourceData.Common_SourceData_EFN2O_Data(), Table_SourceData_Common_EFN2O[[#Headers],[Production system j]], 0)</f>
        <v>Not irrigated</v>
      </c>
      <c r="H189" s="1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0" t="str" cm="1">
        <f t="array" ref="D190">Common_InputFunctions.Utility_DisplayArrayInTable(Common_SourceData.Common_SourceData_EFN2O_Data(), Table_SourceData_Common_EFN2O[[#Headers],[Production system j]], 0)</f>
        <v>Non-irrigated pasture</v>
      </c>
      <c r="E190" s="10" cm="1">
        <f t="array" ref="E190">Common_InputFunctions.Utility_DisplayArrayInTable(Common_SourceData.Common_SourceData_EFN2O_Data(), Table_SourceData_Common_EFN2O[[#Headers],[Production system j]], 0)</f>
        <v>1.8E-3</v>
      </c>
      <c r="F190" s="10" t="str" cm="1">
        <f t="array" ref="F190">Common_InputFunctions.Utility_DisplayArrayInTable(Common_SourceData.Common_SourceData_EFN2O_Data(), Table_SourceData_Common_EFN2O[[#Headers],[Production system j]], 0)</f>
        <v>Pasture</v>
      </c>
      <c r="G190" s="10" t="str" cm="1">
        <f t="array" ref="G190">Common_InputFunctions.Utility_DisplayArrayInTable(Common_SourceData.Common_SourceData_EFN2O_Data(), Table_SourceData_Common_EFN2O[[#Headers],[Production system j]], 0)</f>
        <v>Not irrigated</v>
      </c>
      <c r="H190" s="1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0" t="str" cm="1">
        <f t="array" ref="D191">Common_InputFunctions.Utility_DisplayArrayInTable(Common_SourceData.Common_SourceData_EFN2O_Data(), Table_SourceData_Common_EFN2O[[#Headers],[Production system j]], 0)</f>
        <v>Non-irrigated crop (low rainfall)</v>
      </c>
      <c r="E191" s="10" cm="1">
        <f t="array" ref="E191">Common_InputFunctions.Utility_DisplayArrayInTable(Common_SourceData.Common_SourceData_EFN2O_Data(), Table_SourceData_Common_EFN2O[[#Headers],[Production system j]], 0)</f>
        <v>2.8999999999999998E-3</v>
      </c>
      <c r="F191" s="10" t="str" cm="1">
        <f t="array" ref="F191">Common_InputFunctions.Utility_DisplayArrayInTable(Common_SourceData.Common_SourceData_EFN2O_Data(), Table_SourceData_Common_EFN2O[[#Headers],[Production system j]], 0)</f>
        <v>Crop</v>
      </c>
      <c r="G191" s="10" t="str" cm="1">
        <f t="array" ref="G191">Common_InputFunctions.Utility_DisplayArrayInTable(Common_SourceData.Common_SourceData_EFN2O_Data(), Table_SourceData_Common_EFN2O[[#Headers],[Production system j]], 0)</f>
        <v>Not irrigated</v>
      </c>
      <c r="H191" s="1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0" t="str" cm="1">
        <f t="array" ref="D192">Common_InputFunctions.Utility_DisplayArrayInTable(Common_SourceData.Common_SourceData_EFN2O_Data(), Table_SourceData_Common_EFN2O[[#Headers],[Production system j]], 0)</f>
        <v>Non-irrigated crop (high rainfall)</v>
      </c>
      <c r="E192" s="10" cm="1">
        <f t="array" ref="E192">Common_InputFunctions.Utility_DisplayArrayInTable(Common_SourceData.Common_SourceData_EFN2O_Data(), Table_SourceData_Common_EFN2O[[#Headers],[Production system j]], 0)</f>
        <v>8.0000000000000002E-3</v>
      </c>
      <c r="F192" s="10" t="str" cm="1">
        <f t="array" ref="F192">Common_InputFunctions.Utility_DisplayArrayInTable(Common_SourceData.Common_SourceData_EFN2O_Data(), Table_SourceData_Common_EFN2O[[#Headers],[Production system j]], 0)</f>
        <v>Crop</v>
      </c>
      <c r="G192" s="10" t="str" cm="1">
        <f t="array" ref="G192">Common_InputFunctions.Utility_DisplayArrayInTable(Common_SourceData.Common_SourceData_EFN2O_Data(), Table_SourceData_Common_EFN2O[[#Headers],[Production system j]], 0)</f>
        <v>Not irrigated</v>
      </c>
      <c r="H192" s="1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0" t="str" cm="1">
        <f t="array" ref="D193">Common_InputFunctions.Utility_DisplayArrayInTable(Common_SourceData.Common_SourceData_EFN2O_Data(), Table_SourceData_Common_EFN2O[[#Headers],[Production system j]], 0)</f>
        <v>Sugar</v>
      </c>
      <c r="E193" s="10" cm="1">
        <f t="array" ref="E193">Common_InputFunctions.Utility_DisplayArrayInTable(Common_SourceData.Common_SourceData_EFN2O_Data(), Table_SourceData_Common_EFN2O[[#Headers],[Production system j]], 0)</f>
        <v>1.9900000000000001E-2</v>
      </c>
      <c r="F193" s="10" t="str" cm="1">
        <f t="array" ref="F193">Common_InputFunctions.Utility_DisplayArrayInTable(Common_SourceData.Common_SourceData_EFN2O_Data(), Table_SourceData_Common_EFN2O[[#Headers],[Production system j]], 0)</f>
        <v>Sugar</v>
      </c>
      <c r="G193" s="10" t="str" cm="1">
        <f t="array" ref="G193">Common_InputFunctions.Utility_DisplayArrayInTable(Common_SourceData.Common_SourceData_EFN2O_Data(), Table_SourceData_Common_EFN2O[[#Headers],[Production system j]], 0)</f>
        <v>Any</v>
      </c>
      <c r="H193" s="10" t="str" cm="1">
        <f t="array" ref="H193">Common_InputFunctions.Utility_DisplayArrayInTable(Common_SourceData.Common_SourceData_EFN2O_Data(), Table_SourceData_Common_EFN2O[[#Headers],[Production system j]], 0)</f>
        <v>Any</v>
      </c>
    </row>
    <row r="194" spans="4:8" ht="20.100000000000001" customHeight="1" x14ac:dyDescent="0.25">
      <c r="D194" s="10" t="str" cm="1">
        <f t="array" ref="D194">Common_InputFunctions.Utility_DisplayArrayInTable(Common_SourceData.Common_SourceData_EFN2O_Data(), Table_SourceData_Common_EFN2O[[#Headers],[Production system j]], 0)</f>
        <v>Cotton</v>
      </c>
      <c r="E194" s="10" cm="1">
        <f t="array" ref="E194">Common_InputFunctions.Utility_DisplayArrayInTable(Common_SourceData.Common_SourceData_EFN2O_Data(), Table_SourceData_Common_EFN2O[[#Headers],[Production system j]], 0)</f>
        <v>5.3E-3</v>
      </c>
      <c r="F194" s="10" t="str" cm="1">
        <f t="array" ref="F194">Common_InputFunctions.Utility_DisplayArrayInTable(Common_SourceData.Common_SourceData_EFN2O_Data(), Table_SourceData_Common_EFN2O[[#Headers],[Production system j]], 0)</f>
        <v>Cotton</v>
      </c>
      <c r="G194" s="10" t="str" cm="1">
        <f t="array" ref="G194">Common_InputFunctions.Utility_DisplayArrayInTable(Common_SourceData.Common_SourceData_EFN2O_Data(), Table_SourceData_Common_EFN2O[[#Headers],[Production system j]], 0)</f>
        <v>Any</v>
      </c>
      <c r="H194" s="10" t="str" cm="1">
        <f t="array" ref="H194">Common_InputFunctions.Utility_DisplayArrayInTable(Common_SourceData.Common_SourceData_EFN2O_Data(), Table_SourceData_Common_EFN2O[[#Headers],[Production system j]], 0)</f>
        <v>Any</v>
      </c>
    </row>
    <row r="195" spans="4:8" ht="20.100000000000001" customHeight="1" x14ac:dyDescent="0.25">
      <c r="D195" s="10" t="str" cm="1">
        <f t="array" ref="D195">Common_InputFunctions.Utility_DisplayArrayInTable(Common_SourceData.Common_SourceData_EFN2O_Data(), Table_SourceData_Common_EFN2O[[#Headers],[Production system j]], 0)</f>
        <v>Horticultural crops</v>
      </c>
      <c r="E195" s="10" cm="1">
        <f t="array" ref="E195">Common_InputFunctions.Utility_DisplayArrayInTable(Common_SourceData.Common_SourceData_EFN2O_Data(), Table_SourceData_Common_EFN2O[[#Headers],[Production system j]], 0)</f>
        <v>6.4000000000000003E-3</v>
      </c>
      <c r="F195" s="10" t="str" cm="1">
        <f t="array" ref="F195">Common_InputFunctions.Utility_DisplayArrayInTable(Common_SourceData.Common_SourceData_EFN2O_Data(), Table_SourceData_Common_EFN2O[[#Headers],[Production system j]], 0)</f>
        <v>Horticultural crops</v>
      </c>
      <c r="G195" s="10" t="str" cm="1">
        <f t="array" ref="G195">Common_InputFunctions.Utility_DisplayArrayInTable(Common_SourceData.Common_SourceData_EFN2O_Data(), Table_SourceData_Common_EFN2O[[#Headers],[Production system j]], 0)</f>
        <v>Any</v>
      </c>
      <c r="H195" s="10" t="str" cm="1">
        <f t="array" ref="H195">Common_InputFunctions.Utility_DisplayArrayInTable(Common_SourceData.Common_SourceData_EFN2O_Data(), Table_SourceData_Common_EFN2O[[#Headers],[Production system j]], 0)</f>
        <v>Any</v>
      </c>
    </row>
    <row r="196" spans="4:8" ht="20.100000000000001" customHeight="1" x14ac:dyDescent="0.25">
      <c r="D196" s="10" t="str" cm="1">
        <f t="array" ref="D196">Common_InputFunctions.Utility_DisplayArrayInTable(Common_SourceData.Common_SourceData_EFN2O_Data(), Table_SourceData_Common_EFN2O[[#Headers],[Production system j]], 0)</f>
        <v>Rice (continuous flooding)</v>
      </c>
      <c r="E196" s="10" cm="1">
        <f t="array" ref="E196">Common_InputFunctions.Utility_DisplayArrayInTable(Common_SourceData.Common_SourceData_EFN2O_Data(), Table_SourceData_Common_EFN2O[[#Headers],[Production system j]], 0)</f>
        <v>3.0000000000000001E-3</v>
      </c>
      <c r="F196" s="10" t="str" cm="1">
        <f t="array" ref="F196">Common_InputFunctions.Utility_DisplayArrayInTable(Common_SourceData.Common_SourceData_EFN2O_Data(), Table_SourceData_Common_EFN2O[[#Headers],[Production system j]], 0)</f>
        <v>Rice</v>
      </c>
      <c r="G196" s="10" t="str" cm="1">
        <f t="array" ref="G196">Common_InputFunctions.Utility_DisplayArrayInTable(Common_SourceData.Common_SourceData_EFN2O_Data(), Table_SourceData_Common_EFN2O[[#Headers],[Production system j]], 0)</f>
        <v>Continuous flooding</v>
      </c>
      <c r="H196" s="10" t="str" cm="1">
        <f t="array" ref="H196">Common_InputFunctions.Utility_DisplayArrayInTable(Common_SourceData.Common_SourceData_EFN2O_Data(), Table_SourceData_Common_EFN2O[[#Headers],[Production system j]], 0)</f>
        <v>Any</v>
      </c>
    </row>
    <row r="197" spans="4:8" x14ac:dyDescent="0.25">
      <c r="D197" s="10" t="str" cm="1">
        <f t="array" ref="D197">Common_InputFunctions.Utility_DisplayArrayInTable(Common_SourceData.Common_SourceData_EFN2O_Data(), Table_SourceData_Common_EFN2O[[#Headers],[Production system j]], 0)</f>
        <v>Rice (single and multiple drainage, or alternate wetting and drying)</v>
      </c>
      <c r="E197" s="10" cm="1">
        <f t="array" ref="E197">Common_InputFunctions.Utility_DisplayArrayInTable(Common_SourceData.Common_SourceData_EFN2O_Data(), Table_SourceData_Common_EFN2O[[#Headers],[Production system j]], 0)</f>
        <v>5.0000000000000001E-3</v>
      </c>
      <c r="F197" s="10" t="str" cm="1">
        <f t="array" ref="F197">Common_InputFunctions.Utility_DisplayArrayInTable(Common_SourceData.Common_SourceData_EFN2O_Data(), Table_SourceData_Common_EFN2O[[#Headers],[Production system j]], 0)</f>
        <v>Rice</v>
      </c>
      <c r="G197" s="10" t="str" cm="1">
        <f t="array" ref="G197">Common_InputFunctions.Utility_DisplayArrayInTable(Common_SourceData.Common_SourceData_EFN2O_Data(), Table_SourceData_Common_EFN2O[[#Headers],[Production system j]], 0)</f>
        <v>Single and multiple drainage, or alternate wetting and drying</v>
      </c>
      <c r="H197" s="10" t="str" cm="1">
        <f t="array" ref="H197">Common_InputFunctions.Utility_DisplayArrayInTable(Common_SourceData.Common_SourceData_EFN2O_Data(), Table_SourceData_Common_EFN2O[[#Headers],[Production system j]], 0)</f>
        <v>Any</v>
      </c>
    </row>
    <row r="198" spans="4:8" x14ac:dyDescent="0.25">
      <c r="D198" s="10" t="str" cm="1">
        <f t="array" ref="D198">Common_InputFunctions.Utility_DisplayArrayInTable(Common_SourceData.Common_SourceData_EFN2O_Data(), Table_SourceData_Common_EFN2O[[#Headers],[Production system j]], 0)</f>
        <v>Aquaculture</v>
      </c>
      <c r="E198" s="10" cm="1">
        <f t="array" ref="E198">Common_InputFunctions.Utility_DisplayArrayInTable(Common_SourceData.Common_SourceData_EFN2O_Data(), Table_SourceData_Common_EFN2O[[#Headers],[Production system j]], 0)</f>
        <v>2.5999999999999999E-3</v>
      </c>
      <c r="F198" s="10" t="str" cm="1">
        <f t="array" ref="F198">Common_InputFunctions.Utility_DisplayArrayInTable(Common_SourceData.Common_SourceData_EFN2O_Data(), Table_SourceData_Common_EFN2O[[#Headers],[Production system j]], 0)</f>
        <v>Aquaculture</v>
      </c>
      <c r="G198" s="10" t="str" cm="1">
        <f t="array" ref="G198">Common_InputFunctions.Utility_DisplayArrayInTable(Common_SourceData.Common_SourceData_EFN2O_Data(), Table_SourceData_Common_EFN2O[[#Headers],[Production system j]], 0)</f>
        <v>Any</v>
      </c>
      <c r="H198" s="10" t="str" cm="1">
        <f t="array" ref="H198">Common_InputFunctions.Utility_DisplayArrayInTable(Common_SourceData.Common_SourceData_EFN2O_Data(), Table_SourceData_Common_EFN2O[[#Headers],[Production system j]], 0)</f>
        <v>Any</v>
      </c>
    </row>
    <row r="199" spans="4:8" x14ac:dyDescent="0.25">
      <c r="D199" s="10" t="str" cm="1">
        <f t="array" ref="D199">Common_InputFunctions.Utility_DisplayArrayInTable(Common_SourceData.Common_SourceData_EFN2O_Data(), Table_SourceData_Common_EFN2O[[#Headers],[Production system j]], 0)</f>
        <v>Forestry</v>
      </c>
      <c r="E199" s="10" cm="1">
        <f t="array" ref="E199">Common_InputFunctions.Utility_DisplayArrayInTable(Common_SourceData.Common_SourceData_EFN2O_Data(), Table_SourceData_Common_EFN2O[[#Headers],[Production system j]], 0)</f>
        <v>1.8E-3</v>
      </c>
      <c r="F199" s="10" t="str" cm="1">
        <f t="array" ref="F199">Common_InputFunctions.Utility_DisplayArrayInTable(Common_SourceData.Common_SourceData_EFN2O_Data(), Table_SourceData_Common_EFN2O[[#Headers],[Production system j]], 0)</f>
        <v>Forestry</v>
      </c>
      <c r="G199" s="10" t="str" cm="1">
        <f t="array" ref="G199">Common_InputFunctions.Utility_DisplayArrayInTable(Common_SourceData.Common_SourceData_EFN2O_Data(), Table_SourceData_Common_EFN2O[[#Headers],[Production system j]], 0)</f>
        <v>Any</v>
      </c>
      <c r="H199" s="10" t="str" cm="1">
        <f t="array" ref="H199">Common_InputFunctions.Utility_DisplayArrayInTable(Common_SourceData.Common_SourceData_EFN2O_Data(), Table_SourceData_Common_EFN2O[[#Headers],[Production system j]], 0)</f>
        <v>Any</v>
      </c>
    </row>
    <row r="202" spans="4:8" ht="23.25" x14ac:dyDescent="0.25">
      <c r="D202" s="9" t="str" cm="1">
        <f t="array" ref="D202">Common_SourceData.Common_SourceData_EFPastureRangeAndPaddock_Title()</f>
        <v>Emission factor for urine and dung deposited on pasture, range or paddock</v>
      </c>
    </row>
    <row r="203" spans="4:8" x14ac:dyDescent="0.25">
      <c r="D203" s="11" t="str" cm="1">
        <f t="array" ref="D203">Common_SourceData.Common_SourceData_EFPastureRangeAndPaddock_Source()</f>
        <v>VEERG 2026: Table A.2.2.2</v>
      </c>
    </row>
    <row r="204" spans="4:8" x14ac:dyDescent="0.25">
      <c r="D204" s="12" t="str" cm="1">
        <f t="array" ref="D204">Common_SourceData.Common_SourceData_EFPastureRangeAndPaddock_Variation()</f>
        <v>VARIATION FROM SOURCE DATA: Changed 'Dry climate zones' to singular 'Dry climate zone' to aid lookup.</v>
      </c>
    </row>
    <row r="205" spans="4:8" x14ac:dyDescent="0.25">
      <c r="D205" s="13" t="str" cm="1">
        <f t="array" ref="D205">Common_SourceData.Common_SourceData_EFPastureRangeAndPaddock_Unit()</f>
        <v>kg N2O - N / kg N</v>
      </c>
    </row>
    <row r="206" spans="4:8" x14ac:dyDescent="0.25">
      <c r="D206" s="10" t="s">
        <v>11</v>
      </c>
      <c r="E206" s="10" t="s">
        <v>45</v>
      </c>
    </row>
    <row r="207" spans="4:8" x14ac:dyDescent="0.25">
      <c r="D207" s="10" t="str" cm="1">
        <f t="array" ref="D207">Common_InputFunctions.Utility_DisplayArrayInTable(Common_SourceData.Common_SourceData_EFPastureRangeAndPaddock_Data(), Table_SourceData_EFPastureRangeAndPaddock[[#Headers],[Climate zone]], 0)</f>
        <v>Wet climate zone</v>
      </c>
      <c r="E207" s="10" cm="1">
        <f t="array" ref="E207">Common_InputFunctions.Utility_DisplayArrayInTable(Common_SourceData.Common_SourceData_EFPastureRangeAndPaddock_Data(), Table_SourceData_EFPastureRangeAndPaddock[[#Headers],[Climate zone]], 0)</f>
        <v>6.0000000000000001E-3</v>
      </c>
    </row>
    <row r="208" spans="4:8" x14ac:dyDescent="0.25">
      <c r="D208" s="8" t="str" cm="1">
        <f t="array" ref="D208">Common_InputFunctions.Utility_DisplayArrayInTable(Common_SourceData.Common_SourceData_EFPastureRangeAndPaddock_Data(), Table_SourceData_EFPastureRangeAndPaddock[[#Headers],[Climate zone]], 0)</f>
        <v>Dry climate zone</v>
      </c>
      <c r="E208" s="10" cm="1">
        <f t="array" ref="E208">Common_InputFunctions.Utility_DisplayArrayInTable(Common_SourceData.Common_SourceData_EFPastureRangeAndPaddock_Data(), Table_SourceData_EFPastureRangeAndPaddock[[#Headers],[Climate zone]], 0)</f>
        <v>2E-3</v>
      </c>
    </row>
    <row r="211" spans="4:5" x14ac:dyDescent="0.25">
      <c r="D211" s="8" t="str" cm="1">
        <f t="array" ref="D211">Common_SourceData.Common_SourceData_MonthsToSeasons_Title()</f>
        <v>Months to Seasons Mapping</v>
      </c>
    </row>
    <row r="212" spans="4:5" x14ac:dyDescent="0.25">
      <c r="D212" s="10" t="s">
        <v>46</v>
      </c>
      <c r="E212" s="10" t="s">
        <v>47</v>
      </c>
    </row>
    <row r="213" spans="4:5" x14ac:dyDescent="0.25">
      <c r="D213" s="10" t="str" cm="1">
        <f t="array" ref="D213">Common_InputFunctions.Utility_DisplayArrayInTable(Common_SourceData.Common_SourceData_MonthsToSeasons_Data(), Table_SourceData_Common_MonthToSeason[[#Headers],[Month]], 0)</f>
        <v>January</v>
      </c>
      <c r="E213" s="10" t="str" cm="1">
        <f t="array" ref="E213">Common_InputFunctions.Utility_DisplayArrayInTable(Common_SourceData.Common_SourceData_MonthsToSeasons_Data(), Table_SourceData_Common_MonthToSeason[[#Headers],[Month]], 0)</f>
        <v>Summer</v>
      </c>
    </row>
    <row r="214" spans="4:5" x14ac:dyDescent="0.25">
      <c r="D214" s="8" t="str" cm="1">
        <f t="array" ref="D214">Common_InputFunctions.Utility_DisplayArrayInTable(Common_SourceData.Common_SourceData_MonthsToSeasons_Data(), Table_SourceData_Common_MonthToSeason[[#Headers],[Month]], 0)</f>
        <v>February</v>
      </c>
      <c r="E214" s="10" t="str" cm="1">
        <f t="array" ref="E214">Common_InputFunctions.Utility_DisplayArrayInTable(Common_SourceData.Common_SourceData_MonthsToSeasons_Data(), Table_SourceData_Common_MonthToSeason[[#Headers],[Month]], 0)</f>
        <v>Summer</v>
      </c>
    </row>
    <row r="215" spans="4:5" x14ac:dyDescent="0.25">
      <c r="D215" s="8" t="str" cm="1">
        <f t="array" ref="D215">Common_InputFunctions.Utility_DisplayArrayInTable(Common_SourceData.Common_SourceData_MonthsToSeasons_Data(), Table_SourceData_Common_MonthToSeason[[#Headers],[Month]], 0)</f>
        <v>March</v>
      </c>
      <c r="E215" s="10" t="str" cm="1">
        <f t="array" ref="E215">Common_InputFunctions.Utility_DisplayArrayInTable(Common_SourceData.Common_SourceData_MonthsToSeasons_Data(), Table_SourceData_Common_MonthToSeason[[#Headers],[Month]], 0)</f>
        <v>Autumn</v>
      </c>
    </row>
    <row r="216" spans="4:5" x14ac:dyDescent="0.25">
      <c r="D216" s="8" t="str" cm="1">
        <f t="array" ref="D216">Common_InputFunctions.Utility_DisplayArrayInTable(Common_SourceData.Common_SourceData_MonthsToSeasons_Data(), Table_SourceData_Common_MonthToSeason[[#Headers],[Month]], 0)</f>
        <v>April</v>
      </c>
      <c r="E216" s="10" t="str" cm="1">
        <f t="array" ref="E216">Common_InputFunctions.Utility_DisplayArrayInTable(Common_SourceData.Common_SourceData_MonthsToSeasons_Data(), Table_SourceData_Common_MonthToSeason[[#Headers],[Month]], 0)</f>
        <v>Autumn</v>
      </c>
    </row>
    <row r="217" spans="4:5" x14ac:dyDescent="0.25">
      <c r="D217" s="8" t="str" cm="1">
        <f t="array" ref="D217">Common_InputFunctions.Utility_DisplayArrayInTable(Common_SourceData.Common_SourceData_MonthsToSeasons_Data(), Table_SourceData_Common_MonthToSeason[[#Headers],[Month]], 0)</f>
        <v>May</v>
      </c>
      <c r="E217" s="10" t="str" cm="1">
        <f t="array" ref="E217">Common_InputFunctions.Utility_DisplayArrayInTable(Common_SourceData.Common_SourceData_MonthsToSeasons_Data(), Table_SourceData_Common_MonthToSeason[[#Headers],[Month]], 0)</f>
        <v>Autumn</v>
      </c>
    </row>
    <row r="218" spans="4:5" x14ac:dyDescent="0.25">
      <c r="D218" s="8" t="str" cm="1">
        <f t="array" ref="D218">Common_InputFunctions.Utility_DisplayArrayInTable(Common_SourceData.Common_SourceData_MonthsToSeasons_Data(), Table_SourceData_Common_MonthToSeason[[#Headers],[Month]], 0)</f>
        <v>June</v>
      </c>
      <c r="E218" s="10" t="str" cm="1">
        <f t="array" ref="E218">Common_InputFunctions.Utility_DisplayArrayInTable(Common_SourceData.Common_SourceData_MonthsToSeasons_Data(), Table_SourceData_Common_MonthToSeason[[#Headers],[Month]], 0)</f>
        <v>Winter</v>
      </c>
    </row>
    <row r="219" spans="4:5" x14ac:dyDescent="0.25">
      <c r="D219" s="8" t="str" cm="1">
        <f t="array" ref="D219">Common_InputFunctions.Utility_DisplayArrayInTable(Common_SourceData.Common_SourceData_MonthsToSeasons_Data(), Table_SourceData_Common_MonthToSeason[[#Headers],[Month]], 0)</f>
        <v>July</v>
      </c>
      <c r="E219" s="10" t="str" cm="1">
        <f t="array" ref="E219">Common_InputFunctions.Utility_DisplayArrayInTable(Common_SourceData.Common_SourceData_MonthsToSeasons_Data(), Table_SourceData_Common_MonthToSeason[[#Headers],[Month]], 0)</f>
        <v>Winter</v>
      </c>
    </row>
    <row r="220" spans="4:5" x14ac:dyDescent="0.25">
      <c r="D220" s="8" t="str" cm="1">
        <f t="array" ref="D220">Common_InputFunctions.Utility_DisplayArrayInTable(Common_SourceData.Common_SourceData_MonthsToSeasons_Data(), Table_SourceData_Common_MonthToSeason[[#Headers],[Month]], 0)</f>
        <v>August</v>
      </c>
      <c r="E220" s="10" t="str" cm="1">
        <f t="array" ref="E220">Common_InputFunctions.Utility_DisplayArrayInTable(Common_SourceData.Common_SourceData_MonthsToSeasons_Data(), Table_SourceData_Common_MonthToSeason[[#Headers],[Month]], 0)</f>
        <v>Winter</v>
      </c>
    </row>
    <row r="221" spans="4:5" x14ac:dyDescent="0.25">
      <c r="D221" s="8" t="str" cm="1">
        <f t="array" ref="D221">Common_InputFunctions.Utility_DisplayArrayInTable(Common_SourceData.Common_SourceData_MonthsToSeasons_Data(), Table_SourceData_Common_MonthToSeason[[#Headers],[Month]], 0)</f>
        <v>September</v>
      </c>
      <c r="E221" s="10" t="str" cm="1">
        <f t="array" ref="E221">Common_InputFunctions.Utility_DisplayArrayInTable(Common_SourceData.Common_SourceData_MonthsToSeasons_Data(), Table_SourceData_Common_MonthToSeason[[#Headers],[Month]], 0)</f>
        <v>Spring</v>
      </c>
    </row>
    <row r="222" spans="4:5" x14ac:dyDescent="0.25">
      <c r="D222" s="8" t="str" cm="1">
        <f t="array" ref="D222">Common_InputFunctions.Utility_DisplayArrayInTable(Common_SourceData.Common_SourceData_MonthsToSeasons_Data(), Table_SourceData_Common_MonthToSeason[[#Headers],[Month]], 0)</f>
        <v>October</v>
      </c>
      <c r="E222" s="10" t="str" cm="1">
        <f t="array" ref="E222">Common_InputFunctions.Utility_DisplayArrayInTable(Common_SourceData.Common_SourceData_MonthsToSeasons_Data(), Table_SourceData_Common_MonthToSeason[[#Headers],[Month]], 0)</f>
        <v>Spring</v>
      </c>
    </row>
    <row r="223" spans="4:5" x14ac:dyDescent="0.25">
      <c r="D223" s="8" t="str" cm="1">
        <f t="array" ref="D223">Common_InputFunctions.Utility_DisplayArrayInTable(Common_SourceData.Common_SourceData_MonthsToSeasons_Data(), Table_SourceData_Common_MonthToSeason[[#Headers],[Month]], 0)</f>
        <v>November</v>
      </c>
      <c r="E223" s="10" t="str" cm="1">
        <f t="array" ref="E223">Common_InputFunctions.Utility_DisplayArrayInTable(Common_SourceData.Common_SourceData_MonthsToSeasons_Data(), Table_SourceData_Common_MonthToSeason[[#Headers],[Month]], 0)</f>
        <v>Spring</v>
      </c>
    </row>
    <row r="224" spans="4:5" x14ac:dyDescent="0.25">
      <c r="D224" s="8" t="str" cm="1">
        <f t="array" ref="D224">Common_InputFunctions.Utility_DisplayArrayInTable(Common_SourceData.Common_SourceData_MonthsToSeasons_Data(), Table_SourceData_Common_MonthToSeason[[#Headers],[Month]], 0)</f>
        <v>December</v>
      </c>
      <c r="E224" s="10" t="str" cm="1">
        <f t="array" ref="E224">Common_InputFunctions.Utility_DisplayArrayInTable(Common_SourceData.Common_SourceData_MonthsToSeasons_Data(), Table_SourceData_Common_MonthToSeason[[#Headers],[Month]], 0)</f>
        <v>Summer</v>
      </c>
    </row>
    <row r="227" spans="4:19" ht="23.25" x14ac:dyDescent="0.25">
      <c r="D227" s="9" t="str" cm="1">
        <f t="array" ref="D227">Common_SourceData.Common_SourceData_MCFTemperatureZone_Title()</f>
        <v>Manure Management – Methane conversion factor per temperature zone (fraction) (MCFim)</v>
      </c>
    </row>
    <row r="228" spans="4:19" x14ac:dyDescent="0.25">
      <c r="D228" s="11" t="str" cm="1">
        <f t="array" ref="D228">Common_SourceData.Common_SourceData_MCFTemperatureZone_Source()</f>
        <v>VEERG 2026: Table A.1.8.1</v>
      </c>
    </row>
    <row r="229" spans="4:19" x14ac:dyDescent="0.25">
      <c r="D229" s="12"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0" t="s">
        <v>48</v>
      </c>
      <c r="E231" s="10" t="s">
        <v>49</v>
      </c>
      <c r="F231" s="15" t="s">
        <v>50</v>
      </c>
      <c r="G231" s="10" t="s">
        <v>51</v>
      </c>
      <c r="H231" s="10" t="s">
        <v>52</v>
      </c>
      <c r="I231" s="10" t="s">
        <v>53</v>
      </c>
      <c r="J231" s="10" t="s">
        <v>54</v>
      </c>
      <c r="K231" s="10" t="s">
        <v>55</v>
      </c>
      <c r="L231" s="10" t="s">
        <v>56</v>
      </c>
      <c r="M231" s="10" t="s">
        <v>57</v>
      </c>
      <c r="N231" s="10" t="s">
        <v>58</v>
      </c>
      <c r="O231" s="10" t="s">
        <v>59</v>
      </c>
      <c r="P231" s="10" t="s">
        <v>60</v>
      </c>
      <c r="Q231" s="10" t="s">
        <v>61</v>
      </c>
      <c r="R231" s="10" t="s">
        <v>62</v>
      </c>
      <c r="S231" s="10" t="s">
        <v>63</v>
      </c>
    </row>
    <row r="232" spans="4:19" x14ac:dyDescent="0.25">
      <c r="D232" s="10" t="str" cm="1">
        <f t="array" ref="D232">Common_InputFunctions.Utility_DisplayArrayInTable(Common_SourceData.Common_SourceData_MCFTemperatureZone_Data(),Table_SourceData_Common_MCFTemperatureZone[[#Headers],[Temperature zone]],0)</f>
        <v>Cool</v>
      </c>
      <c r="E232" s="10" t="str" cm="1">
        <f t="array" ref="E232">Common_InputFunctions.Utility_DisplayArrayInTable(Common_SourceData.Common_SourceData_MCFTemperatureZone_Data(),Table_SourceData_Common_MCFTemperatureZone[[#Headers],[Temperature zone]],0)</f>
        <v>≤10</v>
      </c>
      <c r="F232" s="10" cm="1">
        <f t="array" ref="F232">Common_InputFunctions.Utility_DisplayArrayInTable(Common_SourceData.Common_SourceData_MCFTemperatureZone_Data(),Table_SourceData_Common_MCFTemperatureZone[[#Headers],[Temperature zone]],0)</f>
        <v>0.66</v>
      </c>
      <c r="G232" s="10" cm="1">
        <f t="array" ref="G232">Common_InputFunctions.Utility_DisplayArrayInTable(Common_SourceData.Common_SourceData_MCFTemperatureZone_Data(),Table_SourceData_Common_MCFTemperatureZone[[#Headers],[Temperature zone]],0)</f>
        <v>0.1</v>
      </c>
      <c r="H232" s="10" cm="1">
        <f t="array" ref="H232">Common_InputFunctions.Utility_DisplayArrayInTable(Common_SourceData.Common_SourceData_MCFTemperatureZone_Data(),Table_SourceData_Common_MCFTemperatureZone[[#Headers],[Temperature zone]],0)</f>
        <v>0.1</v>
      </c>
      <c r="I232" s="10" cm="1">
        <f t="array" ref="I232">Common_InputFunctions.Utility_DisplayArrayInTable(Common_SourceData.Common_SourceData_MCFTemperatureZone_Data(),Table_SourceData_Common_MCFTemperatureZone[[#Headers],[Temperature zone]],0)</f>
        <v>1E-3</v>
      </c>
      <c r="J232" s="10" cm="1">
        <f t="array" ref="J232">Common_InputFunctions.Utility_DisplayArrayInTable(Common_SourceData.Common_SourceData_MCFTemperatureZone_Data(),Table_SourceData_Common_MCFTemperatureZone[[#Headers],[Temperature zone]],0)</f>
        <v>5.0000000000000001E-3</v>
      </c>
      <c r="K232" s="10" cm="1">
        <f t="array" ref="K232">Common_InputFunctions.Utility_DisplayArrayInTable(Common_SourceData.Common_SourceData_MCFTemperatureZone_Data(),Table_SourceData_Common_MCFTemperatureZone[[#Headers],[Temperature zone]],0)</f>
        <v>0.02</v>
      </c>
      <c r="L232" s="10" cm="1">
        <f t="array" ref="L232">Common_InputFunctions.Utility_DisplayArrayInTable(Common_SourceData.Common_SourceData_MCFTemperatureZone_Data(),Table_SourceData_Common_MCFTemperatureZone[[#Headers],[Temperature zone]],0)</f>
        <v>0.03</v>
      </c>
      <c r="M232" s="10" cm="1">
        <f t="array" ref="M232">Common_InputFunctions.Utility_DisplayArrayInTable(Common_SourceData.Common_SourceData_MCFTemperatureZone_Data(),Table_SourceData_Common_MCFTemperatureZone[[#Headers],[Temperature zone]],0)</f>
        <v>0.04</v>
      </c>
      <c r="N232" s="10" cm="1">
        <f t="array" ref="N232">Common_InputFunctions.Utility_DisplayArrayInTable(Common_SourceData.Common_SourceData_MCFTemperatureZone_Data(),Table_SourceData_Common_MCFTemperatureZone[[#Headers],[Temperature zone]],0)</f>
        <v>1.4999999999999999E-2</v>
      </c>
      <c r="O232" s="10" cm="1">
        <f t="array" ref="O232">Common_InputFunctions.Utility_DisplayArrayInTable(Common_SourceData.Common_SourceData_MCFTemperatureZone_Data(),Table_SourceData_Common_MCFTemperatureZone[[#Headers],[Temperature zone]],0)</f>
        <v>1.4999999999999999E-2</v>
      </c>
      <c r="P232" s="10" cm="1">
        <f t="array" ref="P232">Common_InputFunctions.Utility_DisplayArrayInTable(Common_SourceData.Common_SourceData_MCFTemperatureZone_Data(),Table_SourceData_Common_MCFTemperatureZone[[#Headers],[Temperature zone]],0)</f>
        <v>0</v>
      </c>
      <c r="Q232" s="10" cm="1">
        <f t="array" ref="Q232">Common_InputFunctions.Utility_DisplayArrayInTable(Common_SourceData.Common_SourceData_MCFTemperatureZone_Data(),Table_SourceData_Common_MCFTemperatureZone[[#Headers],[Temperature zone]],0)</f>
        <v>0</v>
      </c>
      <c r="R232" s="10" cm="1">
        <f t="array" ref="R232">Common_InputFunctions.Utility_DisplayArrayInTable(Common_SourceData.Common_SourceData_MCFTemperatureZone_Data(),Table_SourceData_Common_MCFTemperatureZone[[#Headers],[Temperature zone]],0)</f>
        <v>4.7000000000000002E-3</v>
      </c>
      <c r="S232" s="10" cm="1">
        <f t="array" ref="S232">Common_InputFunctions.Utility_DisplayArrayInTable(Common_SourceData.Common_SourceData_MCFTemperatureZone_Data(),Table_SourceData_Common_MCFTemperatureZone[[#Headers],[Temperature zone]],0)</f>
        <v>10</v>
      </c>
    </row>
    <row r="233" spans="4:19" x14ac:dyDescent="0.25">
      <c r="D233" s="8" t="str" cm="1">
        <f t="array" ref="D233">Common_InputFunctions.Utility_DisplayArrayInTable(Common_SourceData.Common_SourceData_MCFTemperatureZone_Data(),Table_SourceData_Common_MCFTemperatureZone[[#Headers],[Temperature zone]],0)</f>
        <v>Cool</v>
      </c>
      <c r="E233" s="10" cm="1">
        <f t="array" ref="E233">Common_InputFunctions.Utility_DisplayArrayInTable(Common_SourceData.Common_SourceData_MCFTemperatureZone_Data(),Table_SourceData_Common_MCFTemperatureZone[[#Headers],[Temperature zone]],0)</f>
        <v>11</v>
      </c>
      <c r="F233" s="10" cm="1">
        <f t="array" ref="F233">Common_InputFunctions.Utility_DisplayArrayInTable(Common_SourceData.Common_SourceData_MCFTemperatureZone_Data(),Table_SourceData_Common_MCFTemperatureZone[[#Headers],[Temperature zone]],0)</f>
        <v>0.68</v>
      </c>
      <c r="G233" s="10" cm="1">
        <f t="array" ref="G233">Common_InputFunctions.Utility_DisplayArrayInTable(Common_SourceData.Common_SourceData_MCFTemperatureZone_Data(),Table_SourceData_Common_MCFTemperatureZone[[#Headers],[Temperature zone]],0)</f>
        <v>0.1</v>
      </c>
      <c r="H233" s="10" cm="1">
        <f t="array" ref="H233">Common_InputFunctions.Utility_DisplayArrayInTable(Common_SourceData.Common_SourceData_MCFTemperatureZone_Data(),Table_SourceData_Common_MCFTemperatureZone[[#Headers],[Temperature zone]],0)</f>
        <v>0.11</v>
      </c>
      <c r="I233" s="10" cm="1">
        <f t="array" ref="I233">Common_InputFunctions.Utility_DisplayArrayInTable(Common_SourceData.Common_SourceData_MCFTemperatureZone_Data(),Table_SourceData_Common_MCFTemperatureZone[[#Headers],[Temperature zone]],0)</f>
        <v>1E-3</v>
      </c>
      <c r="J233" s="10" cm="1">
        <f t="array" ref="J233">Common_InputFunctions.Utility_DisplayArrayInTable(Common_SourceData.Common_SourceData_MCFTemperatureZone_Data(),Table_SourceData_Common_MCFTemperatureZone[[#Headers],[Temperature zone]],0)</f>
        <v>5.0000000000000001E-3</v>
      </c>
      <c r="K233" s="10" cm="1">
        <f t="array" ref="K233">Common_InputFunctions.Utility_DisplayArrayInTable(Common_SourceData.Common_SourceData_MCFTemperatureZone_Data(),Table_SourceData_Common_MCFTemperatureZone[[#Headers],[Temperature zone]],0)</f>
        <v>0.02</v>
      </c>
      <c r="L233" s="10" cm="1">
        <f t="array" ref="L233">Common_InputFunctions.Utility_DisplayArrayInTable(Common_SourceData.Common_SourceData_MCFTemperatureZone_Data(),Table_SourceData_Common_MCFTemperatureZone[[#Headers],[Temperature zone]],0)</f>
        <v>0.03</v>
      </c>
      <c r="M233" s="10" cm="1">
        <f t="array" ref="M233">Common_InputFunctions.Utility_DisplayArrayInTable(Common_SourceData.Common_SourceData_MCFTemperatureZone_Data(),Table_SourceData_Common_MCFTemperatureZone[[#Headers],[Temperature zone]],0)</f>
        <v>0.04</v>
      </c>
      <c r="N233" s="10" cm="1">
        <f t="array" ref="N233">Common_InputFunctions.Utility_DisplayArrayInTable(Common_SourceData.Common_SourceData_MCFTemperatureZone_Data(),Table_SourceData_Common_MCFTemperatureZone[[#Headers],[Temperature zone]],0)</f>
        <v>1.4999999999999999E-2</v>
      </c>
      <c r="O233" s="10" cm="1">
        <f t="array" ref="O233">Common_InputFunctions.Utility_DisplayArrayInTable(Common_SourceData.Common_SourceData_MCFTemperatureZone_Data(),Table_SourceData_Common_MCFTemperatureZone[[#Headers],[Temperature zone]],0)</f>
        <v>1.4999999999999999E-2</v>
      </c>
      <c r="P233" s="10" cm="1">
        <f t="array" ref="P233">Common_InputFunctions.Utility_DisplayArrayInTable(Common_SourceData.Common_SourceData_MCFTemperatureZone_Data(),Table_SourceData_Common_MCFTemperatureZone[[#Headers],[Temperature zone]],0)</f>
        <v>0</v>
      </c>
      <c r="Q233" s="10" cm="1">
        <f t="array" ref="Q233">Common_InputFunctions.Utility_DisplayArrayInTable(Common_SourceData.Common_SourceData_MCFTemperatureZone_Data(),Table_SourceData_Common_MCFTemperatureZone[[#Headers],[Temperature zone]],0)</f>
        <v>0</v>
      </c>
      <c r="R233" s="10" cm="1">
        <f t="array" ref="R233">Common_InputFunctions.Utility_DisplayArrayInTable(Common_SourceData.Common_SourceData_MCFTemperatureZone_Data(),Table_SourceData_Common_MCFTemperatureZone[[#Headers],[Temperature zone]],0)</f>
        <v>4.7000000000000002E-3</v>
      </c>
      <c r="S233" s="10" cm="1">
        <f t="array" ref="S233">Common_InputFunctions.Utility_DisplayArrayInTable(Common_SourceData.Common_SourceData_MCFTemperatureZone_Data(),Table_SourceData_Common_MCFTemperatureZone[[#Headers],[Temperature zone]],0)</f>
        <v>11</v>
      </c>
    </row>
    <row r="234" spans="4:19" x14ac:dyDescent="0.25">
      <c r="D234" s="8" t="str" cm="1">
        <f t="array" ref="D234">Common_InputFunctions.Utility_DisplayArrayInTable(Common_SourceData.Common_SourceData_MCFTemperatureZone_Data(),Table_SourceData_Common_MCFTemperatureZone[[#Headers],[Temperature zone]],0)</f>
        <v>Cool</v>
      </c>
      <c r="E234" s="10" cm="1">
        <f t="array" ref="E234">Common_InputFunctions.Utility_DisplayArrayInTable(Common_SourceData.Common_SourceData_MCFTemperatureZone_Data(),Table_SourceData_Common_MCFTemperatureZone[[#Headers],[Temperature zone]],0)</f>
        <v>12</v>
      </c>
      <c r="F234" s="10" cm="1">
        <f t="array" ref="F234">Common_InputFunctions.Utility_DisplayArrayInTable(Common_SourceData.Common_SourceData_MCFTemperatureZone_Data(),Table_SourceData_Common_MCFTemperatureZone[[#Headers],[Temperature zone]],0)</f>
        <v>0.7</v>
      </c>
      <c r="G234" s="10" cm="1">
        <f t="array" ref="G234">Common_InputFunctions.Utility_DisplayArrayInTable(Common_SourceData.Common_SourceData_MCFTemperatureZone_Data(),Table_SourceData_Common_MCFTemperatureZone[[#Headers],[Temperature zone]],0)</f>
        <v>0.1</v>
      </c>
      <c r="H234" s="10" cm="1">
        <f t="array" ref="H234">Common_InputFunctions.Utility_DisplayArrayInTable(Common_SourceData.Common_SourceData_MCFTemperatureZone_Data(),Table_SourceData_Common_MCFTemperatureZone[[#Headers],[Temperature zone]],0)</f>
        <v>0.13</v>
      </c>
      <c r="I234" s="10" cm="1">
        <f t="array" ref="I234">Common_InputFunctions.Utility_DisplayArrayInTable(Common_SourceData.Common_SourceData_MCFTemperatureZone_Data(),Table_SourceData_Common_MCFTemperatureZone[[#Headers],[Temperature zone]],0)</f>
        <v>1E-3</v>
      </c>
      <c r="J234" s="10" cm="1">
        <f t="array" ref="J234">Common_InputFunctions.Utility_DisplayArrayInTable(Common_SourceData.Common_SourceData_MCFTemperatureZone_Data(),Table_SourceData_Common_MCFTemperatureZone[[#Headers],[Temperature zone]],0)</f>
        <v>5.0000000000000001E-3</v>
      </c>
      <c r="K234" s="10" cm="1">
        <f t="array" ref="K234">Common_InputFunctions.Utility_DisplayArrayInTable(Common_SourceData.Common_SourceData_MCFTemperatureZone_Data(),Table_SourceData_Common_MCFTemperatureZone[[#Headers],[Temperature zone]],0)</f>
        <v>0.02</v>
      </c>
      <c r="L234" s="10" cm="1">
        <f t="array" ref="L234">Common_InputFunctions.Utility_DisplayArrayInTable(Common_SourceData.Common_SourceData_MCFTemperatureZone_Data(),Table_SourceData_Common_MCFTemperatureZone[[#Headers],[Temperature zone]],0)</f>
        <v>0.03</v>
      </c>
      <c r="M234" s="10" cm="1">
        <f t="array" ref="M234">Common_InputFunctions.Utility_DisplayArrayInTable(Common_SourceData.Common_SourceData_MCFTemperatureZone_Data(),Table_SourceData_Common_MCFTemperatureZone[[#Headers],[Temperature zone]],0)</f>
        <v>0.04</v>
      </c>
      <c r="N234" s="10" cm="1">
        <f t="array" ref="N234">Common_InputFunctions.Utility_DisplayArrayInTable(Common_SourceData.Common_SourceData_MCFTemperatureZone_Data(),Table_SourceData_Common_MCFTemperatureZone[[#Headers],[Temperature zone]],0)</f>
        <v>1.4999999999999999E-2</v>
      </c>
      <c r="O234" s="10" cm="1">
        <f t="array" ref="O234">Common_InputFunctions.Utility_DisplayArrayInTable(Common_SourceData.Common_SourceData_MCFTemperatureZone_Data(),Table_SourceData_Common_MCFTemperatureZone[[#Headers],[Temperature zone]],0)</f>
        <v>1.4999999999999999E-2</v>
      </c>
      <c r="P234" s="10" cm="1">
        <f t="array" ref="P234">Common_InputFunctions.Utility_DisplayArrayInTable(Common_SourceData.Common_SourceData_MCFTemperatureZone_Data(),Table_SourceData_Common_MCFTemperatureZone[[#Headers],[Temperature zone]],0)</f>
        <v>0</v>
      </c>
      <c r="Q234" s="10" cm="1">
        <f t="array" ref="Q234">Common_InputFunctions.Utility_DisplayArrayInTable(Common_SourceData.Common_SourceData_MCFTemperatureZone_Data(),Table_SourceData_Common_MCFTemperatureZone[[#Headers],[Temperature zone]],0)</f>
        <v>0</v>
      </c>
      <c r="R234" s="10" cm="1">
        <f t="array" ref="R234">Common_InputFunctions.Utility_DisplayArrayInTable(Common_SourceData.Common_SourceData_MCFTemperatureZone_Data(),Table_SourceData_Common_MCFTemperatureZone[[#Headers],[Temperature zone]],0)</f>
        <v>4.7000000000000002E-3</v>
      </c>
      <c r="S234" s="10" cm="1">
        <f t="array" ref="S234">Common_InputFunctions.Utility_DisplayArrayInTable(Common_SourceData.Common_SourceData_MCFTemperatureZone_Data(),Table_SourceData_Common_MCFTemperatureZone[[#Headers],[Temperature zone]],0)</f>
        <v>12</v>
      </c>
    </row>
    <row r="235" spans="4:19" x14ac:dyDescent="0.25">
      <c r="D235" s="8" t="str" cm="1">
        <f t="array" ref="D235">Common_InputFunctions.Utility_DisplayArrayInTable(Common_SourceData.Common_SourceData_MCFTemperatureZone_Data(),Table_SourceData_Common_MCFTemperatureZone[[#Headers],[Temperature zone]],0)</f>
        <v>Cool</v>
      </c>
      <c r="E235" s="10" cm="1">
        <f t="array" ref="E235">Common_InputFunctions.Utility_DisplayArrayInTable(Common_SourceData.Common_SourceData_MCFTemperatureZone_Data(),Table_SourceData_Common_MCFTemperatureZone[[#Headers],[Temperature zone]],0)</f>
        <v>13</v>
      </c>
      <c r="F235" s="10" cm="1">
        <f t="array" ref="F235">Common_InputFunctions.Utility_DisplayArrayInTable(Common_SourceData.Common_SourceData_MCFTemperatureZone_Data(),Table_SourceData_Common_MCFTemperatureZone[[#Headers],[Temperature zone]],0)</f>
        <v>0.71</v>
      </c>
      <c r="G235" s="10" cm="1">
        <f t="array" ref="G235">Common_InputFunctions.Utility_DisplayArrayInTable(Common_SourceData.Common_SourceData_MCFTemperatureZone_Data(),Table_SourceData_Common_MCFTemperatureZone[[#Headers],[Temperature zone]],0)</f>
        <v>0.1</v>
      </c>
      <c r="H235" s="10" cm="1">
        <f t="array" ref="H235">Common_InputFunctions.Utility_DisplayArrayInTable(Common_SourceData.Common_SourceData_MCFTemperatureZone_Data(),Table_SourceData_Common_MCFTemperatureZone[[#Headers],[Temperature zone]],0)</f>
        <v>0.14000000000000001</v>
      </c>
      <c r="I235" s="10" cm="1">
        <f t="array" ref="I235">Common_InputFunctions.Utility_DisplayArrayInTable(Common_SourceData.Common_SourceData_MCFTemperatureZone_Data(),Table_SourceData_Common_MCFTemperatureZone[[#Headers],[Temperature zone]],0)</f>
        <v>1E-3</v>
      </c>
      <c r="J235" s="10" cm="1">
        <f t="array" ref="J235">Common_InputFunctions.Utility_DisplayArrayInTable(Common_SourceData.Common_SourceData_MCFTemperatureZone_Data(),Table_SourceData_Common_MCFTemperatureZone[[#Headers],[Temperature zone]],0)</f>
        <v>5.0000000000000001E-3</v>
      </c>
      <c r="K235" s="10" cm="1">
        <f t="array" ref="K235">Common_InputFunctions.Utility_DisplayArrayInTable(Common_SourceData.Common_SourceData_MCFTemperatureZone_Data(),Table_SourceData_Common_MCFTemperatureZone[[#Headers],[Temperature zone]],0)</f>
        <v>0.02</v>
      </c>
      <c r="L235" s="10" cm="1">
        <f t="array" ref="L235">Common_InputFunctions.Utility_DisplayArrayInTable(Common_SourceData.Common_SourceData_MCFTemperatureZone_Data(),Table_SourceData_Common_MCFTemperatureZone[[#Headers],[Temperature zone]],0)</f>
        <v>0.03</v>
      </c>
      <c r="M235" s="10" cm="1">
        <f t="array" ref="M235">Common_InputFunctions.Utility_DisplayArrayInTable(Common_SourceData.Common_SourceData_MCFTemperatureZone_Data(),Table_SourceData_Common_MCFTemperatureZone[[#Headers],[Temperature zone]],0)</f>
        <v>0.04</v>
      </c>
      <c r="N235" s="10" cm="1">
        <f t="array" ref="N235">Common_InputFunctions.Utility_DisplayArrayInTable(Common_SourceData.Common_SourceData_MCFTemperatureZone_Data(),Table_SourceData_Common_MCFTemperatureZone[[#Headers],[Temperature zone]],0)</f>
        <v>1.4999999999999999E-2</v>
      </c>
      <c r="O235" s="10" cm="1">
        <f t="array" ref="O235">Common_InputFunctions.Utility_DisplayArrayInTable(Common_SourceData.Common_SourceData_MCFTemperatureZone_Data(),Table_SourceData_Common_MCFTemperatureZone[[#Headers],[Temperature zone]],0)</f>
        <v>1.4999999999999999E-2</v>
      </c>
      <c r="P235" s="10" cm="1">
        <f t="array" ref="P235">Common_InputFunctions.Utility_DisplayArrayInTable(Common_SourceData.Common_SourceData_MCFTemperatureZone_Data(),Table_SourceData_Common_MCFTemperatureZone[[#Headers],[Temperature zone]],0)</f>
        <v>0</v>
      </c>
      <c r="Q235" s="10" cm="1">
        <f t="array" ref="Q235">Common_InputFunctions.Utility_DisplayArrayInTable(Common_SourceData.Common_SourceData_MCFTemperatureZone_Data(),Table_SourceData_Common_MCFTemperatureZone[[#Headers],[Temperature zone]],0)</f>
        <v>0</v>
      </c>
      <c r="R235" s="10" cm="1">
        <f t="array" ref="R235">Common_InputFunctions.Utility_DisplayArrayInTable(Common_SourceData.Common_SourceData_MCFTemperatureZone_Data(),Table_SourceData_Common_MCFTemperatureZone[[#Headers],[Temperature zone]],0)</f>
        <v>4.7000000000000002E-3</v>
      </c>
      <c r="S235" s="10" cm="1">
        <f t="array" ref="S235">Common_InputFunctions.Utility_DisplayArrayInTable(Common_SourceData.Common_SourceData_MCFTemperatureZone_Data(),Table_SourceData_Common_MCFTemperatureZone[[#Headers],[Temperature zone]],0)</f>
        <v>13</v>
      </c>
    </row>
    <row r="236" spans="4:19" x14ac:dyDescent="0.25">
      <c r="D236" s="8" t="str" cm="1">
        <f t="array" ref="D236">Common_InputFunctions.Utility_DisplayArrayInTable(Common_SourceData.Common_SourceData_MCFTemperatureZone_Data(),Table_SourceData_Common_MCFTemperatureZone[[#Headers],[Temperature zone]],0)</f>
        <v>Cool</v>
      </c>
      <c r="E236" s="10" cm="1">
        <f t="array" ref="E236">Common_InputFunctions.Utility_DisplayArrayInTable(Common_SourceData.Common_SourceData_MCFTemperatureZone_Data(),Table_SourceData_Common_MCFTemperatureZone[[#Headers],[Temperature zone]],0)</f>
        <v>14</v>
      </c>
      <c r="F236" s="10" cm="1">
        <f t="array" ref="F236">Common_InputFunctions.Utility_DisplayArrayInTable(Common_SourceData.Common_SourceData_MCFTemperatureZone_Data(),Table_SourceData_Common_MCFTemperatureZone[[#Headers],[Temperature zone]],0)</f>
        <v>0.73</v>
      </c>
      <c r="G236" s="10" cm="1">
        <f t="array" ref="G236">Common_InputFunctions.Utility_DisplayArrayInTable(Common_SourceData.Common_SourceData_MCFTemperatureZone_Data(),Table_SourceData_Common_MCFTemperatureZone[[#Headers],[Temperature zone]],0)</f>
        <v>0.1</v>
      </c>
      <c r="H236" s="10" cm="1">
        <f t="array" ref="H236">Common_InputFunctions.Utility_DisplayArrayInTable(Common_SourceData.Common_SourceData_MCFTemperatureZone_Data(),Table_SourceData_Common_MCFTemperatureZone[[#Headers],[Temperature zone]],0)</f>
        <v>0.15</v>
      </c>
      <c r="I236" s="10" cm="1">
        <f t="array" ref="I236">Common_InputFunctions.Utility_DisplayArrayInTable(Common_SourceData.Common_SourceData_MCFTemperatureZone_Data(),Table_SourceData_Common_MCFTemperatureZone[[#Headers],[Temperature zone]],0)</f>
        <v>1E-3</v>
      </c>
      <c r="J236" s="10" cm="1">
        <f t="array" ref="J236">Common_InputFunctions.Utility_DisplayArrayInTable(Common_SourceData.Common_SourceData_MCFTemperatureZone_Data(),Table_SourceData_Common_MCFTemperatureZone[[#Headers],[Temperature zone]],0)</f>
        <v>5.0000000000000001E-3</v>
      </c>
      <c r="K236" s="10" cm="1">
        <f t="array" ref="K236">Common_InputFunctions.Utility_DisplayArrayInTable(Common_SourceData.Common_SourceData_MCFTemperatureZone_Data(),Table_SourceData_Common_MCFTemperatureZone[[#Headers],[Temperature zone]],0)</f>
        <v>0.02</v>
      </c>
      <c r="L236" s="10" cm="1">
        <f t="array" ref="L236">Common_InputFunctions.Utility_DisplayArrayInTable(Common_SourceData.Common_SourceData_MCFTemperatureZone_Data(),Table_SourceData_Common_MCFTemperatureZone[[#Headers],[Temperature zone]],0)</f>
        <v>0.03</v>
      </c>
      <c r="M236" s="10" cm="1">
        <f t="array" ref="M236">Common_InputFunctions.Utility_DisplayArrayInTable(Common_SourceData.Common_SourceData_MCFTemperatureZone_Data(),Table_SourceData_Common_MCFTemperatureZone[[#Headers],[Temperature zone]],0)</f>
        <v>0.04</v>
      </c>
      <c r="N236" s="10" cm="1">
        <f t="array" ref="N236">Common_InputFunctions.Utility_DisplayArrayInTable(Common_SourceData.Common_SourceData_MCFTemperatureZone_Data(),Table_SourceData_Common_MCFTemperatureZone[[#Headers],[Temperature zone]],0)</f>
        <v>1.4999999999999999E-2</v>
      </c>
      <c r="O236" s="10" cm="1">
        <f t="array" ref="O236">Common_InputFunctions.Utility_DisplayArrayInTable(Common_SourceData.Common_SourceData_MCFTemperatureZone_Data(),Table_SourceData_Common_MCFTemperatureZone[[#Headers],[Temperature zone]],0)</f>
        <v>1.4999999999999999E-2</v>
      </c>
      <c r="P236" s="10" cm="1">
        <f t="array" ref="P236">Common_InputFunctions.Utility_DisplayArrayInTable(Common_SourceData.Common_SourceData_MCFTemperatureZone_Data(),Table_SourceData_Common_MCFTemperatureZone[[#Headers],[Temperature zone]],0)</f>
        <v>0</v>
      </c>
      <c r="Q236" s="10" cm="1">
        <f t="array" ref="Q236">Common_InputFunctions.Utility_DisplayArrayInTable(Common_SourceData.Common_SourceData_MCFTemperatureZone_Data(),Table_SourceData_Common_MCFTemperatureZone[[#Headers],[Temperature zone]],0)</f>
        <v>0</v>
      </c>
      <c r="R236" s="10" cm="1">
        <f t="array" ref="R236">Common_InputFunctions.Utility_DisplayArrayInTable(Common_SourceData.Common_SourceData_MCFTemperatureZone_Data(),Table_SourceData_Common_MCFTemperatureZone[[#Headers],[Temperature zone]],0)</f>
        <v>4.7000000000000002E-3</v>
      </c>
      <c r="S236" s="10" cm="1">
        <f t="array" ref="S236">Common_InputFunctions.Utility_DisplayArrayInTable(Common_SourceData.Common_SourceData_MCFTemperatureZone_Data(),Table_SourceData_Common_MCFTemperatureZone[[#Headers],[Temperature zone]],0)</f>
        <v>14</v>
      </c>
    </row>
    <row r="237" spans="4:19" x14ac:dyDescent="0.25">
      <c r="D237" s="8" t="str" cm="1">
        <f t="array" ref="D237">Common_InputFunctions.Utility_DisplayArrayInTable(Common_SourceData.Common_SourceData_MCFTemperatureZone_Data(),Table_SourceData_Common_MCFTemperatureZone[[#Headers],[Temperature zone]],0)</f>
        <v>Temperate</v>
      </c>
      <c r="E237" s="10" cm="1">
        <f t="array" ref="E237">Common_InputFunctions.Utility_DisplayArrayInTable(Common_SourceData.Common_SourceData_MCFTemperatureZone_Data(),Table_SourceData_Common_MCFTemperatureZone[[#Headers],[Temperature zone]],0)</f>
        <v>15</v>
      </c>
      <c r="F237" s="10" cm="1">
        <f t="array" ref="F237">Common_InputFunctions.Utility_DisplayArrayInTable(Common_SourceData.Common_SourceData_MCFTemperatureZone_Data(),Table_SourceData_Common_MCFTemperatureZone[[#Headers],[Temperature zone]],0)</f>
        <v>0.74</v>
      </c>
      <c r="G237" s="10" cm="1">
        <f t="array" ref="G237">Common_InputFunctions.Utility_DisplayArrayInTable(Common_SourceData.Common_SourceData_MCFTemperatureZone_Data(),Table_SourceData_Common_MCFTemperatureZone[[#Headers],[Temperature zone]],0)</f>
        <v>0.1</v>
      </c>
      <c r="H237" s="10" cm="1">
        <f t="array" ref="H237">Common_InputFunctions.Utility_DisplayArrayInTable(Common_SourceData.Common_SourceData_MCFTemperatureZone_Data(),Table_SourceData_Common_MCFTemperatureZone[[#Headers],[Temperature zone]],0)</f>
        <v>0.17</v>
      </c>
      <c r="I237" s="10" cm="1">
        <f t="array" ref="I237">Common_InputFunctions.Utility_DisplayArrayInTable(Common_SourceData.Common_SourceData_MCFTemperatureZone_Data(),Table_SourceData_Common_MCFTemperatureZone[[#Headers],[Temperature zone]],0)</f>
        <v>5.0000000000000001E-3</v>
      </c>
      <c r="J237" s="10" cm="1">
        <f t="array" ref="J237">Common_InputFunctions.Utility_DisplayArrayInTable(Common_SourceData.Common_SourceData_MCFTemperatureZone_Data(),Table_SourceData_Common_MCFTemperatureZone[[#Headers],[Temperature zone]],0)</f>
        <v>0.01</v>
      </c>
      <c r="K237" s="10" cm="1">
        <f t="array" ref="K237">Common_InputFunctions.Utility_DisplayArrayInTable(Common_SourceData.Common_SourceData_MCFTemperatureZone_Data(),Table_SourceData_Common_MCFTemperatureZone[[#Headers],[Temperature zone]],0)</f>
        <v>0.02</v>
      </c>
      <c r="L237" s="10" cm="1">
        <f t="array" ref="L237">Common_InputFunctions.Utility_DisplayArrayInTable(Common_SourceData.Common_SourceData_MCFTemperatureZone_Data(),Table_SourceData_Common_MCFTemperatureZone[[#Headers],[Temperature zone]],0)</f>
        <v>0.03</v>
      </c>
      <c r="M237" s="10" cm="1">
        <f t="array" ref="M237">Common_InputFunctions.Utility_DisplayArrayInTable(Common_SourceData.Common_SourceData_MCFTemperatureZone_Data(),Table_SourceData_Common_MCFTemperatureZone[[#Headers],[Temperature zone]],0)</f>
        <v>0.04</v>
      </c>
      <c r="N237" s="10" cm="1">
        <f t="array" ref="N237">Common_InputFunctions.Utility_DisplayArrayInTable(Common_SourceData.Common_SourceData_MCFTemperatureZone_Data(),Table_SourceData_Common_MCFTemperatureZone[[#Headers],[Temperature zone]],0)</f>
        <v>1.4999999999999999E-2</v>
      </c>
      <c r="O237" s="10" cm="1">
        <f t="array" ref="O237">Common_InputFunctions.Utility_DisplayArrayInTable(Common_SourceData.Common_SourceData_MCFTemperatureZone_Data(),Table_SourceData_Common_MCFTemperatureZone[[#Headers],[Temperature zone]],0)</f>
        <v>1.4999999999999999E-2</v>
      </c>
      <c r="P237" s="10" cm="1">
        <f t="array" ref="P237">Common_InputFunctions.Utility_DisplayArrayInTable(Common_SourceData.Common_SourceData_MCFTemperatureZone_Data(),Table_SourceData_Common_MCFTemperatureZone[[#Headers],[Temperature zone]],0)</f>
        <v>0</v>
      </c>
      <c r="Q237" s="10" cm="1">
        <f t="array" ref="Q237">Common_InputFunctions.Utility_DisplayArrayInTable(Common_SourceData.Common_SourceData_MCFTemperatureZone_Data(),Table_SourceData_Common_MCFTemperatureZone[[#Headers],[Temperature zone]],0)</f>
        <v>0</v>
      </c>
      <c r="R237" s="10" cm="1">
        <f t="array" ref="R237">Common_InputFunctions.Utility_DisplayArrayInTable(Common_SourceData.Common_SourceData_MCFTemperatureZone_Data(),Table_SourceData_Common_MCFTemperatureZone[[#Headers],[Temperature zone]],0)</f>
        <v>4.7000000000000002E-3</v>
      </c>
      <c r="S237" s="10" cm="1">
        <f t="array" ref="S237">Common_InputFunctions.Utility_DisplayArrayInTable(Common_SourceData.Common_SourceData_MCFTemperatureZone_Data(),Table_SourceData_Common_MCFTemperatureZone[[#Headers],[Temperature zone]],0)</f>
        <v>15</v>
      </c>
    </row>
    <row r="238" spans="4:19" x14ac:dyDescent="0.25">
      <c r="D238" s="8" t="str" cm="1">
        <f t="array" ref="D238">Common_InputFunctions.Utility_DisplayArrayInTable(Common_SourceData.Common_SourceData_MCFTemperatureZone_Data(),Table_SourceData_Common_MCFTemperatureZone[[#Headers],[Temperature zone]],0)</f>
        <v>Temperate</v>
      </c>
      <c r="E238" s="10" cm="1">
        <f t="array" ref="E238">Common_InputFunctions.Utility_DisplayArrayInTable(Common_SourceData.Common_SourceData_MCFTemperatureZone_Data(),Table_SourceData_Common_MCFTemperatureZone[[#Headers],[Temperature zone]],0)</f>
        <v>16</v>
      </c>
      <c r="F238" s="10" cm="1">
        <f t="array" ref="F238">Common_InputFunctions.Utility_DisplayArrayInTable(Common_SourceData.Common_SourceData_MCFTemperatureZone_Data(),Table_SourceData_Common_MCFTemperatureZone[[#Headers],[Temperature zone]],0)</f>
        <v>0.75</v>
      </c>
      <c r="G238" s="10" cm="1">
        <f t="array" ref="G238">Common_InputFunctions.Utility_DisplayArrayInTable(Common_SourceData.Common_SourceData_MCFTemperatureZone_Data(),Table_SourceData_Common_MCFTemperatureZone[[#Headers],[Temperature zone]],0)</f>
        <v>0.1</v>
      </c>
      <c r="H238" s="10" cm="1">
        <f t="array" ref="H238">Common_InputFunctions.Utility_DisplayArrayInTable(Common_SourceData.Common_SourceData_MCFTemperatureZone_Data(),Table_SourceData_Common_MCFTemperatureZone[[#Headers],[Temperature zone]],0)</f>
        <v>0.18</v>
      </c>
      <c r="I238" s="10" cm="1">
        <f t="array" ref="I238">Common_InputFunctions.Utility_DisplayArrayInTable(Common_SourceData.Common_SourceData_MCFTemperatureZone_Data(),Table_SourceData_Common_MCFTemperatureZone[[#Headers],[Temperature zone]],0)</f>
        <v>5.0000000000000001E-3</v>
      </c>
      <c r="J238" s="10" cm="1">
        <f t="array" ref="J238">Common_InputFunctions.Utility_DisplayArrayInTable(Common_SourceData.Common_SourceData_MCFTemperatureZone_Data(),Table_SourceData_Common_MCFTemperatureZone[[#Headers],[Temperature zone]],0)</f>
        <v>0.01</v>
      </c>
      <c r="K238" s="10" cm="1">
        <f t="array" ref="K238">Common_InputFunctions.Utility_DisplayArrayInTable(Common_SourceData.Common_SourceData_MCFTemperatureZone_Data(),Table_SourceData_Common_MCFTemperatureZone[[#Headers],[Temperature zone]],0)</f>
        <v>0.02</v>
      </c>
      <c r="L238" s="10" cm="1">
        <f t="array" ref="L238">Common_InputFunctions.Utility_DisplayArrayInTable(Common_SourceData.Common_SourceData_MCFTemperatureZone_Data(),Table_SourceData_Common_MCFTemperatureZone[[#Headers],[Temperature zone]],0)</f>
        <v>0.03</v>
      </c>
      <c r="M238" s="10" cm="1">
        <f t="array" ref="M238">Common_InputFunctions.Utility_DisplayArrayInTable(Common_SourceData.Common_SourceData_MCFTemperatureZone_Data(),Table_SourceData_Common_MCFTemperatureZone[[#Headers],[Temperature zone]],0)</f>
        <v>0.04</v>
      </c>
      <c r="N238" s="10" cm="1">
        <f t="array" ref="N238">Common_InputFunctions.Utility_DisplayArrayInTable(Common_SourceData.Common_SourceData_MCFTemperatureZone_Data(),Table_SourceData_Common_MCFTemperatureZone[[#Headers],[Temperature zone]],0)</f>
        <v>1.4999999999999999E-2</v>
      </c>
      <c r="O238" s="10" cm="1">
        <f t="array" ref="O238">Common_InputFunctions.Utility_DisplayArrayInTable(Common_SourceData.Common_SourceData_MCFTemperatureZone_Data(),Table_SourceData_Common_MCFTemperatureZone[[#Headers],[Temperature zone]],0)</f>
        <v>1.4999999999999999E-2</v>
      </c>
      <c r="P238" s="10" cm="1">
        <f t="array" ref="P238">Common_InputFunctions.Utility_DisplayArrayInTable(Common_SourceData.Common_SourceData_MCFTemperatureZone_Data(),Table_SourceData_Common_MCFTemperatureZone[[#Headers],[Temperature zone]],0)</f>
        <v>0</v>
      </c>
      <c r="Q238" s="10" cm="1">
        <f t="array" ref="Q238">Common_InputFunctions.Utility_DisplayArrayInTable(Common_SourceData.Common_SourceData_MCFTemperatureZone_Data(),Table_SourceData_Common_MCFTemperatureZone[[#Headers],[Temperature zone]],0)</f>
        <v>0</v>
      </c>
      <c r="R238" s="10" cm="1">
        <f t="array" ref="R238">Common_InputFunctions.Utility_DisplayArrayInTable(Common_SourceData.Common_SourceData_MCFTemperatureZone_Data(),Table_SourceData_Common_MCFTemperatureZone[[#Headers],[Temperature zone]],0)</f>
        <v>4.7000000000000002E-3</v>
      </c>
      <c r="S238" s="10" cm="1">
        <f t="array" ref="S238">Common_InputFunctions.Utility_DisplayArrayInTable(Common_SourceData.Common_SourceData_MCFTemperatureZone_Data(),Table_SourceData_Common_MCFTemperatureZone[[#Headers],[Temperature zone]],0)</f>
        <v>16</v>
      </c>
    </row>
    <row r="239" spans="4:19" x14ac:dyDescent="0.25">
      <c r="D239" s="8" t="str" cm="1">
        <f t="array" ref="D239">Common_InputFunctions.Utility_DisplayArrayInTable(Common_SourceData.Common_SourceData_MCFTemperatureZone_Data(),Table_SourceData_Common_MCFTemperatureZone[[#Headers],[Temperature zone]],0)</f>
        <v>Temperate</v>
      </c>
      <c r="E239" s="10" cm="1">
        <f t="array" ref="E239">Common_InputFunctions.Utility_DisplayArrayInTable(Common_SourceData.Common_SourceData_MCFTemperatureZone_Data(),Table_SourceData_Common_MCFTemperatureZone[[#Headers],[Temperature zone]],0)</f>
        <v>17</v>
      </c>
      <c r="F239" s="10" cm="1">
        <f t="array" ref="F239">Common_InputFunctions.Utility_DisplayArrayInTable(Common_SourceData.Common_SourceData_MCFTemperatureZone_Data(),Table_SourceData_Common_MCFTemperatureZone[[#Headers],[Temperature zone]],0)</f>
        <v>0.76</v>
      </c>
      <c r="G239" s="10" cm="1">
        <f t="array" ref="G239">Common_InputFunctions.Utility_DisplayArrayInTable(Common_SourceData.Common_SourceData_MCFTemperatureZone_Data(),Table_SourceData_Common_MCFTemperatureZone[[#Headers],[Temperature zone]],0)</f>
        <v>0.1</v>
      </c>
      <c r="H239" s="10" cm="1">
        <f t="array" ref="H239">Common_InputFunctions.Utility_DisplayArrayInTable(Common_SourceData.Common_SourceData_MCFTemperatureZone_Data(),Table_SourceData_Common_MCFTemperatureZone[[#Headers],[Temperature zone]],0)</f>
        <v>0.2</v>
      </c>
      <c r="I239" s="10" cm="1">
        <f t="array" ref="I239">Common_InputFunctions.Utility_DisplayArrayInTable(Common_SourceData.Common_SourceData_MCFTemperatureZone_Data(),Table_SourceData_Common_MCFTemperatureZone[[#Headers],[Temperature zone]],0)</f>
        <v>5.0000000000000001E-3</v>
      </c>
      <c r="J239" s="10" cm="1">
        <f t="array" ref="J239">Common_InputFunctions.Utility_DisplayArrayInTable(Common_SourceData.Common_SourceData_MCFTemperatureZone_Data(),Table_SourceData_Common_MCFTemperatureZone[[#Headers],[Temperature zone]],0)</f>
        <v>0.01</v>
      </c>
      <c r="K239" s="10" cm="1">
        <f t="array" ref="K239">Common_InputFunctions.Utility_DisplayArrayInTable(Common_SourceData.Common_SourceData_MCFTemperatureZone_Data(),Table_SourceData_Common_MCFTemperatureZone[[#Headers],[Temperature zone]],0)</f>
        <v>0.02</v>
      </c>
      <c r="L239" s="10" cm="1">
        <f t="array" ref="L239">Common_InputFunctions.Utility_DisplayArrayInTable(Common_SourceData.Common_SourceData_MCFTemperatureZone_Data(),Table_SourceData_Common_MCFTemperatureZone[[#Headers],[Temperature zone]],0)</f>
        <v>0.03</v>
      </c>
      <c r="M239" s="10" cm="1">
        <f t="array" ref="M239">Common_InputFunctions.Utility_DisplayArrayInTable(Common_SourceData.Common_SourceData_MCFTemperatureZone_Data(),Table_SourceData_Common_MCFTemperatureZone[[#Headers],[Temperature zone]],0)</f>
        <v>0.04</v>
      </c>
      <c r="N239" s="10" cm="1">
        <f t="array" ref="N239">Common_InputFunctions.Utility_DisplayArrayInTable(Common_SourceData.Common_SourceData_MCFTemperatureZone_Data(),Table_SourceData_Common_MCFTemperatureZone[[#Headers],[Temperature zone]],0)</f>
        <v>1.4999999999999999E-2</v>
      </c>
      <c r="O239" s="10" cm="1">
        <f t="array" ref="O239">Common_InputFunctions.Utility_DisplayArrayInTable(Common_SourceData.Common_SourceData_MCFTemperatureZone_Data(),Table_SourceData_Common_MCFTemperatureZone[[#Headers],[Temperature zone]],0)</f>
        <v>1.4999999999999999E-2</v>
      </c>
      <c r="P239" s="10" cm="1">
        <f t="array" ref="P239">Common_InputFunctions.Utility_DisplayArrayInTable(Common_SourceData.Common_SourceData_MCFTemperatureZone_Data(),Table_SourceData_Common_MCFTemperatureZone[[#Headers],[Temperature zone]],0)</f>
        <v>0</v>
      </c>
      <c r="Q239" s="10" cm="1">
        <f t="array" ref="Q239">Common_InputFunctions.Utility_DisplayArrayInTable(Common_SourceData.Common_SourceData_MCFTemperatureZone_Data(),Table_SourceData_Common_MCFTemperatureZone[[#Headers],[Temperature zone]],0)</f>
        <v>0</v>
      </c>
      <c r="R239" s="10" cm="1">
        <f t="array" ref="R239">Common_InputFunctions.Utility_DisplayArrayInTable(Common_SourceData.Common_SourceData_MCFTemperatureZone_Data(),Table_SourceData_Common_MCFTemperatureZone[[#Headers],[Temperature zone]],0)</f>
        <v>4.7000000000000002E-3</v>
      </c>
      <c r="S239" s="10" cm="1">
        <f t="array" ref="S239">Common_InputFunctions.Utility_DisplayArrayInTable(Common_SourceData.Common_SourceData_MCFTemperatureZone_Data(),Table_SourceData_Common_MCFTemperatureZone[[#Headers],[Temperature zone]],0)</f>
        <v>17</v>
      </c>
    </row>
    <row r="240" spans="4:19" x14ac:dyDescent="0.25">
      <c r="D240" s="8" t="str" cm="1">
        <f t="array" ref="D240">Common_InputFunctions.Utility_DisplayArrayInTable(Common_SourceData.Common_SourceData_MCFTemperatureZone_Data(),Table_SourceData_Common_MCFTemperatureZone[[#Headers],[Temperature zone]],0)</f>
        <v>Temperate</v>
      </c>
      <c r="E240" s="10" cm="1">
        <f t="array" ref="E240">Common_InputFunctions.Utility_DisplayArrayInTable(Common_SourceData.Common_SourceData_MCFTemperatureZone_Data(),Table_SourceData_Common_MCFTemperatureZone[[#Headers],[Temperature zone]],0)</f>
        <v>18</v>
      </c>
      <c r="F240" s="10" cm="1">
        <f t="array" ref="F240">Common_InputFunctions.Utility_DisplayArrayInTable(Common_SourceData.Common_SourceData_MCFTemperatureZone_Data(),Table_SourceData_Common_MCFTemperatureZone[[#Headers],[Temperature zone]],0)</f>
        <v>0.77</v>
      </c>
      <c r="G240" s="10" cm="1">
        <f t="array" ref="G240">Common_InputFunctions.Utility_DisplayArrayInTable(Common_SourceData.Common_SourceData_MCFTemperatureZone_Data(),Table_SourceData_Common_MCFTemperatureZone[[#Headers],[Temperature zone]],0)</f>
        <v>0.1</v>
      </c>
      <c r="H240" s="10" cm="1">
        <f t="array" ref="H240">Common_InputFunctions.Utility_DisplayArrayInTable(Common_SourceData.Common_SourceData_MCFTemperatureZone_Data(),Table_SourceData_Common_MCFTemperatureZone[[#Headers],[Temperature zone]],0)</f>
        <v>0.22</v>
      </c>
      <c r="I240" s="10" cm="1">
        <f t="array" ref="I240">Common_InputFunctions.Utility_DisplayArrayInTable(Common_SourceData.Common_SourceData_MCFTemperatureZone_Data(),Table_SourceData_Common_MCFTemperatureZone[[#Headers],[Temperature zone]],0)</f>
        <v>5.0000000000000001E-3</v>
      </c>
      <c r="J240" s="10" cm="1">
        <f t="array" ref="J240">Common_InputFunctions.Utility_DisplayArrayInTable(Common_SourceData.Common_SourceData_MCFTemperatureZone_Data(),Table_SourceData_Common_MCFTemperatureZone[[#Headers],[Temperature zone]],0)</f>
        <v>0.01</v>
      </c>
      <c r="K240" s="10" cm="1">
        <f t="array" ref="K240">Common_InputFunctions.Utility_DisplayArrayInTable(Common_SourceData.Common_SourceData_MCFTemperatureZone_Data(),Table_SourceData_Common_MCFTemperatureZone[[#Headers],[Temperature zone]],0)</f>
        <v>0.02</v>
      </c>
      <c r="L240" s="10" cm="1">
        <f t="array" ref="L240">Common_InputFunctions.Utility_DisplayArrayInTable(Common_SourceData.Common_SourceData_MCFTemperatureZone_Data(),Table_SourceData_Common_MCFTemperatureZone[[#Headers],[Temperature zone]],0)</f>
        <v>0.03</v>
      </c>
      <c r="M240" s="10" cm="1">
        <f t="array" ref="M240">Common_InputFunctions.Utility_DisplayArrayInTable(Common_SourceData.Common_SourceData_MCFTemperatureZone_Data(),Table_SourceData_Common_MCFTemperatureZone[[#Headers],[Temperature zone]],0)</f>
        <v>0.04</v>
      </c>
      <c r="N240" s="10" cm="1">
        <f t="array" ref="N240">Common_InputFunctions.Utility_DisplayArrayInTable(Common_SourceData.Common_SourceData_MCFTemperatureZone_Data(),Table_SourceData_Common_MCFTemperatureZone[[#Headers],[Temperature zone]],0)</f>
        <v>1.4999999999999999E-2</v>
      </c>
      <c r="O240" s="10" cm="1">
        <f t="array" ref="O240">Common_InputFunctions.Utility_DisplayArrayInTable(Common_SourceData.Common_SourceData_MCFTemperatureZone_Data(),Table_SourceData_Common_MCFTemperatureZone[[#Headers],[Temperature zone]],0)</f>
        <v>1.4999999999999999E-2</v>
      </c>
      <c r="P240" s="10" cm="1">
        <f t="array" ref="P240">Common_InputFunctions.Utility_DisplayArrayInTable(Common_SourceData.Common_SourceData_MCFTemperatureZone_Data(),Table_SourceData_Common_MCFTemperatureZone[[#Headers],[Temperature zone]],0)</f>
        <v>0</v>
      </c>
      <c r="Q240" s="10" cm="1">
        <f t="array" ref="Q240">Common_InputFunctions.Utility_DisplayArrayInTable(Common_SourceData.Common_SourceData_MCFTemperatureZone_Data(),Table_SourceData_Common_MCFTemperatureZone[[#Headers],[Temperature zone]],0)</f>
        <v>0</v>
      </c>
      <c r="R240" s="10" cm="1">
        <f t="array" ref="R240">Common_InputFunctions.Utility_DisplayArrayInTable(Common_SourceData.Common_SourceData_MCFTemperatureZone_Data(),Table_SourceData_Common_MCFTemperatureZone[[#Headers],[Temperature zone]],0)</f>
        <v>4.7000000000000002E-3</v>
      </c>
      <c r="S240" s="10" cm="1">
        <f t="array" ref="S240">Common_InputFunctions.Utility_DisplayArrayInTable(Common_SourceData.Common_SourceData_MCFTemperatureZone_Data(),Table_SourceData_Common_MCFTemperatureZone[[#Headers],[Temperature zone]],0)</f>
        <v>18</v>
      </c>
    </row>
    <row r="241" spans="4:19" x14ac:dyDescent="0.25">
      <c r="D241" s="8" t="str" cm="1">
        <f t="array" ref="D241">Common_InputFunctions.Utility_DisplayArrayInTable(Common_SourceData.Common_SourceData_MCFTemperatureZone_Data(),Table_SourceData_Common_MCFTemperatureZone[[#Headers],[Temperature zone]],0)</f>
        <v>Temperate</v>
      </c>
      <c r="E241" s="10" cm="1">
        <f t="array" ref="E241">Common_InputFunctions.Utility_DisplayArrayInTable(Common_SourceData.Common_SourceData_MCFTemperatureZone_Data(),Table_SourceData_Common_MCFTemperatureZone[[#Headers],[Temperature zone]],0)</f>
        <v>19</v>
      </c>
      <c r="F241" s="10" cm="1">
        <f t="array" ref="F241">Common_InputFunctions.Utility_DisplayArrayInTable(Common_SourceData.Common_SourceData_MCFTemperatureZone_Data(),Table_SourceData_Common_MCFTemperatureZone[[#Headers],[Temperature zone]],0)</f>
        <v>0.77</v>
      </c>
      <c r="G241" s="10" cm="1">
        <f t="array" ref="G241">Common_InputFunctions.Utility_DisplayArrayInTable(Common_SourceData.Common_SourceData_MCFTemperatureZone_Data(),Table_SourceData_Common_MCFTemperatureZone[[#Headers],[Temperature zone]],0)</f>
        <v>0.1</v>
      </c>
      <c r="H241" s="10" cm="1">
        <f t="array" ref="H241">Common_InputFunctions.Utility_DisplayArrayInTable(Common_SourceData.Common_SourceData_MCFTemperatureZone_Data(),Table_SourceData_Common_MCFTemperatureZone[[#Headers],[Temperature zone]],0)</f>
        <v>0.24</v>
      </c>
      <c r="I241" s="10" cm="1">
        <f t="array" ref="I241">Common_InputFunctions.Utility_DisplayArrayInTable(Common_SourceData.Common_SourceData_MCFTemperatureZone_Data(),Table_SourceData_Common_MCFTemperatureZone[[#Headers],[Temperature zone]],0)</f>
        <v>5.0000000000000001E-3</v>
      </c>
      <c r="J241" s="10" cm="1">
        <f t="array" ref="J241">Common_InputFunctions.Utility_DisplayArrayInTable(Common_SourceData.Common_SourceData_MCFTemperatureZone_Data(),Table_SourceData_Common_MCFTemperatureZone[[#Headers],[Temperature zone]],0)</f>
        <v>0.01</v>
      </c>
      <c r="K241" s="10" cm="1">
        <f t="array" ref="K241">Common_InputFunctions.Utility_DisplayArrayInTable(Common_SourceData.Common_SourceData_MCFTemperatureZone_Data(),Table_SourceData_Common_MCFTemperatureZone[[#Headers],[Temperature zone]],0)</f>
        <v>0.02</v>
      </c>
      <c r="L241" s="10" cm="1">
        <f t="array" ref="L241">Common_InputFunctions.Utility_DisplayArrayInTable(Common_SourceData.Common_SourceData_MCFTemperatureZone_Data(),Table_SourceData_Common_MCFTemperatureZone[[#Headers],[Temperature zone]],0)</f>
        <v>0.03</v>
      </c>
      <c r="M241" s="10" cm="1">
        <f t="array" ref="M241">Common_InputFunctions.Utility_DisplayArrayInTable(Common_SourceData.Common_SourceData_MCFTemperatureZone_Data(),Table_SourceData_Common_MCFTemperatureZone[[#Headers],[Temperature zone]],0)</f>
        <v>0.04</v>
      </c>
      <c r="N241" s="10" cm="1">
        <f t="array" ref="N241">Common_InputFunctions.Utility_DisplayArrayInTable(Common_SourceData.Common_SourceData_MCFTemperatureZone_Data(),Table_SourceData_Common_MCFTemperatureZone[[#Headers],[Temperature zone]],0)</f>
        <v>1.4999999999999999E-2</v>
      </c>
      <c r="O241" s="10" cm="1">
        <f t="array" ref="O241">Common_InputFunctions.Utility_DisplayArrayInTable(Common_SourceData.Common_SourceData_MCFTemperatureZone_Data(),Table_SourceData_Common_MCFTemperatureZone[[#Headers],[Temperature zone]],0)</f>
        <v>1.4999999999999999E-2</v>
      </c>
      <c r="P241" s="10" cm="1">
        <f t="array" ref="P241">Common_InputFunctions.Utility_DisplayArrayInTable(Common_SourceData.Common_SourceData_MCFTemperatureZone_Data(),Table_SourceData_Common_MCFTemperatureZone[[#Headers],[Temperature zone]],0)</f>
        <v>0</v>
      </c>
      <c r="Q241" s="10" cm="1">
        <f t="array" ref="Q241">Common_InputFunctions.Utility_DisplayArrayInTable(Common_SourceData.Common_SourceData_MCFTemperatureZone_Data(),Table_SourceData_Common_MCFTemperatureZone[[#Headers],[Temperature zone]],0)</f>
        <v>0</v>
      </c>
      <c r="R241" s="10" cm="1">
        <f t="array" ref="R241">Common_InputFunctions.Utility_DisplayArrayInTable(Common_SourceData.Common_SourceData_MCFTemperatureZone_Data(),Table_SourceData_Common_MCFTemperatureZone[[#Headers],[Temperature zone]],0)</f>
        <v>4.7000000000000002E-3</v>
      </c>
      <c r="S241" s="10" cm="1">
        <f t="array" ref="S241">Common_InputFunctions.Utility_DisplayArrayInTable(Common_SourceData.Common_SourceData_MCFTemperatureZone_Data(),Table_SourceData_Common_MCFTemperatureZone[[#Headers],[Temperature zone]],0)</f>
        <v>19</v>
      </c>
    </row>
    <row r="242" spans="4:19" x14ac:dyDescent="0.25">
      <c r="D242" s="8" t="str" cm="1">
        <f t="array" ref="D242">Common_InputFunctions.Utility_DisplayArrayInTable(Common_SourceData.Common_SourceData_MCFTemperatureZone_Data(),Table_SourceData_Common_MCFTemperatureZone[[#Headers],[Temperature zone]],0)</f>
        <v>Temperate</v>
      </c>
      <c r="E242" s="10" cm="1">
        <f t="array" ref="E242">Common_InputFunctions.Utility_DisplayArrayInTable(Common_SourceData.Common_SourceData_MCFTemperatureZone_Data(),Table_SourceData_Common_MCFTemperatureZone[[#Headers],[Temperature zone]],0)</f>
        <v>20</v>
      </c>
      <c r="F242" s="10" cm="1">
        <f t="array" ref="F242">Common_InputFunctions.Utility_DisplayArrayInTable(Common_SourceData.Common_SourceData_MCFTemperatureZone_Data(),Table_SourceData_Common_MCFTemperatureZone[[#Headers],[Temperature zone]],0)</f>
        <v>0.78</v>
      </c>
      <c r="G242" s="10" cm="1">
        <f t="array" ref="G242">Common_InputFunctions.Utility_DisplayArrayInTable(Common_SourceData.Common_SourceData_MCFTemperatureZone_Data(),Table_SourceData_Common_MCFTemperatureZone[[#Headers],[Temperature zone]],0)</f>
        <v>0.1</v>
      </c>
      <c r="H242" s="10" cm="1">
        <f t="array" ref="H242">Common_InputFunctions.Utility_DisplayArrayInTable(Common_SourceData.Common_SourceData_MCFTemperatureZone_Data(),Table_SourceData_Common_MCFTemperatureZone[[#Headers],[Temperature zone]],0)</f>
        <v>0.26</v>
      </c>
      <c r="I242" s="10" cm="1">
        <f t="array" ref="I242">Common_InputFunctions.Utility_DisplayArrayInTable(Common_SourceData.Common_SourceData_MCFTemperatureZone_Data(),Table_SourceData_Common_MCFTemperatureZone[[#Headers],[Temperature zone]],0)</f>
        <v>5.0000000000000001E-3</v>
      </c>
      <c r="J242" s="10" cm="1">
        <f t="array" ref="J242">Common_InputFunctions.Utility_DisplayArrayInTable(Common_SourceData.Common_SourceData_MCFTemperatureZone_Data(),Table_SourceData_Common_MCFTemperatureZone[[#Headers],[Temperature zone]],0)</f>
        <v>0.01</v>
      </c>
      <c r="K242" s="10" cm="1">
        <f t="array" ref="K242">Common_InputFunctions.Utility_DisplayArrayInTable(Common_SourceData.Common_SourceData_MCFTemperatureZone_Data(),Table_SourceData_Common_MCFTemperatureZone[[#Headers],[Temperature zone]],0)</f>
        <v>0.02</v>
      </c>
      <c r="L242" s="10" cm="1">
        <f t="array" ref="L242">Common_InputFunctions.Utility_DisplayArrayInTable(Common_SourceData.Common_SourceData_MCFTemperatureZone_Data(),Table_SourceData_Common_MCFTemperatureZone[[#Headers],[Temperature zone]],0)</f>
        <v>0.03</v>
      </c>
      <c r="M242" s="10" cm="1">
        <f t="array" ref="M242">Common_InputFunctions.Utility_DisplayArrayInTable(Common_SourceData.Common_SourceData_MCFTemperatureZone_Data(),Table_SourceData_Common_MCFTemperatureZone[[#Headers],[Temperature zone]],0)</f>
        <v>0.04</v>
      </c>
      <c r="N242" s="10" cm="1">
        <f t="array" ref="N242">Common_InputFunctions.Utility_DisplayArrayInTable(Common_SourceData.Common_SourceData_MCFTemperatureZone_Data(),Table_SourceData_Common_MCFTemperatureZone[[#Headers],[Temperature zone]],0)</f>
        <v>1.4999999999999999E-2</v>
      </c>
      <c r="O242" s="10" cm="1">
        <f t="array" ref="O242">Common_InputFunctions.Utility_DisplayArrayInTable(Common_SourceData.Common_SourceData_MCFTemperatureZone_Data(),Table_SourceData_Common_MCFTemperatureZone[[#Headers],[Temperature zone]],0)</f>
        <v>1.4999999999999999E-2</v>
      </c>
      <c r="P242" s="10" cm="1">
        <f t="array" ref="P242">Common_InputFunctions.Utility_DisplayArrayInTable(Common_SourceData.Common_SourceData_MCFTemperatureZone_Data(),Table_SourceData_Common_MCFTemperatureZone[[#Headers],[Temperature zone]],0)</f>
        <v>0</v>
      </c>
      <c r="Q242" s="10" cm="1">
        <f t="array" ref="Q242">Common_InputFunctions.Utility_DisplayArrayInTable(Common_SourceData.Common_SourceData_MCFTemperatureZone_Data(),Table_SourceData_Common_MCFTemperatureZone[[#Headers],[Temperature zone]],0)</f>
        <v>0</v>
      </c>
      <c r="R242" s="10" cm="1">
        <f t="array" ref="R242">Common_InputFunctions.Utility_DisplayArrayInTable(Common_SourceData.Common_SourceData_MCFTemperatureZone_Data(),Table_SourceData_Common_MCFTemperatureZone[[#Headers],[Temperature zone]],0)</f>
        <v>4.7000000000000002E-3</v>
      </c>
      <c r="S242" s="10" cm="1">
        <f t="array" ref="S242">Common_InputFunctions.Utility_DisplayArrayInTable(Common_SourceData.Common_SourceData_MCFTemperatureZone_Data(),Table_SourceData_Common_MCFTemperatureZone[[#Headers],[Temperature zone]],0)</f>
        <v>20</v>
      </c>
    </row>
    <row r="243" spans="4:19" x14ac:dyDescent="0.25">
      <c r="D243" s="8" t="str" cm="1">
        <f t="array" ref="D243">Common_InputFunctions.Utility_DisplayArrayInTable(Common_SourceData.Common_SourceData_MCFTemperatureZone_Data(),Table_SourceData_Common_MCFTemperatureZone[[#Headers],[Temperature zone]],0)</f>
        <v>Temperate</v>
      </c>
      <c r="E243" s="10" cm="1">
        <f t="array" ref="E243">Common_InputFunctions.Utility_DisplayArrayInTable(Common_SourceData.Common_SourceData_MCFTemperatureZone_Data(),Table_SourceData_Common_MCFTemperatureZone[[#Headers],[Temperature zone]],0)</f>
        <v>21</v>
      </c>
      <c r="F243" s="10" cm="1">
        <f t="array" ref="F243">Common_InputFunctions.Utility_DisplayArrayInTable(Common_SourceData.Common_SourceData_MCFTemperatureZone_Data(),Table_SourceData_Common_MCFTemperatureZone[[#Headers],[Temperature zone]],0)</f>
        <v>0.78</v>
      </c>
      <c r="G243" s="10" cm="1">
        <f t="array" ref="G243">Common_InputFunctions.Utility_DisplayArrayInTable(Common_SourceData.Common_SourceData_MCFTemperatureZone_Data(),Table_SourceData_Common_MCFTemperatureZone[[#Headers],[Temperature zone]],0)</f>
        <v>0.1</v>
      </c>
      <c r="H243" s="10" cm="1">
        <f t="array" ref="H243">Common_InputFunctions.Utility_DisplayArrayInTable(Common_SourceData.Common_SourceData_MCFTemperatureZone_Data(),Table_SourceData_Common_MCFTemperatureZone[[#Headers],[Temperature zone]],0)</f>
        <v>0.28999999999999998</v>
      </c>
      <c r="I243" s="10" cm="1">
        <f t="array" ref="I243">Common_InputFunctions.Utility_DisplayArrayInTable(Common_SourceData.Common_SourceData_MCFTemperatureZone_Data(),Table_SourceData_Common_MCFTemperatureZone[[#Headers],[Temperature zone]],0)</f>
        <v>5.0000000000000001E-3</v>
      </c>
      <c r="J243" s="10" cm="1">
        <f t="array" ref="J243">Common_InputFunctions.Utility_DisplayArrayInTable(Common_SourceData.Common_SourceData_MCFTemperatureZone_Data(),Table_SourceData_Common_MCFTemperatureZone[[#Headers],[Temperature zone]],0)</f>
        <v>0.01</v>
      </c>
      <c r="K243" s="10" cm="1">
        <f t="array" ref="K243">Common_InputFunctions.Utility_DisplayArrayInTable(Common_SourceData.Common_SourceData_MCFTemperatureZone_Data(),Table_SourceData_Common_MCFTemperatureZone[[#Headers],[Temperature zone]],0)</f>
        <v>0.02</v>
      </c>
      <c r="L243" s="10" cm="1">
        <f t="array" ref="L243">Common_InputFunctions.Utility_DisplayArrayInTable(Common_SourceData.Common_SourceData_MCFTemperatureZone_Data(),Table_SourceData_Common_MCFTemperatureZone[[#Headers],[Temperature zone]],0)</f>
        <v>0.03</v>
      </c>
      <c r="M243" s="10" cm="1">
        <f t="array" ref="M243">Common_InputFunctions.Utility_DisplayArrayInTable(Common_SourceData.Common_SourceData_MCFTemperatureZone_Data(),Table_SourceData_Common_MCFTemperatureZone[[#Headers],[Temperature zone]],0)</f>
        <v>0.04</v>
      </c>
      <c r="N243" s="10" cm="1">
        <f t="array" ref="N243">Common_InputFunctions.Utility_DisplayArrayInTable(Common_SourceData.Common_SourceData_MCFTemperatureZone_Data(),Table_SourceData_Common_MCFTemperatureZone[[#Headers],[Temperature zone]],0)</f>
        <v>1.4999999999999999E-2</v>
      </c>
      <c r="O243" s="10" cm="1">
        <f t="array" ref="O243">Common_InputFunctions.Utility_DisplayArrayInTable(Common_SourceData.Common_SourceData_MCFTemperatureZone_Data(),Table_SourceData_Common_MCFTemperatureZone[[#Headers],[Temperature zone]],0)</f>
        <v>1.4999999999999999E-2</v>
      </c>
      <c r="P243" s="10" cm="1">
        <f t="array" ref="P243">Common_InputFunctions.Utility_DisplayArrayInTable(Common_SourceData.Common_SourceData_MCFTemperatureZone_Data(),Table_SourceData_Common_MCFTemperatureZone[[#Headers],[Temperature zone]],0)</f>
        <v>0</v>
      </c>
      <c r="Q243" s="10" cm="1">
        <f t="array" ref="Q243">Common_InputFunctions.Utility_DisplayArrayInTable(Common_SourceData.Common_SourceData_MCFTemperatureZone_Data(),Table_SourceData_Common_MCFTemperatureZone[[#Headers],[Temperature zone]],0)</f>
        <v>0</v>
      </c>
      <c r="R243" s="10" cm="1">
        <f t="array" ref="R243">Common_InputFunctions.Utility_DisplayArrayInTable(Common_SourceData.Common_SourceData_MCFTemperatureZone_Data(),Table_SourceData_Common_MCFTemperatureZone[[#Headers],[Temperature zone]],0)</f>
        <v>4.7000000000000002E-3</v>
      </c>
      <c r="S243" s="10" cm="1">
        <f t="array" ref="S243">Common_InputFunctions.Utility_DisplayArrayInTable(Common_SourceData.Common_SourceData_MCFTemperatureZone_Data(),Table_SourceData_Common_MCFTemperatureZone[[#Headers],[Temperature zone]],0)</f>
        <v>21</v>
      </c>
    </row>
    <row r="244" spans="4:19" x14ac:dyDescent="0.25">
      <c r="D244" s="8" t="str" cm="1">
        <f t="array" ref="D244">Common_InputFunctions.Utility_DisplayArrayInTable(Common_SourceData.Common_SourceData_MCFTemperatureZone_Data(),Table_SourceData_Common_MCFTemperatureZone[[#Headers],[Temperature zone]],0)</f>
        <v>Temperate</v>
      </c>
      <c r="E244" s="10" cm="1">
        <f t="array" ref="E244">Common_InputFunctions.Utility_DisplayArrayInTable(Common_SourceData.Common_SourceData_MCFTemperatureZone_Data(),Table_SourceData_Common_MCFTemperatureZone[[#Headers],[Temperature zone]],0)</f>
        <v>22</v>
      </c>
      <c r="F244" s="10" cm="1">
        <f t="array" ref="F244">Common_InputFunctions.Utility_DisplayArrayInTable(Common_SourceData.Common_SourceData_MCFTemperatureZone_Data(),Table_SourceData_Common_MCFTemperatureZone[[#Headers],[Temperature zone]],0)</f>
        <v>0.78</v>
      </c>
      <c r="G244" s="10" cm="1">
        <f t="array" ref="G244">Common_InputFunctions.Utility_DisplayArrayInTable(Common_SourceData.Common_SourceData_MCFTemperatureZone_Data(),Table_SourceData_Common_MCFTemperatureZone[[#Headers],[Temperature zone]],0)</f>
        <v>0.1</v>
      </c>
      <c r="H244" s="10" cm="1">
        <f t="array" ref="H244">Common_InputFunctions.Utility_DisplayArrayInTable(Common_SourceData.Common_SourceData_MCFTemperatureZone_Data(),Table_SourceData_Common_MCFTemperatureZone[[#Headers],[Temperature zone]],0)</f>
        <v>0.31</v>
      </c>
      <c r="I244" s="10" cm="1">
        <f t="array" ref="I244">Common_InputFunctions.Utility_DisplayArrayInTable(Common_SourceData.Common_SourceData_MCFTemperatureZone_Data(),Table_SourceData_Common_MCFTemperatureZone[[#Headers],[Temperature zone]],0)</f>
        <v>5.0000000000000001E-3</v>
      </c>
      <c r="J244" s="10" cm="1">
        <f t="array" ref="J244">Common_InputFunctions.Utility_DisplayArrayInTable(Common_SourceData.Common_SourceData_MCFTemperatureZone_Data(),Table_SourceData_Common_MCFTemperatureZone[[#Headers],[Temperature zone]],0)</f>
        <v>0.01</v>
      </c>
      <c r="K244" s="10" cm="1">
        <f t="array" ref="K244">Common_InputFunctions.Utility_DisplayArrayInTable(Common_SourceData.Common_SourceData_MCFTemperatureZone_Data(),Table_SourceData_Common_MCFTemperatureZone[[#Headers],[Temperature zone]],0)</f>
        <v>0.02</v>
      </c>
      <c r="L244" s="10" cm="1">
        <f t="array" ref="L244">Common_InputFunctions.Utility_DisplayArrayInTable(Common_SourceData.Common_SourceData_MCFTemperatureZone_Data(),Table_SourceData_Common_MCFTemperatureZone[[#Headers],[Temperature zone]],0)</f>
        <v>0.03</v>
      </c>
      <c r="M244" s="10" cm="1">
        <f t="array" ref="M244">Common_InputFunctions.Utility_DisplayArrayInTable(Common_SourceData.Common_SourceData_MCFTemperatureZone_Data(),Table_SourceData_Common_MCFTemperatureZone[[#Headers],[Temperature zone]],0)</f>
        <v>0.04</v>
      </c>
      <c r="N244" s="10" cm="1">
        <f t="array" ref="N244">Common_InputFunctions.Utility_DisplayArrayInTable(Common_SourceData.Common_SourceData_MCFTemperatureZone_Data(),Table_SourceData_Common_MCFTemperatureZone[[#Headers],[Temperature zone]],0)</f>
        <v>1.4999999999999999E-2</v>
      </c>
      <c r="O244" s="10" cm="1">
        <f t="array" ref="O244">Common_InputFunctions.Utility_DisplayArrayInTable(Common_SourceData.Common_SourceData_MCFTemperatureZone_Data(),Table_SourceData_Common_MCFTemperatureZone[[#Headers],[Temperature zone]],0)</f>
        <v>1.4999999999999999E-2</v>
      </c>
      <c r="P244" s="10" cm="1">
        <f t="array" ref="P244">Common_InputFunctions.Utility_DisplayArrayInTable(Common_SourceData.Common_SourceData_MCFTemperatureZone_Data(),Table_SourceData_Common_MCFTemperatureZone[[#Headers],[Temperature zone]],0)</f>
        <v>0</v>
      </c>
      <c r="Q244" s="10" cm="1">
        <f t="array" ref="Q244">Common_InputFunctions.Utility_DisplayArrayInTable(Common_SourceData.Common_SourceData_MCFTemperatureZone_Data(),Table_SourceData_Common_MCFTemperatureZone[[#Headers],[Temperature zone]],0)</f>
        <v>0</v>
      </c>
      <c r="R244" s="10" cm="1">
        <f t="array" ref="R244">Common_InputFunctions.Utility_DisplayArrayInTable(Common_SourceData.Common_SourceData_MCFTemperatureZone_Data(),Table_SourceData_Common_MCFTemperatureZone[[#Headers],[Temperature zone]],0)</f>
        <v>4.7000000000000002E-3</v>
      </c>
      <c r="S244" s="10" cm="1">
        <f t="array" ref="S244">Common_InputFunctions.Utility_DisplayArrayInTable(Common_SourceData.Common_SourceData_MCFTemperatureZone_Data(),Table_SourceData_Common_MCFTemperatureZone[[#Headers],[Temperature zone]],0)</f>
        <v>22</v>
      </c>
    </row>
    <row r="245" spans="4:19" x14ac:dyDescent="0.25">
      <c r="D245" s="8" t="str" cm="1">
        <f t="array" ref="D245">Common_InputFunctions.Utility_DisplayArrayInTable(Common_SourceData.Common_SourceData_MCFTemperatureZone_Data(),Table_SourceData_Common_MCFTemperatureZone[[#Headers],[Temperature zone]],0)</f>
        <v>Temperate</v>
      </c>
      <c r="E245" s="10" cm="1">
        <f t="array" ref="E245">Common_InputFunctions.Utility_DisplayArrayInTable(Common_SourceData.Common_SourceData_MCFTemperatureZone_Data(),Table_SourceData_Common_MCFTemperatureZone[[#Headers],[Temperature zone]],0)</f>
        <v>23</v>
      </c>
      <c r="F245" s="10" cm="1">
        <f t="array" ref="F245">Common_InputFunctions.Utility_DisplayArrayInTable(Common_SourceData.Common_SourceData_MCFTemperatureZone_Data(),Table_SourceData_Common_MCFTemperatureZone[[#Headers],[Temperature zone]],0)</f>
        <v>0.79</v>
      </c>
      <c r="G245" s="10" cm="1">
        <f t="array" ref="G245">Common_InputFunctions.Utility_DisplayArrayInTable(Common_SourceData.Common_SourceData_MCFTemperatureZone_Data(),Table_SourceData_Common_MCFTemperatureZone[[#Headers],[Temperature zone]],0)</f>
        <v>0.1</v>
      </c>
      <c r="H245" s="10" cm="1">
        <f t="array" ref="H245">Common_InputFunctions.Utility_DisplayArrayInTable(Common_SourceData.Common_SourceData_MCFTemperatureZone_Data(),Table_SourceData_Common_MCFTemperatureZone[[#Headers],[Temperature zone]],0)</f>
        <v>0.34</v>
      </c>
      <c r="I245" s="10" cm="1">
        <f t="array" ref="I245">Common_InputFunctions.Utility_DisplayArrayInTable(Common_SourceData.Common_SourceData_MCFTemperatureZone_Data(),Table_SourceData_Common_MCFTemperatureZone[[#Headers],[Temperature zone]],0)</f>
        <v>5.0000000000000001E-3</v>
      </c>
      <c r="J245" s="10" cm="1">
        <f t="array" ref="J245">Common_InputFunctions.Utility_DisplayArrayInTable(Common_SourceData.Common_SourceData_MCFTemperatureZone_Data(),Table_SourceData_Common_MCFTemperatureZone[[#Headers],[Temperature zone]],0)</f>
        <v>0.01</v>
      </c>
      <c r="K245" s="10" cm="1">
        <f t="array" ref="K245">Common_InputFunctions.Utility_DisplayArrayInTable(Common_SourceData.Common_SourceData_MCFTemperatureZone_Data(),Table_SourceData_Common_MCFTemperatureZone[[#Headers],[Temperature zone]],0)</f>
        <v>0.02</v>
      </c>
      <c r="L245" s="10" cm="1">
        <f t="array" ref="L245">Common_InputFunctions.Utility_DisplayArrayInTable(Common_SourceData.Common_SourceData_MCFTemperatureZone_Data(),Table_SourceData_Common_MCFTemperatureZone[[#Headers],[Temperature zone]],0)</f>
        <v>0.03</v>
      </c>
      <c r="M245" s="10" cm="1">
        <f t="array" ref="M245">Common_InputFunctions.Utility_DisplayArrayInTable(Common_SourceData.Common_SourceData_MCFTemperatureZone_Data(),Table_SourceData_Common_MCFTemperatureZone[[#Headers],[Temperature zone]],0)</f>
        <v>0.04</v>
      </c>
      <c r="N245" s="10" cm="1">
        <f t="array" ref="N245">Common_InputFunctions.Utility_DisplayArrayInTable(Common_SourceData.Common_SourceData_MCFTemperatureZone_Data(),Table_SourceData_Common_MCFTemperatureZone[[#Headers],[Temperature zone]],0)</f>
        <v>1.4999999999999999E-2</v>
      </c>
      <c r="O245" s="10" cm="1">
        <f t="array" ref="O245">Common_InputFunctions.Utility_DisplayArrayInTable(Common_SourceData.Common_SourceData_MCFTemperatureZone_Data(),Table_SourceData_Common_MCFTemperatureZone[[#Headers],[Temperature zone]],0)</f>
        <v>1.4999999999999999E-2</v>
      </c>
      <c r="P245" s="10" cm="1">
        <f t="array" ref="P245">Common_InputFunctions.Utility_DisplayArrayInTable(Common_SourceData.Common_SourceData_MCFTemperatureZone_Data(),Table_SourceData_Common_MCFTemperatureZone[[#Headers],[Temperature zone]],0)</f>
        <v>0</v>
      </c>
      <c r="Q245" s="10" cm="1">
        <f t="array" ref="Q245">Common_InputFunctions.Utility_DisplayArrayInTable(Common_SourceData.Common_SourceData_MCFTemperatureZone_Data(),Table_SourceData_Common_MCFTemperatureZone[[#Headers],[Temperature zone]],0)</f>
        <v>0</v>
      </c>
      <c r="R245" s="10" cm="1">
        <f t="array" ref="R245">Common_InputFunctions.Utility_DisplayArrayInTable(Common_SourceData.Common_SourceData_MCFTemperatureZone_Data(),Table_SourceData_Common_MCFTemperatureZone[[#Headers],[Temperature zone]],0)</f>
        <v>4.7000000000000002E-3</v>
      </c>
      <c r="S245" s="10" cm="1">
        <f t="array" ref="S245">Common_InputFunctions.Utility_DisplayArrayInTable(Common_SourceData.Common_SourceData_MCFTemperatureZone_Data(),Table_SourceData_Common_MCFTemperatureZone[[#Headers],[Temperature zone]],0)</f>
        <v>23</v>
      </c>
    </row>
    <row r="246" spans="4:19" x14ac:dyDescent="0.25">
      <c r="D246" s="8" t="str" cm="1">
        <f t="array" ref="D246">Common_InputFunctions.Utility_DisplayArrayInTable(Common_SourceData.Common_SourceData_MCFTemperatureZone_Data(),Table_SourceData_Common_MCFTemperatureZone[[#Headers],[Temperature zone]],0)</f>
        <v>Temperate</v>
      </c>
      <c r="E246" s="10" cm="1">
        <f t="array" ref="E246">Common_InputFunctions.Utility_DisplayArrayInTable(Common_SourceData.Common_SourceData_MCFTemperatureZone_Data(),Table_SourceData_Common_MCFTemperatureZone[[#Headers],[Temperature zone]],0)</f>
        <v>24</v>
      </c>
      <c r="F246" s="10" cm="1">
        <f t="array" ref="F246">Common_InputFunctions.Utility_DisplayArrayInTable(Common_SourceData.Common_SourceData_MCFTemperatureZone_Data(),Table_SourceData_Common_MCFTemperatureZone[[#Headers],[Temperature zone]],0)</f>
        <v>0.79</v>
      </c>
      <c r="G246" s="10" cm="1">
        <f t="array" ref="G246">Common_InputFunctions.Utility_DisplayArrayInTable(Common_SourceData.Common_SourceData_MCFTemperatureZone_Data(),Table_SourceData_Common_MCFTemperatureZone[[#Headers],[Temperature zone]],0)</f>
        <v>0.1</v>
      </c>
      <c r="H246" s="10" cm="1">
        <f t="array" ref="H246">Common_InputFunctions.Utility_DisplayArrayInTable(Common_SourceData.Common_SourceData_MCFTemperatureZone_Data(),Table_SourceData_Common_MCFTemperatureZone[[#Headers],[Temperature zone]],0)</f>
        <v>0.37</v>
      </c>
      <c r="I246" s="10" cm="1">
        <f t="array" ref="I246">Common_InputFunctions.Utility_DisplayArrayInTable(Common_SourceData.Common_SourceData_MCFTemperatureZone_Data(),Table_SourceData_Common_MCFTemperatureZone[[#Headers],[Temperature zone]],0)</f>
        <v>5.0000000000000001E-3</v>
      </c>
      <c r="J246" s="10" cm="1">
        <f t="array" ref="J246">Common_InputFunctions.Utility_DisplayArrayInTable(Common_SourceData.Common_SourceData_MCFTemperatureZone_Data(),Table_SourceData_Common_MCFTemperatureZone[[#Headers],[Temperature zone]],0)</f>
        <v>0.01</v>
      </c>
      <c r="K246" s="10" cm="1">
        <f t="array" ref="K246">Common_InputFunctions.Utility_DisplayArrayInTable(Common_SourceData.Common_SourceData_MCFTemperatureZone_Data(),Table_SourceData_Common_MCFTemperatureZone[[#Headers],[Temperature zone]],0)</f>
        <v>0.02</v>
      </c>
      <c r="L246" s="10" cm="1">
        <f t="array" ref="L246">Common_InputFunctions.Utility_DisplayArrayInTable(Common_SourceData.Common_SourceData_MCFTemperatureZone_Data(),Table_SourceData_Common_MCFTemperatureZone[[#Headers],[Temperature zone]],0)</f>
        <v>0.03</v>
      </c>
      <c r="M246" s="10" cm="1">
        <f t="array" ref="M246">Common_InputFunctions.Utility_DisplayArrayInTable(Common_SourceData.Common_SourceData_MCFTemperatureZone_Data(),Table_SourceData_Common_MCFTemperatureZone[[#Headers],[Temperature zone]],0)</f>
        <v>0.04</v>
      </c>
      <c r="N246" s="10" cm="1">
        <f t="array" ref="N246">Common_InputFunctions.Utility_DisplayArrayInTable(Common_SourceData.Common_SourceData_MCFTemperatureZone_Data(),Table_SourceData_Common_MCFTemperatureZone[[#Headers],[Temperature zone]],0)</f>
        <v>1.4999999999999999E-2</v>
      </c>
      <c r="O246" s="10" cm="1">
        <f t="array" ref="O246">Common_InputFunctions.Utility_DisplayArrayInTable(Common_SourceData.Common_SourceData_MCFTemperatureZone_Data(),Table_SourceData_Common_MCFTemperatureZone[[#Headers],[Temperature zone]],0)</f>
        <v>1.4999999999999999E-2</v>
      </c>
      <c r="P246" s="10" cm="1">
        <f t="array" ref="P246">Common_InputFunctions.Utility_DisplayArrayInTable(Common_SourceData.Common_SourceData_MCFTemperatureZone_Data(),Table_SourceData_Common_MCFTemperatureZone[[#Headers],[Temperature zone]],0)</f>
        <v>0</v>
      </c>
      <c r="Q246" s="10" cm="1">
        <f t="array" ref="Q246">Common_InputFunctions.Utility_DisplayArrayInTable(Common_SourceData.Common_SourceData_MCFTemperatureZone_Data(),Table_SourceData_Common_MCFTemperatureZone[[#Headers],[Temperature zone]],0)</f>
        <v>0</v>
      </c>
      <c r="R246" s="10" cm="1">
        <f t="array" ref="R246">Common_InputFunctions.Utility_DisplayArrayInTable(Common_SourceData.Common_SourceData_MCFTemperatureZone_Data(),Table_SourceData_Common_MCFTemperatureZone[[#Headers],[Temperature zone]],0)</f>
        <v>4.7000000000000002E-3</v>
      </c>
      <c r="S246" s="10" cm="1">
        <f t="array" ref="S246">Common_InputFunctions.Utility_DisplayArrayInTable(Common_SourceData.Common_SourceData_MCFTemperatureZone_Data(),Table_SourceData_Common_MCFTemperatureZone[[#Headers],[Temperature zone]],0)</f>
        <v>24</v>
      </c>
    </row>
    <row r="247" spans="4:19" x14ac:dyDescent="0.25">
      <c r="D247" s="8" t="str" cm="1">
        <f t="array" ref="D247">Common_InputFunctions.Utility_DisplayArrayInTable(Common_SourceData.Common_SourceData_MCFTemperatureZone_Data(),Table_SourceData_Common_MCFTemperatureZone[[#Headers],[Temperature zone]],0)</f>
        <v>Temperate</v>
      </c>
      <c r="E247" s="10" cm="1">
        <f t="array" ref="E247">Common_InputFunctions.Utility_DisplayArrayInTable(Common_SourceData.Common_SourceData_MCFTemperatureZone_Data(),Table_SourceData_Common_MCFTemperatureZone[[#Headers],[Temperature zone]],0)</f>
        <v>25</v>
      </c>
      <c r="F247" s="10" cm="1">
        <f t="array" ref="F247">Common_InputFunctions.Utility_DisplayArrayInTable(Common_SourceData.Common_SourceData_MCFTemperatureZone_Data(),Table_SourceData_Common_MCFTemperatureZone[[#Headers],[Temperature zone]],0)</f>
        <v>0.79</v>
      </c>
      <c r="G247" s="10" cm="1">
        <f t="array" ref="G247">Common_InputFunctions.Utility_DisplayArrayInTable(Common_SourceData.Common_SourceData_MCFTemperatureZone_Data(),Table_SourceData_Common_MCFTemperatureZone[[#Headers],[Temperature zone]],0)</f>
        <v>0.1</v>
      </c>
      <c r="H247" s="10" cm="1">
        <f t="array" ref="H247">Common_InputFunctions.Utility_DisplayArrayInTable(Common_SourceData.Common_SourceData_MCFTemperatureZone_Data(),Table_SourceData_Common_MCFTemperatureZone[[#Headers],[Temperature zone]],0)</f>
        <v>0.41</v>
      </c>
      <c r="I247" s="10" cm="1">
        <f t="array" ref="I247">Common_InputFunctions.Utility_DisplayArrayInTable(Common_SourceData.Common_SourceData_MCFTemperatureZone_Data(),Table_SourceData_Common_MCFTemperatureZone[[#Headers],[Temperature zone]],0)</f>
        <v>5.0000000000000001E-3</v>
      </c>
      <c r="J247" s="10" cm="1">
        <f t="array" ref="J247">Common_InputFunctions.Utility_DisplayArrayInTable(Common_SourceData.Common_SourceData_MCFTemperatureZone_Data(),Table_SourceData_Common_MCFTemperatureZone[[#Headers],[Temperature zone]],0)</f>
        <v>0.01</v>
      </c>
      <c r="K247" s="10" cm="1">
        <f t="array" ref="K247">Common_InputFunctions.Utility_DisplayArrayInTable(Common_SourceData.Common_SourceData_MCFTemperatureZone_Data(),Table_SourceData_Common_MCFTemperatureZone[[#Headers],[Temperature zone]],0)</f>
        <v>0.02</v>
      </c>
      <c r="L247" s="10" cm="1">
        <f t="array" ref="L247">Common_InputFunctions.Utility_DisplayArrayInTable(Common_SourceData.Common_SourceData_MCFTemperatureZone_Data(),Table_SourceData_Common_MCFTemperatureZone[[#Headers],[Temperature zone]],0)</f>
        <v>0.03</v>
      </c>
      <c r="M247" s="10" cm="1">
        <f t="array" ref="M247">Common_InputFunctions.Utility_DisplayArrayInTable(Common_SourceData.Common_SourceData_MCFTemperatureZone_Data(),Table_SourceData_Common_MCFTemperatureZone[[#Headers],[Temperature zone]],0)</f>
        <v>0.04</v>
      </c>
      <c r="N247" s="10" cm="1">
        <f t="array" ref="N247">Common_InputFunctions.Utility_DisplayArrayInTable(Common_SourceData.Common_SourceData_MCFTemperatureZone_Data(),Table_SourceData_Common_MCFTemperatureZone[[#Headers],[Temperature zone]],0)</f>
        <v>1.4999999999999999E-2</v>
      </c>
      <c r="O247" s="10" cm="1">
        <f t="array" ref="O247">Common_InputFunctions.Utility_DisplayArrayInTable(Common_SourceData.Common_SourceData_MCFTemperatureZone_Data(),Table_SourceData_Common_MCFTemperatureZone[[#Headers],[Temperature zone]],0)</f>
        <v>1.4999999999999999E-2</v>
      </c>
      <c r="P247" s="10" cm="1">
        <f t="array" ref="P247">Common_InputFunctions.Utility_DisplayArrayInTable(Common_SourceData.Common_SourceData_MCFTemperatureZone_Data(),Table_SourceData_Common_MCFTemperatureZone[[#Headers],[Temperature zone]],0)</f>
        <v>0</v>
      </c>
      <c r="Q247" s="10" cm="1">
        <f t="array" ref="Q247">Common_InputFunctions.Utility_DisplayArrayInTable(Common_SourceData.Common_SourceData_MCFTemperatureZone_Data(),Table_SourceData_Common_MCFTemperatureZone[[#Headers],[Temperature zone]],0)</f>
        <v>0</v>
      </c>
      <c r="R247" s="10" cm="1">
        <f t="array" ref="R247">Common_InputFunctions.Utility_DisplayArrayInTable(Common_SourceData.Common_SourceData_MCFTemperatureZone_Data(),Table_SourceData_Common_MCFTemperatureZone[[#Headers],[Temperature zone]],0)</f>
        <v>4.7000000000000002E-3</v>
      </c>
      <c r="S247" s="10" cm="1">
        <f t="array" ref="S247">Common_InputFunctions.Utility_DisplayArrayInTable(Common_SourceData.Common_SourceData_MCFTemperatureZone_Data(),Table_SourceData_Common_MCFTemperatureZone[[#Headers],[Temperature zone]],0)</f>
        <v>25</v>
      </c>
    </row>
    <row r="248" spans="4:19" x14ac:dyDescent="0.25">
      <c r="D248" s="8" t="str" cm="1">
        <f t="array" ref="D248">Common_InputFunctions.Utility_DisplayArrayInTable(Common_SourceData.Common_SourceData_MCFTemperatureZone_Data(),Table_SourceData_Common_MCFTemperatureZone[[#Headers],[Temperature zone]],0)</f>
        <v>Warm</v>
      </c>
      <c r="E248" s="10" cm="1">
        <f t="array" ref="E248">Common_InputFunctions.Utility_DisplayArrayInTable(Common_SourceData.Common_SourceData_MCFTemperatureZone_Data(),Table_SourceData_Common_MCFTemperatureZone[[#Headers],[Temperature zone]],0)</f>
        <v>26</v>
      </c>
      <c r="F248" s="10" cm="1">
        <f t="array" ref="F248">Common_InputFunctions.Utility_DisplayArrayInTable(Common_SourceData.Common_SourceData_MCFTemperatureZone_Data(),Table_SourceData_Common_MCFTemperatureZone[[#Headers],[Temperature zone]],0)</f>
        <v>0.79</v>
      </c>
      <c r="G248" s="10" cm="1">
        <f t="array" ref="G248">Common_InputFunctions.Utility_DisplayArrayInTable(Common_SourceData.Common_SourceData_MCFTemperatureZone_Data(),Table_SourceData_Common_MCFTemperatureZone[[#Headers],[Temperature zone]],0)</f>
        <v>0.1</v>
      </c>
      <c r="H248" s="10" cm="1">
        <f t="array" ref="H248">Common_InputFunctions.Utility_DisplayArrayInTable(Common_SourceData.Common_SourceData_MCFTemperatureZone_Data(),Table_SourceData_Common_MCFTemperatureZone[[#Headers],[Temperature zone]],0)</f>
        <v>0.44</v>
      </c>
      <c r="I248" s="10" cm="1">
        <f t="array" ref="I248">Common_InputFunctions.Utility_DisplayArrayInTable(Common_SourceData.Common_SourceData_MCFTemperatureZone_Data(),Table_SourceData_Common_MCFTemperatureZone[[#Headers],[Temperature zone]],0)</f>
        <v>0.01</v>
      </c>
      <c r="J248" s="10" cm="1">
        <f t="array" ref="J248">Common_InputFunctions.Utility_DisplayArrayInTable(Common_SourceData.Common_SourceData_MCFTemperatureZone_Data(),Table_SourceData_Common_MCFTemperatureZone[[#Headers],[Temperature zone]],0)</f>
        <v>1.4999999999999999E-2</v>
      </c>
      <c r="K248" s="10" cm="1">
        <f t="array" ref="K248">Common_InputFunctions.Utility_DisplayArrayInTable(Common_SourceData.Common_SourceData_MCFTemperatureZone_Data(),Table_SourceData_Common_MCFTemperatureZone[[#Headers],[Temperature zone]],0)</f>
        <v>0.02</v>
      </c>
      <c r="L248" s="10" cm="1">
        <f t="array" ref="L248">Common_InputFunctions.Utility_DisplayArrayInTable(Common_SourceData.Common_SourceData_MCFTemperatureZone_Data(),Table_SourceData_Common_MCFTemperatureZone[[#Headers],[Temperature zone]],0)</f>
        <v>0.03</v>
      </c>
      <c r="M248" s="10" cm="1">
        <f t="array" ref="M248">Common_InputFunctions.Utility_DisplayArrayInTable(Common_SourceData.Common_SourceData_MCFTemperatureZone_Data(),Table_SourceData_Common_MCFTemperatureZone[[#Headers],[Temperature zone]],0)</f>
        <v>0.04</v>
      </c>
      <c r="N248" s="10" cm="1">
        <f t="array" ref="N248">Common_InputFunctions.Utility_DisplayArrayInTable(Common_SourceData.Common_SourceData_MCFTemperatureZone_Data(),Table_SourceData_Common_MCFTemperatureZone[[#Headers],[Temperature zone]],0)</f>
        <v>1.4999999999999999E-2</v>
      </c>
      <c r="O248" s="10" cm="1">
        <f t="array" ref="O248">Common_InputFunctions.Utility_DisplayArrayInTable(Common_SourceData.Common_SourceData_MCFTemperatureZone_Data(),Table_SourceData_Common_MCFTemperatureZone[[#Headers],[Temperature zone]],0)</f>
        <v>1.4999999999999999E-2</v>
      </c>
      <c r="P248" s="10" cm="1">
        <f t="array" ref="P248">Common_InputFunctions.Utility_DisplayArrayInTable(Common_SourceData.Common_SourceData_MCFTemperatureZone_Data(),Table_SourceData_Common_MCFTemperatureZone[[#Headers],[Temperature zone]],0)</f>
        <v>0</v>
      </c>
      <c r="Q248" s="10" cm="1">
        <f t="array" ref="Q248">Common_InputFunctions.Utility_DisplayArrayInTable(Common_SourceData.Common_SourceData_MCFTemperatureZone_Data(),Table_SourceData_Common_MCFTemperatureZone[[#Headers],[Temperature zone]],0)</f>
        <v>0</v>
      </c>
      <c r="R248" s="10" cm="1">
        <f t="array" ref="R248">Common_InputFunctions.Utility_DisplayArrayInTable(Common_SourceData.Common_SourceData_MCFTemperatureZone_Data(),Table_SourceData_Common_MCFTemperatureZone[[#Headers],[Temperature zone]],0)</f>
        <v>4.7000000000000002E-3</v>
      </c>
      <c r="S248" s="10" cm="1">
        <f t="array" ref="S248">Common_InputFunctions.Utility_DisplayArrayInTable(Common_SourceData.Common_SourceData_MCFTemperatureZone_Data(),Table_SourceData_Common_MCFTemperatureZone[[#Headers],[Temperature zone]],0)</f>
        <v>26</v>
      </c>
    </row>
    <row r="249" spans="4:19" x14ac:dyDescent="0.25">
      <c r="D249" s="8" t="str" cm="1">
        <f t="array" ref="D249">Common_InputFunctions.Utility_DisplayArrayInTable(Common_SourceData.Common_SourceData_MCFTemperatureZone_Data(),Table_SourceData_Common_MCFTemperatureZone[[#Headers],[Temperature zone]],0)</f>
        <v>Warm</v>
      </c>
      <c r="E249" s="10" cm="1">
        <f t="array" ref="E249">Common_InputFunctions.Utility_DisplayArrayInTable(Common_SourceData.Common_SourceData_MCFTemperatureZone_Data(),Table_SourceData_Common_MCFTemperatureZone[[#Headers],[Temperature zone]],0)</f>
        <v>27</v>
      </c>
      <c r="F249" s="10" cm="1">
        <f t="array" ref="F249">Common_InputFunctions.Utility_DisplayArrayInTable(Common_SourceData.Common_SourceData_MCFTemperatureZone_Data(),Table_SourceData_Common_MCFTemperatureZone[[#Headers],[Temperature zone]],0)</f>
        <v>0.8</v>
      </c>
      <c r="G249" s="10" cm="1">
        <f t="array" ref="G249">Common_InputFunctions.Utility_DisplayArrayInTable(Common_SourceData.Common_SourceData_MCFTemperatureZone_Data(),Table_SourceData_Common_MCFTemperatureZone[[#Headers],[Temperature zone]],0)</f>
        <v>0.1</v>
      </c>
      <c r="H249" s="10" cm="1">
        <f t="array" ref="H249">Common_InputFunctions.Utility_DisplayArrayInTable(Common_SourceData.Common_SourceData_MCFTemperatureZone_Data(),Table_SourceData_Common_MCFTemperatureZone[[#Headers],[Temperature zone]],0)</f>
        <v>0.48</v>
      </c>
      <c r="I249" s="10" cm="1">
        <f t="array" ref="I249">Common_InputFunctions.Utility_DisplayArrayInTable(Common_SourceData.Common_SourceData_MCFTemperatureZone_Data(),Table_SourceData_Common_MCFTemperatureZone[[#Headers],[Temperature zone]],0)</f>
        <v>0.01</v>
      </c>
      <c r="J249" s="10" cm="1">
        <f t="array" ref="J249">Common_InputFunctions.Utility_DisplayArrayInTable(Common_SourceData.Common_SourceData_MCFTemperatureZone_Data(),Table_SourceData_Common_MCFTemperatureZone[[#Headers],[Temperature zone]],0)</f>
        <v>1.4999999999999999E-2</v>
      </c>
      <c r="K249" s="10" cm="1">
        <f t="array" ref="K249">Common_InputFunctions.Utility_DisplayArrayInTable(Common_SourceData.Common_SourceData_MCFTemperatureZone_Data(),Table_SourceData_Common_MCFTemperatureZone[[#Headers],[Temperature zone]],0)</f>
        <v>0.02</v>
      </c>
      <c r="L249" s="10" cm="1">
        <f t="array" ref="L249">Common_InputFunctions.Utility_DisplayArrayInTable(Common_SourceData.Common_SourceData_MCFTemperatureZone_Data(),Table_SourceData_Common_MCFTemperatureZone[[#Headers],[Temperature zone]],0)</f>
        <v>0.03</v>
      </c>
      <c r="M249" s="10" cm="1">
        <f t="array" ref="M249">Common_InputFunctions.Utility_DisplayArrayInTable(Common_SourceData.Common_SourceData_MCFTemperatureZone_Data(),Table_SourceData_Common_MCFTemperatureZone[[#Headers],[Temperature zone]],0)</f>
        <v>0.04</v>
      </c>
      <c r="N249" s="10" cm="1">
        <f t="array" ref="N249">Common_InputFunctions.Utility_DisplayArrayInTable(Common_SourceData.Common_SourceData_MCFTemperatureZone_Data(),Table_SourceData_Common_MCFTemperatureZone[[#Headers],[Temperature zone]],0)</f>
        <v>1.4999999999999999E-2</v>
      </c>
      <c r="O249" s="10" cm="1">
        <f t="array" ref="O249">Common_InputFunctions.Utility_DisplayArrayInTable(Common_SourceData.Common_SourceData_MCFTemperatureZone_Data(),Table_SourceData_Common_MCFTemperatureZone[[#Headers],[Temperature zone]],0)</f>
        <v>1.4999999999999999E-2</v>
      </c>
      <c r="P249" s="10" cm="1">
        <f t="array" ref="P249">Common_InputFunctions.Utility_DisplayArrayInTable(Common_SourceData.Common_SourceData_MCFTemperatureZone_Data(),Table_SourceData_Common_MCFTemperatureZone[[#Headers],[Temperature zone]],0)</f>
        <v>0</v>
      </c>
      <c r="Q249" s="10" cm="1">
        <f t="array" ref="Q249">Common_InputFunctions.Utility_DisplayArrayInTable(Common_SourceData.Common_SourceData_MCFTemperatureZone_Data(),Table_SourceData_Common_MCFTemperatureZone[[#Headers],[Temperature zone]],0)</f>
        <v>0</v>
      </c>
      <c r="R249" s="10" cm="1">
        <f t="array" ref="R249">Common_InputFunctions.Utility_DisplayArrayInTable(Common_SourceData.Common_SourceData_MCFTemperatureZone_Data(),Table_SourceData_Common_MCFTemperatureZone[[#Headers],[Temperature zone]],0)</f>
        <v>4.7000000000000002E-3</v>
      </c>
      <c r="S249" s="10" cm="1">
        <f t="array" ref="S249">Common_InputFunctions.Utility_DisplayArrayInTable(Common_SourceData.Common_SourceData_MCFTemperatureZone_Data(),Table_SourceData_Common_MCFTemperatureZone[[#Headers],[Temperature zone]],0)</f>
        <v>27</v>
      </c>
    </row>
    <row r="250" spans="4:19" x14ac:dyDescent="0.25">
      <c r="D250" s="8" t="str" cm="1">
        <f t="array" ref="D250">Common_InputFunctions.Utility_DisplayArrayInTable(Common_SourceData.Common_SourceData_MCFTemperatureZone_Data(),Table_SourceData_Common_MCFTemperatureZone[[#Headers],[Temperature zone]],0)</f>
        <v>Warm</v>
      </c>
      <c r="E250" s="10" t="str" cm="1">
        <f t="array" ref="E250">Common_InputFunctions.Utility_DisplayArrayInTable(Common_SourceData.Common_SourceData_MCFTemperatureZone_Data(),Table_SourceData_Common_MCFTemperatureZone[[#Headers],[Temperature zone]],0)</f>
        <v>≥28</v>
      </c>
      <c r="F250" s="10" cm="1">
        <f t="array" ref="F250">Common_InputFunctions.Utility_DisplayArrayInTable(Common_SourceData.Common_SourceData_MCFTemperatureZone_Data(),Table_SourceData_Common_MCFTemperatureZone[[#Headers],[Temperature zone]],0)</f>
        <v>0.8</v>
      </c>
      <c r="G250" s="10" cm="1">
        <f t="array" ref="G250">Common_InputFunctions.Utility_DisplayArrayInTable(Common_SourceData.Common_SourceData_MCFTemperatureZone_Data(),Table_SourceData_Common_MCFTemperatureZone[[#Headers],[Temperature zone]],0)</f>
        <v>0.1</v>
      </c>
      <c r="H250" s="10" cm="1">
        <f t="array" ref="H250">Common_InputFunctions.Utility_DisplayArrayInTable(Common_SourceData.Common_SourceData_MCFTemperatureZone_Data(),Table_SourceData_Common_MCFTemperatureZone[[#Headers],[Temperature zone]],0)</f>
        <v>0.5</v>
      </c>
      <c r="I250" s="10" cm="1">
        <f t="array" ref="I250">Common_InputFunctions.Utility_DisplayArrayInTable(Common_SourceData.Common_SourceData_MCFTemperatureZone_Data(),Table_SourceData_Common_MCFTemperatureZone[[#Headers],[Temperature zone]],0)</f>
        <v>0.01</v>
      </c>
      <c r="J250" s="10" cm="1">
        <f t="array" ref="J250">Common_InputFunctions.Utility_DisplayArrayInTable(Common_SourceData.Common_SourceData_MCFTemperatureZone_Data(),Table_SourceData_Common_MCFTemperatureZone[[#Headers],[Temperature zone]],0)</f>
        <v>1.4999999999999999E-2</v>
      </c>
      <c r="K250" s="10" cm="1">
        <f t="array" ref="K250">Common_InputFunctions.Utility_DisplayArrayInTable(Common_SourceData.Common_SourceData_MCFTemperatureZone_Data(),Table_SourceData_Common_MCFTemperatureZone[[#Headers],[Temperature zone]],0)</f>
        <v>0.02</v>
      </c>
      <c r="L250" s="10" cm="1">
        <f t="array" ref="L250">Common_InputFunctions.Utility_DisplayArrayInTable(Common_SourceData.Common_SourceData_MCFTemperatureZone_Data(),Table_SourceData_Common_MCFTemperatureZone[[#Headers],[Temperature zone]],0)</f>
        <v>0.03</v>
      </c>
      <c r="M250" s="10" cm="1">
        <f t="array" ref="M250">Common_InputFunctions.Utility_DisplayArrayInTable(Common_SourceData.Common_SourceData_MCFTemperatureZone_Data(),Table_SourceData_Common_MCFTemperatureZone[[#Headers],[Temperature zone]],0)</f>
        <v>0.04</v>
      </c>
      <c r="N250" s="10" cm="1">
        <f t="array" ref="N250">Common_InputFunctions.Utility_DisplayArrayInTable(Common_SourceData.Common_SourceData_MCFTemperatureZone_Data(),Table_SourceData_Common_MCFTemperatureZone[[#Headers],[Temperature zone]],0)</f>
        <v>1.4999999999999999E-2</v>
      </c>
      <c r="O250" s="10" cm="1">
        <f t="array" ref="O250">Common_InputFunctions.Utility_DisplayArrayInTable(Common_SourceData.Common_SourceData_MCFTemperatureZone_Data(),Table_SourceData_Common_MCFTemperatureZone[[#Headers],[Temperature zone]],0)</f>
        <v>1.4999999999999999E-2</v>
      </c>
      <c r="P250" s="10" cm="1">
        <f t="array" ref="P250">Common_InputFunctions.Utility_DisplayArrayInTable(Common_SourceData.Common_SourceData_MCFTemperatureZone_Data(),Table_SourceData_Common_MCFTemperatureZone[[#Headers],[Temperature zone]],0)</f>
        <v>0</v>
      </c>
      <c r="Q250" s="10" cm="1">
        <f t="array" ref="Q250">Common_InputFunctions.Utility_DisplayArrayInTable(Common_SourceData.Common_SourceData_MCFTemperatureZone_Data(),Table_SourceData_Common_MCFTemperatureZone[[#Headers],[Temperature zone]],0)</f>
        <v>0</v>
      </c>
      <c r="R250" s="10" cm="1">
        <f t="array" ref="R250">Common_InputFunctions.Utility_DisplayArrayInTable(Common_SourceData.Common_SourceData_MCFTemperatureZone_Data(),Table_SourceData_Common_MCFTemperatureZone[[#Headers],[Temperature zone]],0)</f>
        <v>4.7000000000000002E-3</v>
      </c>
      <c r="S250" s="10" cm="1">
        <f t="array" ref="S250">Common_InputFunctions.Utility_DisplayArrayInTable(Common_SourceData.Common_SourceData_MCFTemperatureZone_Data(),Table_SourceData_Common_MCFTemperatureZone[[#Headers],[Temperature zone]],0)</f>
        <v>28</v>
      </c>
    </row>
    <row r="253" spans="4:19" ht="23.25" x14ac:dyDescent="0.25">
      <c r="D253" s="9" t="str" cm="1">
        <f t="array" ref="D253">Common_SourceData.Common_SourceData_EFOrganicFertiliserAndCropResidues_Title()</f>
        <v>Emission factor for organic fertiliser and crop residues returned to the soil</v>
      </c>
    </row>
    <row r="254" spans="4:19" x14ac:dyDescent="0.25">
      <c r="D254" s="11" t="str" cm="1">
        <f t="array" ref="D254">Common_SourceData.Common_SourceData_EFOrganicFertiliserAndCropResidues_Source()</f>
        <v>VEERG 2026: Table A.2.1.4</v>
      </c>
    </row>
    <row r="255" spans="4:19" x14ac:dyDescent="0.25">
      <c r="D255" s="8" t="str" cm="1">
        <f t="array" ref="D255">Common_SourceData.Common_SourceData_EFOrganicFertiliserAndCropResidues_Variable()</f>
        <v>EFNi &amp; EFN2Oi</v>
      </c>
    </row>
    <row r="256" spans="4:19" x14ac:dyDescent="0.25">
      <c r="D256" s="13" t="str" cm="1">
        <f t="array" ref="D256">Common_SourceData.Common_SourceData_EFOrganicFertiliserAndCropResidues_Unit()</f>
        <v>kg N2O - N / kg N</v>
      </c>
    </row>
    <row r="257" spans="4:5" x14ac:dyDescent="0.25">
      <c r="D257" s="10" t="s">
        <v>64</v>
      </c>
      <c r="E257" s="10" t="s">
        <v>65</v>
      </c>
    </row>
    <row r="258" spans="4:5" x14ac:dyDescent="0.25">
      <c r="D258" s="10" t="str" cm="1">
        <f t="array" ref="D258">Common_InputFunctions.Utility_DisplayArrayInTable(Common_SourceData.Common_SourceData_EFOrganicFertiliserAndCropResidues_Data(), Table_SourceData_Common_EFOrganicFertCropResidues[[#Headers],[Climate Zone]], 0)</f>
        <v>Wet climate zone</v>
      </c>
      <c r="E258" s="1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8" t="str" cm="1">
        <f t="array" ref="D259">Common_InputFunctions.Utility_DisplayArrayInTable(Common_SourceData.Common_SourceData_EFOrganicFertiliserAndCropResidues_Data(), Table_SourceData_Common_EFOrganicFertCropResidues[[#Headers],[Climate Zone]], 0)</f>
        <v>Dry climate zone</v>
      </c>
      <c r="E259" s="1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CcATgBhAHQAdQByAGEAbAAgAGcAYQBzACAAZABpAHMAdAByAGkAYgB1AHQAZQBkACAAaQBuACAAYQAgAHAAaQBwAGUAbABpAG4AZQAgAC0AIABHAGkAZwBhAGoAbwB1AGwAZQBzACcAIABhAG4AZAAgACcAVABvAHcAbgAgAGcAYQBzACAALQAgAEcAaQBnAGEAagBvAHUAbABlAHMAJ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CcAQwAn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JwBOAEUAJ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CcATgBFAC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XABuACAAIAAgACAAWABMAE8ATwBLAFUAUAAoADEALAAgACgATABvAG8AawB1AHAAQQByAHIAYQB5ADEAPQBMAG8AbwBrAHUAcABWAGEAbAB1AGUAMQApACoAKABMAG8AbwBrAHUAcABBAHIAcgBhAHkAMgA9AEwAbwBvAGsAdQBwAFYAYQBsAHUAZQAyACkALAAgAFIAZQB0AHUAcgBuAEEAcgByAGEAeQAsACAAXAAiAFwAIg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XABuACAAIAAgACAAWABMAE8ATwBLAFUAUAAoAEwAbwBvAGsAdQBwAFYAYQBsAHUAZQAxACwAIABMAG8AbwBrAHUAcABBAHIAcgBhAHkAMQAsAFwAbgAgACAAIAAgACAAIAAgACAAWABMAE8ATwBLAFUAUAAoAEwAbwBvAGsAdQBwAFYAYQBsAHUAZQAyACwAIABMAG8AbwBrAHUAcABBAHIAcgBhAHkAMgAsACAAUgBlAHQAdQByAG4AQQByAHIAYQB5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JgAgAFwAIgAgAHQAbwAgAFwAIgAgACYAIABlAG4AZABzAFQAZQB4AHQAIAAm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AnAFwAIgAgACYAIABzAGgAIAAmACAAXAAiACcAIQBcACIAIAAm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QAZQBtAHAAZQByAGEAdAB1AHIAZ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CcARgByAHkAJwAgAHQAbwAgACcARAByAHkAJ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A+ACAAMQA4ACAAQwBcACIALAAgAFwAIgBBAG4AeQBcACIALAAgAFwAIgBkIiAANwBcACIALAAgAFwAIgA+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PgAgADEAOAAgAEMAXAAiACwAIABcACIAPg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A+ACAAMQA4ACAAQwBcACIALAAgAFwAIgA+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A+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D4AIAAxADAAIABDAFwAIgAsACAAXAAiAEEAbgB5AFwAIgAsACAAXAAiAEEAbgB5AFwAIgAsACAAXAAiAEEAbgB5AFwAIgAsACAAXAAiAD4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D4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D4AIAAwACAAQwAgAC0AIABkIiAAMQAwACAAQwBcACIALAAgAFwAIgBBAG4AeQBcACIALAAgAFwAIgBBAG4AeQBcACIALAAgAFwAIgBBAG4AeQBcACIALAAgAFwAIgA+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A+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D4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Pg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Q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JwBBAHEAdQBhAGMAdQBsAHQAdQByAGUAJwAgAHIAbwB3AC4AXAAiADsAXABuACAAIAAgACAAIAAgACAAIAAgACAAXAAiAFIAZQBtAG8AdgBlAGQAIABhAHMAdABlAHIAaQBzAGsAcwAgAHQAbwAgAGEAaQBkACAAbABvAG8AawB1AHAALgBcACIAOwBcAG4AIAAgACAAIAAgACAAIAAgACAAIABcACIAQQBkAGQAZQBkACAAJwBwAHIAbwBkAHUAYwB0AGkAbwBuACAAcwB5AHMAdABlAG0AIABvAG4AbAB5ACcALAAgACcAcgBhAGkAbgBmAGEAbABsACAAegBvAG4AZQAnACAAYQBuAGQAIAAnAGkAcgByAGkAZwBhAHQAaQBvAG4AIABtAGUAdABoAG8AZAAnACAAYwBvAGwAdQBtAG4AcwAgAHQAbwAgAGEAaQBkACAAbABvAG8AawB1AHAALgBcACIAOwBcAG4AIAAgACAAIAAgACAAIAAgACAAIABcACIARAB1AHAAbABpAGMAYQB0AGUAZAAgACcAbgBvAG4ALQBpAHIAcgBpAGcAYQB0AGUAZAAgAHAAYQBzAHQAdQByAGUAJ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An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C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CcARAByAHkAIABjAGwAaQBtAGEAdABlACAAegBvAG4AZQBzACcAIAB0AG8AIABzAGkAbgBnAHUAbABhAHIAIAAnAEQAcgB5ACAAYwBsAGkAbQBhAHQAZQAgAHoAbwBuAGUAJ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g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Dw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CcAUABvAHUAbAB0AHIAeQAgAHcAaQB0AGgAIABhAG4AZAAgAHcAaQB0AGgAbwB1AHQAIABsAGkAdAB0AGUAcgAnACAAYwBvAGwAdQBtAG4AIAB3AGkAdABoACAAcwBlAHAAYQByAGEAdABlACAATgBJAFIAIABkAGUAZgBpAG4AaQB0AGkAbwBuAHMAIAB0AG8AIABhAGkAZAAgAGwAbwBvAGsAdQBwAC4AIABBAGQAZABlAGQAIAAnAE0AQQBUACAAcgBhAHcAJ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Am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J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xADk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BcAG4AIAAgAH0ALAAgAHIALAAgAGMAKQBcAG4AKQApACkAOwBcAG4AXABuAEYAZQByAHQAaQBsAGkAcwBlAHIAXwBDAGgAZQBtAGkAYwBhAGwAQwBvAG0AcABvAHUAbgBkAEUAbABlAG0AZQBuAHQAcwBfAFYAYQByAGkAYQB0AGkAbwBuAFwAbgA9AEwAQQBNAEIARABBACgAXABuACAATQBBAEsARQBBAFIAUgBBAFkAKAAxADIALAAgADEALABcAG4AIABMAEEATQBCAEQAQQAoAHIALABjACwAXABuACAAIABJAE4ARABFAFgAKAB7AFwAbgAgACAAXAAiAFYAQQBSAEkAQQBUAEkATwBOACAATwBOACAAUwBPAFUAUgBDAEUAXAAiADsAXABuACAAIABcACIAQQBkAGQAZQBkACAAJwBCAGEAcwBpAHMAJ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CcAUwBjAG8AcABlACAAMwAgAGQAZQBmAGkAbgBpAHQAaQBvAG4AJwAgAGMAbwBsAHUAbQBuACAAdABvACAAYQBsAGwAbwB3ACAAbQBhAHAAcABpAG4AZwAgAHcAaQB0AGgAIABzAGMAbwBwAGUAIAAzACAAZABhAHQAYQBcACIAOwBcAG4AIAAgAFwAIgBBAGQAZABlAGQAIAAnAFMAbwB1AHIAYwBlACcAIABjAG8AbAB1AG0AbgBcACIAOwBcAG4AIAAgAFwAIgBDAG8AbQBiAGkAbgBlAGQAIABkAGEAdABhACAAZgByAG8AbQAgAFQAYQBiAGwAZQAgAEEALgAyAC4AMgAuADMAIABhAG4AZAAgAFQAYQBiAGwAZQAgAEEALgAyAC4AMgAuADQAIABpAG4AdABvACAAbwBuAGUAIAB0AGEAYgBsAGUAIAB0AG8AIABhAGkAZAAgAGwAbwBvAGsAdQBwAC4AXAAiADsAXABuACAAIABcACIARQB4AGMAbAB1AGQAZQBkACAAJwBSAGUAZgBlAHIAZQBuAGMAZQBzACcAIABjAG8AbAB1AG0AbgBcACIAOwBcAG4AIAAgAFwAIgBFAHgAYwBsAHUAZABlAGQAIAAnAEEAbQBtAG8AbgBpAHUAbQAgAHMAdQBsAGYAYQB0AGUAJwAgAGEAcwAgAGkAdAAgAGkAcwAgAGEAIABkAHUAcABsAGkAYwBhAHQAZQAgAG8AZgAgACcAUwB1AGwAcABoAGEAdABlACAAbwBmACAAYQBtAG0AbwBuAGkAYQAgACgAUwBPAEEAKQAnAFwAIgA7AFwAbgAgACAAXAAiAEUAeABjAGwAdQBkAGUAZAAgACcAQwBhAGwAYwBpAHUAbQAgAG4AaQB0AHIAYQB0AGUAJwAgAGEAcwAgAG4AbwAgAHMAYwBvAHAAZQAgADMAIAB2AGEAbAB1AGUAIABhAHYAYQBpAGwAYQBiAGwAZQAuAFwAIgA7AFwAbgAgACAAXAAiAFMAZQB0ACAAJwBOAGkAdAByAG8AZwBlAG4AIAAtACAARwBlAG4AZQByAGkAYwAnACAAYgBhAHMAaQBzACAAYQBzACAAJ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JwBVAHIAZQBhAC0AYQBtAG0AbwBuAGkAdQBtACAAbgBpAHQAcgBhAHQAZQAnACAAYgBhAHMAaQBzACAAYQBzACAAJwBVAHIAZQBhAC0AYgBhAHMAZQBkACAAZgBlAHIAdABpAGwAaQBzAGUAcgAnAFwAIgA7AFwAbgAgACAAXAAiAEEAbQBtAG8AbgBpAGEAIABoAGEAcwAgAGEAbgAgAEYATgAgAHYAYQBsAHUAZQAgAG8AZgAgADAALgA4ADIAMwA1ACAAYgBhAHMAZQBkACAAbwBuACAAKAAxADQALwAxADcAKQB4ADEAMAAwACwAIAB3AGgAZQByAGUAIAAxADQAIABpAHMAIAB0AGgAZQAgAG0AYQBzAHMAIABvAGYAIABuAGkAdAByAG8AZwBlAG4AIABpAG4AIABhAG0AbQBvAG4AaQBhACAAYQBuAGQAIAAxADcAIABpAHMAIAB0AGgAZQAgAG0AbwBsAGEAcgAgAG0AYQBzAHMAIABvAGYAIABhAG0AbQBvAG4AaQBhAC4AXAAiAFwAbgAgACAAfQAsACAAcgAsACAAYwApAFwAbgApACkAKQA7AFwAbgBcAG4AXABuAC8AKgBcAG4APQA9AD0APQA9AD0APQA9AD0APQA9AD0APQA9AD0APQA9AD0APQA9AD0APQA9AD0APQA9AD0APQA9AD0APQA9AD0APQA9AD0APQA9AD0APQA9AD0APQA9AD0APQA9AD0APQA9AD0APQA9AD0APQA9AD0APQA9AD0APQA9AD0APQA9AD0APQA9AD0APQA9AD0APQA9AD0APQBcAG4ARgByAGEAYwB0AGkAbwBuACAAbwBmACAAaQBuAG8AcgBnAGEAbgBpAGMAIABmAGUAcgB0AGkAbABpAHMAZQByACAAdABoAGEAdAAgAHYAbwBsAGEAdABpAGwAaQBzAGUAcwAgAGEAcwAgAE4ASAAzACAAYQBuAGQAIABOAE8AeABcAG4APQA9AD0APQA9AD0APQA9AD0APQA9AD0APQA9AD0APQA9AD0APQA9AD0APQA9AD0APQA9AD0APQA9AD0APQA9AD0APQA9AD0APQA9AD0APQA9AD0APQA9AD0APQA9AD0APQA9AD0APQA9AD0APQA9AD0APQA9AD0APQA9AD0APQA9AD0APQA9AD0APQA9AD0APQA9AD0APQBcAG4AKgAvAFwAbgBcAG4ARgBlAHIAdABpAGwAaQBzAGUAcgBfAEYAcgBhAGMARwBBAFMARgBfAFQAaQB0AGwAZQBcAG4APQBMAEEATQBCAEQAQQAoACgAXAAiAEYAcgBhAGMAdABpAG8AbgAgAG8AZgAgAGkAbgBvAHIAZwBhAG4AaQBjACAAZgBlAHIAdABpAGwAaQBzAGUAcgAgAHQAaABhAHQAIAB2AG8AbABhAHQAaQBsAGkAcwBlAHMAIABhAHMAIABOAEgAMwAgAGEAbgBkACAATgBPAHgAXAAiACkAKQA7AFwAbgBcAG4ARgBlAHIAdABpAGwAaQBzAGUAcgBfAEYAcgBhAGMARwBBAFMARgBfAFMAbwB1AHIAYwBlAFwAbgA9AEwAQQBNAEIARABBACgAKABcACIAVABhAGIAbABlACAAQQAuADIALgAyAC4ANgA6ACAARgByAGEAYwB0AGkAbwBuACAAbwBmACAAaQBuAG8AcgBnAGEAbgBpAGMAIABmAGUAcgB0AGkAbABpAHMAZQByACAAZgAgAHQAaABhAHQAIAB2AG8AbABhAHQAaQBsAGkAcwBlAHMAIABhAHMAIABOAEgAMwAgAGEAbgBkACAATgBPAHgAIAAoACgAawBnACAATgBIADMAEyBOACAAKwAgAE4ATwB4ABMg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AvACoAXABuAD0APQA9AD0APQA9AD0APQA9AD0APQA9AD0APQA9AD0APQA9AD0APQA9AD0APQA9AD0APQA9AD0APQA9AD0APQA9AD0APQA9AD0APQA9AD0APQA9AD0APQA9AD0APQA9AD0APQA9AD0APQA9AD0APQA9AD0APQA9AD0APQA9AD0APQA9AD0APQA9AD0APQA9AD0APQA9AD0AXABuAEIAcgBhAG4AZABlAGQAIABmAGUAcgB0AGkAbABpAHMAZQByACAAcAByAG8AZAB1AGMAdABzAFwAbgA9AD0APQA9AD0APQA9AD0APQA9AD0APQA9AD0APQA9AD0APQA9AD0APQA9AD0APQA9AD0APQA9AD0APQA9AD0APQA9AD0APQA9AD0APQA9AD0APQA9AD0APQA9AD0APQA9AD0APQA9AD0APQA9AD0APQA9AD0APQA9AD0APQA9AD0APQA9AD0APQA9AD0APQA9AD0APQA9AFwAbgAqAC8AXABuAFwAbgBGAGUAcgB0AGkAbABpAHMAZQByAF8AUAByAG8AZAB1AGMAdABzAF8AVABpAHQAbABlAFwAbgA9AEwAQQBNAEIARABBACgAKABcACIAQgByAGEAbgBkAGUAZAAgAGYAZQByAHQAaQBsAGkAcwBlAHIAIABwAHIAbwBkAHUAYwB0AHMAIABhAG4AZAAgAHQAaABlAGkAcgAgAGMAaABlAG0AaQBjAGEAbAAgAGMAbwBtAHAAbwBzAGkAdABpAG8AbgBcACIAKQApADsAXABuAFwAbgBGAGUAcgB0AGkAbABpAHMAZQByAF8AUAByAG8AZAB1AGMAdABzAF8AUwBvAHUAcgBjAGUAXABuAD0ATABBAE0AQgBEAEEAKAAoAFwAIgBcACIAKQApADsAXABuAFwAbgBGAGUAcgB0AGkAbABpAHMAZQByAF8AUAByAG8AZAB1AGMAdABzAF8ARABhAHQAYQAxAFwAbgA9AEwAQQBNAEIARABBACgAXABuACAATQBBAEsARQBBAFIAUgBBAFkAKAAxADIALAAgADIAOAAsAFwAbgAgAEwAQQBNAEIARABBACgAcgAsAGMALABcAG4AIAAgAEkATgBEAEUAWAAoAHsAXABuAFwAIgBJAG4AYwBsAHUAZABlACAAbwByACAAZQB4AGMAbAB1AGQAZQBcACIALABcACIATgBvAHQAZQBzAFwAIgAsAFwAIgBDAG8AbQBwAGEAbgB5AFwAIgAsAFwAIgBQAHIAbwBkAHUAYwB0ACAATgBhAG0AZQBcACIALABcACIAVQBuAGkAdABcACIALABcACIARABlAG4AcwBpAHQAe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7AFwAbgBcACIASQBuAGMAbAB1AGQAZQBcACIALABcACIAXAAiACwAXAAiAEMAYQBtAHAAYgBlAGwAbABzACAAZgBlAHIAdABpAGwAaQBzAGUAcgBzACAAQQB1AHMAdAByAGEAbABpAGEAXAAiACwAXAAiAEEAcQB1AGEAIABGAGkAbgBpAHMAaA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OwBcAG4AXAAiAEkAbgBjAGwAdQBkAGUAXAAiACwAXAAiAFwAIgAsAFwAIgBDAGEAbQBwAGIAZQBsAGwAcwAgAGYAZQByAHQAaQBsAGkAcwBlAHIAcwAgAEEAdQBzAHQAcgBhAGwAaQBhAFwAIgAsAFwAIgBBAHEAdQBhACAARwByAG8Adw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kAbgBjAGwAdQBkAGUAXAAiACwAXAAiAFwAIgAsAFwAIgBDAGEAbQBwAGIAZQBsAGwAcwAgAGYAZQByAHQAaQBsAGkAcwBlAHIAcwAgAEEAdQBzAHQAcgBhAGwAaQBhAFwAIgAsAFwAIgBBAHEAdQBhACAATgBpAHQAcgBvACAAQQBO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OwBcAG4AXAAiAEkAbgBjAGwAdQBkAGUAXAAiACwAXAAiAFwAIgAsAFwAIgBDAGEAbQBwAGIAZQBsAGwAcwAgAGYAZQByAHQAaQBsAGkAcwBlAHIAcwAgAEEAdQBzAHQAcgBhAGwAaQBhAFwAIgAsAFwAIgBBAHEAdQBhACAAUwB0AGEAcgB0AFwAIgAsAFwAIgBMAFwAIgAsADEALgAyADUALABcACIAXAAi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kAbgBjAGwAdQBkAGUAXAAiACwAXAAiAFwAIgAsAFwAIgBDAGEAbQBwAGIAZQBsAGwAcwAgAGYAZQByAHQAaQBsAGkAcwBlAHIAcwAgAEEAdQBzAHQAcgBhAGwAaQBhAFwAIgAsAFwAIgBBAHEAdQBhACAAVABoAGkAbwAtAEMAbwBtAHAAbABlAHQAZQBcACIALABcACIATABcACIALAAxAC4ANAAzACwAXAAiAFwAIg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SQBuAGMAbAB1AGQAZQBcACIALABcACIAXAAiACwAXAAiAEMAYQBtAHAAYgBlAGwAbABzACAAZgBlAHIAdABpAGwAaQBzAGUAcgBzACAAQQB1AHMAdAByAGEAbABpAGEAXAAiACwAXAAiAEEAcQB1AGEAIABUAGgAaQBvAC0ARQBtAGUAcgBnAGUAXAAiACwAXAAiAEwAXAAiACwAMQAuADIAOQAsAFwAIgBcACIALABcACIAXAAiACwAXAAiAE4AaQB0AHIAbwBnAGUAbgAgAC0AIABHAGUAbgBlAHIAaQBjAFwAIgAsADAALgAxADAANQAsAFwAIgBQAGgAbwBzAHAAaABvAHIAdQBzACAALQAgAEcAZQBuAGUAcgBpAGMAXAAiACwAMAAuADAAOQA0ACwAXAAiAFAAbwB0AGEAcwBzAGkAdQBtACAALQAgAEcAZQBuAGUAcgBpAGMAXAAiACwAMAAuADAANAAsAFwAIgBTAHUAbABmAHUAcgAgAC0AIABHAGUAbgBlAHIAaQBjAFwAIgAsADAALgAwADMALABcACIAXAAiACwAXAAiAFwAIgAsAFwAIgBcACIALABcACIAXAAiACwAXAAiAFwAIgAsAFwAIgBcACIALABcACIAXAAiACwAXAAiAFwAIgAsAFwAIgBcACIALABcACIAXAAiACwAXAAiAFwAIgAsAFwAIgBcACIAOwBcAG4AXAAiAEkAbgBjAGwAdQBkAGUAXAAiACwAXAAiAFwAIgAsAFwAIgBDAGEAbQBwAGIAZQBsAGwAcwAgAGYAZQByAHQAaQBsAGkAcwBlAHIAcwAgAEEAdQBzAHQAcgBhAGwAaQBhAFwAIgAsAFwAIgBBAHEAdQBhACAAVABoAGkAbwAtAEYAbABvAHUAcgBpAHMAaA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kAbgBjAGwAdQBkAGUAIAAtACAAQQBiAHMAZQBuAHQAIABpAG4AZwByAGUAZABpAGUAbgB0AHMAIAA8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kAbgBjAGwAdQBkAGUAXAAiACwAXAAiAFwAIgAsAFwAIgBDAGEAbQBwAGIAZQBsAGwAcwAgAGYAZQByAHQAaQBsAGkAcwBlAHIAcwAgAEEAdQBzAHQAcgBhAGwAaQBhAFwAIgAsAFwAIgBCAHIAbwBuAHoAZQBcACIALABcACIAawBnAFwAIgAsADEALABcACIAXAAiACwAXAAiAFwAIgAsAFwAIgBNAHUAcgBpAGEAdABlACAAbwBmACAAUABvAHQAYQBzAGgAIAAoAE0ATwBQACkAXAAiACwAMAAuADIAMwAyACwAXAAiAE4AaQB0AHIAbwBnAGUAbgAgAC0AIABHAGUAbgBlAHIAaQBjAFwAIgAsADAALgAxADcALABcACIAUwB1AGwAZgB1AHIAIAAtACAARwBlAG4AZQByAGkAYwBcACIALAAwAC4AMAAwADUALABcACIATQBhAGcAbgBlAHMAaQB1AG0AXAAiACwAMAAuADAAMAAyADQALABcACIAUABoAG8AcwBwAGgAbwByAHUAcwAgAC0AIABHAGUAbgBlAHIAaQBjAFwAIgAsADAALgAwADAAMAA0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DAGEAbQBwAGIAZQBsAGwAcwAgAGYAZQByAHQAaQBsAGkAcwBlAHIAcwAgAEEAdQBzAHQAcgBhAGwAaQBhAFwAIgAsAFwAIgBDAG8AbQBwAGEAcwBz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OwBcAG4AXAAiAEkAbgBjAGwAdQBkAGUAIAAtACAAQQBiAHMAZQBuAHQAIABpAG4AZwByAGUAZABpAGUAbgB0AHMAIAA8ACAAMgAlAFwAIgAsAFwAIgBDAG8AbgB0AHIAbwBsAGwAZQBkACAAcgBlAGwAZQBhAHMAZQAgAE4AIAB0AHIAZQBhAHQAZQBkACAAYQBzACAAZwBlAG4AZQByAGkAYwAsACAAQQBtAG8AdQBuAHQAIABvAGYAIAB1AHIAZQBhACAAYwBhAGwAYwB1AGwAYQB0AGUAZAAgAGYAcgBvAG0AIAB1AHIAZQBhACAAbgBpAHQAcgBvAGcAZQBuACAAYQBtAG8AdQBuAHQAXAAiACwAXAAiAEMAYQBtAHAAYgBlAGwAbABzACAAZgBlAHIAdABpAGwAaQBzAGUAcgBzACAAQQB1AHMAdAByAGEAbABpAGEAXAAiACwAXAAiAEMAbwBSAG8ATgAgADEAMgAtADAALQAxADAAXAAiACwAXAAiAEwAXAAiACwAMQAuADIAMQA1ACwAXAAiAFwAIgAsAFwAIgBcACIALABcACIAVQByAGUAYQBcACIALAAwAC4AMQA5ADUANgA1ADIAMQA3ADQ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LABcACIAXAAiACwAXAAiAFwAIgAsAFwAIgBcACIAXABuAH0ALAAgAHIALAAgAGMAKQBcAG4AKQApACkAOwBcAG4AXABuAC8AKgBcAG4ARgBlAHIAdABpAGwAaQBzAGUAcgBfAFAAcgBvAGQAdQBjAHQAcwBfAEQAYQB0AGEAMgBcAG4APQBMAEEATQBCAEQAQQAoAFwAbgAgAE0AQQBLAEUAQQBSAFIAQQBZACgANgAsACAAMgA4ACwAXABuACAATABBAE0AQgBEAEEAKAByACwAYwAsAFwAbgAgACAASQBOAEQARQBYACgAewBcAG4AXAAiAEUAeABjAGwAdQBkAGUAIAAtACAAQQBiAHMAZQBuAHQAIABpAG4AZwByAGUAZABpAGUAbgB0AHMAIAA+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D4AIAAyACUAXAAiACwAXAAiAFwAIgAsAFwAIgBDAGEAbQBwAGIAZQBsAGwAcwAgAGYAZQByAHQAaQBsAGkAcwBlAHIAcwAgAEEAdQBzAHQAcgBhAGwAaQBhAFwAIgAsAFwAIgBDAGEAbABQAGgAbwBzAFwAIgAsAFwAIgBMAFwAIgAsADEALgAyADgANQ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DsAXABuAFwAIgBJAG4AYwBsAHUAZABlAFwAIgAsAFwAIgA1ADAALwA1ADAAIABuAGkAdAByAGEAdABlACAAYQBuAGQAIABhAG0AbQBvAG4AaQBhAGMAYQBsACAAbgBpAHQAcgBvAGcAZQBuACAAKABhAG0AbQBvAG4AaQB1AG0AIABuAGkAdAByAGEAdABlACkAXAAiACwAXAAiAFwAIgAsAFwAIgBDAGEAbQBwAGIAZQBsAGwAcwAgAGYAZQByAHQAaQBsAGkAcwBlAHIAcwAgAEEAdQBzAHQAcgBhAGwAaQBhAFwAIgAsAFwAIgBDAG8AbQBwAGEAcwBzAFwAIgAsAFwAIgBrAGcAXAAiACwAMQAsAFwAIgBcACIALABcACIATgBpAHQAcgBvAGcAZQBuACAALQAgAEEAbQBtAG8AbgBpAGEAYwBhAGwAXAAiACwAMAAuADAANwA1ACwAXAAiAE4AaQB0AHIAbwBnAGUAbgAgAC0AIABOAGkAdAByAGEAdABlAFwAIgAsADAALgAwADcANQAsAFwAIgBQAG8AdABhAHMAcwBpAHUAbQAgAC0AIABHAGUAbgBlAHIAaQBjAFwAIgAsADAALgAxADIANQAsAFwAIgBQAGgAbwBzAHAAaABvAHIAdQBzAC0ARwBlAG4AZQByAGkAYwBcACIALAAwAC4AMAA2ADUALABcACIAUwB1AGwAZgB1AHIAIAAtACAARwBlAG4AZQByAGkAYwBcACIALAAwAC4AMAA2ACwAXAAiAFwAIgAsAFwAIgBcACIALABcACIAXAAiACwAXAAiAFwAIgAsAFwAIgBcACIALABcACIAXAAiACwAXAAiAFwAIgAsAFwAIgBcACIAOwBcAG4AXAAiAEkAbgBjAGwAdQBkAGUAIAAtACAAQQBiAHMAZQBuAHQAIABpAG4AZwByAGUAZABpAGUAbgB0AHMAIAA8ACAAMgAlAFwAIgAsAFwAIgBDAG8AbgB0AHIAbwBsAGwAZQBkACAAcgBlAGwAZQBhAHMAZQAgAE4AIAB0AHIAZQBhAHQAZQBkACAAYQBzACAAZwBlAG4AZQByAGkAYwBcACIALABcACIAXAAiACwAXAAiAEMAYQBtAHAAYgBlAGwAbABzACAAZgBlAHIAdABpAGwAaQBzAGUAcgBzACAAQQB1AHMAdAByAGEAbABpAGEAXAAiACwAXAAiAEMAbwBSAG8ATgAgADEAMgAtADAALQAxADAAXAAiACwAXAAiAEwAXAAiACwAMQAuADIAMQA1ACwAXAAiAFwAIgAsAFwAIgBOAGkAdAByAG8AZwBlAG4AIAAtACAAVQByAGUAaQBjAFwAIgAsADAALgAwADkALABcACIAUABvAHQAYQBzAHMAaQB1AG0AIAAtACAARwBlAG4AZQByAGkAYwBcACIALAAwAC4AMQAsAFwAIgBOAGkAdAByAG8AZwBlAG4AIAAtACAARwBlAG4AZQByAGkAYwBcACIALAAwAC4AMAAzACwAXAAiAEIAbwByAG8AbgBcACIALAAwAC4AMAAwADUALABcACIAXAAiACwAXAAiAFwAIgAsAFwAIgBcACIALABcACIAXAAiACwAXAAiAFwAIgAsAFwAIgBcACIALABcACIAXAAiACwAXAAiAFwAIgAsAFwAIgBcACIAXABuACAAIAB9ACwAIAByACwAIABjACkAXABuACkAKQApADsAXABuAFwAbgBcAG4ARgBlAHIAdABpAGwAaQBzAGUAcgBfAFAAcgBvAGQAdQBjAHQAcwBfAEQAYQB0AGEAMwBcAG4APQBMAEEATQBCAEQAQQAoAFwAbgAgAE0AQQBLAEUAQQBSAFIAQQBZACgAMgAwACwAIAAzADUALABcAG4AIABMAEEATQBCAEQAQQAoAHIALABjACwAXABuACAAIABJAE4ARABFAFgAKAB7AFwAbgBcACIAUgB1AHMAdABpAGMAYQAgAE4AZQByAGcAZQB0AGkAYwBcACIALABcACIAawBnAFwAIgAsADEALABcACIAUABvAHQAYQBzAHMAaQB1AG0AIAAtACAARwBlAG4AZQByAGkAYwBcACIALAAwAC4AMQA0ADEALABcACIATABvAGMAYQB0AGkAbwBuACAAbgBvAHQAIABzAHAAZQBjAGkAZgBpAGUAZABcACIALABcACIATgBpAHQAcgBvAGcAZQBuACAALQAgAEcAZQBuAGUAcgBpAGMAXAAiACwAMAAuADEAMgAsAFwAIgBMAG8AYwBhAHQAaQBvAG4AIABuAG8AdAAgAHMAcABlAGMAaQBmAGkAZQBkAFwAIgAsAFwAIgBTAHUAbABmAHUAcgAgAC0AIABHAGUAbgBlAHIAaQBjAFwAIgAsADAALgAwADkANgAsAFwAIgBMAG8AYwBhAHQAaQBvAG4AIABuAG8AdAAgAHMAcABlAGMAaQBmAGkAZQBkAFwAIgAsAFwAIgBQAGgAbwBzAHAAaABvAHIAdQBzACAALQAgAEcAZQBuAGUAcgBpAGMAXAAiACwAMAAuADAANQAyACwAXAAiAEwAbwBjAGEAdABpAG8AbgAgAG4AbwB0ACAAcwBwAGUAYwBpAGYAaQBlAGQAXAAiACwAXAAiAE0AYQBnAG4AZQBzAGkAdQBtACAALQAgAGcAZQBuAGUAcgBpAGMAXAAiACwAMAAuADAAMQAyACwAXAAiAEwAbwBjAGEAdABpAG8AbgAgAG4AbwB0ACAAcwBwAGUAYwBpAGYAaQBlAGQAXAAiACwAXAAiAFoAaQBuAGMAIAAtACAARwBlAG4AZQByAGkAYwBcACIALAAwAC4AMAAwADA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gAsAFwAIgBMAG8AYwBhAHQAaQBvAG4AIABuAG8AdAAgAHMAcABlAGMAaQBmAGkAZQBkAFwAIgAsAFwAIgBCAG8AcgBvAG4AIAAtACAAZwBlAG4AZQByAGkAYwBcACIALAAwAC4AMAAwADAAMgAsAFwAIgBMAG8AYwBhAHQAaQBvAG4AIABuAG8AdAAgAHMAcABlAGMAaQBmAGkAZQBkAFwAIgAsAFwAIgBcACIALABcACIAXAAiACwAXAAiAFwAIgA7AFwAbgBcACIAUwBFAFQAbgBTAEkAWgBFAFwAIgAsAFwAIgBMAFwAIgAsADEALgAzACwAXAAiAFAAbwB0AGEAcwBzAGkAdQBtACAALQAgAEcAZQBuAGUAcgBpAGMAXAAiACwAMAAuADAANwA5ADIALABcACIATABvAGMAYQB0AGkAbwBuACAAbgBvAHQAIABzAHAAZQBjAGkAZgBpAGUAZABcACIALABcACIAUABoAG8AcwBwAGgAbwByAHUAcwAgAC0AIABHAGUAbgBlAHIAaQBjAFwAIgAsADAALgAwADYAMAA1ACwAXAAiAEwAbwBjAGEAdABpAG8AbgAgAG4AbwB0ACAAcwBwAGUAYwBpAGYAaQBlAGQAXAAiACwAXAAiAE4AaQB0AHIAbwBnAGUAbgAgAC0AIABHAGUAbgBlAHIAaQBjAFwAIgAsADAALgAwADEAMAA4ACwAXAAiAEwAbwBjAGEAdABpAG8AbgAgAG4AbwB0ACAAcwBwAGUAYwBpAGYAaQBlAGQAXAAiACwAXAAiAFoAaQBuAGMAIAAtACAARwBlAG4AZQByAGkAYwBcACIALAAwAC4AMAAxADAANwAsAFwAIgBMAG8AYwBhAHQAaQBvAG4AIABuAG8AdAAgAHMAcABlAGMAaQBmAGkAZQBkAFwAIgAsAFwAIgBNAGEAZwBuAGUAcwBpAHUAbQAgAC0AIABnAGUAbgBlAHIAaQBjAFwAIgAsADAALgAwADEAMAA0ACwAXAAiAEwAbwBjAGEAdABpAG8AbgAgAG4AbwB0ACAAcwBwAGUAYwBpAGYAaQBlAGQAXAAiACwAXAAiAE0AYQBuAGcAYQBuAGUAcwBlACAALQAgAEcAZQBuAGUAcgBpAGMAXAAiACwAMAAuADAAMAA3ADUALABcACIATABvAGMAYQB0AGkAbwBuACAAbgBvAHQAIABzAHAAZQBjAGkAZgBpAGUAZABcACIALABcACIAUwB1AGwAZgB1AHIAIAAtACAARwBlAG4AZQByAGkAYwBcACIALAAwAC4AMAAwADUANAAsAFwAIgBMAG8AYwBhAHQAaQBvAG4AIABuAG8AdAAgAHMAcABlAGMAaQBmAGkAZQBkAFwAIgAsAFwAIgBDAG8AYgBhAGwAdAAgAC0AIABnAGUAbgBlAHIAaQBjAFwAIgAsADAALgAwADAAMQA4ACwAXAAiAEwAbwBjAGEAdABpAG8AbgAgAG4AbwB0ACAAcwBwAGUAYwBpAGYAaQBlAGQAXAAiACwAXAAiAEkAcgBvAG4AIAAtACAAZwBlAG4AZQByAGkAYwBcACIALAAwAC4AMAAwADEANQAsAFwAIgBMAG8AYwBhAHQAaQBvAG4AIABuAG8AdAAgAHMAcABlAGMAaQBmAGkAZQBkAFwAIgAsAFwAIgBDAG8AcABwAGUAcgAgAC0AIABnAGUAbgBlAHIAaQBjAFwAIgAsADAALgAwADAAMQAxACwAXAAiAEwAbwBjAGEAdABpAG8AbgAgAG4AbwB0ACAAcwBwAGUAYwBpAGYAaQBlAGQAXAAiADsAXABuAFwAIgBTAE8AQQBcACIALABcACIAawBnAFwAIgAsADEALABcACIATgBpAHQAcgBvAGcAZQBuACAALQAgAEEAbQBtAG8AbgBpAGEAYwBhAGwAXAAiACwAMAAuADIAMQAsAFwAIgBMAG8AYwBhAHQAaQBvAG4AIABuAG8AdAAgAHMAcABlAGMAaQBmAGkAZQBkAFwAIgAsAFwAIgBTAHUAbABmAHUAcgAgAC0AIABHAGUAbgBlAHIAaQBjAFwAIgAsADAALgAy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EAUABcACIALABcACIAawBnAFwAIgAsADEALABcACIAUABoAG8AcwBwAGgAbwByAHUAcwAgAC0AIABHAGUAbgBlAHIAaQBjAFwAIgAsADAALgAyADYANgAsAFwAIgBMAG8AYwBhAHQAaQBvAG4AIABuAG8AdAAgAHMAcABlAGMAaQBmAGkAZQBkAFwAIgAsAFwAIgBOAGkAdAByAG8AZwBlAG4AIAAtACAAQQBtAG0AbwBuAGkAYQBjAGEAbABcACIALAAwAC4AMQAy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TQBLAFAAXAAiACwAXAAiAGsAZwBcACIALAAxACwAXAAiAFAAaABvAHMAcABoAG8AcgB1AHMAIAAtACAARwBlAG4AZQByAGkAYwBcACIALAAwAC4AMgAyADcALABcACIATABvAGMAYQB0AGkAbwBuACAAbgBvAHQAIABzAHAAZQBjAGkAZgBpAGUAZABcACIALABcACIAUABvAHQAYQBzAHMAaQB1AG0AIAAtACAARwBlAG4AZQByAGkAYwBcACIALAAwAC4AMgA4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TAGEAbQBcACIALABcACIAawBnAFwAIgAsADEALABcACIATgBpAHQAcgBvAGcAZQBuACAALQAgAEEAbQBtAG8AbgBpAGEAYwBhAGwAXAAiACwAMAAuADIAMAA4ACwAXAAiAEwAbwBjAGEAdABpAG8AbgAgAG4AbwB0ACAAcwBwAGUAYwBpAGYAaQBlAGQAXAAiACwAXAAiAFMAdQBsAGYAdQByACAALQAgAEcAZQBuAGUAcgBpAGMAXAAiACwAMAAuADIAMw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TAG8AbAB1AC0AWgBpAG4AYwBcACIALABcACIAawBnAFwAIgAsADEALABcACIAWgBpAG4AYwAgAC0AIABHAGUAbgBlAHIAaQBjAFwAIgAsADAALgAyADEALABcACIATABvAGMAYQB0AGkAbwBuACAAbgBvAHQAIABzAHAAZQBjAGkAZgBpAGUAZABcACIALABcACIAUwB1AGwAZgB1AHIAIAAtACAARwBlAG4AZQByAGkAYwBcACIALAAwAC4AMQAw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LAFwAIgAsAFwAIgBMAFwAIgAsADEALgA0ADcALABcACIAUABvAHQAYQBzAHMAaQB1AG0AIAAtACAARwBlAG4AZQByAGkAYwBcACIALAAwAC4AMwAsAFwAIgBMAG8AYwBhAHQAaQBvAG4AIABuAG8AdAAgAHMAcABlAGMAaQBmAGkAZQBkAFwAIgAsAFwAIgBTAHUAbABmAHUAcgAgAC0AIABHAGUAbgBlAHIAaQBjAFwAIgAsADAALgAyADU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QAaABpAG8ALQBOAFwAIgAsAFwAIgBMAFwAIgAsADEALgAzADIALABcACIATgBpAHQAcgBvAGcAZQBuACAALQAgAEcAZQBuAGUAcgBpAGMAXAAiACwAMAAuADMANwAy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IABQAGwAdQBzAFwAIgAsAFwAIgBMAFwAIgAsADEALgAzADIALABcACIATgBpAHQAcgBvAGcAZQBuACAALQAgAEcAZQBuAGUAcgBpAGMAXAAiACwAMAAuADMANgA0ACwAXAAiAEwAbwBjAGEAdABpAG8AbgAgAG4AbwB0ACAAcwBwAGUAYwBpAGYAaQBlAGQAXAAiACwAXAAiAFMAdQBsAGYAdQByACAALQAgAEcAZQBuAGUAcgBpAGMAXAAiACwAMAAuADA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FMAdQBsAFwAIgAsAFwAIgBMAFwAIgAsADEALgAzADUALABcACIAUwB1AGwAZgB1AHIAIAAtACAARwBlAG4AZQByAGkAYwBcACIALAAwAC4AMwA1ACwAXAAiAEwAbwBjAGEAdABpAG8AbgAgAG4AbwB0ACAAcwBwAGUAYwBpAGYAaQBlAGQAXAAiACwAXAAiAE4AaQB0AHIAbwBnAGUAbgAgAC0AIABBAG0AbQBvAG4AaQBhAGMAYQBsAFwAIgAsADAALgAxADY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UAQQBTAFwAIgAsAFwAIgBMAFwAIgAsADEALgAyADMANQAsAFwAIgBOAGkAdAByAG8AZwBlAG4AIAAtACAARwBlAG4AZQByAGkAYwBcACIALAAwAC4AMgAwADkALABcACIATABvAGMAYQB0AGkAbwBuACAAbgBvAHQAIABzAHAAZQBjAGkAZgBpAGUAZABcACIALABcACIAUwB1AGwAZgB1AHIAIAAtACAARwBlAG4AZQByAGkAYwBcACIALAAwAC4AMAA2ADcALABcACIATABvAGMAYQB0AGkAbwBuACAAbgBvAHQAIABzAHAAZQBjAGkAZgBpAGUAZABcACIALABcACIATgBpAHQAcgBvAGcAZQBuACAALQAgAEEAbQBtAG8AbgBpAGEAYwBhAGwAXAAiACwAMAAuADAANQ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CAATABpAHEAdQBpAGQAcwAgAE4ALQBGAE8ATAAgADIANAArAFQARQBcACIALABcACIAawBnAFwAIgAsADEALABcACIATgBpAHQAcgBvAGcAZQBuACAALQAgAEcAZQBuAGUAcgBpAGMAXAAiACwAMAAuADEAOQAsAFwAIgBMAG8AYwBhAHQAaQBvAG4AIABuAG8AdAAgAHMAcABlAGMAaQBmAGkAZQBkAFwAIgAsAFwAIgBQAG8AdABhAHMAcwBpAHUAbQAgAC0AIABHAGUAbgBlAHIAaQBjAFwAIgAsADAALgAxADYANgAsAFwAIgBMAG8AYwBhAHQAaQBvAG4AIABuAG8AdAAgAHMAcABlAGMAaQBmAGkAZQBkAFwAIgAsAFwAIgBTAHUAbABmAHUAcgAgAC0AIABHAGUAbgBlAHIAaQBjAFwAIgAsADAALgAwADMALABcACIATABvAGMAYQB0AGkAbwBuACAAbgBvAHQAIABzAHAAZQBjAGkAZgBpAGUAZABcACIALABcACIAUABoAG8AcwBwAGgAbwByAHUAcwAgAC0AIABHAGUAbgBlAHIAaQBjAFwAIgAsADAALgAwADIAN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IABVAG4AaQBrAGEAIABQAGwAdQBzAFwAIgAsAFwAIgBrAGcAXAAiACwAMQAsAFwAIgBQAG8AdABhAHMAcwBpAHUAbQAgAC0AIABHAGUAbgBlAHIAaQBjAFwAIgAsADAALgAzADgAMg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E0AaQBsAGEAIAAyADEALQA3AC0AMwAoADQAKQBcACIALABcACIAawBnAFwAIgAsADEALABcACIATgBpAHQAcgBvAGcAZQBuACAALQAgAEcAZQBuAGUAcgBpAGMAXAAiACwAMAAuADIAMQAsAFwAIgBMAG8AYwBhAHQAaQBvAG4AIABuAG8AdAAgAHMAcABlAGMAaQBmAGkAZQBkAFwAIgAsAFwAIgBQAGgAbwBzAHAAaABvAHIAdQBzACAALQAgAEcAZQBuAGUAcgBpAGMAXAAiACwAMAAuADAANwA0ACwAXAAiAEwAbwBjAGEAdABpAG8AbgAgAG4AbwB0ACAAcwBwAGUAYwBpAGYAaQBlAGQAXAAiACwAXAAiAFMAdQBsAGYAdQByACAALQAgAEcAZQBuAGUAcgBpAGMAXAAiACwAMAAuADAANAAsAFwAIgBMAG8AYwBhAHQAaQBvAG4AIABuAG8AdAAgAHMAcABlAGMAaQBmAGkAZQBkAFwAIgAsAFwAIgBQAG8AdABhAHMAcwBpAHUAbQAgAC0AIABHAGUAbgBlAHIAaQBjAFwAIgAsADAALgAwADIANQAsAFwAIgBMAG8AYwBhAHQAaQBvAG4AIABuAG8AdAAgAHMAcABlAGMAaQBmAGkAZQBkAFwAIgAsAFwAIgBNAGEAZwBuAGUAcwBpAHUAbQAgAC0AIABnAGUAbgBlAHIAaQBjAFwAIgAsADAALgAwADAANAAsAFwAIgBMAG8AYwBhAHQAaQBvAG4AIABuAG8AdAAgAHMAcABlAGMAaQBmAGkAZQBkAFwAIgAsAFwAIgBaAGkAbgBjACAALQAgAEcAZQBuAGUAcgBpAGMAXAAiACwAMAAuADAAMAAxADUALABcACIATABvAGMAYQB0AGkAbwBuACAAbgBvAHQAIABzAHAAZQBjAGkAZgBpAGUAZABcACIALABcACIAXAAiACwAXAAiAFwAIgAsAFwAIgBcACIALABcACIAXAAiACwAXAAiAFwAIgAsAFwAIgBcACIALABcACIAXAAiACwAXAAiAFwAIgAsAFwAIgBcACIALABcACIAXAAiACwAXAAiAFwAIgAsAFwAIgBcACIAOwBcAG4AXAAiAFkAYQByAGEAUgBlAGcAYQAgADEAMwAtADIALQAyADEAXAAiACwAXAAiAGsAZwBcACIALAAxACwAXAAiAFAAbwB0AGEAcwBzAGkAdQBtACAALQAgAEcAZQBuAGUAcgBpAGMAXAAiACwAMAAuADIAMQAsAFwAIgBMAG8AYwBhAHQAaQBvAG4AIABuAG8AdAAgAHMAcABlAGMAaQBmAGkAZQBkAFwAIgAsAFwAIgBTAHUAbABmAHUAcgAgAC0AIABHAGUAbgBlAHIAaQBjAFwAIgAsADAALgAxADAAOAAsAFwAIgBMAG8AYwBhAHQAaQBvAG4AIABuAG8AdAAgAHMAcABlAGMAaQBmAGkAZQBkAFwAIgAsAFwAIgBOAGkAdAByAG8AZwBlAG4AIAAtACAAQQBtAG0AbwBuAGkAYQBjAGEAbABcACIALAAwAC4AMAA3ADcALABcACIATABvAGMAYQB0AGkAbwBuACAAbgBvAHQAIABzAHAAZQBjAGkAZgBpAGUAZABcACIALABcACIATgBpAHQAcgBvAGcAZQBuACAAZgByAG8AbQAgAE4AaQB0AHIAYQB0AGUAXAAiACwAMAAuADAANQAzACwAXAAiAEwAbwBjAGEAdABpAG8AbgAgAG4AbwB0ACAAcwBwAGUAYwBpAGYAaQBlAGQAXAAiACwAXAAiAFAAaABvAHMAcABoAG8AcgB1AHMAIAAtACAARwBlAG4AZQByAGkAYwBcACIALAAwAC4AMAAxADcANQAsAFwAIgBMAG8AYwBhAHQAaQBvAG4AIABuAG8AdAAgAHMAcABlAGMAaQBmAGkAZQBkAFwAIgAsAFwAIgBNAGEAZwBuAGUAcwBpAHUAbQAgAC0AIABnAGUAbgBlAHIAaQBjAFwAIgAsADAALgAwADAANAAsAFwAIgBMAG8AYwBhAHQAaQBvAG4AIABuAG8AdAAgAHMAcABlAGMAaQBmAGkAZQBkAFwAIgAsAFwAIgBCAG8AcgBvAG4AIAAtACAAZwBlAG4AZQByAGkAYwBcACIALAAwAC4AMAAwADAAOAAsAFwAIgBMAG8AYwBhAHQAaQBvAG4AIABuAG8AdAAgAHMAcABlAGMAaQBmAGkAZQBkAFwAIgAsAFwAIgBaAGkAbgBjACAALQAgAEcAZQBuAGUAcgBpAGMAXAAiACwAMAAuADAAMAAwADgALABcACIATABvAGMAYQB0AGkAbwBuACAAbgBvAHQAIABzAHAAZQBjAGkAZgBpAGUAZABcACIALABcACIAXAAiACwAXAAiAFwAIgAsAFwAIgBcACIALABcACIAXAAiACwAXAAiAFwAIgAsAFwAIgBcACIAOwBcAG4AXAAiAFkAYQByAGEAUgBlAGcAYQAgADkALQAwAC0AMwAwACAAKAAxADQAKQBcACIALABcACIAawBnAFwAIgAsADEALABcACIAUABvAHQAYQBzAHMAaQB1AG0AIAAtACAARwBlAG4AZQByAGkAYwBcACIALAAwAC4AMwAsAFwAIgBMAG8AYwBhAHQAaQBvAG4AIABuAG8AdAAgAHMAcABlAGMAaQBmAGkAZQBkAFwAIgAsAFwAIgBTAHUAbABmAHUAcgAgAC0AIABHAGUAbgBlAHIAaQBjAFwAIgAsADAALgAxADQALABcACIATABvAGMAYQB0AGkAbwBuACAAbgBvAHQAIABzAHAAZQBjAGkAZgBpAGUAZABcACIALABcACIATgBpAHQAcgBvAGcAZQBuACAALQAgAEEAbQBtAG8AbgBpAGEAYwBhAGwAXAAiACwAMAAuADAANAA1ACwAXAAiAEwAbwBjAGEAdABpAG8AbgAgAG4AbwB0ACAAcwBwAGUAYwBpAGYAaQBlAGQAXAAiACwAXAAiAE4AaQB0AHIAbwBnAGUAbgAgAGYAcgBvAG0AIABOAGkAdAByAGEAdABlAFwAIgAsADAALgAwADQ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LACAAUABMAFUAUwBcACIALABcACIAawBnAFwAIgAsADEALABcACIATgBpAHQAcgBvAGcAZQBuACAALQAgAEcAZQBuAGUAcgBpAGMAXAAiACwAMAAuADEAMwA3ACwAXAAiAEwAbwBjAGEAdABpAG8AbgAgAG4AbwB0ACAAcwBwAGUAYwBpAGYAaQBlAGQAXAAiACwAXAAiAFAAbwB0AGEAcwBzAGkAdQBtACAALQAgAEcAZQBuAGUAcgBpAGMAXAAiACwAMAAuADMAO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LAFAAXAAiACwAXAAiAGsAZwBcACIALAAxACwAXAAiAFAAbwB0AGEAcwBzAGkAdQBtACAALQAgAEcAZQBuAGUAcgBpAGMAXAAiACwAMAAuADIAOAAyACwAXAAiAEwAbwBjAGEAdABpAG8AbgAgAG4AbwB0ACAAcwBwAGUAYwBpAGYAaQBlAGQAXAAiACwAXAAiAFAAaABvAHMAcABoAG8AcgB1AHMAIAAtACAARwBlAG4AZQByAGkAYwBcACIALAAwAC4AMgAy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XABuACAAIAB9ACwAIAByACwAIABjACkAXABuACkAKQApADsAXABuAFwAbgBGAGUAcgB0AGkAbABpAHMAZQByAF8AUAByAG8AZAB1AGMAdABzAF8ARABhAHQAYQA0AFwAbgA9AEwAQQBNAEIARABBACgAXABuACAATQBBAEsARQBBAFIAUgBBAFkAKAA1ACwAIAAzADUALABcAG4AIABMAEEATQBCAEQAQQAoAHIALABjACwAXABuACAAIABJAE4ARABFAFgAKAB7AFwAbgBcACIAWQBhAHIAYQBUAGUAcgBhACAASwBSAEkAUwBUAEEATABPAE4AIABSAEUARABcACIALABcACIAawBnAFwAIgAsADEALABcACIAUABvAHQAYQBzAHMAaQB1AG0AIAAtACAARwBlAG4AZQByAGkAYwBcACIALAAwAC4AMgA5ADgAOAAsAFwAIgBMAG8AYwBhAHQAaQBvAG4AIABuAG8AdAAgAHMAcABlAGMAaQBmAGkAZQBkAFwAIgAsAFwAIgBOAGkAdAByAG8AZwBlAG4AIAAtACAARwBlAG4AZQByAGkAYwBcACIALAAwAC4AMQAyACwAXAAiAEwAbwBjAGEAdABpAG8AbgAgAG4AbwB0ACAAcwBwAGUAYwBpAGYAaQBlAGQAXAAiACwAXAAiAFAAaABvAHMAcABoAG8AcgB1AHMAIAAtACAARwBlAG4AZQByAGkAYwBcACIALAAwAC4AMAA1ADIANAA0ACwAXAAiAEwAbwBjAGEAdABpAG8AbgAgAG4AbwB0ACAAcwBwAGUAYwBpAGYAaQBlAGQAXAAiACwAXAAiAFMAdQBsAGYAdQByACAALQAgAEcAZQBuAGUAcgBpAGMAXAAiACwAMAAuADAAMQAsAFwAIgBMAG8AYwBhAHQAaQBvAG4AIABuAG8AdAAgAHMAcABlAGMAaQBmAGkAZQBkAFwAIgAsAFwAIgBNAGEAZwBuAGUAcwBpAHUAbQAgAC0AIABnAGUAbgBlAHIAaQBjAFwAIgAsADAALgAwADAANgAwADM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QAZQByAGEAIABLAFIASQBTAFQAQQBMAE8ATgAgAFMAUABFAEMASQBBAEwAXAAiACwAXAAiAGsAZwBcACIALAAxACwAXAAiAE4AaQB0AHIAbwBnAGUAbgAgAC0AIABHAGUAbgBlAHIAaQBjAFwAIgAsADAALgAxADgALABcACIATABvAGMAYQB0AGkAbwBuACAAbgBvAHQAIABzAHAAZQBjAGkAZgBpAGUAZABcACIALABcACIAUABvAHQAYQBzAHMAaQB1AG0AIAAtACAARwBlAG4AZQByAGkAYwBcACIALAAwAC4AMQA0ADkALABcACIATABvAGMAYQB0AGkAbwBuACAAbgBvAHQAIABzAHAAZQBjAGkAZgBpAGUAZABcACIALABcACIAUABoAG8AcwBwAGgAbwByAHUAcwAgAC0AIABHAGUAbgBlAHIAaQBjAFwAIgAsADAALgAwADcAOQAsAFwAIgBMAG8AYwBhAHQAaQBvAG4AIABuAG8AdAAgAHMAcABlAGMAaQBmAGkAZQBkAFwAIgAsAFwAIgBTAHUAbABmAHUAcgAgAC0AIABHAGUAbgBlAHIAaQBjAFwAIgAsADAALgAwADIALABcACIATABvAGMAYQB0AGkAbwBuACAAbgBvAHQAIABzAHAAZQBjAGkAZgBpAGUAZABcACIALABcACIATQBhAGcAbgBlAHMAaQB1AG0AIAAtACAAZwBlAG4AZQByAGkAYwBcACIALAAwAC4AMAAxADgALABcACIATABvAGMAYQB0AGkAbwBuACAAbgBvAHQAIABzAHAAZQBjAGkAZgBpAGUAZABcACIALABcACIASQByAG8AbgAgAC0AIABnAGUAbgBlAHIAaQBjAFwAIgAsADAALgAwADAAMAA3ACwAXAAiAEwAbwBjAGEAdABpAG8AbgAgAG4AbwB0ACAAcwBwAGUAYwBpAGYAaQBlAGQAXAAiACwAXAAiAE0AYQBuAGcAYQBuAGUAcwBlACAALQAgAEcAZQBuAGUAcgBpAGMAXAAiACwAMAAuADAAMAAwADQALABcACIATABvAGMAYQB0AGkAbwBuACAAbgBvAHQAIABzAHAAZQBjAGkAZgBpAGUAZABcACIALABcACIAQgBvAHIAbwBuACAALQAgAGcAZQBuAGUAcgBpAGMAXAAiACwAMAAuADAAMAAwADIANQAsAFwAIgBMAG8AYwBhAHQAaQBvAG4AIABuAG8AdAAgAHMAcABlAGMAaQBmAGkAZQBkAFwAIgAsAFwAIgBaAGkAbgBjACAALQAgAEcAZQBuAGUAcgBpAGMAXAAiACwAMAAuADAAMAAwADIANQAsAFwAIgBMAG8AYwBhAHQAaQBvAG4AIABuAG8AdAAgAHMAcABlAGMAaQBmAGkAZQBkAFwAIgAsAFwAIgBDAG8AcABwAGUAcgAgAC0AIABnAGUAbgBlAHIAaQBjAFwAIgAsADAALgAwADAAMAAxACwAXAAiAEwAbwBjAGEAdABpAG8AbgAgAG4AbwB0ACAAcwBwAGUAYwBpAGYAaQBlAGQAXAAiADsAXABuAFwAIgBZAGEAcgBhAFYAaQB0AGEAIABHAGwAeQB0AHIAZQBsACAAWgBuAFAAXAAiACwAXAAiAEwAXAAiACwAMQAuADMANQA0ACwAXAAiAFoAaQBuAGMAIAAtACAARwBlAG4AZQByAGkAYwBcACIALAAwAC4AMQAsAFwAIgBMAG8AYwBhAHQAaQBvAG4AIABuAG8AdAAgAHMAcABlAGMAaQBmAGkAZQBkAFwAIgAsAFwAIgBQAGgAbwBzAHAAaABvAHIAdQBzACAALQAgAEcAZQBuAGUAcgBpAGMAXAAiACwAMAAuADAANAA0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ZAGEAcgBhAFYAaQB0AGEAIABaAGkAbgB0AHIAYQBjAFwAIgAsAFwAIgBMAFwAIgAsADEALgA3ADMANAAsAFwAIgBaAGkAbgBjACAALQAgAEcAZQBuAGUAcgBpAGMAXAAiACwAMAAuADcALABcACIATABvAGMAYQB0AGkAbwBuACAAbgBvAHQAIABzAHAAZQBjAGkAZgBpAGUAZABcACIALABcACIATgBpAHQAcgBvAGcAZQBuACAALQAgAEcAZQBuAGUAcgBpAGMAXAAiACwAMAAuADAAMQA4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aAGkAbgBjAFMAdABhAHIAXAAiACwAXAAiAGsAZwBcACIALAAxACwAXAAiAE4AaQB0AHIAbwBnAGUAbgAgAC0AIABBAG0AbQBvAG4AaQBhAGMAYQBsAFwAIgAsADAALgAxACwAXAAiAEwAbwBjAGEAdABpAG8AbgAgAG4AbwB0ACAAcwBwAGUAYwBpAGYAaQBlAGQAXAAiACwAXAAiAFAAaABvAHMAcABoAG8AcgB1AHMAIAAtACAARwBlAG4AZQByAGkAYwBcACIALAAwAC4AMgAyACwAXAAiAEwAbwBjAGEAdABpAG8AbgAgAG4AbwB0ACAAcwBwAGUAYwBpAGYAaQBlAGQAXAAiACwAXAAiAFMAdQBsAGYAdQByACAALQAgAEcAZQBuAGUAcgBpAGMAXAAiACwAMAAuADAAMgAsAFwAIgBMAG8AYwBhAHQAaQBvAG4AIABuAG8AdAAgAHMAcABlAGMAaQBmAGkAZQBkAFwAIgAsAFwAIgBaAGkAbgBjACAALQAgAEcAZQBuAGUAcgBpAGMAXAAiACwAMAAuADAAM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KgAvAFwAbgBcAG4AXABuAFwAbgAiAH0ALAB7ACIAcABhAHQAaAAiADoAIgAvAHAAcgBvAGoAZQBjAHQAcwAvAEYAZQByAHQAaQBsAGkAcwBlAHIAXwBJAG4AcAB1AHQARgB1AG4AYwB0AGkAbwBuAHMAIgAsACIAdABlAHgAdAAiADoAIgBGAGUAcgB0AGkAbABpAHMAZQByAF8ARgBlAHIAdABpAGwAaQBzAGUAcgBQAHIAbwBkAHUAYwB0AEwAbwBvAGsAdQBwAFwAbgA9AEwAQQBNAEIARABBACgAUAByAG8AZAB1AGMAdAAsACAAUAByAG8AZAB1AGMAdABBAHQAdAByAGkAYgB1AHQAZQAsACAAUAByAG8AZAB1AGMAdABBAHIAcgBhAHkALAAgAFAAcgBvAGQAdQBjAHQAQQByAHIAYQB5AEMAbwBsAHUAbQBuACwAIABQAHIAbwBkAHUAYwB0AEEAcgByAGEAeQBIAGUAYQBkAGUAcgBzACwAXABuACAAIABJAEYARQBSAFIATwBSACgAXABuACAAIAAgACAASQBOAEQARQBYACgAXABuACAAIAAgACAAIAAgAFAAcgBvAGQAdQBjAHQAQQByAHIAYQB5ACwAXABuACAAIAAgACAAIAAgAFgATQBBAFQAQwBIACgAVABSAEkATQAoAFAAcgBvAGQAdQBjAHQAKQAsACAAUAByAG8AZAB1AGMAdABBAHIAcgBhAHkAQwBvAGwAdQBtAG4ALAAgADAAKQAsAFwAbgAgACAAIAAgACAAIABYAE0AQQBUAEMASAAoAFQAUgBJAE0AKABQAHIAbwBkAHUAYwB0AEEAdAB0AHIAaQBiAHUAdABlACkALAAgAFAAcgBvAGQAdQBjAHQAQQByAHIAYQB5AEgAZQBhAGQAZQByAHMALAAgADAAKQBcAG4AIAAgACAAIAApACwAXABuACAAIAAgACAAXAAiAFwAIgBcAG4AIAAgACkAXABuACkAOwBcAG4AXABuAFwAbgBGAGUAcgB0AGkAbABpAHMAZQByAF8AUwB1AG0AUAByAG8AZAB1AGMAdABBAHAAcABsAGkAZQBkAFwAbgA9AEwAQQBNAEIARABBACgAXABuACAAIABMAG8AbwBrAHUAcABUAGEAcgBnAGUAdAAxACwATABvAG8AawB1AHAAQQByAHIAYQB5ADEALABBAG0AbwB1AG4AdABBAHAAcABsAGkAZQBkACwAWwBMAG8AbwBrAHUAcABUAGEAcgBnAGUAdAAyAF0ALABbAEwAbwBvAGsAdQBwAEEAcgByAGEAeQAyAF0ALABcAG4AIAAgAEwARQBUACgAXABuACAAIAAgACAAYwByAGkAdABlAHIAaQBhADEALAAtAC0AKABMAG8AbwBrAHUAcABBAHIAcgBhAHkAMQA9AEwAbwBvAGsAdQBwAFQAYQByAGcAZQB0ADEAKQAsAFwAbgAgACAAIAAgAGMAcgBpAHQAZQByAGkAYQAyACwASQBGACgASQBTAE8ATQBJAFQAVABFAEQAKABMAG8AbwBrAHUAcABUAGEAcgBnAGUAdAAyACkALAAxACwALQAtACgATABvAG8AawB1AHAAQQByAHIAYQB5ADIAPQBMAG8AbwBrAHUAcABUAGEAcgBnAGUAdAAyACkAKQAsAFwAbgAgACAAIAAgAFMAVQBNAFAAUgBPAEQAVQBDAFQAKABjAHIAaQB0AGUAcgBpAGEAMQAqAGMAcgBpAHQAZQByAGkAYQAyACoAQQBtAG8AdQBuAHQAQQBwAHAAbABpAGUAZAApAFwAbgAgACAAKQBcAG4AKQA7AFwAbgBcAG4ARgBlAHIAdABpAGwAaQBzAGUAcgBfAFQAbwB0AGEAbABTAG8AaQBsAEEAbQBlAG4AZABtAGUAbgB0AEEAcABwAGwAaQBlAGQAXABuAD0ATABBAE0AQgBEAEEAKABcAG4AIAAgAEEAbQBvAHUAbgB0AEEAcABwAGwAaQBlAGQALAAgAEEAbQBlAG4AZABtAGUAbgB0AFAAZQByAGMAZQBuAHQALABcAG4AIAAgAFMAVQBNAFAAUgBPAEQAVQBDAFQAKABBAG0AbwB1AG4AdABBAHAAcABsAGkAZQBkACAAKgAgAEEAbQBlAG4AZABtAGUAbgB0AFAAZQByAGMAZQBuAHQAKQBcAG4AKQA7AFwAbgBcAG4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CAAKABBAG0AbwB1AG4AdABBAHAAcABsAGkAZQBkACoAUAByAG8AZAB1AGMAdABJAG4AZwByAGUAZABpAGUAbgB0AFAAZQByAGMAZQBuAHQAMQApACwAXABuACAAIAAgACAAYwBhAGwAYwB1AGwAYQB0AGUAZABBAG0AbwB1AG4AdAAyACwAIAAoAEEAbQBvAHUAbgB0AEEAcABwAGwAaQBlAGQAKgBQAHIAbwBkAHUAYwB0AEkAbgBnAHIAZQBkAGkAZQBuAHQAUABlAHIAYwBlAG4AdAAyACkALABcAG4AIAAgACAAIABjAGEAbABjAHUAbABhAHQAZQBkAEEAbQBvAHUAbgB0ADMALAAgACgAQQBtAG8AdQBuAHQAQQBwAHAAbABpAGUAZAAqAFAAcgBvAGQAdQBjAHQASQBuAGcAcgBlAGQAaQBlAG4AdABQAGUAcgBjAGUAbgB0ADMAKQAsACAAXABuACAAIAAgACAAYwBhAGwAYwB1AGwAYQB0AGUAZABBAG0AbwB1AG4AdAA0ACwAIAAoAEEAbQBvAHUAbgB0AEEAcABwAGwAaQBlAGQAKgBQAHIAbwBkAHUAYwB0AEkAbgBnAHIAZQBkAGkAZQBuAHQAUABlAHIAYwBlAG4AdAA0ACkALAAgAFwAbgAgACAAIAAgAGMAYQBsAGMAdQBsAGEAdABlAGQAQQBtAG8AdQBuAHQANQAsACAAKABBAG0AbwB1AG4AdABBAHAAcABsAGkAZQBkACoAUAByAG8AZAB1AGMAdABJAG4AZwByAGUAZABpAGUAbgB0AFAAZQByAGMAZQBuAHQANQApACwAIABcAG4AIAAgACAAIABjAGEAbABjAHUAbABhAHQAZQBkAEEAbQBvAHUAbgB0ADYALAAgACgAQQBtAG8AdQBuAHQAQQBwAHAAbABpAGUAZAAqAFAAcgBvAGQAdQBjAHQASQBuAGcAcgBlAGQAaQBlAG4AdABQAGUAcgBjAGUAbgB0ADYAKQAsACAAIABcAG4AIAAgACAAIABGAGUAcgB0AGkAbABpAHMAZQByAF8AUwB1AG0AUAByAG8AZAB1AGMAdABBAHAAcABsAGkAZQBkACgAXABuACAAIAAgACAAIAAgAEMAaABlAG0AaQBjAGEAbABDAG8AbQBwAG8AdQBuAGQALAAgAFAAcgBvAGQAdQBjAHQASQBuAGcAcgBlAGQAaQBlAG4AdAAxACwAIABjAGEAbABjAHUAbABhAHQAZQBkAEEAbQBvAHUAbgB0ADEAXABuACAAIAAgACAAKQArAFwAbgAgACAAIAAgAEkARgBFAFIAUgBPAFIAKABGAGUAcgB0AGkAbABpAHMAZQByAF8AUwB1AG0AUAByAG8AZAB1AGMAdABBAHAAcABsAGkAZQBkACgAXABuACAAIAAgACAAIAAgAEMAaABlAG0AaQBjAGEAbABDAG8AbQBwAG8AdQBuAGQALAAgAFAAcgBvAGQAdQBjAHQASQBuAGcAcgBlAGQAaQBlAG4AdAAyACwAIABjAGEAbABjAHUAbABhAHQAZQBkAEEAbQBvAHUAbgB0ADIAXABuACAAIAAgACAAKQAsACAAMAApACsAXABuACAAIAAgACAASQBGAEUAUgBSAE8AUgAoAEYAZQByAHQAaQBsAGkAcwBlAHIAXwBTAHUAbQBQAHIAbwBkAHUAYwB0AEEAcABwAGwAaQBlAGQAKABcAG4AIAAgACAAIAAgACAAQwBoAGUAbQBpAGMAYQBsAEMAbwBtAHAAbwB1AG4AZAAsACAAUAByAG8AZAB1AGMAdABJAG4AZwByAGUAZABpAGUAbgB0ADMALAAgAGMAYQBsAGMAdQBsAGEAdABlAGQAQQBtAG8AdQBuAHQAMwBcAG4AIAAgACAAIAApACwAIAAwACkAKwBcAG4AIAAgACAAIABJAEYARQBSAFIATwBSACgARgBlAHIAdABpAGwAaQBzAGUAcgBfAFMAdQBtAFAAcgBvAGQAdQBjAHQAQQBwAHAAbABpAGUAZAAoAFwAbgAgACAAIAAgACAAIABDAGgAZQBtAGkAYwBhAGwAQwBvAG0AcABvAHUAbgBkACwAIABQAHIAbwBkAHUAYwB0AEkAbgBnAHIAZQBkAGkAZQBuAHQANAAsACAAYwBhAGwAYwB1AGwAYQB0AGUAZABBAG0AbwB1AG4AdAA0AFwAbgAgACAAIAAgACkALAAgADAAKQArAFwAbgAgACAAIAAgAEkARgBFAFIAUgBPAFIAKABGAGUAcgB0AGkAbABpAHMAZQByAF8AUwB1AG0AUAByAG8AZAB1AGMAdABBAHAAcABsAGkAZQBkACgAXABuACAAIAAgACAAIAAgAEMAaABlAG0AaQBjAGEAbABDAG8AbQBwAG8AdQBuAGQALAAgAFAAcgBvAGQAdQBjAHQASQBuAGcAcgBlAGQAaQBlAG4AdAA1ACwAIABjAGEAbABjAHUAbABhAHQAZQBkAEEAbQBvAHUAbgB0ADUAXABuACAAIAAgACAAKQAsACAAMAApACsAXABuACAAIAAgACAASQBGAEUAUgBSAE8AUgAoAEYAZQByAHQAaQBsAGkAcwBlAHIAXwBTAHUAbQBQAHIAbwBkAHUAYwB0AEEAcABwAGwAaQBlAGQAKABcAG4AIAAgACAAIAAgACAAQwBoAGUAbQBpAGMAYQBsAEMAbwBtAHAAbwB1AG4AZAAsACAAUAByAG8AZAB1AGMAdABJAG4AZwByAGUAZABpAGUAbgB0ADYALAAgAGMAYQBsAGMAdQBsAGEAdABlAGQAQQBtAG8AdQBuAHQANgBcAG4AIAAgACAAIAApACwAIAAw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UAByAG8AZAB1AGMAdABJAG4AZwByAGUAZABpAGUAbgB0ADEAUwBvAHUAcgBjAGUALABcAG4AIAAgAFsAUAByAG8AZAB1AGMAdABJAG4AZwByAGUAZABpAGUAbgB0ADIAXQAsAFwAbgAgACAAWwBQAHIAbwBkAHUAYwB0AEkAbgBnAHIAZQBkAGkAZQBuAHQAUABlAHIAYwBlAG4AdAAyAF0ALABcAG4AIAAgAFsAUAByAG8AZAB1AGMAdABJAG4AZwByAGUAZABpAGUAbgB0ADIAUwBvAHUAcgBjAGUAXQAsAFwAbgAgACAAWwBQAHIAbwBkAHUAYwB0AEkAbgBnAHIAZQBkAGkAZQBuAHQAMwBdACwAXABuACAAIABbAFAAcgBvAGQAdQBjAHQASQBuAGcAcgBlAGQAaQBlAG4AdABQAGUAcgBjAGUAbgB0ADMAXQAsAFwAbgAgACAAWwBQAHIAbwBkAHUAYwB0AEkAbgBnAHIAZQBkAGkAZQBuAHQAMwBTAG8AdQByAGMAZQBdACwAXABuACAAIABbAFAAcgBvAGQAdQBjAHQASQBuAGcAcgBlAGQAaQBlAG4AdAA0AF0ALABcAG4AIAAgAFsAUAByAG8AZAB1AGMAdABJAG4AZwByAGUAZABpAGUAbgB0AFAAZQByAGMAZQBuAHQANABdACwAXABuACAAIABbAFAAcgBvAGQAdQBjAHQASQBuAGcAcgBlAGQAaQBlAG4AdAA0AFMAbwB1AHIAYwBlAF0ALABcAG4AIAAgAFsAUAByAG8AZAB1AGMAdABJAG4AZwByAGUAZABpAGUAbgB0ADUAXQAsAFwAbgAgACAAWwBQAHIAbwBkAHUAYwB0AEkAbgBnAHIAZQBkAGkAZQBuAHQAUABlAHIAYwBlAG4AdAA1AF0ALABcAG4AIAAgAFsAUAByAG8AZAB1AGMAdABJAG4AZwByAGUAZABpAGUAbgB0ADUAUwBvAHUAcgBjAGUAXQAsAFwAbgAgACAAWwBQAHIAbwBkAHUAYwB0AEkAbgBnAHIAZQBkAGkAZQBuAHQANgBdACwAXABuACAAIABbAFAAcgBvAGQAdQBjAHQASQBuAGcAcgBlAGQAaQBlAG4AdABQAGUAcgBjAGUAbgB0ADYAXQAsAFwAbgAgACAAWwBQAHIAbwBkAHUAYwB0AEkAbgBnAHIAZQBkAGkAZQBuAHQANgBTAG8AdQByAGMAZQBdACwAXABuACAAIABMAEUAVAAoAFwAbgAgACAAIAAgAGMAYQBsAGMAdQBsAGEAdABlAGQAQQBtAG8AdQBuAHQAMQAsACAAKABBAG0AbwB1AG4AdABBAHAAcABsAGkAZQBkACoAUAByAG8AZAB1AGMAdABJAG4AZwByAGUAZABpAGUAbgB0AFAAZQByAGMAZQBuAHQAMQApACwAXABuACAAIAAgACAAYwBhAGwAYwB1AGwAYQB0AGUAZABBAG0AbwB1AG4AdAAyACwAIAAoAEEAbQBvAHUAbgB0AEEAcABwAGwAaQBlAGQAKgBQAHIAbwBkAHUAYwB0AEkAbgBnAHIAZQBkAGkAZQBuAHQAUABlAHIAYwBlAG4AdAAyACkALABcAG4AIAAgACAAIABjAGEAbABjAHUAbABhAHQAZQBkAEEAbQBvAHUAbgB0ADMALAAgACgAQQBtAG8AdQBuAHQAQQBwAHAAbABpAGUAZAAqAFAAcgBvAGQAdQBjAHQASQBuAGcAcgBlAGQAaQBlAG4AdABQAGUAcgBjAGUAbgB0ADMAKQAsACAAXABuACAAIAAgACAAYwBhAGwAYwB1AGwAYQB0AGUAZABBAG0AbwB1AG4AdAA0ACwAIAAoAEEAbQBvAHUAbgB0AEEAcABwAGwAaQBlAGQAKgBQAHIAbwBkAHUAYwB0AEkAbgBnAHIAZQBkAGkAZQBuAHQAUABlAHIAYwBlAG4AdAA0ACkALAAgAFwAbgAgACAAIAAgAGMAYQBsAGMAdQBsAGEAdABlAGQAQQBtAG8AdQBuAHQANQAsACAAKABBAG0AbwB1AG4AdABBAHAAcABsAGkAZQBkACoAUAByAG8AZAB1AGMAdABJAG4AZwByAGUAZABpAGUAbgB0AFAAZQByAGMAZQBuAHQANQApACwAIABcAG4AIAAgACAAIABjAGEAbABjAHUAbABhAHQAZQBkAEEAbQBvAHUAbgB0ADYALAAgACgAQQBtAG8AdQBuAHQAQQBwAHAAbABpAGUAZAAqAFAAcgBvAGQAdQBjAHQASQBuAGcAcgBlAGQAaQBlAG4AdABQAGUAcgBjAGUAbgB0ADYAKQAsACAAIABcAG4AIAAgACAAIABGAGUAcgB0AGkAbABpAHMAZQByAF8AUwB1AG0AUAByAG8AZAB1AGMAdABBAHAAcABsAGkAZQBkACgAXABuACAAIAAgACAAIAAgAEMAaABlAG0AaQBjAGEAbABDAG8AbQBwAG8AdQBuAGQALAAgAFAAcgBvAGQAdQBjAHQASQBuAGcAcgBlAGQAaQBlAG4AdAAxACwAIABjAGEAbABjAHUAbABhAHQAZQBkAEEAbQBvAHUAbgB0ADEALAAgAFMAbwB1AHIAYwBlACwAIABQAHIAbwBkAHUAYwB0AEkAbgBnAHIAZQBkAGkAZQBuAHQAMQBTAG8AdQByAGMAZQBcAG4AIAAgACAAIAApACsAXABuACAAIAAgACAASQBGAEUAUgBSAE8AUgAoAEYAZQByAHQAaQBsAGkAcwBlAHIAXwBTAHUAbQBQAHIAbwBkAHUAYwB0AEEAcABwAGwAaQBlAGQAKABcAG4AIAAgACAAIAAgACAAQwBoAGUAbQBpAGMAYQBsAEMAbwBtAHAAbwB1AG4AZAAsACAAUAByAG8AZAB1AGMAdABJAG4AZwByAGUAZABpAGUAbgB0ADIALAAgAGMAYQBsAGMAdQBsAGEAdABlAGQAQQBtAG8AdQBuAHQAMgAsACAAUwBvAHUAcgBjAGUALAAgAFAAcgBvAGQAdQBjAHQASQBuAGcAcgBlAGQAaQBlAG4AdAAyAFMAbwB1AHIAYwBlAFwAbgAgACAAIAAgACkALAAgADAAKQArAFwAbgAgACAAIAAgAEkARgBFAFIAUgBPAFIAKABGAGUAcgB0AGkAbABpAHMAZQByAF8AUwB1AG0AUAByAG8AZAB1AGMAdABBAHAAcABsAGkAZQBkACgAXABuACAAIAAgACAAIAAgAEMAaABlAG0AaQBjAGEAbABDAG8AbQBwAG8AdQBuAGQALAAgAFAAcgBvAGQAdQBjAHQASQBuAGcAcgBlAGQAaQBlAG4AdAAzACwAIABjAGEAbABjAHUAbABhAHQAZQBkAEEAbQBvAHUAbgB0ADMALAAgAFMAbwB1AHIAYwBlACwAIABQAHIAbwBkAHUAYwB0AEkAbgBnAHIAZQBkAGkAZQBuAHQAMwBTAG8AdQByAGMAZQBcAG4AIAAgACAAIAApACwAIAAwACkAKwBcAG4AIAAgACAAIABJAEYARQBSAFIATwBSACgARgBlAHIAdABpAGwAaQBzAGUAcgBfAFMAdQBtAFAAcgBvAGQAdQBjAHQAQQBwAHAAbABpAGUAZAAoAFwAbgAgACAAIAAgACAAIABDAGgAZQBtAGkAYwBhAGwAQwBvAG0AcABvAHUAbgBkACwAIABQAHIAbwBkAHUAYwB0AEkAbgBnAHIAZQBkAGkAZQBuAHQANAAsACAAYwBhAGwAYwB1AGwAYQB0AGUAZABBAG0AbwB1AG4AdAA0ACwAIABTAG8AdQByAGMAZQAsACAAUAByAG8AZAB1AGMAdABJAG4AZwByAGUAZABpAGUAbgB0ADQAUwBvAHUAcgBjAGUAXABuACAAIAAgACAAKQAsACAAMAApACsAXABuACAAIAAgACAASQBGAEUAUgBSAE8AUgAoAEYAZQByAHQAaQBsAGkAcwBlAHIAXwBTAHUAbQBQAHIAbwBkAHUAYwB0AEEAcABwAGwAaQBlAGQAKABcAG4AIAAgACAAIAAgACAAQwBoAGUAbQBpAGMAYQBsAEMAbwBtAHAAbwB1AG4AZAAsACAAUAByAG8AZAB1AGMAdABJAG4AZwByAGUAZABpAGUAbgB0ADUALAAgAGMAYQBsAGMAdQBsAGEAdABlAGQAQQBtAG8AdQBuAHQANQAsACAAUwBvAHUAcgBjAGUALAAgAFAAcgBvAGQAdQBjAHQASQBuAGcAcgBlAGQAaQBlAG4AdAA1AFMAbwB1AHIAYwBlAFwAbgAgACAAIAAgACkALAAgADAAKQArAFwAbgAgACAAIAAgAEkARgBFAFIAUgBPAFIAKABGAGUAcgB0AGkAbABpAHMAZQByAF8AUwB1AG0AUAByAG8AZAB1AGMAdABBAHAAcABsAGkAZQBkACgAXABuACAAIAAgACAAIAAgAEMAaABlAG0AaQBjAGEAbABDAG8AbQBwAG8AdQBuAGQALAAgAFAAcgBvAGQAdQBjAHQASQBuAGcAcgBlAGQAaQBlAG4AdAA2ACwAIABjAGEAbABjAHUAbABhAHQAZQBkAEEAbQBvAHUAbgB0ADYALAAgAFMAbwB1AHIAYwBlACwAIABQAHIAbwBkAHUAYwB0AEkAbgBnAHIAZQBkAGkAZQBuAHQANgBTAG8AdQByAGMAZQBcAG4AIAAgACAAIAApACwAIAAwACkAXABuACAAIAApAFwAbgApADsAXABuAFwAbgBGAGUAcgB0AGkAbABpAHMAZQByAF8ARwBlAHQAUwBjAG8AcABlADMARQBGAFwAbgA9AEwAQQBNAEIARABBACgAXABuACAAIAAgACAAQwBoAGUAbQBpAGMAYQBsAEMAbwBtAHAAbwB1AG4AZAAsACAAUwBjAG8AcABlADMAQQByAHIAYQB5ACwAIABDAGgAZQBtAGkAYwBhAGwAQwBvAG0AcABvAHUAbgBkAEMAbwBsAHUAbQBuACwAIABTAG8AdQByAGMAZQAsACAAUwBvAHUAcgBjAGUAUgBvAHcALABcAG4AIAAgACAAIABJAE4ARABFAFgAKABTAGMAbwBwAGUAMwBBAHIAcgBhAHkALABcAG4AIAAgACAAIAAgACAAIABNAEEAVABDAEgAKABDAGgAZQBtAGkAYwBhAGwAQwBvAG0AcABvAHUAbgBkACwAIABDAGgAZQBtAGkAYwBhAGwAQwBvAG0AcABvAHUAbgBkAEMAbwBsAHUAbQBuACwAIAAwACkALABcAG4AIAAgACAAIAAgACAAIABNAEEAVABDAEgAKABTAG8AdQByAGMAZQAsACAAUwBvAHUAcgBjAGUAUgBvAHcALAAgADAAKQBcAG4AIAAgACAAIAApAFwAbgApADsAXABuAFwAbgBGAGUAcgB0AGkAbABpAHMAZQByAF8ARwBlAHQAQwBoAGUAbQBpAGMAYQBsAEMAbwBtAHAAbwB1AG4AZABFAGwAZQBtAGUAbgB0AEYAcgBhAGMAdABpAG8AbgBcAG4APQBMAEEATQBCAEQAQQAoAFwAbgAgACAAIAAgAEMAaABlAG0AaQBjAGEAbABDAG8AbQBwAG8AdQBuAGQALAAgAEUAbABlAG0AZQBuAHQALAAgAEMAaABlAG0AaQBjAGEAbABDAG8AbQBwAG8AdQBuAGQAQQByAHIAYQB5ACwAIABDAGgAZQBtAGkAYwBhAGwAQwBvAG0AcABvAHUAbgBkAEMAbwBsAHUAbQBuACwAIABFAGwAZQBtAGUAbgB0AFIAbwB3ACwAXABuACAAIAAgACAASQBOAEQARQBYACgAQwBoAGUAbQBpAGMAYQBsAEMAbwBtAHAAbwB1AG4AZABBAHIAcgBhAHkALABcAG4AIAAgACAAIAAgACAATQBBAFQAQwBIACgAQwBoAGUAbQBpAGMAYQBsAEMAbwBtAHAAbwB1AG4AZAAsACAAQwBoAGUAbQBpAGMAYQBsAEMAbwBtAHAAbwB1AG4AZABDAG8AbAB1AG0AbgAsACAAMAApACwAXABuACAAIAAgACAAIAAgAE0AQQBUAEMASAAoAEUAbABlAG0AZQBuAHQALAAgAEUAbABlAG0AZQBuAHQAUgBvAHcALAAgADAAKQBcAG4AIAAgACAAIAApAFwAbgApADs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XQAsACIAcAByAG8AagBlAGMAdABOAGEAbQBlAHMAIgA6AFsAIgBGAHUAZQBsAF8AUwBvAHUAcgBjAGUARABhAHQAYQAuAEYAdQBlAGwAXwBTAGMAbwBwAGUAMQBFAG0AaQBzAHMAaQBvAG4ARgBhAGMAdABvAHIAcwBTAHQAYQB0AGkAbwBuAGEAcgB5AEcAYQBzAGUAbwB1AHMAXwBUAGkAdABsAGUAIgAsACIARgB1AGUAbABfAFMAbwB1AHIAYwBlAEQAYQB0AGEALgBGAHUAZQBsAF8AUwBjAG8AcABlADEARQBtAGkAcwBzAGkAbwBuAEYAYQBjAHQAbwByAHMAUwB0AGEAdABpAG8AbgBhAHIAeQBHAGEAcwBlAG8AdQBzAF8ARABlAHMAYwByAGkAcAB0AGkAbwBuACIALAAiAEYAdQBlAGwAXwBTAG8AdQByAGMAZQBEAGEAdABhAC4ARgB1AGUAbABfAFMAYwBvAHAAZQAxAEUAbQBpAHMAcwBpAG8AbgBGAGEAYwB0AG8AcgBzAFMAdABhAHQAaQBvAG4AYQByAHkARwBhAHMAZQBvAHUAcwBfAFMAbwB1AHIAYwBlACIALAAiAEYAdQBlAGwAXwBTAG8AdQByAGMAZQBEAGEAdABhAC4ARgB1AGUAbABfAFMAYwBvAHAAZQAxAEUAbQBpAHMAcwBpAG8AbgBGAGEAYwB0AG8AcgBzAFMAdABhAHQAaQBvAG4AYQByAHkARwBhAHMAZQBvAHUAcwBfAEQAYQB0AGEAIgAsACIARgB1AGUAbABfAFMAbwB1AHIAYwBlAEQAYQB0AGEALgBGAHUAZQBsAF8AUwBjAG8AcABlADE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VABpAHQAbABlACIALAAiAEYAdQBlAGwAXwBTAG8AdQByAGMAZQBEAGEAdABhAC4ARgB1AGUAbABfAFMAYwBvAHAAZQAzAEUAbQBpAHMAcwBpAG8AbgBGAGEAYwB0AG8AcgBzAFMAdABhAHQAaQBvAG4AYQByAHkARwBhAHMAZQBvAHUAcwBfAEQAZQBzAGMAcgBpAHAAdABpAG8AbgAiACwAIgBGAHUAZQBsAF8AUwBvAHUAcgBjAGUARABhAHQAYQAuAEYAdQBlAGwAXwBTAGMAbwBwAGUAMwBFAG0AaQBzAHMAaQBvAG4ARgBhAGMAdABvAHIAcwBTAHQAYQB0AGkAbwBuAGEAcgB5AEcAYQBzAGUAbwB1AHMAXwBTAG8AdQByAGMAZQAiACwAIgBGAHUAZQBsAF8AUwBvAHUAcgBjAGUARABhAHQAYQAuAEYAdQBlAGwAXwBTAGMAbwBwAGUAMwBFAG0AaQBzAHMAaQBvAG4ARgBhAGMAdABvAHIAcwBTAHQAYQB0AGkAbwBuAGEAcgB5AEcAYQBzAGUAbwB1AHMAXwBEAGEAdABhACIALAAiAEYAdQBlAGwAXwBTAG8AdQByAGMAZQBEAGEAdABhAC4ARgB1AGUAbABfAFMAYwBvAHAAZQAz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EEAcABwAGUAbgBkAGkAYwBlAHMAIgAsACIARgB1AGUAbABfAFMAbwB1AHIAYwBlAEQAYQB0AGEALgBGAHUAZQBsAF8AUwBjAG8AcABlADEAUwBjAG8AcABlADMARQBtAGkAcwBzAGkAbwBuAEYAYQBjAHQAbwByAHMAUwB0AGEAdABpAG8AbgBhAHIAeQBMAGkAcQB1AGkAZABfAFQAaQB0AGwAZQAiACwAIgBGAHUAZQBsAF8AUwBvAHUAcgBjAGUARABhAHQAYQAuAEYAdQBlAGwAXwBTAGMAbwBwAGUAMQBTAGMAbwBwAGUAMwBFAG0AaQBzAHMAaQBvAG4ARgBhAGMAdABvAHIAcwBTAHQAYQB0AGkAbwBuAGEAcgB5AEwAaQBxAHUAaQBkAF8ARABlAHMAYwByAGkAcAB0AGkAbwBuACIALAAiAEYAdQBlAGwAXwBTAG8AdQByAGMAZQBEAGEAdABhAC4ARgB1AGUAbABfAFMAYwBvAHAAZQAxAFMAYwBvAHAAZQAzAEUAbQBpAHMAcwBpAG8AbgBGAGEAYwB0AG8AcgBzAFMAdABhAHQAaQBvAG4AYQByAHkATABpAHEAdQBpAGQAXwBTAG8AdQByAGMAZQAiACwAIgBGAHUAZQBsAF8AUwBvAHUAcgBjAGUARABhAHQAYQAuAEYAdQBlAGwAXwBTAGMAbwBwAGUAMQBTAGMAbwBwAGUAMwBFAG0AaQBzAHMAaQBvAG4ARgBhAGMAdABvAHIAcwBTAHQAYQB0AGkAbwBuAGEAcgB5AEwAaQBxAHUAaQBkAF8ARABhAHQAYQAiACwAIgBGAHUAZQBsAF8AUwBvAHUAcgBjAGUARABhAHQAYQAuAEYAdQBlAGwAXwBTAGMAbwBwAGUAMQBTAGMAbwBwAGUAMwBFAG0AaQBzAHMAaQBvAG4ARgBhAGMAdABvAHIAcwBTAHQAYQB0AGkAbwBuAGEAcgB5AEwAaQBxAHUAaQBkAF8AVgBhAHIAaQBhAHQAaQBvAG4AIgAsACIARgB1AGUAbABfAFMAbwB1AHIAYwBlAEQAYQB0AGEALgBGAHUAZQBsAF8AUwBjAG8AcABlADEAUwBjAG8AcABlADMARQBtAGkAcwBzAGkAbwBuAEYAYQBjAHQAbwByAHMAVAByAGEAbgBzAHAAbwByAHQAXwBUAGkAdABsAGUAIgAsACIARgB1AGUAbABfAFMAbwB1AHIAYwBlAEQAYQB0AGEALgBGAHUAZQBsAF8AUwBjAG8AcABlADEAUwBjAG8AcABlADMARQBtAGkAcwBzAGkAbwBuAEYAYQBjAHQAbwByAHMAVAByAGEAbgBzAHAAbwByAHQAXwBEAGUAcwBjAHIAaQBwAHQAaQBvAG4AIgAsACIARgB1AGUAbABfAFMAbwB1AHIAYwBlAEQAYQB0AGEALgBGAHUAZQBsAF8AUwBjAG8AcABlADEAUwBjAG8AcABlADMARQBtAGkAcwBzAGkAbwBuAEYAYQBjAHQAbwByAHMAVAByAGEAbgBzAHAAbwByAHQAXwBTAG8AdQByAGMAZQAiACwAIgBGAHUAZQBsAF8AUwBvAHUAcgBjAGUARABhAHQAYQAuAEYAdQBlAGwAXwBTAGMAbwBwAGUAMQBTAGMAbwBwAGUAMwBFAG0AaQBzAHMAaQBvAG4ARgBhAGMAdABvAHIAcwBUAHIAYQBuAHMAcABvAHIAdABfAEQAYQB0AGEAIgAsACIARgB1AGUAbABfAFMAbwB1AHIAYwBlAEQAYQB0AGEALgBGAHUAZQBsAF8AUwBjAG8AcABlADEAUwBjAG8AcABlADMARQBtAGkAcwBzAGkAbwBuAEYAYQBjAHQAbwByAHMAVAByAGEAbgBzAHAAbwByAHQAXwBWAGEAcgBpAGEAdABpAG8AbgAiACwAIgBGAHUAZQBsAF8AUwBvAHUAcgBjAGUARABhAHQAYQAuAEYAdQBlAGwAXwBTAGMAbwBwAGUAMQBTAGMAbwBwAGUAMwBFAG0AaQBzAHMAaQBvAG4ARgBhAGMAdABvAHIAcwBUAHIAYQBuAHMAcABvAHIAdABPAGYAZgBSAG8AYQBkAF8AVABpAHQAbABlACIALAAiAEYAdQBlAGwAXwBTAG8AdQByAGMAZQBEAGEAdABhAC4ARgB1AGUAbABfAFMAYwBvAHAAZQAxAFMAYwBvAHAAZQAzAEUAbQBpAHMAcwBpAG8AbgBGAGEAYwB0AG8AcgBzAFQAcgBhAG4AcwBwAG8AcgB0AE8AZgBmAFIAbwBhAGQAXwBEAGUAcwBjAHIAaQBwAHQAaQBvAG4AIgAsACIARgB1AGUAbABfAFMAbwB1AHIAYwBlAEQAYQB0AGEALgBGAHUAZQBsAF8AUwBjAG8AcABlADEAUwBjAG8AcABlADMARQBtAGkAcwBzAGkAbwBuAEYAYQBjAHQAbwByAHMAVAByAGEAbgBzAHAAbwByAHQATwBmAGYAUgBvAGEAZABfAFMAbwB1AHIAYwBlACIALAAiAEYAdQBlAGwAXwBTAG8AdQByAGMAZQBEAGEAdABhAC4ARgB1AGUAbABfAFMAYwBvAHAAZQAxAFMAYwBvAHAAZQAzAEUAbQBpAHMAcwBpAG8AbgBGAGEAYwB0AG8AcgBzAFQAcgBhAG4AcwBwAG8AcgB0AE8AZgBmAFIAbwBhAGQ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TQBDAEYAVABlAG0AcABlAHIAYQB0AHUAcgBlAFoAbwBuAGUAXwBUAGkAdABsAGUAIgAsACIAQwBvAG0AbQBvAG4AXwBTAG8AdQByAGMAZQBEAGEAdABhAC4AQwBvAG0AbQBvAG4AXwBTAG8AdQByAGMAZQBEAGEAdABhAF8ATQBDAEYAVABlAG0AcABlAHIAYQB0AHUAcgBlAFoAbwBuAGUAXwBVAG4AaQB0ACIALAAiAEMAbwBtAG0AbwBuAF8AUwBvAHUAcgBjAGUARABhAHQAYQAuAEMAbwBtAG0AbwBuAF8AUwBvAHUAcgBjAGUARABhAHQAYQBfAE0AQwBGAFQAZQBtAHAAZQByAGEAdAB1AHIAZQBaAG8AbgBlAF8AUwBvAHUAcgBjAGUAIgAsACIAQwBvAG0AbQBvAG4AXwBTAG8AdQByAGMAZQBEAGEAdABhAC4AQwBvAG0AbQBvAG4AXwBTAG8AdQByAGMAZQBEAGEAdABhAF8ATQBDAEYAVABlAG0AcABlAHIAYQB0AHUAcgBlAFoAbwBuAGUAXwBEAGEAdABhACIALAAiAEMAbwBtAG0AbwBuAF8AUwBvAHUAcgBjAGUARABhAHQAYQAuAEMAbwBtAG0AbwBuAF8AUwBvAHUAcgBjAGUARABhAHQAYQBfAE0AQwBGAFQAZQBtAHAAZQByAGEAdAB1AHIAZQBaAG8AbgBl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GAHUAZQBsAF8ASQBuAHAAdQB0AEYAdQBuAGMAdABpAG8AbgBzAC4ARgB1AGUAbABfAEcAZQB0AFQAcgBhAG4AcwBwAG8AcgB0AEYAdQBlAGwAUwB0AHIAaQBuAGcAIgAsACIARgB1AGUAbABfAEkAbgBwAHUAdABGAHUAbgBjAHQAaQBvAG4AcwAuAEYAdQBlAGwAXwBHAGUAdABTAHQAYQB0AGkAbwBuAGEAcgB5AEYAdQBlAGwAUwB0AHIAaQBuAGcAIgAsACIARgB1AGUAbABfAEkAbgBwAHUAdABGAHUAbgBjAHQAaQBvAG4AcwAuAEYAdQBlAGwAXwBUAG8AdABhAGwAQwBvAG4AcwB1AG0AcAB0AGkAbwBuACIALAAiAEYAZQByAHQAaQBsAGkAcwBlAHIAXwBTAG8AdQByAGMAZQBEAGEAdABhAC4ARgBlAHIAdABpAGwAaQBzAGUAcgBfAEMAaABlAG0AaQBjAGEAbABDAG8AbQBwAG8AdQBuAGQARQBsAGUAbQBlAG4AdABzAF8AVABpAHQAbABlACIALAAiAEYAZQByAHQAaQBsAGkAcwBlAHIAXwBTAG8AdQByAGMAZQBEAGEAdABhAC4ARgBlAHIAdABpAGwAaQBzAGUAcgBfAEMAaABlAG0AaQBjAGEAbABDAG8AbQBwAG8AdQBuAGQARQBsAGUAbQBlAG4AdABzAF8AUwBvAHUAcgBjAGUAIgAsACIARgBlAHIAdABpAGwAaQBzAGUAcgBfAFMAbwB1AHIAYwBlAEQAYQB0AGEALgBGAGUAcgB0AGkAbABpAHMAZQByAF8AQwBoAGUAbQBpAGMAYQBsAEMAbwBtAHAAbwB1AG4AZABFAGwAZQBtAGUAbgB0AHMAXwBEAGEAdABhACIALAAiAEYAZQByAHQAaQBsAGkAcwBlAHIAXwBTAG8AdQByAGMAZQBEAGEAdABhAC4ARgBlAHIAdABpAGwAaQBzAGUAcgBfAEMAaABlAG0AaQBjAGEAbABDAG8AbQBwAG8AdQBuAGQARQBsAGUAbQBlAG4AdABzAF8AVgBhAHIAaQBhAHQAaQBvAG4AIgAsACIARgBlAHIAdABpAGwAaQBzAGUAcgBfAFMAbwB1AHIAYwBlAEQAYQB0AGEALgBGAGUAcgB0AGkAbABpAHMAZQByAF8ARgByAGEAYwBHAEEAUwBGAF8AVABpAHQAbABlACIALAAiAEYAZQByAHQAaQBsAGkAcwBlAHIAXwBTAG8AdQByAGMAZQBEAGEAdABhAC4ARgBlAHIAdABpAGwAaQBzAGUAcgBfAEYAcgBhAGMARwBBAFMARgBfAFMAbwB1AHIAYwBlACIALAAiAEYAZQByAHQAaQBsAGkAcwBlAHIAXwBTAG8AdQByAGMAZQBEAGEAdABhAC4ARgBlAHIAdABpAGwAaQBzAGUAcgBfAEYAcgBhAGMARwBBAFMARgBfAEQAYQB0AGEAIgAsACIARgBlAHIAdABpAGwAaQBzAGUAcgBfAFMAbwB1AHIAYwBlAEQAYQB0AGEALgBGAGUAcgB0AGkAbABpAHMAZQByAF8ARgByAGEAYwBHAEEAUwBGAF8AVgBhAHIAaQBhAHQAaQBvAG4AIgAsACIARgBlAHIAdABpAGwAaQBzAGUAcgBfAFMAbwB1AHIAYwBlAEQAYQB0AGEALgBGAGUAcgB0AGkAbABpAHMAZQByAF8ARQBGAFUAcgBlAGEAQwBPADIAXwBUAGkAdABsAGUAIgAsACIARgBlAHIAdABpAGwAaQBzAGUAcgBfAFMAbwB1AHIAYwBlAEQAYQB0AGEALgBGAGUAcgB0AGkAbABpAHMAZQByAF8ARQBGAFUAcgBlAGEAQwBPADIAXwBTAG8AdQByAGMAZQAiACwAIgBGAGUAcgB0AGkAbABpAHMAZQByAF8AUwBvAHUAcgBjAGUARABhAHQAYQAuAEYAZQByAHQAaQBsAGkAcwBlAHIAXwBFAEYAVQByAGUAYQBDAE8AMgBfAFYAYQByAGkAYQBiAGwAZQAiACwAIgBGAGUAcgB0AGkAbABpAHMAZQByAF8AUwBvAHUAcgBjAGUARABhAHQAYQAuAEYAZQByAHQAaQBsAGkAcwBlAHIAXwBFAEYAVQByAGUAYQBDAE8AMgBfAFUAbgBpAHQAIgAsACIARgBlAHIAdABpAGwAaQBzAGUAcgBfAFMAbwB1AHIAYwBlAEQAYQB0AGEALgBGAGUAcgB0AGkAbABpAHMAZQByAF8ARQBGAFUAcgBlAGEAQwBPADIAXwBEAGEAdABhACIALAAiAEYAZQByAHQAaQBsAGkAcwBlAHIAXwBTAG8AdQByAGMAZQBEAGEAdABhAC4ARgBlAHIAdABpAGwAaQBzAGUAcgBfAEUARgBVAHIAZQBhAEMATwAyAF8AVgBhAHIAaQBhAHQAaQBvAG4AIgAsACIARgBlAHIAdABpAGwAaQBzAGUAcgBfAFMAbwB1AHIAYwBlAEQAYQB0AGEALgBGAGUAcgB0AGkAbABpAHMAZQByAF8ARgByAGEAYwBHAEEAUwBNAFMAbwBpAGwAXwBUAGkAdABsAGUAIgAsACIARgBlAHIAdABpAGwAaQBzAGUAcgBfAFMAbwB1AHIAYwBlAEQAYQB0AGEALgBGAGUAcgB0AGkAbABpAHMAZQByAF8ARgByAGEAYwBHAEEAUwBNAFMAbwBpAGwAXwBTAG8AdQByAGMAZQAiACwAIgBGAGUAcgB0AGkAbABpAHMAZQByAF8AUwBvAHUAcgBjAGUARABhAHQAYQAuAEYAZQByAHQAaQBsAGkAcwBlAHIAXwBGAHIAYQBjAEcAQQBTAE0AUwBvAGkAbABfAFYAYQByAGkAYQBiAGwAZQAiACwAIgBGAGUAcgB0AGkAbABpAHMAZQByAF8AUwBvAHUAcgBjAGUARABhAHQAYQAuAEYAZQByAHQAaQBsAGkAcwBlAHIAXwBGAHIAYQBjAEcAQQBTAE0AUwBvAGkAbABfAFUAbgBpAHQAIgAsACIARgBlAHIAdABpAGwAaQBzAGUAcgBfAFMAbwB1AHIAYwBlAEQAYQB0AGEALgBGAGUAcgB0AGkAbABpAHMAZQByAF8ARgByAGEAYwBHAEEAUwBNAFMAbwBpAGwAXwBEAGEAdABhACIALAAiAEYAZQByAHQAaQBsAGkAcwBlAHIAXwBTAG8AdQByAGMAZQBEAGEAdABhAC4ARgBlAHIAdABpAGwAaQBzAGUAcgBfAEYAcgBhAGMARwBBAFMATQBTAG8AaQBsAF8AVgBhAHIAaQBhAHQAaQBvAG4AIgAsACIARgBlAHIAdABpAGwAaQBzAGUAcgBfAFMAbwB1AHIAYwBlAEQAYQB0AGEALgBGAGUAcgB0AGkAbABpAHMAZQByAF8ARgByAGEAYwBMAEUAQQBDAEgAXwBUAGkAdABsAGUAIgAsACIARgBlAHIAdABpAGwAaQBzAGUAcgBfAFMAbwB1AHIAYwBlAEQAYQB0AGEALgBGAGUAcgB0AGkAbABpAHMAZQByAF8ARgByAGEAYwBMAEUAQQBDAEgAXwBTAG8AdQByAGMAZQAiACwAIgBGAGUAcgB0AGkAbABpAHMAZQByAF8AUwBvAHUAcgBjAGUARABhAHQAYQAuAEYAZQByAHQAaQBsAGkAcwBlAHIAXwBGAHIAYQBjAEwARQBBAEMASABfAFYAYQByAGkAYQBiAGwAZQAiACwAIgBGAGUAcgB0AGkAbABpAHMAZQByAF8AUwBvAHUAcgBjAGUARABhAHQAYQAuAEYAZQByAHQAaQBsAGkAcwBlAHIAXwBGAHIAYQBjAEwARQBBAEMASABfAFUAbgBpAHQAIgAsACIARgBlAHIAdABpAGwAaQBzAGUAcgBfAFMAbwB1AHIAYwBlAEQAYQB0AGEALgBGAGUAcgB0AGkAbABpAHMAZQByAF8ARgByAGEAYwBMAEUAQQBDAEgAXwBEAGEAdABhACIALAAiAEYAZQByAHQAaQBsAGkAcwBlAHIAXwBTAG8AdQByAGMAZQBEAGEAdABhAC4ARgBlAHIAdABpAGwAaQBzAGUAcgBfAEYAcgBhAGMATABFAEEAQwBIAF8AVgBhAHIAaQBhAHQAaQBvAG4AIgAsACIARgBlAHIAdABpAGwAaQBzAGUAcgBfAFMAbwB1AHIAYwBlAEQAYQB0AGEALgBGAGUAcgB0AGkAbABpAHMAZQByAF8ARQBGAEwAZQBhAGMAaABfAFQAaQB0AGwAZQAiACwAIgBGAGUAcgB0AGkAbABpAHMAZQByAF8AUwBvAHUAcgBjAGUARABhAHQAYQAuAEYAZQByAHQAaQBsAGkAcwBlAHIAXwBFAEYATABlAGEAYwBoAF8AUwBvAHUAcgBjAGUAIgAsACIARgBlAHIAdABpAGwAaQBzAGUAcgBfAFMAbwB1AHIAYwBlAEQAYQB0AGEALgBGAGUAcgB0AGkAbABpAHMAZQByAF8ARQBGAEwAZQBhAGMAaABfAFYAYQByAGkAYQBiAGwAZQAiACwAIgBGAGUAcgB0AGkAbABpAHMAZQByAF8AUwBvAHUAcgBjAGUARABhAHQAYQAuAEYAZQByAHQAaQBsAGkAcwBlAHIAXwBFAEYATABlAGEAYwBoAF8AVQBuAGkAdAAiACwAIgBGAGUAcgB0AGkAbABpAHMAZQByAF8AUwBvAHUAcgBjAGUARABhAHQAYQAuAEYAZQByAHQAaQBsAGkAcwBlAHIAXwBFAEYATABlAGEAYwBoAF8ARABhAHQAYQAiACwAIgBGAGUAcgB0AGkAbABpAHMAZQByAF8AUwBvAHUAcgBjAGUARABhAHQAYQAuAEYAZQByAHQAaQBsAGkAcwBlAHIAXwBFAEYATABlAGEAYwBoAF8AVgBhAHIAaQBhAHQAaQBvAG4AIgAsACIARgBlAHIAdABpAGwAaQBzAGUAcgBfAFMAbwB1AHIAYwBlAEQAYQB0AGEALgBGAGUAcgB0AGkAbABpAHMAZQByAF8ATABpAG0AZQBEAG8AbABvAG0AaQB0AGUARwB5AHAAcwB1AG0AQwBvAG4AcwB0AGEAbgB0AHMAXwBUAGkAdABsAGUAIgAsACIARgBlAHIAdABpAGwAaQBzAGUAcgBfAFMAbwB1AHIAYwBlAEQAYQB0AGEALgBGAGUAcgB0AGkAbABpAHMAZQByAF8ATABpAG0AZQBEAG8AbABvAG0AaQB0AGUARwB5AHAAcwB1AG0AQwBvAG4AcwB0AGEAbgB0AHMAXwBEAGUAcwBjAHIAaQBwAHQAaQBvAG4AIgAsACIARgBlAHIAdABpAGwAaQBzAGUAcgBfAFMAbwB1AHIAYwBlAEQAYQB0AGEALgBGAGUAcgB0AGkAbABpAHMAZQByAF8ATABpAG0AZQBEAG8AbABvAG0AaQB0AGUARwB5AHAAcwB1AG0AQwBvAG4AcwB0AGEAbgB0AHMAXwBTAG8AdQByAGMAZQAiACwAIgBGAGUAcgB0AGkAbABpAHMAZQByAF8AUwBvAHUAcgBjAGUARABhAHQAYQAuAEYAZQByAHQAaQBsAGkAcwBlAHIAXwBMAGkAbQBlAEQAbwBsAG8AbQBpAHQAZQBHAHkAcABzAHUAbQBDAG8AbgBzAHQAYQBuAHQAcwBfAEQAYQB0AGEAIgAsACIARgBlAHIAdABpAGwAaQBzAGUAcgBfAFMAbwB1AHIAYwBlAEQAYQB0AGEALgBGAGUAcgB0AGkAbABpAHMAZQByAF8ATABpAG0AZQBEAG8AbABvAG0AaQB0AGUARwB5AHAAcwB1AG0AQwBvAG4AcwB0AGEAbgB0AHMAXwBWAGEAcgBpAGEAdABpAG8AbgAiACwAIgBGAGUAcgB0AGkAbABpAHMAZQByAF8AUwBvAHUAcgBjAGUARABhAHQAYQAuAEYAZQByAHQAaQBsAGkAcwBlAHIAXwBGAHIAYQBjAHQAaQBvAG4ATgBDAG8AbQBtAG8AbgBGAGUAcgB0AGkAbABpAHMAZQByAHMAXwBUAGkAdABsAGUAIgAsACIARgBlAHIAdABpAGwAaQBzAGUAcgBfAFMAbwB1AHIAYwBlAEQAYQB0AGEALgBGAGUAcgB0AGkAbABpAHMAZQByAF8ARgByAGEAYwB0AGkAbwBuAE4AQwBvAG0AbQBvAG4ARgBlAHIAdABpAGwAaQBzAGUAcgBzAF8AUwBvAHUAcgBjAGUAIgAsACIARgBlAHIAdABpAGwAaQBzAGUAcgBfAFMAbwB1AHIAYwBlAEQAYQB0AGEALgBGAGUAcgB0AGkAbABpAHMAZQByAF8ARgByAGEAYwB0AGkAbwBuAE4AQwBvAG0AbQBvAG4ARgBlAHIAdABpAGwAaQBzAGUAcgBzAF8ARABhAHQAYQAiACwAIgBGAGUAcgB0AGkAbABpAHMAZQByAF8AUwBvAHUAcgBjAGUARABhAHQAYQAuAEYAZQByAHQAaQBsAGkAcwBlAHIAXwBGAHIAYQBjAHQAaQBvAG4ATgBDAG8AbQBtAG8AbgBGAGUAcgB0AGkAbABpAHMAZQByAHMAXwBWAGEAcgBpAGEAdABpAG8AbgAiACwAIgBGAGUAcgB0AGkAbABpAHMAZQByAF8AUwBvAHUAcgBjAGUARABhAHQAYQAuAEYAZQByAHQAaQBsAGkAcwBlAHIAXwBGAHIAYQBjAHQAaQBvAG4AVQByAGUAYQBDAG8AbQBtAG8AbgBGAGUAcgB0AGkAbABpAHMAZQByAHMAXwBUAGkAdABsAGUAIgAsACIARgBlAHIAdABpAGwAaQBzAGUAcgBfAFMAbwB1AHIAYwBlAEQAYQB0AGEALgBGAGUAcgB0AGkAbABpAHMAZQByAF8ARgByAGEAYwB0AGkAbwBuAFUAcgBlAGEAQwBvAG0AbQBvAG4ARgBlAHIAdABpAGwAaQBzAGUAcgBzAF8AUwBvAHUAcgBjAGUAIgAsACIARgBlAHIAdABpAGwAaQBzAGUAcgBfAFMAbwB1AHIAYwBlAEQAYQB0AGEALgBGAGUAcgB0AGkAbABpAHMAZQByAF8ARgByAGEAYwB0AGkAbwBuAFUAcgBlAGEAQwBvAG0AbQBvAG4ARgBlAHIAdABpAGwAaQBzAGUAcgBzAF8ARABhAHQAYQAiACwAIgBGAGUAcgB0AGkAbABpAHMAZQByAF8AUwBvAHUAcgBjAGUARABhAHQAYQAuAEYAZQByAHQAaQBsAGkAcwBlAHIAXwBGAHIAYQBjAHQAaQBvAG4AVQByAGUAYQBDAG8AbQBtAG8AbgBGAGUAcgB0AGkAbABpAHMAZQByAHMAXwBWAGEAcgBpAGEAdABpAG8AbgAiACwAIgBGAGUAcgB0AGkAbABpAHMAZQByAF8AUwBvAHUAcgBjAGUARABhAHQAYQAuAEYAZQByAHQAaQBsAGkAcwBlAHIAXwBQAHIAbwBkAHUAYwB0AHMAXwBUAGkAdABsAGUAIgAsACIARgBlAHIAdABpAGwAaQBzAGUAcgBfAFMAbwB1AHIAYwBlAEQAYQB0AGEALgBGAGUAcgB0AGkAbABpAHMAZQByAF8AUAByAG8AZAB1AGMAdABzAF8AUwBvAHUAcgBjAGUAIgAsACIARgBlAHIAdABpAGwAaQBzAGUAcgBfAFMAbwB1AHIAYwBlAEQAYQB0AGEALgBGAGUAcgB0AGkAbABpAHMAZQByAF8AUAByAG8AZAB1AGMAdABzAF8ARABhAHQAYQAxACIALAAiAEYAZQByAHQAaQBsAGkAcwBlAHIAXwBJAG4AcAB1AHQARgB1AG4AYwB0AGkAbwBuAHMALgBGAGUAcgB0AGkAbABpAHMAZQByAF8ARgBlAHIAdABpAGwAaQBzAGUAcgBQAHIAbwBkAHUAYwB0AEwAbwBvAGsAdQBwACIALAAiAEYAZQByAHQAaQBsAGkAcwBlAHIAXwBJAG4AcAB1AHQARgB1AG4AYwB0AGkAbwBuAHMALgBGAGUAcgB0AGkAbABpAHMAZQByAF8AUwB1AG0AUAByAG8AZAB1AGMAdABBAHAAcABsAGkAZQBkACIALAAiAEYAZQByAHQAaQBsAGkAcwBlAHIAXwBJAG4AcAB1AHQARgB1AG4AYwB0AGkAbwBuAHMALgBGAGUAcgB0AGkAbABpAHMAZQByAF8AVABvAHQAYQBsAFMAbwBpAGwAQQBtAGUAbgBkAG0AZQBuAHQAQQBwAHAAbABpAGUAZAAiACwAIgBGAGUAcgB0AGkAbABpAHMAZQByAF8ASQBuAHAAdQB0AEYAdQBuAGMAdABpAG8AbgBzAC4ARgBlAHIAdABpAGwAaQBzAGUAcgBfAFQAbwB0AGEAbABDAGgAZQBtAGkAYwBhAGwAQwBvAG0AcABvAHUAbgBkAEEAcABwAGwAaQBlAGQAQQBsAGwASQBuAGcAcgBlAGQAaQBlAG4AdABzACIALAAiAEYAZQByAHQAaQBsAGkAcwBlAHIAXwBJAG4AcAB1AHQARgB1AG4AYwB0AGkAbwBuAHMALgBGAGUAcgB0AGkAbABpAHMAZQByAF8AVABvAHQAYQBsAEMAaABlAG0AaQBjAGEAbABDAG8AbQBwAG8AdQBuAGQAdABBAHAAcABsAGkAZQBkAEIAeQBTAG8AdQByAGMAZQBBAGwAbABJAG4AZwByAGUAZABpAGUAbgB0AHMAIgAsACIARgBlAHIAdABpAGwAaQBzAGUAcgBfAEkAbgBwAHUAdABGAHUAbgBjAHQAaQBvAG4AcwAuAEYAZQByAHQAaQBsAGkAcwBlAHIAXwBHAGUAdABTAGMAbwBwAGUAMwBFAEYAIgAsACIARgBlAHIAdABpAGwAaQBzAGUAcgBfAEkAbgBwAHUAdABGAHUAbgBjAHQAaQBvAG4AcwAuAEYAZQByAHQAaQBsAGkAcwBlAHIAXwBHAGUAdABDAGgAZQBtAGkAYwBhAGwAQwBvAG0AcABvAHUAbgBkAEUAbABlAG0AZQBuAHQARgByAGEAYwB0AGkAbwBuACIALAAiAEUAbABlAGMAdAByAGkAYwBpAHQAeQBfAFMAbwB1AHIAYwBlAEQAYQB0AGEALgBFAGwAZQBjAHQAcgBpAGMAaQB0AHkAXwBTAGMAbwBwAGUAMgBTAGMAbwBwAGUAMwBMAG8AYwBhAHQAaQBvAG4AQgBhAHMAZQBkAF8AVABpAHQAbABlACIALAAiAEUAbABlAGMAdAByAGkAYwBpAHQAeQBfAFMAbwB1AHIAYwBlAEQAYQB0AGEALgBFAGwAZQBjAHQAcgBpAGMAaQB0AHkAXwBTAGMAbwBwAGUAMgBMAG8AYwBhAHQAaQBvAG4AQgBhAHMAZQBkAF8ARABlAHMAYwByAGkAcAB0AGkAbwBuACIALAAiAEUAbABlAGMAdAByAGkAYwBpAHQAeQBfAFMAbwB1AHIAYwBlAEQAYQB0AGEALgBFAGwAZQBjAHQAcgBpAGMAaQB0AHkAXwBTAGMAbwBwAGUAMgBTAGMAbwBwAGUAMwBMAG8AYwBhAHQAaQBvAG4AQgBhAHMAZQBkAF8AUwBvAHUAcgBjAGUAIgAsACIARQBsAGUAYwB0AHIAaQBjAGkAdAB5AF8AUwBvAHUAcgBjAGUARABhAHQAYQAuAEUAbABlAGMAdAByAGkAYwBpAHQAeQBfAFMAYwBvAHAAZQAyAFMAYwBvAHAAZQAzAEwAbwBjAGEAdABpAG8AbgBCAGEAcwBlAGQAXwBEAGEAdABhACIALAAiAEUAbABlAGMAdAByAGkAYwBpAHQAeQBfAFMAbwB1AHIAYwBlAEQAYQB0AGEALgBFAGwAZQBjAHQAcgBpAGMAaQB0AHkAXwBTAGMAbwBwAGUAMgBTAGMAbwBwAGUAMwBMAG8AYwBhAHQAaQBvAG4AQgBhAHMAZQBkAF8AVgBhAHIAaQBhAHQAaQBvAG4AIgAsACIARQBsAGUAYwB0AHIAaQBjAGkAdAB5AF8AUwBvAHUAcgBjAGUARABhAHQAYQAuAEUAbABlAGMAdAByAGkAYwBpAHQAeQBfAFMAYwBvAHAAZQAyAFMAYwBvAHAAZQAzAE0AYQByAGsAZQB0AEIAYQBzAGUAZABfAFQAaQB0AGwAZQAiACwAIgBFAGwAZQBjAHQAcgBpAGMAaQB0AHkAXwBTAG8AdQByAGMAZQBEAGEAdABhAC4ARQBsAGUAYwB0AHIAaQBjAGkAdAB5AF8AUwBjAG8AcABlADIATQBhAHIAawBlAHQAQgBhAHMAZQBkAF8ARABlAHMAYwByAGkAcAB0AGkAbwBuACIALAAiAEUAbABlAGMAdAByAGkAYwBpAHQAeQBfAFMAbwB1AHIAYwBlAEQAYQB0AGEALgBFAGwAZQBjAHQAcgBpAGMAaQB0AHkAXwBTAGMAbwBwAGUAMgBTAGMAbwBwAGUAMwBNAGEAcgBrAGUAdABCAGEAcwBlAGQAXwBTAG8AdQByAGMAZQAiACwAIgBFAGwAZQBjAHQAcgBpAGMAaQB0AHkAXwBTAG8AdQByAGMAZQBEAGEAdABhAC4ARQBsAGUAYwB0AHIAaQBjAGkAdAB5AF8AUwBjAG8AcABlADIAUwBjAG8AcABlADMATQBhAHIAawBlAHQAQgBhAHMAZQBkAF8ARABhAHQAYQAiACwAIgBFAGwAZQBjAHQAcgBpAGMAaQB0AHkAXwBTAG8AdQByAGMAZQBEAGEAdABhAC4ARQBsAGUAYwB0AHIAaQBjAGkAdAB5AF8AUwBjAG8AcABlADIAUwBjAG8AcABlADMATQBhAHIAawBlAHQAQgBhAHMAZQBk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8523A1ED-64A4-4F28-87AE-B321FB11927F}">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Input - Site</vt:lpstr>
      <vt:lpstr>Input - Fertiliser</vt:lpstr>
      <vt:lpstr>Input - Fuel</vt:lpstr>
      <vt:lpstr>Input - Electricity</vt:lpstr>
      <vt:lpstr>Sheet1</vt:lpstr>
      <vt:lpstr>Constants - Fertiliser</vt:lpstr>
      <vt:lpstr>Constants - Fuel</vt:lpstr>
      <vt:lpstr>Constants - Electricity</vt:lpstr>
      <vt:lpstr>Constants - Common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2026-05-25T02:58:55Z</dcterms:created>
  <dcterms:modified xsi:type="dcterms:W3CDTF">2026-05-25T04:22:08Z</dcterms:modified>
</cp:coreProperties>
</file>