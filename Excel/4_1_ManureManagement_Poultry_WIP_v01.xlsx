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75829384-461F-46D3-ABE2-5279B3206E08}" xr6:coauthVersionLast="47" xr6:coauthVersionMax="47" xr10:uidLastSave="{00000000-0000-0000-0000-000000000000}"/>
  <bookViews>
    <workbookView xWindow="735" yWindow="345" windowWidth="36585" windowHeight="19950" firstSheet="11" activeTab="14" xr2:uid="{992023F3-CAB7-4E5B-A348-08D563A0EF40}"/>
  </bookViews>
  <sheets>
    <sheet name="Home" sheetId="71" r:id="rId1"/>
    <sheet name="Results" sheetId="13" r:id="rId2"/>
    <sheet name="Input - Site" sheetId="15" r:id="rId3"/>
    <sheet name="Input - Poultry" sheetId="70" r:id="rId4"/>
    <sheet name="4.6.1.1-2 Methane" sheetId="69" r:id="rId5"/>
    <sheet name="4.6.1.3-4 Direct N20" sheetId="76" r:id="rId6"/>
    <sheet name="4.6.1.5-6 Atmos Dep" sheetId="97" r:id="rId7"/>
    <sheet name="4.6.1.7-8 Leaching and runoff" sheetId="98" r:id="rId8"/>
    <sheet name="4.6.1.9 Manure applied to soils" sheetId="105" r:id="rId9"/>
    <sheet name="4.6.1.10-11 Soil direct N2O" sheetId="106" r:id="rId10"/>
    <sheet name="4.6.1.12-13 Soil atmos dep" sheetId="107" r:id="rId11"/>
    <sheet name="4.6.1.14-15 Soil leach runoff" sheetId="108" r:id="rId12"/>
    <sheet name="Constants - Poultry" sheetId="79" r:id="rId13"/>
    <sheet name="Constants - Common" sheetId="103" r:id="rId14"/>
    <sheet name="Constants - Livestock" sheetId="43" r:id="rId15"/>
    <sheet name="Acknowledgements" sheetId="72" r:id="rId16"/>
    <sheet name="Tab template" sheetId="74" r:id="rId17"/>
  </sheets>
  <externalReferences>
    <externalReference r:id="rId18"/>
    <externalReference r:id="rId19"/>
    <externalReference r:id="rId20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9">_xlfn.LAMBDA(_xlpm.Month,_xlpm.LivestockClass,_xlpm.HeadAtStart,_xlpm.LiveweightAtStart,_xlpm.LiveweightGain, [0]!CommonLivestock_InputFunctions.LivestockMovement_ProportionalAverageLiveweightAddedDuringMonth(_xlpm.Month, _xlpm.LivestockClass, _xlpm.HeadAtStart) + '4.6.1.10-11 Soil direct N2O'!CommonLivestock_InputFunctions.LivestockMovement_ProportionalAverageLiveweightRemainingAtEndOfMonth(_xlpm.Month,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10">_xlfn.LAMBDA(_xlpm.Month,_xlpm.LivestockClass,_xlpm.HeadAtStart,_xlpm.LiveweightAtStart,_xlpm.LiveweightGain, [0]!CommonLivestock_InputFunctions.LivestockMovement_ProportionalAverageLiveweightAddedDuringMonth(_xlpm.Month, _xlpm.LivestockClass, _xlpm.HeadAtStart) + '4.6.1.12-13 Soil atmos dep'!CommonLivestock_InputFunctions.LivestockMovement_ProportionalAverageLiveweightRemainingAtEndOfMonth(_xlpm.Month,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11">_xlfn.LAMBDA(_xlpm.Month,_xlpm.LivestockClass,_xlpm.HeadAtStart,_xlpm.LiveweightAtStart,_xlpm.LiveweightGain, [0]!CommonLivestock_InputFunctions.LivestockMovement_ProportionalAverageLiveweightAddedDuringMonth(_xlpm.Month, _xlpm.LivestockClass, _xlpm.HeadAtStart) + '4.6.1.14-15 Soil leach runoff'!CommonLivestock_InputFunctions.LivestockMovement_ProportionalAverageLiveweightRemainingAtEndOfMonth(_xlpm.Month,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'4.6.1.9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3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9">_xlfn.LAMBDA(_xlpm.LivestockClass,_xlpm.MovementDate,_xlpm.WeightAtMovementDate,_xlpm.Head, IFERROR(_xlpm.Head * (_xlpm.WeightAtMovementDate + '4.6.1.10-11 Soil direct N2O'!CommonLivestock_InputFunctions.LivestockMovement_LiveweightGrownDuringMonthPerHead(_xlpm.LivestockClass, _xlpm.MovementDate)), 0))</definedName>
    <definedName name="CommonLivestock_InputFunctions.LivestockMovement_LiveweightAddedDuringMonth" localSheetId="10">_xlfn.LAMBDA(_xlpm.LivestockClass,_xlpm.MovementDate,_xlpm.WeightAtMovementDate,_xlpm.Head, IFERROR(_xlpm.Head * (_xlpm.WeightAtMovementDate + '4.6.1.12-13 Soil atmos dep'!CommonLivestock_InputFunctions.LivestockMovement_LiveweightGrownDuringMonthPerHead(_xlpm.LivestockClass, _xlpm.MovementDate)), 0))</definedName>
    <definedName name="CommonLivestock_InputFunctions.LivestockMovement_LiveweightAddedDuringMonth" localSheetId="11">_xlfn.LAMBDA(_xlpm.LivestockClass,_xlpm.MovementDate,_xlpm.WeightAtMovementDate,_xlpm.Head, IFERROR(_xlpm.Head * (_xlpm.WeightAtMovementDate + '4.6.1.14-15 Soil leach runoff'!CommonLivestock_InputFunctions.LivestockMovement_LiveweightGrownDuringMonthPerHead(_xlpm.LivestockClass, _xlpm.MovementDate)),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'4.6.1.9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9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10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11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9">_xlfn.LAMBDA(_xlpm.LivestockClass,_xlpm.Month, '4.6.1.10-11 Soil direct N2O'!CommonLivestock_InputFunctions.LivestockMovement_LiveweightGrownDuringMonthPerHead(_xlpm.LivestockClass, EOMONTH(_xlpm.Month, -1) + 1))</definedName>
    <definedName name="CommonLivestock_InputFunctions.LivestockMovement_LiveweightGrownFromMonthStartPerHead" localSheetId="10">_xlfn.LAMBDA(_xlpm.LivestockClass,_xlpm.Month, '4.6.1.12-13 Soil atmos dep'!CommonLivestock_InputFunctions.LivestockMovement_LiveweightGrownDuringMonthPerHead(_xlpm.LivestockClass, EOMONTH(_xlpm.Month, -1) + 1))</definedName>
    <definedName name="CommonLivestock_InputFunctions.LivestockMovement_LiveweightGrownFromMonthStartPerHead" localSheetId="11">_xlfn.LAMBDA(_xlpm.LivestockClass,_xlpm.Month, '4.6.1.14-15 Soil leach runoff'!CommonLivestock_InputFunctions.LivestockMovement_LiveweightGrownDuringMonthPerHead(_xlpm.LivestockClass, EOMONTH(_xlpm.Month, -1) + 1))</definedName>
    <definedName name="CommonLivestock_InputFunctions.LivestockMovement_LiveweightGrownFromMonthStartPerHead" localSheetId="8">_xlfn.LAMBDA(_xlpm.LivestockClass,_xlpm.Month, '4.6.1.9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9">_xlfn.LAMBDA(_xlpm.LivestockClass,_xlpm.Month,_xlpm.HeadAtStartOfMonth, [0]!CommonLivestock_InputFunctions.LivestockMovement_HeadRemainingAtMonthEnd(_xlpm.Month, _xlpm.LivestockClass, _xlpm.HeadAtStartOfMonth) * '4.6.1.10-11 Soil direct N2O'!CommonLivestock_InputFunctions.LivestockMovement_LiveweightGrownFromMonthStartPerHead(_xlpm.LivestockClass, _xlpm.Month))</definedName>
    <definedName name="CommonLivestock_InputFunctions.LivestockMovement_LiveweightGrownFromMonthStartTotal" localSheetId="10">_xlfn.LAMBDA(_xlpm.LivestockClass,_xlpm.Month,_xlpm.HeadAtStartOfMonth, [0]!CommonLivestock_InputFunctions.LivestockMovement_HeadRemainingAtMonthEnd(_xlpm.Month, _xlpm.LivestockClass, _xlpm.HeadAtStartOfMonth) * '4.6.1.12-13 Soil atmos dep'!CommonLivestock_InputFunctions.LivestockMovement_LiveweightGrownFromMonthStartPerHead(_xlpm.LivestockClass, _xlpm.Month))</definedName>
    <definedName name="CommonLivestock_InputFunctions.LivestockMovement_LiveweightGrownFromMonthStartTotal" localSheetId="11">_xlfn.LAMBDA(_xlpm.LivestockClass,_xlpm.Month,_xlpm.HeadAtStartOfMonth, [0]!CommonLivestock_InputFunctions.LivestockMovement_HeadRemainingAtMonthEnd(_xlpm.Month, _xlpm.LivestockClass, _xlpm.HeadAtStartOfMonth) * '4.6.1.14-15 Soil leach runoff'!CommonLivestock_InputFunctions.LivestockMovement_LiveweightGrownFromMonthStartPerHead(_xlpm.LivestockClass, _xlpm.Month))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'4.6.1.9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9">_xlfn.LAMBDA(_xlpm.LivestockClass,_xlpm.MovementDate,_xlpm.Head, '4.6.1.10-11 Soil direct N2O'!CommonLivestock_InputFunctions.LivestockMovement_LiveweightGrownDuringMonthPerHead(_xlpm.LivestockClass, _xlpm.MovementDate) * _xlpm.Head)</definedName>
    <definedName name="CommonLivestock_InputFunctions.LivestockMovement_LiveweightGrownFromMovementDateTotal" localSheetId="10">_xlfn.LAMBDA(_xlpm.LivestockClass,_xlpm.MovementDate,_xlpm.Head, '4.6.1.12-13 Soil atmos dep'!CommonLivestock_InputFunctions.LivestockMovement_LiveweightGrownDuringMonthPerHead(_xlpm.LivestockClass, _xlpm.MovementDate) * _xlpm.Head)</definedName>
    <definedName name="CommonLivestock_InputFunctions.LivestockMovement_LiveweightGrownFromMovementDateTotal" localSheetId="11">_xlfn.LAMBDA(_xlpm.LivestockClass,_xlpm.MovementDate,_xlpm.Head, '4.6.1.14-15 Soil leach runoff'!CommonLivestock_InputFunctions.LivestockMovement_LiveweightGrownDuringMonthPerHead(_xlpm.LivestockClass, _xlpm.MovementDate) * _xlpm.Head)</definedName>
    <definedName name="CommonLivestock_InputFunctions.LivestockMovement_LiveweightGrownFromMovementDateTotal" localSheetId="8">_xlfn.LAMBDA(_xlpm.LivestockClass,_xlpm.MovementDate,_xlpm.Head, '4.6.1.9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9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10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11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3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9">_xlfn.LAMBDA(_xlpm.Month,_xlpm.LivestockClass,_xlpm.HeadAtStart, '4.6.1.10-11 Soil direct N2O'!CommonLivestock_InputFunctions.LivestockMovement_LiveweightGrownFromMonthStartTotal(_xlpm.LivestockClass,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10">_xlfn.LAMBDA(_xlpm.Month,_xlpm.LivestockClass,_xlpm.HeadAtStart, '4.6.1.12-13 Soil atmos dep'!CommonLivestock_InputFunctions.LivestockMovement_LiveweightGrownFromMonthStartTotal(_xlpm.LivestockClass,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11">_xlfn.LAMBDA(_xlpm.Month,_xlpm.LivestockClass,_xlpm.HeadAtStart, '4.6.1.14-15 Soil leach runoff'!CommonLivestock_InputFunctions.LivestockMovement_LiveweightGrownFromMonthStartTotal(_xlpm.LivestockClass,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 localSheetId="8">_xlfn.LAMBDA(_xlpm.Month,_xlpm.LivestockClass,_xlpm.HeadAtStart, '4.6.1.9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Dairy_AtmosphericDeposition_Equations.VEERG_4_3_1_5__1_AnnualAtmosphericDepositionEmissionsFromMMS">_xlfn.LAMBDA(_xlpm.MN_ATMOS,_xlpm.EF_N2O,_xlpm.C_N2O, _xlpm.MN_ATMOS * _xlpm.EF_N2O * _xlpm.C_N2O * 10 ^ -3)</definedName>
    <definedName name="MMS_Poultry_AtmosphericDeposition_Equations.VEERG_4_6_1_5__1_TotalAnnualAtmosphericDepositionEmissionsFromMMS">_xlfn.LAMBDA(_xlpm.MMS_ATMOS,_xlpm.EF_N2O,_xlpm.C_N2O, (_xlpm.MMS_ATMOS * _xlpm.EF_N2O * _xlpm.C_N2O) * 10 ^ -3)</definedName>
    <definedName name="MMS_Poultry_AtmosphericDeposition_Equations.VEERG_4_6_1_5__1_TotalAnnualAtmosphericDepositionEmissionsFromMM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system";"ir","irrigation method";"r","rainfall region"}, _xlpm.r, _xlpm.c))))</definedName>
    <definedName name="MMS_Poultry_AtmosphericDeposition_Equations.VEERG_4_6_1_5__1_TotalAnnualAtmosphericDepositionEmissionsFromMMS_LatexEquation">_xlfn.LAMBDA("E_{N2O,ad}=(MMS_{ATMOS}\times EF_{N2O}\times C_{N2O})\times10^{-3}")</definedName>
    <definedName name="MMS_Poultry_AtmosphericDeposition_Equations.VEERG_4_6_1_5__1_TotalAnnualAtmosphericDepositionEmissionsFromMMS_NIRReference">_xlfn.LAMBDA("")</definedName>
    <definedName name="MMS_Poultry_AtmosphericDeposition_Equations.VEERG_4_6_1_5__1_TotalAnnualAtmosphericDepositionEmissionsFromMMS_Source">_xlfn.LAMBDA("VEERG 2026: 4.6.1.5, Equation (1)")</definedName>
    <definedName name="MMS_Poultry_AtmosphericDeposition_Equations.VEERG_4_6_1_5__1_TotalAnnualAtmosphericDepositionEmissionsFromMMS_Title">_xlfn.LAMBDA("Total annual atmospheric deposition emissions from manure management")</definedName>
    <definedName name="MMS_Poultry_AtmosphericDeposition_Equations.VEERG_4_6_1_5__1_TotalAnnualAtmosphericDepositionEmissionsFromMMS_Unit">_xlfn.LAMBDA("t N2O")</definedName>
    <definedName name="MMS_Poultry_AtmosphericDeposition_Equations.VEERG_4_6_1_5__1_TotalAnnualAtmosphericDepositionEmissionsFromMMS_Variable">_xlfn.LAMBDA("E_N2Oad")</definedName>
    <definedName name="MMS_Poultry_AtmosphericDeposition_Equations.VEERG_4_6_1_5__2_TotalNitrogenVolatilisedFromMMS">_xlfn.LAMBDA(_xlpm.MN_jkmT,_xlpm.FracGASM_mT, _xlpm.MN_jkmT * _xlpm.FracGASM_mT)</definedName>
    <definedName name="MMS_Poultry_AtmosphericDeposition_Equations.VEERG_4_6_1_5__2_TotalNitrogenVolatilisedFromMMS_Arguments">_xlfn.LAMBDA(_xlfn.MAKEARRAY(2, 2, _xlfn.LAMBDA(_xlpm.r,_xlpm.c, INDEX({"MN_jkmT","nitrogen in each treatment stage MMS (excluding MN_jkm13T2) : kg N";"FracGASM_mT","fraction of N volatilised in each MMS : (kg NH3-N + NOx-N)/kg N"}, _xlpm.r, _xlpm.c))))</definedName>
    <definedName name="MMS_Poultry_AtmosphericDeposition_Equations.VEERG_4_6_1_5__2_TotalNitrogenVolatilisedFromMMS_LatexEquation">_xlfn.LAMBDA("MMS_{ATMOS}=\sum_{j}\sum_{k}\sum_{m}\sum_{T}(MN_{jkmT}\times FracGASM_{mT})")</definedName>
    <definedName name="MMS_Poultry_AtmosphericDeposition_Equations.VEERG_4_6_1_5__2_TotalNitrogenVolatilisedFromMMS_NIRReference">_xlfn.LAMBDA("")</definedName>
    <definedName name="MMS_Poultry_AtmosphericDeposition_Equations.VEERG_4_6_1_5__2_TotalNitrogenVolatilisedFromMMS_Source">_xlfn.LAMBDA("VEERG 2026: 4.6.1.5, Equation (2)")</definedName>
    <definedName name="MMS_Poultry_AtmosphericDeposition_Equations.VEERG_4_6_1_5__2_TotalNitrogenVolatilisedFromMMS_Title">_xlfn.LAMBDA("Total nitrogen volatilised from manure management systems")</definedName>
    <definedName name="MMS_Poultry_AtmosphericDeposition_Equations.VEERG_4_6_1_5__2_TotalNitrogenVolatilisedFromMMS_Unit">_xlfn.LAMBDA("kg N")</definedName>
    <definedName name="MMS_Poultry_AtmosphericDeposition_Equations.VEERG_4_6_1_5__2_TotalNitrogenVolatilisedFromMMS_Variable">_xlfn.LAMBDA("MMS_ATMOS")</definedName>
    <definedName name="MMS_Poultry_LeachingAndRunoff_Equations.VEERG_4_6_1_7__1_AnnualEmissionsFromLeachingAndRunoffFromMMS">_xlfn.LAMBDA(_xlpm.MNLeach_jkm4,_xlpm.EF_leach,_xlpm.C_N2O, (_xlpm.MNLeach_jkm4 * _xlpm.EF_leach * _xlpm.C_N2O) * 10 ^ -3)</definedName>
    <definedName name="MMS_Poultry_LeachingAndRunoff_Equations.VEERG_4_6_1_7__1_AnnualEmissionsFromLeachingAndRunoffFromMMS_Arguments">_xlfn.LAMBDA(_xlfn.MAKEARRAY(3, 2, _xlfn.LAMBDA(_xlpm.r,_xlpm.c, INDEX({"MNLeach_jkm4","mass of N lost through leaching and runoff from each MMS : kg N";"EF_leach","emission factor for leaching and runoff : kg N2O-N/kg N";"C_N2O","factor to convert elemental mass of N2O to molecular mass : ratio"}, _xlpm.r, _xlpm.c))))</definedName>
    <definedName name="MMS_Poultry_LeachingAndRunoff_Equations.VEERG_4_6_1_7__1_AnnualEmissionsFromLeachingAndRunoffFromMMS_LatexEquation">_xlfn.LAMBDA("E_{N2O,leach}=MNLeach_{jkm=4}\times EF_{leach}\times C_{N2O}\times10^{-3}")</definedName>
    <definedName name="MMS_Poultry_LeachingAndRunoff_Equations.VEERG_4_6_1_7__1_AnnualEmissionsFromLeachingAndRunoffFromMMS_NIRReference">_xlfn.LAMBDA("")</definedName>
    <definedName name="MMS_Poultry_LeachingAndRunoff_Equations.VEERG_4_6_1_7__1_AnnualEmissionsFromLeachingAndRunoffFromMMS_Source">_xlfn.LAMBDA("VEERG 2026: 4.6.1.7, Equation (1)")</definedName>
    <definedName name="MMS_Poultry_LeachingAndRunoff_Equations.VEERG_4_6_1_7__1_AnnualEmissionsFromLeachingAndRunoffFromMMS_Title">_xlfn.LAMBDA("Annual emissions from leaching and runoff from each MMS")</definedName>
    <definedName name="MMS_Poultry_LeachingAndRunoff_Equations.VEERG_4_6_1_7__1_AnnualEmissionsFromLeachingAndRunoffFromMMS_Unit">_xlfn.LAMBDA("t N2O")</definedName>
    <definedName name="MMS_Poultry_LeachingAndRunoff_Equations.VEERG_4_6_1_7__1_AnnualEmissionsFromLeachingAndRunoffFromMMS_Variable">_xlfn.LAMBDA("E_N2Oleach")</definedName>
    <definedName name="MMS_Poultry_LeachingAndRunoff_Equations.VEERG_4_6_1_7__2_MassOfNitrogenLostToLeachingAndRunoffFromSolidStorage">_xlfn.LAMBDA(_xlpm.MN_jkm4T1,_xlpm.FracWET,_xlpm.FracLEACH_MS, _xlpm.MN_jkm4T1 * _xlpm.FracWET * _xlpm.FracLEACH_MS)</definedName>
    <definedName name="MMS_Poultry_LeachingAndRunoff_Equations.VEERG_4_6_1_7__2_MassOfNitrogenLostToLeachingAndRunoffFromSolidStorage_Arguments">_xlfn.LAMBDA(_xlfn.MAKEARRAY(6, 2, _xlfn.LAMBDA(_xlpm.r,_xlpm.c, INDEX({"MN_jkm4T1","nitrogen in solid storage MMS treatment stage 1 : kg N";"FracWET","fraction of N available for leaching and runoff : fraction";"FracLEACH_MS","fraction of N lost through leaching and runoff : fraction";"z","location in leaching zone";"j","production system";"ir","irrigation method"}, _xlpm.r, _xlpm.c))))</definedName>
    <definedName name="MMS_Poultry_LeachingAndRunoff_Equations.VEERG_4_6_1_7__2_MassOfNitrogenLostToLeachingAndRunoffFromSolidStorage_LatexEquation">_xlfn.LAMBDA("MNLeach_{jkm=4}=MN_{jkm=4,T=1}\times FracWET\times FracLEACH_{MS}")</definedName>
    <definedName name="MMS_Poultry_LeachingAndRunoff_Equations.VEERG_4_6_1_7__2_MassOfNitrogenLostToLeachingAndRunoffFromSolidStorage_NIRReference">_xlfn.LAMBDA("")</definedName>
    <definedName name="MMS_Poultry_LeachingAndRunoff_Equations.VEERG_4_6_1_7__2_MassOfNitrogenLostToLeachingAndRunoffFromSolidStorage_Source">_xlfn.LAMBDA("VEERG 2026: 4.6.1.7, Equation (2)")</definedName>
    <definedName name="MMS_Poultry_LeachingAndRunoff_Equations.VEERG_4_6_1_7__2_MassOfNitrogenLostToLeachingAndRunoffFromSolidStorage_Title">_xlfn.LAMBDA("Mass of nitrogen lost to leaching and runoff from solid storage systems")</definedName>
    <definedName name="MMS_Poultry_LeachingAndRunoff_Equations.VEERG_4_6_1_7__2_MassOfNitrogenLostToLeachingAndRunoffFromSolidStorage_Unit">_xlfn.LAMBDA("kg N")</definedName>
    <definedName name="MMS_Poultry_LeachingAndRunoff_Equations.VEERG_4_6_1_7__2_MassOfNitrogenLostToLeachingAndRunoffFromSolidStorage_Variable">_xlfn.LAMBDA("MNLeach_jkm4")</definedName>
    <definedName name="MMS_Poultry_ManureAppliedToSoils_Equations.VEERG_4_6_1_9__1_MassOfNitrogenAppliedToSoilsScope1">_xlfn.LAMBDA(_xlpm.MN_jmT2,_xlpm.EF_mT2,_xlpm.FracGASM_mT2,_xlpm.MNLeach_MMS,_xlpm.PF, (_xlpm.MN_jmT2 * (1 - _xlpm.EF_mT2 - _xlpm.FracGASM_mT2) - _xlpm.MNLeach_MMS) * _xlpm.PF)</definedName>
    <definedName name="MMS_Poultry_ManureAppliedToSoils_Equations.VEERG_4_6_1_9__1_MassOfNitrogenAppliedToSoilsScope1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1_MassOfNitrogenAppliedToSoilsScope1_LatexEquation">_xlfn.LAMBDA("MNSoil_{scope1}=\sum_{j}\sum_{m}(MN_{jm,T=2}\times(1-EF_{mT=2}-FracGASM_{mT=2})-MNLeach_{MMS})\times PF")</definedName>
    <definedName name="MMS_Poultry_ManureAppliedToSoils_Equations.VEERG_4_6_1_9__1_MassOfNitrogenAppliedToSoilsScope1_NIRReference">_xlfn.LAMBDA("")</definedName>
    <definedName name="MMS_Poultry_ManureAppliedToSoils_Equations.VEERG_4_6_1_9__1_MassOfNitrogenAppliedToSoilsScope1_Source">_xlfn.LAMBDA("VEERG 2026: 4.6.1.9, Equation (1)")</definedName>
    <definedName name="MMS_Poultry_ManureAppliedToSoils_Equations.VEERG_4_6_1_9__1_MassOfNitrogenAppliedToSoilsScope1_Title">_xlfn.LAMBDA("Mass of nitrogen applied to soils for scope 1 emissions")</definedName>
    <definedName name="MMS_Poultry_ManureAppliedToSoils_Equations.VEERG_4_6_1_9__1_MassOfNitrogenAppliedToSoilsScope1_Unit">_xlfn.LAMBDA("kg N")</definedName>
    <definedName name="MMS_Poultry_ManureAppliedToSoils_Equations.VEERG_4_6_1_9__1_MassOfNitrogenAppliedToSoilsScope1_Variable">_xlfn.LAMBDA("MNSoil_scope1")</definedName>
    <definedName name="MMS_Poultry_ManureAppliedToSoils_Equations.VEERG_4_6_1_9__2_MassOfNitrogenAppliedToSoilsScope3">_xlfn.LAMBDA(_xlpm.MN_jmT2,_xlpm.EF_mT2,_xlpm.FracGASM_mT2,_xlpm.MNLeach_MMS,_xlpm.PF, (_xlpm.MN_jmT2 * (1 - _xlpm.EF_mT2 - _xlpm.FracGASM_mT2) - _xlpm.MNLeach_MMS) * (1 - _xlpm.PF))</definedName>
    <definedName name="MMS_Poultry_ManureAppliedToSoils_Equations.VEERG_4_6_1_9__2_MassOfNitrogenAppliedToSoilsScope3_Arguments">_xlfn.LAMBDA(_xlfn.MAKEARRAY(5, 2, _xlfn.LAMBDA(_xlpm.r,_xlpm.c, INDEX({"MN_jmT2","mass of N in secondary treatment stage as calculated for manure management : kg N";"EF_mT2","nitrous oxide emission factor for each MMS : kg N2O-N/kg N";"FracGASM_mT2","fraction of animal waste N volatilised in each MMS : (kg NH3-N + NOx-N)/kg N";"MNLeach_MMS","mass of N lost through leaching and runoff from MMS : kg N";"PF","fraction of manure applied to soil within the farm boundary : fraction"}, _xlpm.r, _xlpm.c))))</definedName>
    <definedName name="MMS_Poultry_ManureAppliedToSoils_Equations.VEERG_4_6_1_9__2_MassOfNitrogenAppliedToSoilsScope3_LatexEquation">_xlfn.LAMBDA("MNSoil_{scope3}=\sum_{j}\sum_{m}(MN_{jm,T=2}\times(1-EF_{mT=2}-FracGASM_{mT=2})-MNLeach_{MMS})\times(1-PF)")</definedName>
    <definedName name="MMS_Poultry_ManureAppliedToSoils_Equations.VEERG_4_6_1_9__2_MassOfNitrogenAppliedToSoilsScope3_NIRReference">_xlfn.LAMBDA("")</definedName>
    <definedName name="MMS_Poultry_ManureAppliedToSoils_Equations.VEERG_4_6_1_9__2_MassOfNitrogenAppliedToSoilsScope3_Source">_xlfn.LAMBDA("VEERG 2026: 4.6.1.9, Equation (2)")</definedName>
    <definedName name="MMS_Poultry_ManureAppliedToSoils_Equations.VEERG_4_6_1_9__2_MassOfNitrogenAppliedToSoilsScope3_Title">_xlfn.LAMBDA("Mass of nitrogen applied to soils for scope 3 emissions")</definedName>
    <definedName name="MMS_Poultry_ManureAppliedToSoils_Equations.VEERG_4_6_1_9__2_MassOfNitrogenAppliedToSoilsScope3_Unit">_xlfn.LAMBDA("kg N")</definedName>
    <definedName name="MMS_Poultry_ManureAppliedToSoils_Equations.VEERG_4_6_1_9__2_MassOfNitrogenAppliedToSoilsScope3_Variable">_xlfn.LAMBDA("MNSoil_scope3")</definedName>
    <definedName name="MMS_Poultry_Methane_Equations.VEERG_4_6_1_1__1_TotalAnnualMethaneEmissions">_xlfn.LAMBDA(_xlpm.D_jk,_xlpm.M_jkmT,_xlpm.N_jk, (_xlpm.D_jk * _xlpm.M_jkmT * _xlpm.N_jk) * 10 ^ -3)</definedName>
    <definedName name="MMS_Poultry_Methane_Equations.VEERG_4_6_1_1__1_TotalAnnualMethaneEmissions_Arguments">_xlfn.LAMBDA(_xlfn.MAKEARRAY(3, 2, _xlfn.LAMBDA(_xlpm.r,_xlpm.c, INDEX({"D_jk","duration of stay of each class and subclass of poultry : days";"M_jkmT","methane production from manure per class, subclass, MMS, and treatment stage : kg CH4/bird/day";"N_jk","numbers of poultry in each class and subclass : bird"}, _xlpm.r, _xlpm.c))))</definedName>
    <definedName name="MMS_Poultry_Methane_Equations.VEERG_4_6_1_1__1_TotalAnnualMethaneEmissions_LatexEquation">_xlfn.LAMBDA("E_{CH4}=\sum_{j}\sum_{k}\sum_{m}\sum_{T}(D_{jk}\times M_{jkmT}\times N_{jk})\times10^{-3}")</definedName>
    <definedName name="MMS_Poultry_Methane_Equations.VEERG_4_6_1_1__1_TotalAnnualMethaneEmissions_NIRReference">_xlfn.LAMBDA("")</definedName>
    <definedName name="MMS_Poultry_Methane_Equations.VEERG_4_6_1_1__1_TotalAnnualMethaneEmissions_Source">_xlfn.LAMBDA("VEERG 2026: 4.4.1.1, Equation (1)")</definedName>
    <definedName name="MMS_Poultry_Methane_Equations.VEERG_4_6_1_1__1_TotalAnnualMethaneEmissions_Title">_xlfn.LAMBDA("Total annual methane emissions from manure management")</definedName>
    <definedName name="MMS_Poultry_Methane_Equations.VEERG_4_6_1_1__1_TotalAnnualMethaneEmissions_Unit">_xlfn.LAMBDA("t CH4")</definedName>
    <definedName name="MMS_Poultry_Methane_Equations.VEERG_4_6_1_1__1_TotalAnnualMethaneEmissions_Variable">_xlfn.LAMBDA("E_CH4")</definedName>
    <definedName name="MMS_Poultry_Methane_Equations.VEERG_4_6_1_1__2_Stage1MethaneProduction">_xlfn.LAMBDA(_xlpm.VS_jk,_xlpm.BO_j,_xlpm.MMS_jmT1,_xlpm.MCF_im,_xlpm.rho, _xlpm.VS_jk * _xlpm.BO_j * _xlpm.MMS_jmT1 * _xlpm.MCF_im * _xlpm.rho)</definedName>
    <definedName name="MMS_Poultry_Methane_Equations.VEERG_4_6_1_1__2_Stage1MethaneProduction_Arguments">_xlfn.LAMBDA(_xlfn.MAKEARRAY(6, 2, _xlfn.LAMBDA(_xlpm.r,_xlpm.c, INDEX({"VS_jk","volatile solid production poultry classes : kg VS/bird/day";"BO_j","emissions potential per class : m3 CH4/kg VS";"MMS_jmT1","fraction of manure in each primary system : fraction";"MCF_im","methane conversion factor for temperature zone and MMS : fraction";"rho","density of methane : kg/m3";"i","state"}, _xlpm.r, _xlpm.c))))</definedName>
    <definedName name="MMS_Poultry_Methane_Equations.VEERG_4_6_1_1__2_Stage1MethaneProduction_LatexEquation">_xlfn.LAMBDA("M_{jkmT=1}=VS_{jk}\times BO_{j}\times MMS_{jmT=1}\times MCF_{im}\times \rho")</definedName>
    <definedName name="MMS_Poultry_Methane_Equations.VEERG_4_6_1_1__2_Stage1MethaneProduction_NIRReference">_xlfn.LAMBDA("")</definedName>
    <definedName name="MMS_Poultry_Methane_Equations.VEERG_4_6_1_1__2_Stage1MethaneProduction_Source">_xlfn.LAMBDA("VEERG 2026: 4.4.1.1, Equation (2)")</definedName>
    <definedName name="MMS_Poultry_Methane_Equations.VEERG_4_6_1_1__2_Stage1MethaneProduction_Title">_xlfn.LAMBDA("Production of methane in treatment stage 1 MMS")</definedName>
    <definedName name="MMS_Poultry_Methane_Equations.VEERG_4_6_1_1__2_Stage1MethaneProduction_Unit">_xlfn.LAMBDA("kg CH4/bird/day")</definedName>
    <definedName name="MMS_Poultry_Methane_Equations.VEERG_4_6_1_1__2_Stage1MethaneProduction_Variable">_xlfn.LAMBDA("M_jkmT1")</definedName>
    <definedName name="MMS_Poultry_Methane_Equations.VEERG_4_6_1_1__3_Stage2MethaneProduction">_xlfn.LAMBDA(_xlpm.VST_jk,_xlpm.BO,_xlpm.MMS_jmT2,_xlpm.MCF_im,_xlpm.rho, _xlpm.VST_jk * _xlpm.BO * _xlpm.MMS_jmT2 * _xlpm.MCF_im * _xlpm.rho)</definedName>
    <definedName name="MMS_Poultry_Methane_Equations.VEERG_4_6_1_1__3_Stage2MethaneProduction_Arguments">_xlfn.LAMBDA(_xlfn.MAKEARRAY(6, 2, _xlfn.LAMBDA(_xlpm.r,_xlpm.c, INDEX({"VST_jk","volatile solids transferred to treatment stage 2 MMS : kg VS/bird/day";"BO","emissions potential : m3 CH4/kg VS";"MMS_jmT2","fraction of manure in each secondary system : fraction";"MCF_im","methane conversion factor for temperature zone and MMS : fraction";"rho","density of methane : kg/m3";"i","state"}, _xlpm.r, _xlpm.c))))</definedName>
    <definedName name="MMS_Poultry_Methane_Equations.VEERG_4_6_1_1__3_Stage2MethaneProduction_LatexEquation">_xlfn.LAMBDA("M_{jkmT=2}=VST_{jk}\times BO\times MMS_{jmT=2}\times MCF_{im}\times \rho")</definedName>
    <definedName name="MMS_Poultry_Methane_Equations.VEERG_4_6_1_1__3_Stage2MethaneProduction_NIRReference">_xlfn.LAMBDA("")</definedName>
    <definedName name="MMS_Poultry_Methane_Equations.VEERG_4_6_1_1__3_Stage2MethaneProduction_Source">_xlfn.LAMBDA("VEERG 2026: 4.4.1.1, Equation (3)")</definedName>
    <definedName name="MMS_Poultry_Methane_Equations.VEERG_4_6_1_1__3_Stage2MethaneProduction_Title">_xlfn.LAMBDA("Production of methane in treatment stage 2 MMS")</definedName>
    <definedName name="MMS_Poultry_Methane_Equations.VEERG_4_6_1_1__3_Stage2MethaneProduction_Unit">_xlfn.LAMBDA("kg CH4/bird/day")</definedName>
    <definedName name="MMS_Poultry_Methane_Equations.VEERG_4_6_1_1__3_Stage2MethaneProduction_Variable">_xlfn.LAMBDA("M_jkmT2")</definedName>
    <definedName name="MMS_Poultry_Methane_Equations.VEERG_4_6_1_1__4_VolatileSolidsTransferred">_xlfn.LAMBDA(_xlpm.VS_jk,_xlpm.MMS_jmT1,_xlpm.VSL_mT1, _xlpm.VS_jk * _xlpm.MMS_jmT1 * (1 - _xlpm.VSL_mT1))</definedName>
    <definedName name="MMS_Poultry_Methane_Equations.VEERG_4_6_1_1__4_VolatileSolidsTransferred_Arguments">_xlfn.LAMBDA(_xlfn.MAKEARRAY(3, 2, _xlfn.LAMBDA(_xlpm.r,_xlpm.c, INDEX({"VS_jk","volatile solid production poultry classes : kg VS/bird/day";"MMS_jmT1","fraction of manure in each primary system : fraction";"VSL_mT1","fraction of volatile solids lost during storage in the primary system : fraction"}, _xlpm.r, _xlpm.c))))</definedName>
    <definedName name="MMS_Poultry_Methane_Equations.VEERG_4_6_1_1__4_VolatileSolidsTransferred_LatexEquation">_xlfn.LAMBDA("VST_{jk}=VS_{jk}\times MMS_{jmT=1}\times (1-VSL_{mT=1})")</definedName>
    <definedName name="MMS_Poultry_Methane_Equations.VEERG_4_6_1_1__4_VolatileSolidsTransferred_NIRReference">_xlfn.LAMBDA("")</definedName>
    <definedName name="MMS_Poultry_Methane_Equations.VEERG_4_6_1_1__4_VolatileSolidsTransferred_Source">_xlfn.LAMBDA("VEERG 2026: 4.4.1.1, Equation (4)")</definedName>
    <definedName name="MMS_Poultry_Methane_Equations.VEERG_4_6_1_1__4_VolatileSolidsTransferred_Title">_xlfn.LAMBDA("Volatile solids transferred to treatment stage 2 MMS")</definedName>
    <definedName name="MMS_Poultry_Methane_Equations.VEERG_4_6_1_1__4_VolatileSolidsTransferred_Unit">_xlfn.LAMBDA("kg VS/bird/day")</definedName>
    <definedName name="MMS_Poultry_Methane_Equations.VEERG_4_6_1_1__4_VolatileSolidsTransferred_Variable">_xlfn.LAMBDA("VST_jk")</definedName>
    <definedName name="MMS_Poultry_Methane_Equations.VEERG_4_6_1_1__5_VolatileSolidProduction">_xlfn.LAMBDA(_xlpm.I_jk,_xlpm.DMD_jk,_xlpm.A_j, _xlpm.I_jk * (1 - _xlpm.DMD_jk) * (1 - _xlpm.A_j))</definedName>
    <definedName name="MMS_Poultry_Methane_Equations.VEERG_4_6_1_1__5_VolatileSolidProduction_Arguments">_xlfn.LAMBDA(_xlfn.MAKEARRAY(3, 2, _xlfn.LAMBDA(_xlpm.r,_xlpm.c, INDEX({"I_jk","dry matter intake for each class and subclass : kg DM/bird/day";"DMD_jk","dry matter digestibility for each class and subclass : fraction";"A_j","ash content of manure for each class and subclass : fraction"}, _xlpm.r, _xlpm.c))))</definedName>
    <definedName name="MMS_Poultry_Methane_Equations.VEERG_4_6_1_1__5_VolatileSolidProduction_LatexEquation">_xlfn.LAMBDA("VS_{jk}=I_{jk}\times (1-DMD_{jk})\times (1-A_{j})")</definedName>
    <definedName name="MMS_Poultry_Methane_Equations.VEERG_4_6_1_1__5_VolatileSolidProduction_NIRReference">_xlfn.LAMBDA("")</definedName>
    <definedName name="MMS_Poultry_Methane_Equations.VEERG_4_6_1_1__5_VolatileSolidProduction_Source">_xlfn.LAMBDA("VEERG 2026: 4.4.1.1, Equation (5)")</definedName>
    <definedName name="MMS_Poultry_Methane_Equations.VEERG_4_6_1_1__5_VolatileSolidProduction_Title">_xlfn.LAMBDA("Volatile solid production poultry classes")</definedName>
    <definedName name="MMS_Poultry_Methane_Equations.VEERG_4_6_1_1__5_VolatileSolidProduction_Unit">_xlfn.LAMBDA("kg VS/bird/day")</definedName>
    <definedName name="MMS_Poultry_Methane_Equations.VEERG_4_6_1_1__5_VolatileSolidProduction_Variable">_xlfn.LAMBDA("VS_jk")</definedName>
    <definedName name="MMS_Poultry_N2ODirect_Equations.VEERG_4_6_1_3__1_TotalAnnualDirectNitrousOxideEmissionsFromMMS">_xlfn.LAMBDA(_xlpm.MN_jkmT,_xlpm.EF_jm,_xlpm.C_N2O, _xlpm.MN_jkmT * _xlpm.EF_jm * _xlpm.C_N2O * 10 ^ -3)</definedName>
    <definedName name="MMS_Poultry_N2ODirect_Equations.VEERG_4_6_1_3__1_TotalAnnualDirectNitrousOxideEmissionsFromMMS_Arguments">_xlfn.LAMBDA(_xlfn.MAKEARRAY(3, 2, _xlfn.LAMBDA(_xlpm.r,_xlpm.c, INDEX({"MN_jkmT","nitrogen per poultry class, subclass, MMS and treatment stage : kg N";"EF_jm","nitrous oxide emission factor for MMS : kg N2O-N/kg N";"C_N2O","factor to convert elemental mass of nitrous oxide to molecular mass : ratio"}, _xlpm.r, _xlpm.c))))</definedName>
    <definedName name="MMS_Poultry_N2ODirect_Equations.VEERG_4_6_1_3__1_TotalAnnualDirectNitrousOxideEmissionsFromMMS_LatexEquation">_xlfn.LAMBDA("E_{N2O,dir}=\sum_{j}\sum_{k}\sum_{m}\sum_{T}(MN_{jkmT}\times EF_{jm}\times C_{N2O})\times10^{-3}")</definedName>
    <definedName name="MMS_Poultry_N2ODirect_Equations.VEERG_4_6_1_3__1_TotalAnnualDirectNitrousOxideEmissionsFromMMS_NIRReference">_xlfn.LAMBDA("")</definedName>
    <definedName name="MMS_Poultry_N2ODirect_Equations.VEERG_4_6_1_3__1_TotalAnnualDirectNitrousOxideEmissionsFromMMS_Source">_xlfn.LAMBDA("VEERG 2026: 4.6.1.3, Equation (1)")</definedName>
    <definedName name="MMS_Poultry_N2ODirect_Equations.VEERG_4_6_1_3__1_TotalAnnualDirectNitrousOxideEmissionsFromMMS_Title">_xlfn.LAMBDA("Total annual direct nitrous oxide emissions from manure management systems")</definedName>
    <definedName name="MMS_Poultry_N2ODirect_Equations.VEERG_4_6_1_3__1_TotalAnnualDirectNitrousOxideEmissionsFromMMS_Unit">_xlfn.LAMBDA("t N2O")</definedName>
    <definedName name="MMS_Poultry_N2ODirect_Equations.VEERG_4_6_1_3__1_TotalAnnualDirectNitrousOxideEmissionsFromMMS_Variable">_xlfn.LAMBDA("E_N2Odir")</definedName>
    <definedName name="MMS_Poultry_N2ODirect_Equations.VEERG_4_6_1_3__2_Stage1NitrogenInMMS">_xlfn.LAMBDA(_xlpm.AE_jk,_xlpm.MMS_jmT1, _xlpm.AE_jk * _xlpm.MMS_jmT1)</definedName>
    <definedName name="MMS_Poultry_N2ODirect_Equations.VEERG_4_6_1_3__2_Stage1NitrogenInMMS_Arguments">_xlfn.LAMBDA(_xlfn.MAKEARRAY(2, 2, _xlfn.LAMBDA(_xlpm.r,_xlpm.c, INDEX({"AE_jk","total nitrogen excreted by each poultry class and subclass : kg N";"MMS_jmT1","fraction of manure in each primary system : fraction"}, _xlpm.r, _xlpm.c))))</definedName>
    <definedName name="MMS_Poultry_N2ODirect_Equations.VEERG_4_6_1_3__2_Stage1NitrogenInMMS_LatexEquation">_xlfn.LAMBDA("MN_{jkm,T=1}=AE_{jk}\times MMS_{jm,T=1}")</definedName>
    <definedName name="MMS_Poultry_N2ODirect_Equations.VEERG_4_6_1_3__2_Stage1NitrogenInMMS_NIRReference">_xlfn.LAMBDA("")</definedName>
    <definedName name="MMS_Poultry_N2ODirect_Equations.VEERG_4_6_1_3__2_Stage1NitrogenInMMS_Source">_xlfn.LAMBDA("VEERG 2026: 4.6.1.3, Equation (2)")</definedName>
    <definedName name="MMS_Poultry_N2ODirect_Equations.VEERG_4_6_1_3__2_Stage1NitrogenInMMS_Title">_xlfn.LAMBDA("Nitrogen in treatment stage 1 MMS")</definedName>
    <definedName name="MMS_Poultry_N2ODirect_Equations.VEERG_4_6_1_3__2_Stage1NitrogenInMMS_Unit">_xlfn.LAMBDA("kg N")</definedName>
    <definedName name="MMS_Poultry_N2ODirect_Equations.VEERG_4_6_1_3__2_Stage1NitrogenInMMS_Variable">_xlfn.LAMBDA("MN_jkmT1")</definedName>
    <definedName name="MMS_Poultry_N2ODirect_Equations.VEERG_4_6_1_3__3_AnnualNitrogenExcretion">_xlfn.LAMBDA(_xlpm.N_jk,_xlpm.NE_jk,_xlpm.D_jk, _xlpm.N_jk * _xlpm.NE_jk * _xlpm.D_jk)</definedName>
    <definedName name="MMS_Poultry_N2ODirect_Equations.VEERG_4_6_1_3__3_AnnualNitrogenExcretion_Arguments">_xlfn.LAMBDA(_xlfn.MAKEARRAY(3, 2, _xlfn.LAMBDA(_xlpm.r,_xlpm.c, INDEX({"N_jk","number of poultry in each class and subclass : bird";"NE_jk","nitrogen excretion : kg N/bird/day";"D_jk","duration of stay of each class and subclass : days"}, _xlpm.r, _xlpm.c))))</definedName>
    <definedName name="MMS_Poultry_N2ODirect_Equations.VEERG_4_6_1_3__3_AnnualNitrogenExcretion_LatexEquation">_xlfn.LAMBDA("AE_{jk}=N_{jk}\times NE_{jk}\times D_{jk}")</definedName>
    <definedName name="MMS_Poultry_N2ODirect_Equations.VEERG_4_6_1_3__3_AnnualNitrogenExcretion_NIRReference">_xlfn.LAMBDA("")</definedName>
    <definedName name="MMS_Poultry_N2ODirect_Equations.VEERG_4_6_1_3__3_AnnualNitrogenExcretion_Source">_xlfn.LAMBDA("VEERG 2026: 4.6.1.3, Equation (3)")</definedName>
    <definedName name="MMS_Poultry_N2ODirect_Equations.VEERG_4_6_1_3__3_AnnualNitrogenExcretion_Title">_xlfn.LAMBDA("Annual nitrogen excretion for each poultry class and subclass")</definedName>
    <definedName name="MMS_Poultry_N2ODirect_Equations.VEERG_4_6_1_3__3_AnnualNitrogenExcretion_Unit">_xlfn.LAMBDA("kg N")</definedName>
    <definedName name="MMS_Poultry_N2ODirect_Equations.VEERG_4_6_1_3__3_AnnualNitrogenExcretion_Variable">_xlfn.LAMBDA("AE_jk")</definedName>
    <definedName name="MMS_Poultry_N2ODirect_Equations.VEERG_4_6_1_3__4_NitrogenExcretionPerBird">_xlfn.LAMBDA(_xlpm.NI_jk,_xlpm.NR_jk, _xlpm.NI_jk * (1 - _xlpm.NR_jk))</definedName>
    <definedName name="MMS_Poultry_N2ODirect_Equations.VEERG_4_6_1_3__4_NitrogenExcretionPerBird_Arguments">_xlfn.LAMBDA(_xlfn.MAKEARRAY(2, 2, _xlfn.LAMBDA(_xlpm.r,_xlpm.c, INDEX({"NI_jk","nitrogen intake : kg N/bird/day";"NR_jk","nitrogen retention expressed as a fraction of intake : fraction"}, _xlpm.r, _xlpm.c))))</definedName>
    <definedName name="MMS_Poultry_N2ODirect_Equations.VEERG_4_6_1_3__4_NitrogenExcretionPerBird_LatexEquation">_xlfn.LAMBDA("NE_{jk}=NI_{jk}\times(1-NR_{jk})")</definedName>
    <definedName name="MMS_Poultry_N2ODirect_Equations.VEERG_4_6_1_3__4_NitrogenExcretionPerBird_NIRReference">_xlfn.LAMBDA("")</definedName>
    <definedName name="MMS_Poultry_N2ODirect_Equations.VEERG_4_6_1_3__4_NitrogenExcretionPerBird_Source">_xlfn.LAMBDA("VEERG 2026: 4.6.1.3, Equation (4)")</definedName>
    <definedName name="MMS_Poultry_N2ODirect_Equations.VEERG_4_6_1_3__4_NitrogenExcretionPerBird_Title">_xlfn.LAMBDA("Nitrogen excretion per bird per day")</definedName>
    <definedName name="MMS_Poultry_N2ODirect_Equations.VEERG_4_6_1_3__4_NitrogenExcretionPerBird_Unit">_xlfn.LAMBDA("kg N/bird/day")</definedName>
    <definedName name="MMS_Poultry_N2ODirect_Equations.VEERG_4_6_1_3__4_NitrogenExcretionPerBird_Variable">_xlfn.LAMBDA("NE_jk")</definedName>
    <definedName name="MMS_Poultry_N2ODirect_Equations.VEERG_4_6_1_3__5_NitrogenIntake">_xlfn.LAMBDA(_xlpm.I_jk,_xlpm.CP_jk, _xlpm.I_jk * _xlpm.CP_jk / 6.25)</definedName>
    <definedName name="MMS_Poultry_N2ODirect_Equations.VEERG_4_6_1_3__5_NitrogenIntake_Arguments">_xlfn.LAMBDA(_xlfn.MAKEARRAY(3, 2, _xlfn.LAMBDA(_xlpm.r,_xlpm.c, INDEX({"I_jk","dry matter intake for each class and subclass : kg DM/bird/day";"CP_jk","crude protein content of feed : fraction";"6.25","factor for converting crude protein into nitrogen : ratio"}, _xlpm.r, _xlpm.c))))</definedName>
    <definedName name="MMS_Poultry_N2ODirect_Equations.VEERG_4_6_1_3__5_NitrogenIntake_LatexEquation">_xlfn.LAMBDA("NI_{jk}=I_{jk}\times CP_{jk}\div 6.25")</definedName>
    <definedName name="MMS_Poultry_N2ODirect_Equations.VEERG_4_6_1_3__5_NitrogenIntake_NIRReference">_xlfn.LAMBDA("")</definedName>
    <definedName name="MMS_Poultry_N2ODirect_Equations.VEERG_4_6_1_3__5_NitrogenIntake_Source">_xlfn.LAMBDA("VEERG 2026: 4.6.1.3, Equation (5)")</definedName>
    <definedName name="MMS_Poultry_N2ODirect_Equations.VEERG_4_6_1_3__5_NitrogenIntake_Title">_xlfn.LAMBDA("Nitrogen intake of poultry")</definedName>
    <definedName name="MMS_Poultry_N2ODirect_Equations.VEERG_4_6_1_3__5_NitrogenIntake_Unit">_xlfn.LAMBDA("kg N/bird/day")</definedName>
    <definedName name="MMS_Poultry_N2ODirect_Equations.VEERG_4_6_1_3__5_NitrogenIntake_Variable">_xlfn.LAMBDA("NI_jk")</definedName>
    <definedName name="MMS_Poultry_N2ODirect_Equations.VEERG_4_6_1_3__6_Stage2NitrogenInMMS">_xlfn.LAMBDA(_xlpm.NT_jkmT2,_xlpm.MMS_mT2, _xlpm.NT_jkmT2 * _xlpm.MMS_mT2)</definedName>
    <definedName name="MMS_Poultry_N2ODirect_Equations.VEERG_4_6_1_3__6_Stage2NitrogenInMMS_Arguments">_xlfn.LAMBDA(_xlfn.MAKEARRAY(2, 2, _xlfn.LAMBDA(_xlpm.r,_xlpm.c, INDEX({"NT_jkmT2","nitrogen transferred to secondary treatment MMS : kg N";"MMS_mT2","fraction of manure in each secondary system : fraction"}, _xlpm.r, _xlpm.c))))</definedName>
    <definedName name="MMS_Poultry_N2ODirect_Equations.VEERG_4_6_1_3__6_Stage2NitrogenInMMS_LatexEquation">_xlfn.LAMBDA("MN_{jkm,T=2}=NT_{jkm,T=2}\times MMS_{m,T=2}")</definedName>
    <definedName name="MMS_Poultry_N2ODirect_Equations.VEERG_4_6_1_3__6_Stage2NitrogenInMMS_NIRReference">_xlfn.LAMBDA("")</definedName>
    <definedName name="MMS_Poultry_N2ODirect_Equations.VEERG_4_6_1_3__6_Stage2NitrogenInMMS_Source">_xlfn.LAMBDA("VEERG 2026: 4.6.1.3, Equation (6)")</definedName>
    <definedName name="MMS_Poultry_N2ODirect_Equations.VEERG_4_6_1_3__6_Stage2NitrogenInMMS_Title">_xlfn.LAMBDA("Nitrogen in treatment stage 2 MMS")</definedName>
    <definedName name="MMS_Poultry_N2ODirect_Equations.VEERG_4_6_1_3__6_Stage2NitrogenInMMS_Unit">_xlfn.LAMBDA("kg N")</definedName>
    <definedName name="MMS_Poultry_N2ODirect_Equations.VEERG_4_6_1_3__6_Stage2NitrogenInMMS_Variable">_xlfn.LAMBDA("MN_jkmT2")</definedName>
    <definedName name="MMS_Poultry_N2ODirect_Equations.VEERG_4_6_1_3__7_NitrogenTransferredToStage2MMS">_xlfn.LAMBDA(_xlpm.MN_jkmT1,_xlpm.FracGASM_mT1,_xlpm.EF_mT1, _xlpm.MN_jkmT1 * (1 - _xlpm.FracGASM_mT1 - _xlpm.EF_mT1))</definedName>
    <definedName name="MMS_Poultry_N2ODirect_Equations.VEERG_4_6_1_3__7_NitrogenTransferredToStage2MMS_Arguments">_xlfn.LAMBDA(_xlfn.MAKEARRAY(3, 2, _xlfn.LAMBDA(_xlpm.r,_xlpm.c, INDEX({"MN_jkmT1","nitrogen in MMS treatment stage 1 : kg N";"FracGASM_mT1","fraction of N volatilised from MMS treatment at stage 1 : fraction";"EF_mT1","nitrous oxide emission factor for MMS treatment at stage 1 : kg N2O-N/kg N"}, _xlpm.r, _xlpm.c))))</definedName>
    <definedName name="MMS_Poultry_N2ODirect_Equations.VEERG_4_6_1_3__7_NitrogenTransferredToStage2MMS_LatexEquation">_xlfn.LAMBDA("NT_{jkm,T=2}=MN_{jkm,T=1}\times(1-FracGASM_{m,T=1}-EF_{m,T=1})")</definedName>
    <definedName name="MMS_Poultry_N2ODirect_Equations.VEERG_4_6_1_3__7_NitrogenTransferredToStage2MMS_NIRReference">_xlfn.LAMBDA("")</definedName>
    <definedName name="MMS_Poultry_N2ODirect_Equations.VEERG_4_6_1_3__7_NitrogenTransferredToStage2MMS_Source">_xlfn.LAMBDA("VEERG 2026: 4.6.1.3, Equation (7)")</definedName>
    <definedName name="MMS_Poultry_N2ODirect_Equations.VEERG_4_6_1_3__7_NitrogenTransferredToStage2MMS_Title">_xlfn.LAMBDA("Nitrogen transferred to treatment stage 2 MMS")</definedName>
    <definedName name="MMS_Poultry_N2ODirect_Equations.VEERG_4_6_1_3__7_NitrogenTransferredToStage2MMS_Unit">_xlfn.LAMBDA("kg N")</definedName>
    <definedName name="MMS_Poultry_N2ODirect_Equations.VEERG_4_6_1_3__7_NitrogenTransferredToStage2MMS_Variable">_xlfn.LAMBDA("NT_jkmT2")</definedName>
    <definedName name="MMS_Poultry_Soil_AtmosphericDeposition_Equations.VEERG_4_6_1_12__1_AtmosphericDepositionEmissionsFromPoultryManureOnPasture">_xlfn.LAMBDA(_xlpm.M_vol_m14,_xlpm.EF_N2O,_xlpm.C_N2O, _xlpm.M_vol_m14 * _xlpm.EF_N2O * _xlpm.C_N2O * 10 ^ -3)</definedName>
    <definedName name="MMS_Poultry_Soil_AtmosphericDeposition_Equations.VEERG_4_6_1_12__1_AtmosphericDepositionEmissionsFromPoultryManureOnPasture_Arguments">_xlfn.LAMBDA(_xlfn.MAKEARRAY(6, 2, _xlfn.LAMBDA(_xlpm.r,_xlpm.c, INDEX({"M_vol_m14","mass of nitrogen volatilised from manure deposited on pasture (kg N)";"EF_N2O","emission factor for atmospheric deposition (kg N2O-N/kg N)";"C_N2O","factor to convert elemental mass of N2O to molecular mass";"j","production system";"ir","irrigation method";"r","rainfall region"}, _xlpm.r, _xlpm.c))))</definedName>
    <definedName name="MMS_Poultry_Soil_AtmosphericDeposition_Equations.VEERG_4_6_1_12__1_AtmosphericDepositionEmissionsFromPoultryManureOnPasture_LatexEquation">_xlfn.LAMBDA("E_{N2O,ad}=M_{vol,m=14}\times EF_{N2O}\times C_{N2O}\times 10^{-3}")</definedName>
    <definedName name="MMS_Poultry_Soil_AtmosphericDeposition_Equations.VEERG_4_6_1_12__1_AtmosphericDepositionEmissionsFromPoultryManureOnPasture_NIRReference">_xlfn.LAMBDA("")</definedName>
    <definedName name="MMS_Poultry_Soil_AtmosphericDeposition_Equations.VEERG_4_6_1_12__1_AtmosphericDepositionEmissionsFromPoultryManureOnPasture_Source">_xlfn.LAMBDA("VEERG 2026: 4.6.1.12, Equation (1)")</definedName>
    <definedName name="MMS_Poultry_Soil_AtmosphericDeposition_Equations.VEERG_4_6_1_12__1_AtmosphericDepositionEmissionsFromPoultryManureOnPasture_Title">_xlfn.LAMBDA("Atmospheric deposition emissions from poultry manure deposited on pasture")</definedName>
    <definedName name="MMS_Poultry_Soil_AtmosphericDeposition_Equations.VEERG_4_6_1_12__1_AtmosphericDepositionEmissionsFromPoultryManureOnPasture_Unit">_xlfn.LAMBDA("t N2O")</definedName>
    <definedName name="MMS_Poultry_Soil_AtmosphericDeposition_Equations.VEERG_4_6_1_12__1_AtmosphericDepositionEmissionsFromPoultryManureOnPasture_Variable">_xlfn.LAMBDA("E_N2Oad")</definedName>
    <definedName name="MMS_Poultry_Soil_AtmosphericDeposition_Equations.VEERG_4_6_1_12__2_MassOfNitrogenVolatilisedFromPoultryManureOnPasture">_xlfn.LAMBDA(_xlpm.MN_jkm14T1,_xlpm.FracGASMsoil, _xlpm.MN_jkm14T1 * _xlpm.FracGASMsoil)</definedName>
    <definedName name="MMS_Poultry_Soil_AtmosphericDeposition_Equations.VEERG_4_6_1_12__2_MassOfNitrogenVolatilisedFromPoultryManureOnPasture_Arguments">_xlfn.LAMBDA(_xlfn.MAKEARRAY(2, 2, _xlfn.LAMBDA(_xlpm.r,_xlpm.c, INDEX({"MN_jkm14T1","mass of nitrogen excreted directly on pasture by poultry class and subclass (kg N)";"FracGASMsoil","fraction of nitrogen volatilised from manure deposited on pasture ((kg NH3-N + NOx-N)/kg N)"}, _xlpm.r, _xlpm.c))))</definedName>
    <definedName name="MMS_Poultry_Soil_AtmosphericDeposition_Equations.VEERG_4_6_1_12__2_MassOfNitrogenVolatilisedFromPoultryManureOnPasture_LatexEquation">_xlfn.LAMBDA("M_{vol,m=14}=\sum_{j}\sum_{k}(MN_{jkm=14,T=1}\times FracGASMsoil)")</definedName>
    <definedName name="MMS_Poultry_Soil_AtmosphericDeposition_Equations.VEERG_4_6_1_12__2_MassOfNitrogenVolatilisedFromPoultryManureOnPasture_NIRReference">_xlfn.LAMBDA("")</definedName>
    <definedName name="MMS_Poultry_Soil_AtmosphericDeposition_Equations.VEERG_4_6_1_12__2_MassOfNitrogenVolatilisedFromPoultryManureOnPasture_Source">_xlfn.LAMBDA("VEERG 2026: 4.6.1.12, Equation (2)")</definedName>
    <definedName name="MMS_Poultry_Soil_AtmosphericDeposition_Equations.VEERG_4_6_1_12__2_MassOfNitrogenVolatilisedFromPoultryManureOnPasture_Title">_xlfn.LAMBDA("Mass of nitrogen volatilised from poultry manure deposited on pasture")</definedName>
    <definedName name="MMS_Poultry_Soil_AtmosphericDeposition_Equations.VEERG_4_6_1_12__2_MassOfNitrogenVolatilisedFromPoultryManureOnPasture_Unit">_xlfn.LAMBDA("kg N")</definedName>
    <definedName name="MMS_Poultry_Soil_AtmosphericDeposition_Equations.VEERG_4_6_1_12__2_MassOfNitrogenVolatilisedFromPoultryManureOnPasture_Variable">_xlfn.LAMBDA("M_vol_m14")</definedName>
    <definedName name="MMS_Poultry_Soil_LeachingAndRunoff_Equations.VEERG_4_6_1_14__1_LeachingAndRunoffEmissionsFromPoultryManureOnPasture">_xlfn.LAMBDA(_xlpm.M_leach_m14,_xlpm.EF_leach,_xlpm.C_N2O, _xlpm.M_leach_m14 * _xlpm.EF_leach * _xlpm.C_N2O * 10 ^ -3)</definedName>
    <definedName name="MMS_Poultry_Soil_LeachingAndRunoff_Equations.VEERG_4_6_1_14__1_LeachingAndRunoffEmissionsFromPoultryManureOnPasture_Arguments">_xlfn.LAMBDA(_xlfn.MAKEARRAY(3, 2, _xlfn.LAMBDA(_xlpm.r,_xlpm.c, INDEX({"M_leach_m14","mass of nitrogen lost to leaching and runoff from poultry manure deposited on pasture (kg N)";"EF_leach","emission factor for leaching and runoff (kg N2O-N/kg N)";"C_N2O","factor to convert elemental mass of N2O to molecular mass"}, _xlpm.r, _xlpm.c))))</definedName>
    <definedName name="MMS_Poultry_Soil_LeachingAndRunoff_Equations.VEERG_4_6_1_14__1_LeachingAndRunoffEmissionsFromPoultryManureOnPasture_LatexEquation">_xlfn.LAMBDA("E_{N2O,leach}=M_{leach,m=14}\times EF_{leach}\times C_{N2O}\times 10^{-3}")</definedName>
    <definedName name="MMS_Poultry_Soil_LeachingAndRunoff_Equations.VEERG_4_6_1_14__1_LeachingAndRunoffEmissionsFromPoultryManureOnPasture_NIRReference">_xlfn.LAMBDA("")</definedName>
    <definedName name="MMS_Poultry_Soil_LeachingAndRunoff_Equations.VEERG_4_6_1_14__1_LeachingAndRunoffEmissionsFromPoultryManureOnPasture_Source">_xlfn.LAMBDA("VEERG 2026: 4.6.1.14, Equation (1)")</definedName>
    <definedName name="MMS_Poultry_Soil_LeachingAndRunoff_Equations.VEERG_4_6_1_14__1_LeachingAndRunoffEmissionsFromPoultryManureOnPasture_Title">_xlfn.LAMBDA("Leaching and runoff emissions from poultry manure deposited on pasture")</definedName>
    <definedName name="MMS_Poultry_Soil_LeachingAndRunoff_Equations.VEERG_4_6_1_14__1_LeachingAndRunoffEmissionsFromPoultryManureOnPasture_Unit">_xlfn.LAMBDA("t N2O")</definedName>
    <definedName name="MMS_Poultry_Soil_LeachingAndRunoff_Equations.VEERG_4_6_1_14__1_LeachingAndRunoffEmissionsFromPoultryManureOnPasture_Variable">_xlfn.LAMBDA("E_N2Oleach")</definedName>
    <definedName name="MMS_Poultry_Soil_LeachingAndRunoff_Equations.VEERG_4_6_1_14__2_MassOfNitrogenLostToLeachingAndRunoffFromPoultryManureOnPasture">_xlfn.LAMBDA(_xlpm.MN_jkm14T1,_xlpm.FracWet,_xlpm.FracLEACH_MS, _xlpm.MN_jkm14T1 * _xlpm.FracWet * _xlpm.FracLEACH_MS)</definedName>
    <definedName name="MMS_Poultry_Soil_LeachingAndRunoff_Equations.VEERG_4_6_1_14__2_MassOfNitrogenLostToLeachingAndRunoffFromPoultryManureOnPasture_Arguments">_xlfn.LAMBDA(_xlfn.MAKEARRAY(6, 2, _xlfn.LAMBDA(_xlpm.r,_xlpm.c, INDEX({"MN_jkm14T1","mass of nitrogen excreted directly on pasture by poultry class and subclass (kg N)";"FracWet","fraction of N available for leaching and runoff";"FracLEACH_MS","fraction of N that is lost through leaching and runoff";"z","location in leaching zone";"j","production system";"ir","irrigation method"}, _xlpm.r, _xlpm.c))))</definedName>
    <definedName name="MMS_Poultry_Soil_LeachingAndRunoff_Equations.VEERG_4_6_1_14__2_MassOfNitrogenLostToLeachingAndRunoffFromPoultryManureOnPasture_LatexEquation">_xlfn.LAMBDA("M_{leach,m=14}=\sum_{j}\sum_{k}(MN_{jkm=14,T=1}\times FracWet\times FracLEACH_MS)")</definedName>
    <definedName name="MMS_Poultry_Soil_LeachingAndRunoff_Equations.VEERG_4_6_1_14__2_MassOfNitrogenLostToLeachingAndRunoffFromPoultryManureOnPasture_NIRReference">_xlfn.LAMBDA("")</definedName>
    <definedName name="MMS_Poultry_Soil_LeachingAndRunoff_Equations.VEERG_4_6_1_14__2_MassOfNitrogenLostToLeachingAndRunoffFromPoultryManureOnPasture_Source">_xlfn.LAMBDA("VEERG 2026: 4.6.1.14, Equation (2)")</definedName>
    <definedName name="MMS_Poultry_Soil_LeachingAndRunoff_Equations.VEERG_4_6_1_14__2_MassOfNitrogenLostToLeachingAndRunoffFromPoultryManureOnPasture_Title">_xlfn.LAMBDA("Mass of nitrogen lost to leaching and runoff from poultry manure deposited on pasture")</definedName>
    <definedName name="MMS_Poultry_Soil_LeachingAndRunoff_Equations.VEERG_4_6_1_14__2_MassOfNitrogenLostToLeachingAndRunoffFromPoultryManureOnPasture_Unit">_xlfn.LAMBDA("kg N")</definedName>
    <definedName name="MMS_Poultry_Soil_LeachingAndRunoff_Equations.VEERG_4_6_1_14__2_MassOfNitrogenLostToLeachingAndRunoffFromPoultryManureOnPasture_Variable">_xlfn.LAMBDA("M_leach_m14")</definedName>
    <definedName name="MMS_Poultry_Soil_N2ODirect_Equations.VEERG_4_6_1_10__1_DirectNitrousOxideEmissionsFromPoultryManure">_xlfn.LAMBDA(_xlpm.MN_jkm14T1,_xlpm.EF_PRP,_xlpm.C_N2O, _xlpm.MN_jkm14T1 * _xlpm.EF_PRP * _xlpm.C_N2O * 10 ^ -3)</definedName>
    <definedName name="MMS_Poultry_Soil_N2ODirect_Equations.VEERG_4_6_1_10__1_DirectNitrousOxideEmissionsFromPoultryManure_Arguments">_xlfn.LAMBDA(_xlfn.MAKEARRAY(3, 2, _xlfn.LAMBDA(_xlpm.r,_xlpm.c, INDEX({"MN_jkm14T1","mass of nitrogen excreted directly on pasture by poultry class and subclass (kg N)";"EF_PRP","nitrous oxide emission factor for manure deposited on pasture (kg N2O-N/kg N deposited)";"C_N2O","factor to convert elemental mass of N2O to molecular mass"}, _xlpm.r, _xlpm.c))))</definedName>
    <definedName name="MMS_Poultry_Soil_N2ODirect_Equations.VEERG_4_6_1_10__1_DirectNitrousOxideEmissionsFromPoultryManure_LatexEquation">_xlfn.LAMBDA("EM_{N2O,PRP,dir}=\sum_{j}\sum_{k}(MN_{jkm=14,T=1}\times EF_{PRP}\times C_{N2O})\times 10^{-3}")</definedName>
    <definedName name="MMS_Poultry_Soil_N2ODirect_Equations.VEERG_4_6_1_10__1_DirectNitrousOxideEmissionsFromPoultryManure_NIRReference">_xlfn.LAMBDA("")</definedName>
    <definedName name="MMS_Poultry_Soil_N2ODirect_Equations.VEERG_4_6_1_10__1_DirectNitrousOxideEmissionsFromPoultryManure_Source">_xlfn.LAMBDA("VEERG 2026: 4.6.1.10, Equation (1)")</definedName>
    <definedName name="MMS_Poultry_Soil_N2ODirect_Equations.VEERG_4_6_1_10__1_DirectNitrousOxideEmissionsFromPoultryManure_Title">_xlfn.LAMBDA("Direct nitrous oxide emissions from poultry manure on pasture")</definedName>
    <definedName name="MMS_Poultry_Soil_N2ODirect_Equations.VEERG_4_6_1_10__1_DirectNitrousOxideEmissionsFromPoultryManure_Unit">_xlfn.LAMBDA("t N2O")</definedName>
    <definedName name="MMS_Poultry_Soil_N2ODirect_Equations.VEERG_4_6_1_10__1_DirectNitrousOxideEmissionsFromPoultryManure_Variable">_xlfn.LAMBDA("EM_N2OPRPdir")</definedName>
    <definedName name="Range_LivestockStartingValues">#REF!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EFmT_Data">_xlfn.LAMBDA(_xlfn.MAKEARRAY(9, 3, _xlfn.LAMBDA(_xlpm.r,_xlpm.c, INDEX({"MMS m","EFmT","NIR reference";"Poultry manure with litter (housing)",0.001,"Poultry manure with bedding";"Poultry manure without litter (housing)",0.001,"Belt manure removal";"Poultry manure without litter (housing)",0.001,"Manure stored in house";"Pasture range and paddock (free range)",0.02,"Pasture range and paddock";"Solid storage (stockpile)",0.005,"Solid storage";"Composting (passive windrow)",0.01,"Composting (passive windrow)";"Direct processing",0,"Direct processing";"Anaerobic digester / covered pond",0,"Digester / covered lagoons"}, _xlpm.r, _xlpm.c))))</definedName>
    <definedName name="SourceData_Poultry.SourceData_Poultry_EFmT_Source">_xlfn.LAMBDA("VEERG 2026: Table A.1.7.3")</definedName>
    <definedName name="SourceData_Poultry.SourceData_Poultry_EFmT_Title">_xlfn.LAMBDA("Poultry - Nitrous oxide EFs by MMS (kgN2O-N/kgN) (EFmT)")</definedName>
    <definedName name="SourceData_Poultry.SourceData_Poultry_EFmT_Unit">_xlfn.LAMBDA("kgN2O - N / kgN")</definedName>
    <definedName name="SourceData_Poultry.SourceData_Poultry_EFmT_Variation">_xlfn.LAMBDA("VARIATION ON SOURCE: Added 'NIR definition column'. Duplicated 'Poultry manure without litter' row for NIR MMS 'Belt manure removal' and 'Manure stored in house'.")</definedName>
    <definedName name="SourceData_Poultry.SourceData_Poultry_FracGASMmT_Data">_xlfn.LAMBDA(_xlfn.MAKEARRAY(8, 3, _xlfn.LAMBDA(_xlpm.r,_xlpm.c, INDEX({"MMS m","FracGASMmT","NIR reference";"Poultry manure with litter (housing)",0.3,"Poultry manure with bedding";"Poultry manure without litter (housing) Belt manure removal",0.05,"Belt manure removal";"Poultry manure without litter (housing) Manure stored in house under cages or slat",0.4,"Manure stored in house";"Solid storage (stockpile)",0.2,"Solid storage";"Composting (passive windrow)",0.2,"Composting (passive windrow)";"Direct processing",0,"Direct processing";"Anaerobic digester / covered pond",0,"Digester / covered lagoons"}, _xlpm.r, _xlpm.c))))</definedName>
    <definedName name="SourceData_Poultry.SourceData_Poultry_FracGASMmT_Source">_xlfn.LAMBDA("VEERG 2026: Table A.1.7.2")</definedName>
    <definedName name="SourceData_Poultry.SourceData_Poultry_FracGASMmT_Title">_xlfn.LAMBDA("Poultry - Fraction of N volatilised by MMS ((kg NH3-N + NOx-N)/kgN) (FracGASMmT)")</definedName>
    <definedName name="SourceData_Poultry.SourceData_Poultry_FracGASMmT_Unit">_xlfn.LAMBDA("(kg NH3-N + NOx-N)/kgN")</definedName>
    <definedName name="SourceData_Poultry.SourceData_Poultry_FracGASMmT_Variation">_xlfn.LAMBDA("VARIATION ON SOURCE: Added 'NIR definition column'.")</definedName>
    <definedName name="SourceData_Poultry.SourceData_Poultry_FractionOfNitrogenLostThroughLeachingAndRunoff_Data">_xlfn.LAMBDA(0.02)</definedName>
    <definedName name="SourceData_Poultry.SourceData_Poultry_FractionOfNitrogenLostThroughLeachingAndRunoff_Source">_xlfn.LAMBDA("VEERG 2026: 4.6.2.3 CONSTANTS")</definedName>
    <definedName name="SourceData_Poultry.SourceData_Poultry_FractionOfNitrogenLostThroughLeachingAndRunoff_Title">_xlfn.LAMBDA("Fraction of N that is lost through leaching and runoff")</definedName>
    <definedName name="SourceData_Poultry.SourceData_Poultry_FractionOfNitrogenLostThroughLeachingAndRunoff_Unit">_xlfn.LAMBDA("Dimensionless")</definedName>
    <definedName name="SourceData_Poultry.SourceData_Poultry_FractionOfNitrogenLostThroughLeachingAndRunoff_Variable">_xlfn.LAMBDA("Frac_LEACH_MS")</definedName>
    <definedName name="SourceData_Poultry.SourceData_Poultry_FractionOfNitrogenLostThroughLeachingAndRunoff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litter",0.15,"Poultry manure with bedding";"Poultry manure without litter - stored in house",0.2,"Manure stored in house";"Poultry manure without litter - belt removal",0,"Belt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43" l="1"/>
  <c r="A23" i="43"/>
  <c r="A22" i="43"/>
  <c r="A21" i="43"/>
  <c r="A18" i="43"/>
  <c r="A17" i="43"/>
  <c r="A16" i="43"/>
  <c r="A15" i="43"/>
  <c r="A14" i="43"/>
  <c r="A13" i="43"/>
  <c r="A12" i="43"/>
  <c r="A11" i="43"/>
  <c r="A8" i="43"/>
  <c r="A7" i="43"/>
  <c r="A4" i="43"/>
  <c r="A3" i="43"/>
  <c r="A24" i="79"/>
  <c r="A23" i="79"/>
  <c r="A22" i="79"/>
  <c r="A21" i="79"/>
  <c r="A18" i="79"/>
  <c r="A17" i="79"/>
  <c r="A16" i="79"/>
  <c r="A15" i="79"/>
  <c r="A14" i="79"/>
  <c r="A13" i="79"/>
  <c r="A12" i="79"/>
  <c r="A11" i="79"/>
  <c r="A8" i="79"/>
  <c r="A7" i="79"/>
  <c r="A4" i="79"/>
  <c r="A3" i="79"/>
  <c r="A24" i="108"/>
  <c r="A23" i="108"/>
  <c r="A22" i="108"/>
  <c r="A21" i="108"/>
  <c r="A18" i="108"/>
  <c r="A17" i="108"/>
  <c r="A16" i="108"/>
  <c r="A15" i="108"/>
  <c r="A14" i="108"/>
  <c r="A13" i="108"/>
  <c r="A12" i="108"/>
  <c r="A11" i="108"/>
  <c r="A8" i="108"/>
  <c r="A7" i="108"/>
  <c r="A4" i="108"/>
  <c r="A3" i="108"/>
  <c r="A24" i="107"/>
  <c r="A23" i="107"/>
  <c r="A22" i="107"/>
  <c r="A21" i="107"/>
  <c r="A18" i="107"/>
  <c r="A17" i="107"/>
  <c r="A16" i="107"/>
  <c r="A15" i="107"/>
  <c r="A14" i="107"/>
  <c r="A13" i="107"/>
  <c r="A12" i="107"/>
  <c r="A11" i="107"/>
  <c r="A8" i="107"/>
  <c r="A7" i="107"/>
  <c r="A4" i="107"/>
  <c r="A3" i="107"/>
  <c r="A24" i="106"/>
  <c r="A23" i="106"/>
  <c r="A22" i="106"/>
  <c r="A21" i="106"/>
  <c r="A18" i="106"/>
  <c r="A17" i="106"/>
  <c r="A16" i="106"/>
  <c r="A15" i="106"/>
  <c r="A14" i="106"/>
  <c r="A13" i="106"/>
  <c r="A12" i="106"/>
  <c r="A11" i="106"/>
  <c r="A8" i="106"/>
  <c r="A7" i="106"/>
  <c r="A4" i="106"/>
  <c r="A3" i="106"/>
  <c r="A24" i="105"/>
  <c r="A23" i="105"/>
  <c r="A22" i="105"/>
  <c r="A21" i="105"/>
  <c r="A18" i="105"/>
  <c r="A17" i="105"/>
  <c r="A16" i="105"/>
  <c r="A15" i="105"/>
  <c r="A14" i="105"/>
  <c r="A13" i="105"/>
  <c r="A12" i="105"/>
  <c r="A11" i="105"/>
  <c r="A8" i="105"/>
  <c r="A7" i="105"/>
  <c r="A4" i="105"/>
  <c r="A3" i="105"/>
  <c r="A24" i="98"/>
  <c r="A23" i="98"/>
  <c r="A22" i="98"/>
  <c r="A21" i="98"/>
  <c r="A18" i="98"/>
  <c r="A17" i="98"/>
  <c r="A16" i="98"/>
  <c r="A15" i="98"/>
  <c r="A14" i="98"/>
  <c r="A13" i="98"/>
  <c r="A12" i="98"/>
  <c r="A11" i="98"/>
  <c r="A8" i="98"/>
  <c r="A7" i="98"/>
  <c r="A4" i="98"/>
  <c r="A3" i="98"/>
  <c r="A24" i="97"/>
  <c r="A23" i="97"/>
  <c r="A22" i="97"/>
  <c r="A21" i="97"/>
  <c r="A18" i="97"/>
  <c r="A17" i="97"/>
  <c r="A16" i="97"/>
  <c r="A15" i="97"/>
  <c r="A14" i="97"/>
  <c r="A13" i="97"/>
  <c r="A12" i="97"/>
  <c r="A11" i="97"/>
  <c r="A8" i="97"/>
  <c r="A7" i="97"/>
  <c r="A4" i="97"/>
  <c r="A3" i="97"/>
  <c r="A24" i="76"/>
  <c r="A23" i="76"/>
  <c r="A22" i="76"/>
  <c r="A21" i="76"/>
  <c r="A18" i="76"/>
  <c r="A17" i="76"/>
  <c r="A16" i="76"/>
  <c r="A15" i="76"/>
  <c r="A14" i="76"/>
  <c r="A13" i="76"/>
  <c r="A12" i="76"/>
  <c r="A11" i="76"/>
  <c r="A8" i="76"/>
  <c r="A7" i="76"/>
  <c r="A4" i="76"/>
  <c r="A3" i="76"/>
  <c r="A24" i="69"/>
  <c r="A23" i="69"/>
  <c r="A22" i="69"/>
  <c r="A21" i="69"/>
  <c r="A18" i="69"/>
  <c r="A17" i="69"/>
  <c r="A16" i="69"/>
  <c r="A15" i="69"/>
  <c r="A14" i="69"/>
  <c r="A13" i="69"/>
  <c r="A12" i="69"/>
  <c r="A11" i="69"/>
  <c r="A8" i="69"/>
  <c r="A7" i="69"/>
  <c r="A4" i="69"/>
  <c r="A3" i="69"/>
  <c r="A24" i="70"/>
  <c r="A23" i="70"/>
  <c r="A22" i="70"/>
  <c r="A21" i="70"/>
  <c r="A18" i="70"/>
  <c r="A17" i="70"/>
  <c r="A16" i="70"/>
  <c r="A15" i="70"/>
  <c r="A14" i="70"/>
  <c r="A13" i="70"/>
  <c r="A12" i="70"/>
  <c r="A11" i="70"/>
  <c r="A8" i="70"/>
  <c r="A7" i="70"/>
  <c r="A4" i="70"/>
  <c r="A3" i="70"/>
  <c r="A24" i="15"/>
  <c r="A23" i="15"/>
  <c r="A22" i="15"/>
  <c r="A21" i="15"/>
  <c r="A18" i="15"/>
  <c r="A17" i="15"/>
  <c r="A16" i="15"/>
  <c r="A15" i="15"/>
  <c r="A14" i="15"/>
  <c r="A13" i="15"/>
  <c r="A12" i="15"/>
  <c r="A11" i="15"/>
  <c r="A8" i="15"/>
  <c r="A7" i="15"/>
  <c r="A4" i="15"/>
  <c r="A3" i="15"/>
  <c r="A21" i="13"/>
  <c r="A8" i="13"/>
  <c r="A18" i="13"/>
  <c r="A17" i="13"/>
  <c r="A16" i="13"/>
  <c r="A24" i="13"/>
  <c r="A23" i="13"/>
  <c r="A22" i="13"/>
  <c r="A15" i="13"/>
  <c r="A14" i="13"/>
  <c r="A13" i="13"/>
  <c r="A12" i="13"/>
  <c r="A11" i="13"/>
  <c r="N47" i="108" a="1"/>
  <c r="N47" i="108" s="1"/>
  <c r="P49" i="108" s="1"/>
  <c r="N52" i="108" s="1" a="1"/>
  <c r="N52" i="108" s="1"/>
  <c r="E47" i="108" a="1"/>
  <c r="E47" i="108" s="1"/>
  <c r="G49" i="108" s="1"/>
  <c r="E52" i="108" s="1" a="1"/>
  <c r="E52" i="108" s="1"/>
  <c r="O52" i="108" a="1"/>
  <c r="O52" i="108" s="1"/>
  <c r="P50" i="108"/>
  <c r="M49" i="108" a="1"/>
  <c r="M49" i="108" s="1"/>
  <c r="O47" i="108"/>
  <c r="Q43" i="108"/>
  <c r="M43" i="108" a="1"/>
  <c r="M43" i="108" s="1"/>
  <c r="F47" i="108"/>
  <c r="F52" i="108" a="1"/>
  <c r="F52" i="108" s="1"/>
  <c r="G50" i="108"/>
  <c r="D49" i="108" a="1"/>
  <c r="D49" i="108" s="1"/>
  <c r="H45" i="108"/>
  <c r="H44" i="108"/>
  <c r="H43" i="108"/>
  <c r="D43" i="108" a="1"/>
  <c r="D43" i="108" s="1"/>
  <c r="E41" i="108" a="1"/>
  <c r="E41" i="108"/>
  <c r="E40" i="108" a="1"/>
  <c r="E40" i="108" s="1"/>
  <c r="D36" i="108" a="1"/>
  <c r="D36" i="108" s="1"/>
  <c r="D35" i="108" a="1"/>
  <c r="D35" i="108" s="1"/>
  <c r="Q23" i="108"/>
  <c r="P23" i="108"/>
  <c r="O23" i="108"/>
  <c r="N23" i="108"/>
  <c r="O30" i="108"/>
  <c r="R28" i="108"/>
  <c r="O28" i="108" a="1"/>
  <c r="O28" i="108" s="1"/>
  <c r="N28" i="108" a="1"/>
  <c r="N28" i="108" s="1"/>
  <c r="M28" i="108"/>
  <c r="Q28" i="108" a="1"/>
  <c r="Q28" i="108" s="1"/>
  <c r="P28" i="108" a="1"/>
  <c r="P28" i="108" s="1"/>
  <c r="M23" i="108"/>
  <c r="D5" i="108" a="1"/>
  <c r="D5" i="108" s="1"/>
  <c r="H13" i="108"/>
  <c r="H23" i="108"/>
  <c r="G23" i="108"/>
  <c r="F23" i="108"/>
  <c r="E23" i="108"/>
  <c r="D28" i="108"/>
  <c r="D23" i="108"/>
  <c r="H18" i="108"/>
  <c r="H17" i="108"/>
  <c r="H16" i="108"/>
  <c r="H14" i="108" s="1"/>
  <c r="F28" i="108" s="1" a="1"/>
  <c r="F28" i="108" s="1"/>
  <c r="H15" i="108"/>
  <c r="D13" i="108" a="1"/>
  <c r="D13" i="108" s="1"/>
  <c r="E11" i="108" a="1"/>
  <c r="E11" i="108" s="1"/>
  <c r="I28" i="108" s="1"/>
  <c r="E10" i="108" a="1"/>
  <c r="E10" i="108"/>
  <c r="D6" i="108" a="1"/>
  <c r="D6" i="108" s="1"/>
  <c r="O50" i="107" a="1"/>
  <c r="O50" i="107" s="1"/>
  <c r="P48" i="107"/>
  <c r="M47" i="107" a="1"/>
  <c r="M47" i="107" s="1"/>
  <c r="O45" i="107"/>
  <c r="P42" i="107"/>
  <c r="P41" i="107"/>
  <c r="M38" i="107" a="1"/>
  <c r="M38" i="107" s="1"/>
  <c r="F50" i="107" a="1"/>
  <c r="F50" i="107" s="1"/>
  <c r="G48" i="107"/>
  <c r="D47" i="107" a="1"/>
  <c r="D47" i="107" s="1"/>
  <c r="G42" i="107"/>
  <c r="G41" i="107"/>
  <c r="G84" i="97"/>
  <c r="G83" i="97"/>
  <c r="D38" i="107" a="1"/>
  <c r="D38" i="107" s="1"/>
  <c r="E36" i="107" a="1"/>
  <c r="E36" i="107" s="1"/>
  <c r="F45" i="107" s="1"/>
  <c r="E35" i="107" a="1"/>
  <c r="E35" i="107" s="1"/>
  <c r="D31" i="107" a="1"/>
  <c r="D31" i="107" s="1"/>
  <c r="D30" i="107" a="1"/>
  <c r="D30" i="107" s="1"/>
  <c r="M24" i="107"/>
  <c r="D24" i="107"/>
  <c r="H13" i="107"/>
  <c r="M19" i="107"/>
  <c r="D19" i="107"/>
  <c r="D13" i="107" a="1"/>
  <c r="D13" i="107" s="1"/>
  <c r="E11" i="107" a="1"/>
  <c r="E11" i="107" s="1"/>
  <c r="O26" i="107" s="1"/>
  <c r="E10" i="107" a="1"/>
  <c r="E10" i="107" s="1"/>
  <c r="D6" i="107" a="1"/>
  <c r="D6" i="107" s="1"/>
  <c r="D5" i="107" a="1"/>
  <c r="D5" i="107" s="1"/>
  <c r="O32" i="106" a="1"/>
  <c r="O32" i="106" s="1"/>
  <c r="P30" i="106"/>
  <c r="M29" i="106" a="1"/>
  <c r="M29" i="106" s="1"/>
  <c r="F32" i="106" a="1"/>
  <c r="F32" i="106" s="1"/>
  <c r="G30" i="106"/>
  <c r="D29" i="106" a="1"/>
  <c r="D29" i="106" s="1"/>
  <c r="M25" i="106"/>
  <c r="D25" i="106"/>
  <c r="M20" i="106"/>
  <c r="D20" i="106"/>
  <c r="H13" i="106"/>
  <c r="D13" i="106" a="1"/>
  <c r="D13" i="106" s="1"/>
  <c r="E11" i="106" a="1"/>
  <c r="E11" i="106" s="1"/>
  <c r="F27" i="106" s="1"/>
  <c r="E10" i="106" a="1"/>
  <c r="E10" i="106" s="1"/>
  <c r="D6" i="106" a="1"/>
  <c r="D6" i="106" s="1"/>
  <c r="D5" i="106" a="1"/>
  <c r="D5" i="106" s="1"/>
  <c r="E37" i="70"/>
  <c r="E44" i="70"/>
  <c r="E51" i="70"/>
  <c r="D51" i="70"/>
  <c r="D44" i="70"/>
  <c r="D37" i="70"/>
  <c r="O180" i="105"/>
  <c r="O179" i="105"/>
  <c r="O178" i="105"/>
  <c r="O177" i="105"/>
  <c r="N177" i="105"/>
  <c r="O176" i="105"/>
  <c r="O175" i="105"/>
  <c r="O174" i="105"/>
  <c r="O173" i="105"/>
  <c r="N173" i="105"/>
  <c r="O172" i="105"/>
  <c r="O171" i="105"/>
  <c r="O170" i="105"/>
  <c r="O169" i="105"/>
  <c r="N169" i="105"/>
  <c r="E180" i="105"/>
  <c r="E179" i="105"/>
  <c r="E178" i="105"/>
  <c r="E177" i="105"/>
  <c r="D177" i="105"/>
  <c r="E176" i="105"/>
  <c r="E175" i="105"/>
  <c r="E174" i="105"/>
  <c r="E173" i="105"/>
  <c r="D173" i="105"/>
  <c r="E172" i="105"/>
  <c r="E171" i="105"/>
  <c r="E170" i="105"/>
  <c r="E169" i="105"/>
  <c r="D169" i="105"/>
  <c r="F164" i="105"/>
  <c r="F163" i="105"/>
  <c r="F162" i="105"/>
  <c r="F161" i="105"/>
  <c r="F160" i="105"/>
  <c r="F159" i="105"/>
  <c r="F158" i="105"/>
  <c r="F157" i="105"/>
  <c r="F156" i="105"/>
  <c r="F155" i="105"/>
  <c r="F154" i="105"/>
  <c r="F153" i="105"/>
  <c r="E164" i="105"/>
  <c r="E163" i="105"/>
  <c r="E162" i="105"/>
  <c r="E161" i="105"/>
  <c r="D161" i="105"/>
  <c r="E160" i="105"/>
  <c r="E159" i="105"/>
  <c r="E158" i="105"/>
  <c r="E157" i="105"/>
  <c r="D157" i="105"/>
  <c r="E156" i="105"/>
  <c r="E155" i="105"/>
  <c r="E154" i="105"/>
  <c r="E153" i="105"/>
  <c r="D153" i="105"/>
  <c r="D145" i="105"/>
  <c r="O139" i="105"/>
  <c r="O138" i="105"/>
  <c r="O137" i="105"/>
  <c r="O136" i="105"/>
  <c r="N136" i="105"/>
  <c r="O135" i="105"/>
  <c r="O134" i="105"/>
  <c r="O133" i="105"/>
  <c r="O132" i="105"/>
  <c r="N132" i="105"/>
  <c r="O131" i="105"/>
  <c r="O130" i="105"/>
  <c r="O129" i="105"/>
  <c r="O128" i="105"/>
  <c r="N128" i="105"/>
  <c r="E139" i="105"/>
  <c r="E138" i="105"/>
  <c r="E137" i="105"/>
  <c r="E136" i="105"/>
  <c r="D136" i="105"/>
  <c r="E135" i="105"/>
  <c r="E134" i="105"/>
  <c r="E133" i="105"/>
  <c r="E132" i="105"/>
  <c r="D132" i="105"/>
  <c r="E131" i="105"/>
  <c r="E130" i="105"/>
  <c r="E129" i="105"/>
  <c r="E128" i="105"/>
  <c r="D128" i="105"/>
  <c r="H123" i="105"/>
  <c r="H122" i="105"/>
  <c r="H121" i="105"/>
  <c r="H120" i="105"/>
  <c r="H119" i="105"/>
  <c r="D119" i="105" a="1"/>
  <c r="D119" i="105" s="1"/>
  <c r="E117" i="105" a="1"/>
  <c r="E117" i="105" s="1"/>
  <c r="P141" i="105" s="1"/>
  <c r="E116" i="105" a="1"/>
  <c r="E116" i="105" s="1"/>
  <c r="D112" i="105" a="1"/>
  <c r="D112" i="105" s="1"/>
  <c r="D111" i="105" a="1"/>
  <c r="D111" i="105" s="1"/>
  <c r="O105" i="105"/>
  <c r="O104" i="105"/>
  <c r="O103" i="105"/>
  <c r="O102" i="105"/>
  <c r="N102" i="105"/>
  <c r="O101" i="105"/>
  <c r="O100" i="105"/>
  <c r="O99" i="105"/>
  <c r="O98" i="105"/>
  <c r="N98" i="105"/>
  <c r="O97" i="105"/>
  <c r="O96" i="105"/>
  <c r="O95" i="105"/>
  <c r="O94" i="105"/>
  <c r="N94" i="105"/>
  <c r="D5" i="105" a="1"/>
  <c r="D5" i="105" s="1"/>
  <c r="E105" i="105"/>
  <c r="E104" i="105"/>
  <c r="E103" i="105"/>
  <c r="E102" i="105"/>
  <c r="D102" i="105"/>
  <c r="E101" i="105"/>
  <c r="E100" i="105"/>
  <c r="E99" i="105"/>
  <c r="E98" i="105"/>
  <c r="D98" i="105"/>
  <c r="E97" i="105"/>
  <c r="E96" i="105"/>
  <c r="E95" i="105"/>
  <c r="E94" i="105"/>
  <c r="D94" i="105"/>
  <c r="H17" i="105"/>
  <c r="F89" i="105"/>
  <c r="F88" i="105"/>
  <c r="F87" i="105"/>
  <c r="F86" i="105"/>
  <c r="F85" i="105"/>
  <c r="F84" i="105"/>
  <c r="F83" i="105"/>
  <c r="F82" i="105"/>
  <c r="F81" i="105"/>
  <c r="F80" i="105"/>
  <c r="F79" i="105"/>
  <c r="F78" i="105"/>
  <c r="E89" i="105"/>
  <c r="E88" i="105"/>
  <c r="E87" i="105"/>
  <c r="E86" i="105"/>
  <c r="D86" i="105"/>
  <c r="E85" i="105"/>
  <c r="E84" i="105"/>
  <c r="E83" i="105"/>
  <c r="E82" i="105"/>
  <c r="D82" i="105"/>
  <c r="E81" i="105"/>
  <c r="E80" i="105"/>
  <c r="E79" i="105"/>
  <c r="E78" i="105"/>
  <c r="D78" i="105"/>
  <c r="H16" i="105"/>
  <c r="O73" i="105"/>
  <c r="O72" i="105"/>
  <c r="O71" i="105"/>
  <c r="O70" i="105"/>
  <c r="N70" i="105"/>
  <c r="O69" i="105"/>
  <c r="O68" i="105"/>
  <c r="O67" i="105"/>
  <c r="O66" i="105"/>
  <c r="N66" i="105"/>
  <c r="O65" i="105"/>
  <c r="O64" i="105"/>
  <c r="O63" i="105"/>
  <c r="O62" i="105"/>
  <c r="N62" i="105"/>
  <c r="E73" i="105"/>
  <c r="E72" i="105"/>
  <c r="E71" i="105"/>
  <c r="E70" i="105"/>
  <c r="D70" i="105"/>
  <c r="E69" i="105"/>
  <c r="E68" i="105"/>
  <c r="E67" i="105"/>
  <c r="E66" i="105"/>
  <c r="D66" i="105"/>
  <c r="E65" i="105"/>
  <c r="E64" i="105"/>
  <c r="E63" i="105"/>
  <c r="E62" i="105"/>
  <c r="D62" i="105"/>
  <c r="E37" i="108" a="1"/>
  <c r="E7" i="108" a="1"/>
  <c r="E32" i="107" a="1"/>
  <c r="E7" i="107" a="1"/>
  <c r="E7" i="106" a="1"/>
  <c r="E113" i="105" a="1"/>
  <c r="E7" i="105" a="1"/>
  <c r="E37" i="108" l="1"/>
  <c r="N30" i="108"/>
  <c r="E7" i="108"/>
  <c r="E28" i="108" a="1"/>
  <c r="E28" i="108" s="1"/>
  <c r="E30" i="108" s="1"/>
  <c r="G28" i="108" a="1"/>
  <c r="G28" i="108" s="1"/>
  <c r="H28" i="108" a="1"/>
  <c r="H28" i="108" s="1"/>
  <c r="F30" i="108"/>
  <c r="F141" i="105"/>
  <c r="I25" i="106"/>
  <c r="O27" i="106"/>
  <c r="E32" i="107"/>
  <c r="I24" i="107"/>
  <c r="F26" i="107"/>
  <c r="R24" i="107"/>
  <c r="E7" i="107"/>
  <c r="E7" i="106"/>
  <c r="E113" i="105"/>
  <c r="E7" i="105"/>
  <c r="H15" i="105" l="1"/>
  <c r="D57" i="105"/>
  <c r="D56" i="105"/>
  <c r="D55" i="105"/>
  <c r="D54" i="105"/>
  <c r="D53" i="105"/>
  <c r="D52" i="105"/>
  <c r="D51" i="105"/>
  <c r="D50" i="105"/>
  <c r="D46" i="97"/>
  <c r="D45" i="97"/>
  <c r="D44" i="97"/>
  <c r="D43" i="97"/>
  <c r="D42" i="97"/>
  <c r="D41" i="97"/>
  <c r="D40" i="97"/>
  <c r="D39" i="97"/>
  <c r="H14" i="105"/>
  <c r="D45" i="105"/>
  <c r="D44" i="105"/>
  <c r="D43" i="105"/>
  <c r="D42" i="105"/>
  <c r="D41" i="105"/>
  <c r="D40" i="105"/>
  <c r="D39" i="105"/>
  <c r="D38" i="105"/>
  <c r="D145" i="76"/>
  <c r="D144" i="76"/>
  <c r="D143" i="76"/>
  <c r="D142" i="76"/>
  <c r="D141" i="76"/>
  <c r="D140" i="76"/>
  <c r="D139" i="76"/>
  <c r="D138" i="76"/>
  <c r="H13" i="105"/>
  <c r="D13" i="105" a="1"/>
  <c r="D13" i="105" s="1"/>
  <c r="E11" i="105" a="1"/>
  <c r="E11" i="105" s="1"/>
  <c r="E10" i="105" a="1"/>
  <c r="E10" i="105" s="1"/>
  <c r="D6" i="105" a="1"/>
  <c r="D6" i="105" s="1"/>
  <c r="P60" i="98" a="1"/>
  <c r="P60" i="98" s="1"/>
  <c r="Q58" i="98"/>
  <c r="N57" i="98" a="1"/>
  <c r="N57" i="98" s="1"/>
  <c r="F60" i="98" a="1"/>
  <c r="F60" i="98" s="1"/>
  <c r="G58" i="98"/>
  <c r="D57" i="98" a="1"/>
  <c r="D57" i="98" s="1"/>
  <c r="G44" i="98"/>
  <c r="D44" i="98" a="1"/>
  <c r="D44" i="98" s="1"/>
  <c r="E42" i="98" a="1"/>
  <c r="E42" i="98" s="1"/>
  <c r="P55" i="98" s="1"/>
  <c r="E41" i="98" a="1"/>
  <c r="E41" i="98" s="1"/>
  <c r="D37" i="98" a="1"/>
  <c r="D37" i="98" s="1"/>
  <c r="D36" i="98" a="1"/>
  <c r="D36" i="98" s="1"/>
  <c r="D5" i="98" a="1"/>
  <c r="D5" i="98" s="1"/>
  <c r="E111" i="79" a="1"/>
  <c r="E111" i="79" s="1"/>
  <c r="G15" i="98" s="1"/>
  <c r="D111" i="79" a="1"/>
  <c r="D111" i="79" s="1"/>
  <c r="D110" i="79" a="1"/>
  <c r="D110" i="79" s="1"/>
  <c r="D109" i="79" a="1"/>
  <c r="D109" i="79" s="1"/>
  <c r="G13" i="98"/>
  <c r="G18" i="98"/>
  <c r="G17" i="98"/>
  <c r="G16" i="98"/>
  <c r="D13" i="98" a="1"/>
  <c r="D13" i="98" s="1"/>
  <c r="E11" i="98" a="1"/>
  <c r="E11" i="98" s="1"/>
  <c r="T32" i="98" s="1"/>
  <c r="E10" i="98" a="1"/>
  <c r="E10" i="98" s="1"/>
  <c r="D6" i="98" a="1"/>
  <c r="D6" i="98" s="1"/>
  <c r="P92" i="97" a="1"/>
  <c r="P92" i="97" s="1"/>
  <c r="Q90" i="97"/>
  <c r="N89" i="97" a="1"/>
  <c r="N89" i="97" s="1"/>
  <c r="F92" i="97" a="1"/>
  <c r="F92" i="97" s="1"/>
  <c r="G90" i="97"/>
  <c r="D89" i="97" a="1"/>
  <c r="D89" i="97" s="1"/>
  <c r="N80" i="97" a="1"/>
  <c r="N80" i="97" s="1"/>
  <c r="D72" i="97" a="1"/>
  <c r="D72" i="97" s="1"/>
  <c r="D80" i="97" a="1"/>
  <c r="D80" i="97" s="1"/>
  <c r="E78" i="97" a="1"/>
  <c r="E78" i="97" s="1"/>
  <c r="E77" i="97" a="1"/>
  <c r="E77" i="97" s="1"/>
  <c r="D73" i="97" a="1"/>
  <c r="D73" i="97" s="1"/>
  <c r="D5" i="97" a="1"/>
  <c r="D5" i="97" s="1"/>
  <c r="G14" i="97"/>
  <c r="G13" i="97"/>
  <c r="D13" i="97" a="1"/>
  <c r="D13" i="97" s="1"/>
  <c r="E11" i="97" a="1"/>
  <c r="E11" i="97" s="1"/>
  <c r="F68" i="97" s="1"/>
  <c r="E10" i="97" a="1"/>
  <c r="E10" i="97" s="1"/>
  <c r="D6" i="97" a="1"/>
  <c r="D6" i="97" s="1"/>
  <c r="P238" i="76" a="1"/>
  <c r="P238" i="76" s="1"/>
  <c r="N235" i="76" a="1"/>
  <c r="N235" i="76" s="1"/>
  <c r="F238" i="76" a="1"/>
  <c r="F238" i="76" s="1"/>
  <c r="D235" i="76" a="1"/>
  <c r="D235" i="76" s="1"/>
  <c r="G210" i="76"/>
  <c r="G209" i="76"/>
  <c r="D209" i="76" a="1"/>
  <c r="D209" i="76" s="1"/>
  <c r="E207" i="76" a="1"/>
  <c r="E207" i="76" s="1"/>
  <c r="T227" i="76" s="1"/>
  <c r="E206" i="76" a="1"/>
  <c r="E206" i="76" s="1"/>
  <c r="D202" i="76" a="1"/>
  <c r="D202" i="76" s="1"/>
  <c r="D201" i="76" a="1"/>
  <c r="D201" i="76" s="1"/>
  <c r="G165" i="76"/>
  <c r="I181" i="76"/>
  <c r="H181" i="76"/>
  <c r="G181" i="76"/>
  <c r="F181" i="76"/>
  <c r="I180" i="76"/>
  <c r="H180" i="76"/>
  <c r="G180" i="76"/>
  <c r="F180" i="76"/>
  <c r="I179" i="76"/>
  <c r="H179" i="76"/>
  <c r="G179" i="76"/>
  <c r="F179" i="76"/>
  <c r="I178" i="76"/>
  <c r="H178" i="76"/>
  <c r="G178" i="76"/>
  <c r="F178" i="76"/>
  <c r="I177" i="76"/>
  <c r="H177" i="76"/>
  <c r="G177" i="76"/>
  <c r="F177" i="76"/>
  <c r="I176" i="76"/>
  <c r="H176" i="76"/>
  <c r="G176" i="76"/>
  <c r="F176" i="76"/>
  <c r="I175" i="76"/>
  <c r="H175" i="76"/>
  <c r="G175" i="76"/>
  <c r="F175" i="76"/>
  <c r="I174" i="76"/>
  <c r="H174" i="76"/>
  <c r="G174" i="76"/>
  <c r="F174" i="76"/>
  <c r="I173" i="76"/>
  <c r="H173" i="76"/>
  <c r="G173" i="76"/>
  <c r="F173" i="76"/>
  <c r="I172" i="76"/>
  <c r="H172" i="76"/>
  <c r="G172" i="76"/>
  <c r="F172" i="76"/>
  <c r="I171" i="76"/>
  <c r="H171" i="76"/>
  <c r="G171" i="76"/>
  <c r="F171" i="76"/>
  <c r="I170" i="76"/>
  <c r="H170" i="76"/>
  <c r="G170" i="76"/>
  <c r="F170" i="76"/>
  <c r="G164" i="76"/>
  <c r="D164" i="76" a="1"/>
  <c r="D164" i="76" s="1"/>
  <c r="E162" i="76" a="1"/>
  <c r="E162" i="76" s="1"/>
  <c r="T194" i="76" s="1"/>
  <c r="E161" i="76" a="1"/>
  <c r="E161" i="76" s="1"/>
  <c r="D157" i="76" a="1"/>
  <c r="D157" i="76" s="1"/>
  <c r="D156" i="76" a="1"/>
  <c r="D156" i="76" s="1"/>
  <c r="N150" i="76"/>
  <c r="D115" i="76" a="1"/>
  <c r="D115" i="76" s="1"/>
  <c r="H125" i="76"/>
  <c r="H124" i="76"/>
  <c r="D106" i="79" a="1"/>
  <c r="D106" i="79" s="1"/>
  <c r="E106" i="79" a="1"/>
  <c r="E106" i="79" s="1"/>
  <c r="F106" i="79" a="1"/>
  <c r="F106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D100" i="79" a="1"/>
  <c r="D100" i="79" s="1"/>
  <c r="E100" i="79" a="1"/>
  <c r="E100" i="79" s="1"/>
  <c r="F100" i="79" a="1"/>
  <c r="F100" i="79" s="1"/>
  <c r="F99" i="79" a="1"/>
  <c r="F99" i="79" s="1"/>
  <c r="E99" i="79" a="1"/>
  <c r="E99" i="79" s="1"/>
  <c r="D99" i="79" a="1"/>
  <c r="D99" i="79" s="1"/>
  <c r="D97" i="79" a="1"/>
  <c r="D97" i="79" s="1"/>
  <c r="D96" i="79" a="1"/>
  <c r="D96" i="79" s="1"/>
  <c r="D95" i="79" a="1"/>
  <c r="D95" i="79" s="1"/>
  <c r="D92" i="79" a="1"/>
  <c r="D92" i="79" s="1"/>
  <c r="E92" i="79" a="1"/>
  <c r="E92" i="79" s="1"/>
  <c r="F92" i="79" a="1"/>
  <c r="F92" i="79" s="1"/>
  <c r="D91" i="79" a="1"/>
  <c r="D91" i="79" s="1"/>
  <c r="E91" i="79" a="1"/>
  <c r="E91" i="79" s="1"/>
  <c r="F91" i="79" a="1"/>
  <c r="F91" i="79" s="1"/>
  <c r="D90" i="79" a="1"/>
  <c r="D90" i="79" s="1"/>
  <c r="E90" i="79" a="1"/>
  <c r="E90" i="79" s="1"/>
  <c r="F90" i="79" a="1"/>
  <c r="F90" i="79" s="1"/>
  <c r="D89" i="79" a="1"/>
  <c r="D89" i="79" s="1"/>
  <c r="E89" i="79" a="1"/>
  <c r="E89" i="79" s="1"/>
  <c r="F89" i="79" a="1"/>
  <c r="F89" i="79" s="1"/>
  <c r="D88" i="79" a="1"/>
  <c r="D88" i="79" s="1"/>
  <c r="E88" i="79" a="1"/>
  <c r="E88" i="79" s="1"/>
  <c r="F88" i="79" a="1"/>
  <c r="F88" i="79" s="1"/>
  <c r="D87" i="79" a="1"/>
  <c r="D87" i="79" s="1"/>
  <c r="E87" i="79" a="1"/>
  <c r="E87" i="79" s="1"/>
  <c r="F87" i="79" a="1"/>
  <c r="F87" i="79" s="1"/>
  <c r="F86" i="79" a="1"/>
  <c r="F86" i="79" s="1"/>
  <c r="E86" i="79" a="1"/>
  <c r="E86" i="79" s="1"/>
  <c r="D86" i="79" a="1"/>
  <c r="D86" i="79" s="1"/>
  <c r="D84" i="79" a="1"/>
  <c r="D84" i="79" s="1"/>
  <c r="D83" i="79" a="1"/>
  <c r="D83" i="79" s="1"/>
  <c r="D82" i="79" a="1"/>
  <c r="D82" i="79" s="1"/>
  <c r="H123" i="76"/>
  <c r="D123" i="76" a="1"/>
  <c r="D123" i="76" s="1"/>
  <c r="E121" i="76" a="1"/>
  <c r="E121" i="76" s="1"/>
  <c r="I150" i="76" s="1"/>
  <c r="E120" i="76" a="1"/>
  <c r="E120" i="76" s="1"/>
  <c r="D116" i="76" a="1"/>
  <c r="D116" i="76" s="1"/>
  <c r="N109" i="76"/>
  <c r="G95" i="76"/>
  <c r="D33" i="70"/>
  <c r="N219" i="76" s="1"/>
  <c r="D32" i="70"/>
  <c r="D63" i="97" s="1"/>
  <c r="D31" i="70"/>
  <c r="D131" i="76" s="1"/>
  <c r="D30" i="70"/>
  <c r="D57" i="69" s="1"/>
  <c r="H103" i="76"/>
  <c r="G103" i="76"/>
  <c r="F103" i="76"/>
  <c r="E103" i="76"/>
  <c r="H102" i="76"/>
  <c r="G102" i="76"/>
  <c r="F102" i="76"/>
  <c r="E102" i="76"/>
  <c r="H101" i="76"/>
  <c r="G101" i="76"/>
  <c r="F101" i="76"/>
  <c r="E101" i="76"/>
  <c r="H100" i="76"/>
  <c r="G100" i="76"/>
  <c r="F100" i="76"/>
  <c r="E100" i="76"/>
  <c r="G94" i="76"/>
  <c r="D94" i="76" a="1"/>
  <c r="D94" i="76" s="1"/>
  <c r="E92" i="76" a="1"/>
  <c r="E92" i="76" s="1"/>
  <c r="S110" i="76" s="1"/>
  <c r="E91" i="76" a="1"/>
  <c r="E91" i="76" s="1"/>
  <c r="D87" i="76" a="1"/>
  <c r="D87" i="76" s="1"/>
  <c r="D86" i="76" a="1"/>
  <c r="D86" i="76" s="1"/>
  <c r="G67" i="76"/>
  <c r="G65" i="76"/>
  <c r="G77" i="76"/>
  <c r="F77" i="76"/>
  <c r="E77" i="76"/>
  <c r="D77" i="76"/>
  <c r="G72" i="76"/>
  <c r="F72" i="76"/>
  <c r="E72" i="76"/>
  <c r="D72" i="76"/>
  <c r="G66" i="76"/>
  <c r="D65" i="76" a="1"/>
  <c r="D65" i="76" s="1"/>
  <c r="E63" i="76" a="1"/>
  <c r="E63" i="76" s="1"/>
  <c r="R82" i="76" s="1"/>
  <c r="E62" i="76" a="1"/>
  <c r="E62" i="76" s="1"/>
  <c r="D58" i="76" a="1"/>
  <c r="D58" i="76" s="1"/>
  <c r="D57" i="76" a="1"/>
  <c r="D57" i="76" s="1"/>
  <c r="G42" i="76"/>
  <c r="D42" i="76" a="1"/>
  <c r="D42" i="76" s="1"/>
  <c r="E40" i="76" a="1"/>
  <c r="E40" i="76" s="1"/>
  <c r="E39" i="76" a="1"/>
  <c r="E39" i="76" s="1"/>
  <c r="D35" i="76" a="1"/>
  <c r="D35" i="76" s="1"/>
  <c r="D34" i="76" a="1"/>
  <c r="D34" i="76" s="1"/>
  <c r="G14" i="76"/>
  <c r="G13" i="76"/>
  <c r="D13" i="76" a="1"/>
  <c r="D13" i="76" s="1"/>
  <c r="E11" i="76" a="1"/>
  <c r="E11" i="76" s="1"/>
  <c r="R30" i="76" s="1"/>
  <c r="E10" i="76" a="1"/>
  <c r="E10" i="76" s="1"/>
  <c r="D6" i="76" a="1"/>
  <c r="D6" i="76" s="1"/>
  <c r="D5" i="76" a="1"/>
  <c r="D5" i="76" s="1"/>
  <c r="P214" i="69" a="1"/>
  <c r="P214" i="69" s="1"/>
  <c r="Q212" i="69"/>
  <c r="N211" i="69" a="1"/>
  <c r="N211" i="69" s="1"/>
  <c r="O207" i="69"/>
  <c r="O199" i="69"/>
  <c r="O196" i="69"/>
  <c r="N195" i="69"/>
  <c r="G212" i="69"/>
  <c r="D211" i="69" a="1"/>
  <c r="D211" i="69" s="1"/>
  <c r="F214" i="69" a="1"/>
  <c r="F214" i="69" s="1"/>
  <c r="H176" i="69"/>
  <c r="G187" i="69"/>
  <c r="F187" i="69"/>
  <c r="E187" i="69"/>
  <c r="D187" i="69"/>
  <c r="H177" i="69"/>
  <c r="H175" i="69"/>
  <c r="G182" i="69"/>
  <c r="F182" i="69"/>
  <c r="E182" i="69"/>
  <c r="D182" i="69"/>
  <c r="D175" i="69" a="1"/>
  <c r="D175" i="69" s="1"/>
  <c r="E173" i="69" a="1"/>
  <c r="E173" i="69" s="1"/>
  <c r="T207" i="69" s="1"/>
  <c r="E172" i="69" a="1"/>
  <c r="E172" i="69" s="1"/>
  <c r="D168" i="69" a="1"/>
  <c r="D168" i="69" s="1"/>
  <c r="D167" i="69" a="1"/>
  <c r="D167" i="69" s="1"/>
  <c r="O163" i="69"/>
  <c r="O159" i="69"/>
  <c r="O153" i="69"/>
  <c r="O152" i="69"/>
  <c r="D118" i="69" a="1"/>
  <c r="D118" i="69" s="1"/>
  <c r="E160" i="69"/>
  <c r="E147" i="69"/>
  <c r="E157" i="69"/>
  <c r="G128" i="69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I140" i="69"/>
  <c r="H140" i="69"/>
  <c r="G140" i="69"/>
  <c r="F140" i="69"/>
  <c r="I139" i="69"/>
  <c r="H139" i="69"/>
  <c r="G139" i="69"/>
  <c r="F139" i="69"/>
  <c r="I138" i="69"/>
  <c r="H138" i="69"/>
  <c r="G138" i="69"/>
  <c r="F138" i="69"/>
  <c r="I137" i="69"/>
  <c r="H137" i="69"/>
  <c r="G137" i="69"/>
  <c r="F137" i="69"/>
  <c r="I136" i="69"/>
  <c r="H136" i="69"/>
  <c r="G136" i="69"/>
  <c r="F136" i="69"/>
  <c r="E143" i="69"/>
  <c r="E142" i="69"/>
  <c r="E140" i="69"/>
  <c r="E136" i="69"/>
  <c r="D140" i="69"/>
  <c r="D136" i="69"/>
  <c r="G131" i="69"/>
  <c r="G129" i="69"/>
  <c r="G127" i="69"/>
  <c r="G126" i="69"/>
  <c r="N113" i="69"/>
  <c r="D90" i="69" a="1"/>
  <c r="D90" i="69" s="1"/>
  <c r="D113" i="69"/>
  <c r="G100" i="69"/>
  <c r="G99" i="69"/>
  <c r="G98" i="69"/>
  <c r="D98" i="69" a="1"/>
  <c r="D98" i="69" s="1"/>
  <c r="E96" i="69" a="1"/>
  <c r="E96" i="69" s="1"/>
  <c r="I114" i="69" s="1"/>
  <c r="E95" i="69" a="1"/>
  <c r="E95" i="69" s="1"/>
  <c r="D91" i="69" a="1"/>
  <c r="D91" i="69" s="1"/>
  <c r="D40" i="69" a="1"/>
  <c r="D40" i="69" s="1"/>
  <c r="G50" i="69"/>
  <c r="D78" i="69"/>
  <c r="D77" i="69"/>
  <c r="D76" i="69"/>
  <c r="D75" i="69"/>
  <c r="D74" i="69"/>
  <c r="D73" i="69"/>
  <c r="D72" i="69"/>
  <c r="D71" i="69"/>
  <c r="D70" i="69"/>
  <c r="G48" i="69"/>
  <c r="G49" i="69"/>
  <c r="H60" i="69"/>
  <c r="G60" i="69"/>
  <c r="F60" i="69"/>
  <c r="E60" i="69"/>
  <c r="H59" i="69"/>
  <c r="G59" i="69"/>
  <c r="F59" i="69"/>
  <c r="E59" i="69"/>
  <c r="H58" i="69"/>
  <c r="G58" i="69"/>
  <c r="F58" i="69"/>
  <c r="E58" i="69"/>
  <c r="H57" i="69"/>
  <c r="G57" i="69"/>
  <c r="F57" i="69"/>
  <c r="E57" i="69"/>
  <c r="G52" i="69"/>
  <c r="G47" i="69"/>
  <c r="D47" i="69" a="1"/>
  <c r="D47" i="69" s="1"/>
  <c r="E45" i="69" a="1"/>
  <c r="E45" i="69" s="1"/>
  <c r="S84" i="69" s="1"/>
  <c r="E44" i="69" a="1"/>
  <c r="E44" i="69" s="1"/>
  <c r="D39" i="69" a="1"/>
  <c r="D39" i="69" s="1"/>
  <c r="D126" i="69" a="1"/>
  <c r="D126" i="69" s="1"/>
  <c r="E124" i="69" a="1"/>
  <c r="E124" i="69" s="1"/>
  <c r="T153" i="69" s="1"/>
  <c r="E123" i="69" a="1"/>
  <c r="E123" i="69" s="1"/>
  <c r="D119" i="69" a="1"/>
  <c r="D119" i="69" s="1"/>
  <c r="D13" i="69" a="1"/>
  <c r="D13" i="69" s="1"/>
  <c r="E11" i="69" a="1"/>
  <c r="E11" i="69" s="1"/>
  <c r="H35" i="69" s="1"/>
  <c r="E10" i="69" a="1"/>
  <c r="E10" i="69" s="1"/>
  <c r="D6" i="69" a="1"/>
  <c r="D6" i="69" s="1"/>
  <c r="D5" i="69" a="1"/>
  <c r="D5" i="69" s="1"/>
  <c r="G15" i="69"/>
  <c r="G14" i="69"/>
  <c r="G13" i="69"/>
  <c r="D11" i="70"/>
  <c r="L55" i="70"/>
  <c r="L41" i="70"/>
  <c r="H42" i="70"/>
  <c r="G42" i="70"/>
  <c r="F42" i="70"/>
  <c r="E42" i="70"/>
  <c r="H56" i="70"/>
  <c r="G56" i="70"/>
  <c r="F56" i="70"/>
  <c r="E56" i="70"/>
  <c r="D55" i="70"/>
  <c r="E231" i="76" s="1"/>
  <c r="D54" i="70"/>
  <c r="E230" i="76" s="1"/>
  <c r="D53" i="70"/>
  <c r="O64" i="97" s="1"/>
  <c r="D52" i="70"/>
  <c r="O32" i="98" s="1"/>
  <c r="D48" i="70"/>
  <c r="O30" i="97" s="1"/>
  <c r="D47" i="70"/>
  <c r="E28" i="105" s="1"/>
  <c r="D46" i="70"/>
  <c r="O27" i="105" s="1"/>
  <c r="D45" i="70"/>
  <c r="O26" i="105" s="1"/>
  <c r="D41" i="70"/>
  <c r="E155" i="69" s="1"/>
  <c r="D40" i="70"/>
  <c r="E188" i="76" s="1"/>
  <c r="D39" i="70"/>
  <c r="O56" i="97" s="1"/>
  <c r="D38" i="70"/>
  <c r="E220" i="76" s="1"/>
  <c r="D86" i="69"/>
  <c r="H34" i="70"/>
  <c r="G34" i="70"/>
  <c r="F34" i="70"/>
  <c r="E34" i="70"/>
  <c r="N84" i="69"/>
  <c r="D112" i="69"/>
  <c r="F79" i="79" a="1"/>
  <c r="F79" i="79" s="1"/>
  <c r="E79" i="79" a="1"/>
  <c r="E79" i="79" s="1"/>
  <c r="D79" i="79" a="1"/>
  <c r="D79" i="79" s="1"/>
  <c r="F78" i="79" a="1"/>
  <c r="F78" i="79" s="1"/>
  <c r="E78" i="79" a="1"/>
  <c r="E78" i="79" s="1"/>
  <c r="D78" i="79" a="1"/>
  <c r="D78" i="79" s="1"/>
  <c r="F77" i="79" a="1"/>
  <c r="F77" i="79" s="1"/>
  <c r="E77" i="79" a="1"/>
  <c r="E77" i="79" s="1"/>
  <c r="D77" i="79" a="1"/>
  <c r="D77" i="79" s="1"/>
  <c r="D74" i="79" a="1"/>
  <c r="D74" i="79" s="1"/>
  <c r="D73" i="79" a="1"/>
  <c r="D73" i="79" s="1"/>
  <c r="D72" i="79" a="1"/>
  <c r="D72" i="79" s="1"/>
  <c r="N68" i="79" a="1"/>
  <c r="N68" i="79" s="1"/>
  <c r="M68" i="79" a="1"/>
  <c r="M68" i="79" s="1"/>
  <c r="L68" i="79" a="1"/>
  <c r="L68" i="79" s="1"/>
  <c r="K68" i="79" a="1"/>
  <c r="K68" i="79" s="1"/>
  <c r="J68" i="79" a="1"/>
  <c r="J68" i="79" s="1"/>
  <c r="I68" i="79" a="1"/>
  <c r="I68" i="79" s="1"/>
  <c r="H68" i="79" a="1"/>
  <c r="H68" i="79" s="1"/>
  <c r="G68" i="79" a="1"/>
  <c r="G68" i="79" s="1"/>
  <c r="F68" i="79" a="1"/>
  <c r="F68" i="79" s="1"/>
  <c r="E68" i="79" a="1"/>
  <c r="E68" i="79" s="1"/>
  <c r="D68" i="79" a="1"/>
  <c r="D68" i="79" s="1"/>
  <c r="N67" i="79" a="1"/>
  <c r="N67" i="79" s="1"/>
  <c r="M67" i="79" a="1"/>
  <c r="M67" i="79" s="1"/>
  <c r="L67" i="79" a="1"/>
  <c r="L67" i="79" s="1"/>
  <c r="K67" i="79" a="1"/>
  <c r="K67" i="79" s="1"/>
  <c r="J67" i="79" a="1"/>
  <c r="J67" i="79" s="1"/>
  <c r="I67" i="79" a="1"/>
  <c r="I67" i="79" s="1"/>
  <c r="H67" i="79" a="1"/>
  <c r="H67" i="79" s="1"/>
  <c r="G67" i="79" a="1"/>
  <c r="G67" i="79" s="1"/>
  <c r="F67" i="79" a="1"/>
  <c r="F67" i="79" s="1"/>
  <c r="E67" i="79" a="1"/>
  <c r="E67" i="79" s="1"/>
  <c r="D67" i="79" a="1"/>
  <c r="D67" i="79" s="1"/>
  <c r="N66" i="79" a="1"/>
  <c r="N66" i="79" s="1"/>
  <c r="M66" i="79" a="1"/>
  <c r="M66" i="79" s="1"/>
  <c r="L66" i="79" a="1"/>
  <c r="L66" i="79" s="1"/>
  <c r="K66" i="79" a="1"/>
  <c r="K66" i="79" s="1"/>
  <c r="J66" i="79" a="1"/>
  <c r="J66" i="79" s="1"/>
  <c r="I66" i="79" a="1"/>
  <c r="I66" i="79" s="1"/>
  <c r="H66" i="79" a="1"/>
  <c r="H66" i="79" s="1"/>
  <c r="G66" i="79" a="1"/>
  <c r="G66" i="79" s="1"/>
  <c r="F66" i="79" a="1"/>
  <c r="F66" i="79" s="1"/>
  <c r="E66" i="79" a="1"/>
  <c r="E66" i="79" s="1"/>
  <c r="D66" i="79" a="1"/>
  <c r="D66" i="79" s="1"/>
  <c r="N65" i="79" a="1"/>
  <c r="N65" i="79" s="1"/>
  <c r="M65" i="79" a="1"/>
  <c r="M65" i="79" s="1"/>
  <c r="L65" i="79" a="1"/>
  <c r="L65" i="79" s="1"/>
  <c r="K65" i="79" a="1"/>
  <c r="K65" i="79" s="1"/>
  <c r="J65" i="79" a="1"/>
  <c r="J65" i="79" s="1"/>
  <c r="I65" i="79" a="1"/>
  <c r="I65" i="79" s="1"/>
  <c r="H65" i="79" a="1"/>
  <c r="H65" i="79" s="1"/>
  <c r="G65" i="79" a="1"/>
  <c r="G65" i="79" s="1"/>
  <c r="F65" i="79" a="1"/>
  <c r="F65" i="79" s="1"/>
  <c r="E65" i="79" a="1"/>
  <c r="E65" i="79" s="1"/>
  <c r="D65" i="79" a="1"/>
  <c r="D65" i="79" s="1"/>
  <c r="N64" i="79" a="1"/>
  <c r="N64" i="79" s="1"/>
  <c r="M64" i="79" a="1"/>
  <c r="M64" i="79" s="1"/>
  <c r="L64" i="79" a="1"/>
  <c r="L64" i="79" s="1"/>
  <c r="K64" i="79" a="1"/>
  <c r="K64" i="79" s="1"/>
  <c r="J64" i="79" a="1"/>
  <c r="J64" i="79" s="1"/>
  <c r="I64" i="79" a="1"/>
  <c r="I64" i="79" s="1"/>
  <c r="H64" i="79" a="1"/>
  <c r="H64" i="79" s="1"/>
  <c r="G64" i="79" a="1"/>
  <c r="G64" i="79" s="1"/>
  <c r="F64" i="79" a="1"/>
  <c r="F64" i="79" s="1"/>
  <c r="E64" i="79" a="1"/>
  <c r="E64" i="79" s="1"/>
  <c r="D64" i="79" a="1"/>
  <c r="D64" i="79" s="1"/>
  <c r="N63" i="79" a="1"/>
  <c r="N63" i="79" s="1"/>
  <c r="M63" i="79" a="1"/>
  <c r="M63" i="79" s="1"/>
  <c r="L63" i="79" a="1"/>
  <c r="L63" i="79" s="1"/>
  <c r="K63" i="79" a="1"/>
  <c r="K63" i="79" s="1"/>
  <c r="J63" i="79" a="1"/>
  <c r="J63" i="79" s="1"/>
  <c r="I63" i="79" a="1"/>
  <c r="I63" i="79" s="1"/>
  <c r="H63" i="79" a="1"/>
  <c r="H63" i="79" s="1"/>
  <c r="G63" i="79" a="1"/>
  <c r="G63" i="79" s="1"/>
  <c r="F63" i="79" a="1"/>
  <c r="F63" i="79" s="1"/>
  <c r="E63" i="79" a="1"/>
  <c r="E63" i="79" s="1"/>
  <c r="D63" i="79" a="1"/>
  <c r="D63" i="79" s="1"/>
  <c r="N62" i="79" a="1"/>
  <c r="N62" i="79" s="1"/>
  <c r="M62" i="79" a="1"/>
  <c r="M62" i="79" s="1"/>
  <c r="L62" i="79" a="1"/>
  <c r="L62" i="79" s="1"/>
  <c r="K62" i="79" a="1"/>
  <c r="K62" i="79" s="1"/>
  <c r="J62" i="79" a="1"/>
  <c r="J62" i="79" s="1"/>
  <c r="I62" i="79" a="1"/>
  <c r="I62" i="79" s="1"/>
  <c r="H62" i="79" a="1"/>
  <c r="H62" i="79" s="1"/>
  <c r="G62" i="79" a="1"/>
  <c r="G62" i="79" s="1"/>
  <c r="F62" i="79" a="1"/>
  <c r="F62" i="79" s="1"/>
  <c r="E62" i="79" a="1"/>
  <c r="E62" i="79" s="1"/>
  <c r="D62" i="79" a="1"/>
  <c r="D62" i="79" s="1"/>
  <c r="N61" i="79" a="1"/>
  <c r="N61" i="79" s="1"/>
  <c r="M61" i="79" a="1"/>
  <c r="M61" i="79" s="1"/>
  <c r="L61" i="79" a="1"/>
  <c r="L61" i="79" s="1"/>
  <c r="K61" i="79" a="1"/>
  <c r="K61" i="79" s="1"/>
  <c r="J61" i="79" a="1"/>
  <c r="J61" i="79" s="1"/>
  <c r="I61" i="79" a="1"/>
  <c r="I61" i="79" s="1"/>
  <c r="H61" i="79" a="1"/>
  <c r="H61" i="79" s="1"/>
  <c r="G61" i="79" a="1"/>
  <c r="G61" i="79" s="1"/>
  <c r="F61" i="79" a="1"/>
  <c r="F61" i="79" s="1"/>
  <c r="E61" i="79" a="1"/>
  <c r="E61" i="79" s="1"/>
  <c r="D61" i="79" a="1"/>
  <c r="D61" i="79" s="1"/>
  <c r="N60" i="79" a="1"/>
  <c r="N60" i="79" s="1"/>
  <c r="M60" i="79" a="1"/>
  <c r="M60" i="79" s="1"/>
  <c r="L60" i="79" a="1"/>
  <c r="L60" i="79" s="1"/>
  <c r="K60" i="79" a="1"/>
  <c r="K60" i="79" s="1"/>
  <c r="J60" i="79" a="1"/>
  <c r="J60" i="79" s="1"/>
  <c r="I60" i="79" a="1"/>
  <c r="I60" i="79" s="1"/>
  <c r="H60" i="79" a="1"/>
  <c r="H60" i="79" s="1"/>
  <c r="G60" i="79" a="1"/>
  <c r="G60" i="79" s="1"/>
  <c r="F60" i="79" a="1"/>
  <c r="F60" i="79" s="1"/>
  <c r="E60" i="79" a="1"/>
  <c r="E60" i="79" s="1"/>
  <c r="D60" i="79" a="1"/>
  <c r="D60" i="79" s="1"/>
  <c r="D53" i="79" a="1"/>
  <c r="D53" i="79" s="1"/>
  <c r="D52" i="79" a="1"/>
  <c r="D52" i="79" s="1"/>
  <c r="D51" i="79" a="1"/>
  <c r="D51" i="79" s="1"/>
  <c r="D47" i="79" a="1"/>
  <c r="D47" i="79" s="1"/>
  <c r="D46" i="79" a="1"/>
  <c r="D46" i="79" s="1"/>
  <c r="D45" i="79" a="1"/>
  <c r="D45" i="79" s="1"/>
  <c r="E37" i="79"/>
  <c r="D37" i="79"/>
  <c r="E36" i="79"/>
  <c r="D36" i="79"/>
  <c r="E35" i="79"/>
  <c r="D35" i="79"/>
  <c r="E34" i="79"/>
  <c r="D34" i="79"/>
  <c r="K33" i="79"/>
  <c r="J33" i="79"/>
  <c r="E33" i="79"/>
  <c r="D33" i="79"/>
  <c r="K32" i="79"/>
  <c r="J32" i="79"/>
  <c r="H32" i="79"/>
  <c r="G32" i="79"/>
  <c r="E32" i="79"/>
  <c r="D32" i="79"/>
  <c r="K31" i="79"/>
  <c r="J31" i="79"/>
  <c r="H31" i="79"/>
  <c r="G31" i="79"/>
  <c r="E31" i="79"/>
  <c r="D31" i="79"/>
  <c r="K30" i="79"/>
  <c r="J30" i="79"/>
  <c r="H30" i="79"/>
  <c r="G30" i="79"/>
  <c r="E30" i="79"/>
  <c r="D30" i="79"/>
  <c r="K29" i="79"/>
  <c r="J29" i="79"/>
  <c r="H29" i="79"/>
  <c r="G29" i="79"/>
  <c r="E29" i="79"/>
  <c r="D29" i="79"/>
  <c r="E21" i="79" a="1"/>
  <c r="E21" i="79" s="1"/>
  <c r="G65" i="69" s="1"/>
  <c r="D21" i="79" a="1"/>
  <c r="D21" i="79" s="1"/>
  <c r="E20" i="79" a="1"/>
  <c r="E20" i="79" s="1"/>
  <c r="D65" i="69" s="1"/>
  <c r="D20" i="79" a="1"/>
  <c r="D20" i="79" s="1"/>
  <c r="D18" i="79" a="1"/>
  <c r="D18" i="79" s="1"/>
  <c r="D17" i="79" a="1"/>
  <c r="D17" i="79" s="1"/>
  <c r="H13" i="79" a="1"/>
  <c r="H13" i="79" s="1"/>
  <c r="G30" i="69" s="1"/>
  <c r="G13" i="79" a="1"/>
  <c r="G13" i="79" s="1"/>
  <c r="F30" i="69" s="1"/>
  <c r="F13" i="79" a="1"/>
  <c r="F13" i="79" s="1"/>
  <c r="E30" i="69" s="1"/>
  <c r="E13" i="79" a="1"/>
  <c r="E13" i="79" s="1"/>
  <c r="D30" i="69" s="1"/>
  <c r="D13" i="79" a="1"/>
  <c r="D13" i="79" s="1"/>
  <c r="H12" i="79" a="1"/>
  <c r="H12" i="79" s="1"/>
  <c r="G48" i="76" s="1"/>
  <c r="G12" i="79" a="1"/>
  <c r="G12" i="79" s="1"/>
  <c r="F48" i="76" s="1"/>
  <c r="F12" i="79" a="1"/>
  <c r="F12" i="79" s="1"/>
  <c r="E48" i="76" s="1"/>
  <c r="E12" i="79" a="1"/>
  <c r="E12" i="79" s="1"/>
  <c r="D48" i="76" s="1"/>
  <c r="D12" i="79" a="1"/>
  <c r="D12" i="79" s="1"/>
  <c r="H11" i="79" a="1"/>
  <c r="H11" i="79" s="1"/>
  <c r="H23" i="70" s="1"/>
  <c r="Q25" i="76" s="1"/>
  <c r="G11" i="79" a="1"/>
  <c r="G11" i="79" s="1"/>
  <c r="G23" i="70" s="1"/>
  <c r="P25" i="76" s="1"/>
  <c r="F11" i="79" a="1"/>
  <c r="F11" i="79" s="1"/>
  <c r="F23" i="70" s="1"/>
  <c r="O25" i="76" s="1"/>
  <c r="E11" i="79" a="1"/>
  <c r="E11" i="79" s="1"/>
  <c r="E23" i="70" s="1"/>
  <c r="N25" i="76" s="1"/>
  <c r="D11" i="79" a="1"/>
  <c r="D11" i="79" s="1"/>
  <c r="H10" i="79" a="1"/>
  <c r="H10" i="79" s="1"/>
  <c r="H22" i="70" s="1"/>
  <c r="Q25" i="69" s="1"/>
  <c r="G10" i="79" a="1"/>
  <c r="G10" i="79" s="1"/>
  <c r="G22" i="70" s="1"/>
  <c r="P25" i="69" s="1"/>
  <c r="F10" i="79" a="1"/>
  <c r="F10" i="79" s="1"/>
  <c r="F22" i="70" s="1"/>
  <c r="O25" i="69" s="1"/>
  <c r="E10" i="79" a="1"/>
  <c r="E10" i="79" s="1"/>
  <c r="E22" i="70" s="1"/>
  <c r="N25" i="69" s="1"/>
  <c r="D10" i="79" a="1"/>
  <c r="D10" i="79" s="1"/>
  <c r="H9" i="79" a="1"/>
  <c r="H9" i="79" s="1"/>
  <c r="H16" i="70" s="1"/>
  <c r="G20" i="69" s="1"/>
  <c r="G9" i="79" a="1"/>
  <c r="G9" i="79" s="1"/>
  <c r="G21" i="70" s="1"/>
  <c r="P20" i="69" s="1"/>
  <c r="F9" i="79" a="1"/>
  <c r="F9" i="79" s="1"/>
  <c r="F21" i="70" s="1"/>
  <c r="O20" i="69" s="1"/>
  <c r="E9" i="79" a="1"/>
  <c r="E9" i="79" s="1"/>
  <c r="E21" i="70" s="1"/>
  <c r="N20" i="69" s="1"/>
  <c r="D9" i="79" a="1"/>
  <c r="D9" i="79" s="1"/>
  <c r="D6" i="79" a="1"/>
  <c r="D6" i="79" s="1"/>
  <c r="D5" i="79" a="1"/>
  <c r="D5" i="79" s="1"/>
  <c r="A7" i="13"/>
  <c r="A4" i="13"/>
  <c r="A3" i="13"/>
  <c r="F18" i="13"/>
  <c r="E38" i="98" a="1"/>
  <c r="E7" i="98" a="1"/>
  <c r="E74" i="97" a="1"/>
  <c r="E7" i="97" a="1"/>
  <c r="E203" i="76" a="1"/>
  <c r="E158" i="76" a="1"/>
  <c r="E117" i="76" a="1"/>
  <c r="E88" i="76" a="1"/>
  <c r="E36" i="76" a="1"/>
  <c r="E59" i="76" a="1"/>
  <c r="E7" i="76" a="1"/>
  <c r="E169" i="69" a="1"/>
  <c r="E120" i="69" a="1"/>
  <c r="E92" i="69" a="1"/>
  <c r="E41" i="69" a="1"/>
  <c r="E7" i="69" a="1"/>
  <c r="J202" i="69" l="1"/>
  <c r="J203" i="69"/>
  <c r="T154" i="69"/>
  <c r="P68" i="97"/>
  <c r="J51" i="98"/>
  <c r="J52" i="98"/>
  <c r="T196" i="69"/>
  <c r="J53" i="97"/>
  <c r="J53" i="98"/>
  <c r="J56" i="97"/>
  <c r="J57" i="97"/>
  <c r="J58" i="97"/>
  <c r="J60" i="97"/>
  <c r="J195" i="69"/>
  <c r="T53" i="97"/>
  <c r="J153" i="69"/>
  <c r="J155" i="69"/>
  <c r="J156" i="69"/>
  <c r="T198" i="69"/>
  <c r="E141" i="76" a="1"/>
  <c r="E141" i="76" s="1"/>
  <c r="H14" i="106"/>
  <c r="J157" i="69"/>
  <c r="J192" i="69"/>
  <c r="J159" i="69"/>
  <c r="J161" i="69"/>
  <c r="S113" i="69"/>
  <c r="E53" i="105" a="1"/>
  <c r="E53" i="105" s="1"/>
  <c r="T156" i="69"/>
  <c r="J204" i="69"/>
  <c r="T158" i="69"/>
  <c r="J207" i="69"/>
  <c r="T159" i="69"/>
  <c r="S111" i="76"/>
  <c r="T59" i="97"/>
  <c r="T161" i="69"/>
  <c r="T61" i="97"/>
  <c r="T62" i="97"/>
  <c r="J152" i="69"/>
  <c r="J193" i="76"/>
  <c r="J220" i="76"/>
  <c r="F233" i="76"/>
  <c r="T228" i="76"/>
  <c r="T157" i="69"/>
  <c r="J197" i="69"/>
  <c r="T197" i="69"/>
  <c r="J195" i="76"/>
  <c r="J221" i="76"/>
  <c r="T229" i="76"/>
  <c r="E45" i="105" a="1"/>
  <c r="E45" i="105" s="1"/>
  <c r="E52" i="105" a="1"/>
  <c r="E52" i="105" s="1"/>
  <c r="J222" i="76"/>
  <c r="T216" i="76"/>
  <c r="T230" i="76"/>
  <c r="J52" i="97"/>
  <c r="E38" i="105" a="1"/>
  <c r="E38" i="105" s="1"/>
  <c r="J223" i="76"/>
  <c r="T217" i="76"/>
  <c r="T231" i="76"/>
  <c r="E39" i="105" a="1"/>
  <c r="E39" i="105" s="1"/>
  <c r="J224" i="76"/>
  <c r="T218" i="76"/>
  <c r="P233" i="76"/>
  <c r="S112" i="69"/>
  <c r="J154" i="69"/>
  <c r="T163" i="69"/>
  <c r="J205" i="69"/>
  <c r="P209" i="69"/>
  <c r="J225" i="76"/>
  <c r="T219" i="76"/>
  <c r="T170" i="105"/>
  <c r="J176" i="105"/>
  <c r="T138" i="105"/>
  <c r="T99" i="105"/>
  <c r="J105" i="105"/>
  <c r="T176" i="105"/>
  <c r="J169" i="105"/>
  <c r="J137" i="105"/>
  <c r="J131" i="105"/>
  <c r="T169" i="105"/>
  <c r="J175" i="105"/>
  <c r="T137" i="105"/>
  <c r="T131" i="105"/>
  <c r="T105" i="105"/>
  <c r="J104" i="105"/>
  <c r="T175" i="105"/>
  <c r="J136" i="105"/>
  <c r="J130" i="105"/>
  <c r="T98" i="105"/>
  <c r="J103" i="105"/>
  <c r="J171" i="105"/>
  <c r="F182" i="105"/>
  <c r="J174" i="105"/>
  <c r="T136" i="105"/>
  <c r="T130" i="105"/>
  <c r="T104" i="105"/>
  <c r="J102" i="105"/>
  <c r="P182" i="105"/>
  <c r="T174" i="105"/>
  <c r="J180" i="105"/>
  <c r="J129" i="105"/>
  <c r="J101" i="105"/>
  <c r="T173" i="105"/>
  <c r="J179" i="105"/>
  <c r="J128" i="105"/>
  <c r="J99" i="105"/>
  <c r="J139" i="105"/>
  <c r="T180" i="105"/>
  <c r="J173" i="105"/>
  <c r="T129" i="105"/>
  <c r="J135" i="105"/>
  <c r="P107" i="105"/>
  <c r="T103" i="105"/>
  <c r="T97" i="105"/>
  <c r="J100" i="105"/>
  <c r="T135" i="105"/>
  <c r="T179" i="105"/>
  <c r="T128" i="105"/>
  <c r="J134" i="105"/>
  <c r="F107" i="105"/>
  <c r="T102" i="105"/>
  <c r="T96" i="105"/>
  <c r="J98" i="105"/>
  <c r="T133" i="105"/>
  <c r="J178" i="105"/>
  <c r="J172" i="105"/>
  <c r="T134" i="105"/>
  <c r="J97" i="105"/>
  <c r="J133" i="105"/>
  <c r="T95" i="105"/>
  <c r="J96" i="105"/>
  <c r="T178" i="105"/>
  <c r="T172" i="105"/>
  <c r="J177" i="105"/>
  <c r="T101" i="105"/>
  <c r="J95" i="105"/>
  <c r="T177" i="105"/>
  <c r="T171" i="105"/>
  <c r="T139" i="105"/>
  <c r="J132" i="105"/>
  <c r="T94" i="105"/>
  <c r="J94" i="105"/>
  <c r="J170" i="105"/>
  <c r="T132" i="105"/>
  <c r="J138" i="105"/>
  <c r="T100" i="105"/>
  <c r="E40" i="105" a="1"/>
  <c r="E40" i="105" s="1"/>
  <c r="E54" i="105" a="1"/>
  <c r="E54" i="105" s="1"/>
  <c r="J226" i="76"/>
  <c r="T220" i="76"/>
  <c r="E55" i="105" a="1"/>
  <c r="E55" i="105" s="1"/>
  <c r="E45" i="97" a="1"/>
  <c r="E45" i="97" s="1"/>
  <c r="J227" i="76"/>
  <c r="T221" i="76"/>
  <c r="J59" i="97"/>
  <c r="S85" i="69"/>
  <c r="J228" i="76"/>
  <c r="T222" i="76"/>
  <c r="E41" i="105" a="1"/>
  <c r="E41" i="105" s="1"/>
  <c r="E56" i="105" a="1"/>
  <c r="E56" i="105" s="1"/>
  <c r="S86" i="69"/>
  <c r="J229" i="76"/>
  <c r="T223" i="76"/>
  <c r="J66" i="97"/>
  <c r="F55" i="98"/>
  <c r="E42" i="105" a="1"/>
  <c r="E42" i="105" s="1"/>
  <c r="J216" i="76"/>
  <c r="J230" i="76"/>
  <c r="T224" i="76"/>
  <c r="T51" i="98"/>
  <c r="E57" i="105" a="1"/>
  <c r="E57" i="105" s="1"/>
  <c r="J162" i="69"/>
  <c r="T194" i="69"/>
  <c r="J217" i="76"/>
  <c r="J231" i="76"/>
  <c r="T225" i="76"/>
  <c r="T55" i="97"/>
  <c r="T52" i="98"/>
  <c r="E43" i="105" a="1"/>
  <c r="E43" i="105" s="1"/>
  <c r="J218" i="76"/>
  <c r="T226" i="76"/>
  <c r="T56" i="97"/>
  <c r="T53" i="98"/>
  <c r="E50" i="105" a="1"/>
  <c r="E50" i="105" s="1"/>
  <c r="T155" i="69"/>
  <c r="J193" i="69"/>
  <c r="J219" i="76"/>
  <c r="E44" i="105" a="1"/>
  <c r="E44" i="105" s="1"/>
  <c r="E51" i="105" a="1"/>
  <c r="E51" i="105" s="1"/>
  <c r="E158" i="69"/>
  <c r="E204" i="69"/>
  <c r="O200" i="69"/>
  <c r="D133" i="76"/>
  <c r="E179" i="76"/>
  <c r="E189" i="76"/>
  <c r="O188" i="76"/>
  <c r="E221" i="76"/>
  <c r="O220" i="76"/>
  <c r="E25" i="97"/>
  <c r="D52" i="97"/>
  <c r="E63" i="97"/>
  <c r="N19" i="97"/>
  <c r="N31" i="97"/>
  <c r="O65" i="97"/>
  <c r="N23" i="98"/>
  <c r="N51" i="98"/>
  <c r="E29" i="105"/>
  <c r="O28" i="105"/>
  <c r="E159" i="69"/>
  <c r="O154" i="69"/>
  <c r="E205" i="69"/>
  <c r="O201" i="69"/>
  <c r="E180" i="76"/>
  <c r="D190" i="76"/>
  <c r="O189" i="76"/>
  <c r="E222" i="76"/>
  <c r="O227" i="76"/>
  <c r="E26" i="97"/>
  <c r="D53" i="97"/>
  <c r="E64" i="97"/>
  <c r="N20" i="97"/>
  <c r="O31" i="97"/>
  <c r="O57" i="97"/>
  <c r="O66" i="97"/>
  <c r="O23" i="98"/>
  <c r="D51" i="98"/>
  <c r="O51" i="98"/>
  <c r="D30" i="105"/>
  <c r="O29" i="105"/>
  <c r="D204" i="69"/>
  <c r="D160" i="69"/>
  <c r="O155" i="69"/>
  <c r="D192" i="69"/>
  <c r="E206" i="69"/>
  <c r="O202" i="69"/>
  <c r="D108" i="76"/>
  <c r="D170" i="76"/>
  <c r="E181" i="76"/>
  <c r="E190" i="76"/>
  <c r="N190" i="76"/>
  <c r="E223" i="76"/>
  <c r="O221" i="76"/>
  <c r="D27" i="97"/>
  <c r="D54" i="97"/>
  <c r="E65" i="97"/>
  <c r="N21" i="97"/>
  <c r="O32" i="97"/>
  <c r="O58" i="97"/>
  <c r="D30" i="98"/>
  <c r="N24" i="98"/>
  <c r="E51" i="98"/>
  <c r="E30" i="105"/>
  <c r="N30" i="105"/>
  <c r="E144" i="69"/>
  <c r="N156" i="69"/>
  <c r="D193" i="69"/>
  <c r="E207" i="69"/>
  <c r="N193" i="69"/>
  <c r="O203" i="69"/>
  <c r="D109" i="76"/>
  <c r="D150" i="76"/>
  <c r="E170" i="76"/>
  <c r="E191" i="76"/>
  <c r="O190" i="76"/>
  <c r="D224" i="76"/>
  <c r="N228" i="76"/>
  <c r="E27" i="97"/>
  <c r="D55" i="97"/>
  <c r="E66" i="97"/>
  <c r="N22" i="97"/>
  <c r="O33" i="97"/>
  <c r="N59" i="97"/>
  <c r="E30" i="98"/>
  <c r="O24" i="98"/>
  <c r="D52" i="98"/>
  <c r="N52" i="98"/>
  <c r="E31" i="105"/>
  <c r="O30" i="105"/>
  <c r="E145" i="69"/>
  <c r="O156" i="69"/>
  <c r="D194" i="69"/>
  <c r="O204" i="69"/>
  <c r="D110" i="76"/>
  <c r="D151" i="76"/>
  <c r="E171" i="76"/>
  <c r="E192" i="76"/>
  <c r="O191" i="76"/>
  <c r="E224" i="76"/>
  <c r="O222" i="76"/>
  <c r="O228" i="76"/>
  <c r="E28" i="97"/>
  <c r="E55" i="97"/>
  <c r="N23" i="97"/>
  <c r="O34" i="97"/>
  <c r="O59" i="97"/>
  <c r="D23" i="98"/>
  <c r="D31" i="98"/>
  <c r="N25" i="98"/>
  <c r="E52" i="98"/>
  <c r="O52" i="98"/>
  <c r="E32" i="105"/>
  <c r="O31" i="105"/>
  <c r="E146" i="69"/>
  <c r="O157" i="69"/>
  <c r="E196" i="69"/>
  <c r="O205" i="69"/>
  <c r="D100" i="76"/>
  <c r="D111" i="76"/>
  <c r="D152" i="76"/>
  <c r="E172" i="76"/>
  <c r="E193" i="76"/>
  <c r="O192" i="76"/>
  <c r="E225" i="76"/>
  <c r="N216" i="76"/>
  <c r="E29" i="97"/>
  <c r="E56" i="97"/>
  <c r="O23" i="97"/>
  <c r="N51" i="97"/>
  <c r="E23" i="98"/>
  <c r="E31" i="98"/>
  <c r="O25" i="98"/>
  <c r="D53" i="98"/>
  <c r="D22" i="105"/>
  <c r="E33" i="105"/>
  <c r="O32" i="105"/>
  <c r="D85" i="69"/>
  <c r="D144" i="69"/>
  <c r="O158" i="69"/>
  <c r="E197" i="69"/>
  <c r="N196" i="69"/>
  <c r="O206" i="69"/>
  <c r="D101" i="76"/>
  <c r="N108" i="76"/>
  <c r="E173" i="76"/>
  <c r="D194" i="76"/>
  <c r="O193" i="76"/>
  <c r="E226" i="76"/>
  <c r="O223" i="76"/>
  <c r="O229" i="76"/>
  <c r="E30" i="97"/>
  <c r="E57" i="97"/>
  <c r="O24" i="97"/>
  <c r="N52" i="97"/>
  <c r="O60" i="97"/>
  <c r="D24" i="98"/>
  <c r="D32" i="98"/>
  <c r="E53" i="98"/>
  <c r="N53" i="98"/>
  <c r="E22" i="105"/>
  <c r="N22" i="105"/>
  <c r="O33" i="105"/>
  <c r="E198" i="69"/>
  <c r="D102" i="76"/>
  <c r="D174" i="76"/>
  <c r="E194" i="76"/>
  <c r="N194" i="76"/>
  <c r="E227" i="76"/>
  <c r="N217" i="76"/>
  <c r="D19" i="97"/>
  <c r="D31" i="97"/>
  <c r="E58" i="97"/>
  <c r="O25" i="97"/>
  <c r="N53" i="97"/>
  <c r="O61" i="97"/>
  <c r="E24" i="98"/>
  <c r="E32" i="98"/>
  <c r="O53" i="98"/>
  <c r="E23" i="105"/>
  <c r="O22" i="105"/>
  <c r="E137" i="69"/>
  <c r="E152" i="69"/>
  <c r="E161" i="69"/>
  <c r="O160" i="69"/>
  <c r="E199" i="69"/>
  <c r="D103" i="76"/>
  <c r="N110" i="76"/>
  <c r="N151" i="76"/>
  <c r="E174" i="76"/>
  <c r="E195" i="76"/>
  <c r="O194" i="76"/>
  <c r="D216" i="76"/>
  <c r="D228" i="76"/>
  <c r="N224" i="76"/>
  <c r="O230" i="76"/>
  <c r="D20" i="97"/>
  <c r="E31" i="97"/>
  <c r="D59" i="97"/>
  <c r="O26" i="97"/>
  <c r="D25" i="98"/>
  <c r="N30" i="98"/>
  <c r="E24" i="105"/>
  <c r="O23" i="105"/>
  <c r="E138" i="69"/>
  <c r="E153" i="69"/>
  <c r="E162" i="69"/>
  <c r="O161" i="69"/>
  <c r="E200" i="69"/>
  <c r="O197" i="69"/>
  <c r="N111" i="76"/>
  <c r="N152" i="76"/>
  <c r="E175" i="76"/>
  <c r="E196" i="76"/>
  <c r="O195" i="76"/>
  <c r="D217" i="76"/>
  <c r="E228" i="76"/>
  <c r="N218" i="76"/>
  <c r="O224" i="76"/>
  <c r="D21" i="97"/>
  <c r="E32" i="97"/>
  <c r="E59" i="97"/>
  <c r="N27" i="97"/>
  <c r="N54" i="97"/>
  <c r="O62" i="97"/>
  <c r="E25" i="98"/>
  <c r="O30" i="98"/>
  <c r="E25" i="105"/>
  <c r="O24" i="105"/>
  <c r="E139" i="69"/>
  <c r="E154" i="69"/>
  <c r="E163" i="69"/>
  <c r="O162" i="69"/>
  <c r="E201" i="69"/>
  <c r="E176" i="76"/>
  <c r="D186" i="76"/>
  <c r="E197" i="76"/>
  <c r="O196" i="76"/>
  <c r="D218" i="76"/>
  <c r="E229" i="76"/>
  <c r="O231" i="76"/>
  <c r="D22" i="97"/>
  <c r="E33" i="97"/>
  <c r="E60" i="97"/>
  <c r="O27" i="97"/>
  <c r="N55" i="97"/>
  <c r="N31" i="98"/>
  <c r="D26" i="105"/>
  <c r="O25" i="105"/>
  <c r="N114" i="69"/>
  <c r="D130" i="76"/>
  <c r="E177" i="76"/>
  <c r="E186" i="76"/>
  <c r="N186" i="76"/>
  <c r="O197" i="76"/>
  <c r="D219" i="76"/>
  <c r="O225" i="76"/>
  <c r="D23" i="97"/>
  <c r="E34" i="97"/>
  <c r="E61" i="97"/>
  <c r="O28" i="97"/>
  <c r="O55" i="97"/>
  <c r="N63" i="97"/>
  <c r="O31" i="98"/>
  <c r="E26" i="105"/>
  <c r="N26" i="105"/>
  <c r="E202" i="69"/>
  <c r="O198" i="69"/>
  <c r="E141" i="69"/>
  <c r="E156" i="69"/>
  <c r="E203" i="69"/>
  <c r="D178" i="76"/>
  <c r="E187" i="76"/>
  <c r="O186" i="76"/>
  <c r="D220" i="76"/>
  <c r="E23" i="97"/>
  <c r="E62" i="97"/>
  <c r="O29" i="97"/>
  <c r="O63" i="97"/>
  <c r="N32" i="98"/>
  <c r="E27" i="105"/>
  <c r="D132" i="76"/>
  <c r="E178" i="76"/>
  <c r="O187" i="76"/>
  <c r="N220" i="76"/>
  <c r="O226" i="76"/>
  <c r="E24" i="97"/>
  <c r="D51" i="97"/>
  <c r="E38" i="98"/>
  <c r="T31" i="98"/>
  <c r="J30" i="98"/>
  <c r="J31" i="98"/>
  <c r="J32" i="98"/>
  <c r="T30" i="98"/>
  <c r="E7" i="98"/>
  <c r="E140" i="76" a="1"/>
  <c r="E140" i="76" s="1"/>
  <c r="E43" i="97" a="1"/>
  <c r="E43" i="97" s="1"/>
  <c r="E130" i="76" a="1"/>
  <c r="E130" i="76" s="1"/>
  <c r="E44" i="97" a="1"/>
  <c r="E44" i="97" s="1"/>
  <c r="E131" i="76" a="1"/>
  <c r="E131" i="76" s="1"/>
  <c r="E142" i="76" a="1"/>
  <c r="E142" i="76" s="1"/>
  <c r="E132" i="76" a="1"/>
  <c r="E132" i="76" s="1"/>
  <c r="E46" i="97" a="1"/>
  <c r="E46" i="97" s="1"/>
  <c r="E133" i="76" a="1"/>
  <c r="E133" i="76" s="1"/>
  <c r="E143" i="76" a="1"/>
  <c r="E143" i="76" s="1"/>
  <c r="E41" i="97" a="1"/>
  <c r="E41" i="97" s="1"/>
  <c r="E144" i="76" a="1"/>
  <c r="E144" i="76" s="1"/>
  <c r="E145" i="76" a="1"/>
  <c r="E145" i="76" s="1"/>
  <c r="G20" i="76"/>
  <c r="E40" i="97" a="1"/>
  <c r="E40" i="97" s="1"/>
  <c r="E138" i="76" a="1"/>
  <c r="E138" i="76" s="1"/>
  <c r="E139" i="76" a="1"/>
  <c r="E139" i="76" s="1"/>
  <c r="T201" i="69"/>
  <c r="T195" i="69"/>
  <c r="T202" i="69"/>
  <c r="S114" i="69"/>
  <c r="J206" i="69"/>
  <c r="T203" i="69"/>
  <c r="J158" i="69"/>
  <c r="T160" i="69"/>
  <c r="J194" i="69"/>
  <c r="T204" i="69"/>
  <c r="I83" i="69"/>
  <c r="J160" i="69"/>
  <c r="T162" i="69"/>
  <c r="J196" i="69"/>
  <c r="F209" i="69"/>
  <c r="T205" i="69"/>
  <c r="J198" i="69"/>
  <c r="I85" i="69"/>
  <c r="I86" i="69"/>
  <c r="I113" i="69"/>
  <c r="J163" i="69"/>
  <c r="J199" i="69"/>
  <c r="T192" i="69"/>
  <c r="T199" i="69"/>
  <c r="T206" i="69"/>
  <c r="I84" i="69"/>
  <c r="I112" i="69"/>
  <c r="S83" i="69"/>
  <c r="T152" i="69"/>
  <c r="J200" i="69"/>
  <c r="J201" i="69"/>
  <c r="T193" i="69"/>
  <c r="T200" i="69"/>
  <c r="E74" i="97"/>
  <c r="J61" i="97"/>
  <c r="T57" i="97"/>
  <c r="T63" i="97"/>
  <c r="J62" i="97"/>
  <c r="T51" i="97"/>
  <c r="E42" i="97" a="1"/>
  <c r="E42" i="97" s="1"/>
  <c r="J63" i="97"/>
  <c r="T58" i="97"/>
  <c r="T64" i="97"/>
  <c r="J64" i="97"/>
  <c r="T52" i="97"/>
  <c r="J51" i="97"/>
  <c r="J65" i="97"/>
  <c r="T65" i="97"/>
  <c r="E39" i="97" a="1"/>
  <c r="E39" i="97" s="1"/>
  <c r="T66" i="97"/>
  <c r="J54" i="97"/>
  <c r="T54" i="97"/>
  <c r="T60" i="97"/>
  <c r="J55" i="97"/>
  <c r="E7" i="97"/>
  <c r="E203" i="76"/>
  <c r="J194" i="76"/>
  <c r="J196" i="76"/>
  <c r="T188" i="76"/>
  <c r="T190" i="76"/>
  <c r="T195" i="76"/>
  <c r="I151" i="76"/>
  <c r="T196" i="76"/>
  <c r="I152" i="76"/>
  <c r="T197" i="76"/>
  <c r="I108" i="76"/>
  <c r="S150" i="76"/>
  <c r="I109" i="76"/>
  <c r="J186" i="76"/>
  <c r="J188" i="76"/>
  <c r="S151" i="76"/>
  <c r="S152" i="76"/>
  <c r="J197" i="76"/>
  <c r="I110" i="76"/>
  <c r="T186" i="76"/>
  <c r="H82" i="76"/>
  <c r="I111" i="76"/>
  <c r="T187" i="76"/>
  <c r="S108" i="76"/>
  <c r="J187" i="76"/>
  <c r="T189" i="76"/>
  <c r="S109" i="76"/>
  <c r="J189" i="76"/>
  <c r="T191" i="76"/>
  <c r="G15" i="76"/>
  <c r="J190" i="76"/>
  <c r="T192" i="76"/>
  <c r="H30" i="76"/>
  <c r="J191" i="76"/>
  <c r="T193" i="76"/>
  <c r="J192" i="76"/>
  <c r="E158" i="76"/>
  <c r="E117" i="76"/>
  <c r="E18" i="70"/>
  <c r="D25" i="76" s="1"/>
  <c r="F18" i="70"/>
  <c r="E25" i="76" s="1"/>
  <c r="G18" i="70"/>
  <c r="F25" i="76" s="1"/>
  <c r="H18" i="70"/>
  <c r="G25" i="76" s="1"/>
  <c r="N20" i="76"/>
  <c r="N30" i="76" s="1" a="1"/>
  <c r="N30" i="76" s="1"/>
  <c r="N53" i="76" s="1" a="1"/>
  <c r="N53" i="76" s="1"/>
  <c r="N82" i="76" s="1" a="1"/>
  <c r="N82" i="76" s="1"/>
  <c r="O20" i="76"/>
  <c r="O30" i="76" s="1" a="1"/>
  <c r="O30" i="76" s="1"/>
  <c r="O53" i="76" s="1" a="1"/>
  <c r="O53" i="76" s="1"/>
  <c r="O82" i="76" s="1" a="1"/>
  <c r="O82" i="76" s="1"/>
  <c r="P20" i="76"/>
  <c r="P30" i="76" s="1" a="1"/>
  <c r="P30" i="76" s="1"/>
  <c r="P53" i="76" s="1" a="1"/>
  <c r="P53" i="76" s="1"/>
  <c r="P82" i="76" s="1" a="1"/>
  <c r="P82" i="76" s="1"/>
  <c r="E88" i="76"/>
  <c r="E36" i="76"/>
  <c r="E59" i="76"/>
  <c r="E7" i="76"/>
  <c r="D83" i="69"/>
  <c r="N112" i="69"/>
  <c r="D195" i="69"/>
  <c r="D84" i="69"/>
  <c r="N160" i="69"/>
  <c r="D196" i="69"/>
  <c r="N204" i="69"/>
  <c r="N86" i="69"/>
  <c r="D152" i="69"/>
  <c r="N192" i="69"/>
  <c r="O35" i="69" a="1"/>
  <c r="O35" i="69" s="1"/>
  <c r="D200" i="69"/>
  <c r="N200" i="69"/>
  <c r="D106" i="69"/>
  <c r="D156" i="69"/>
  <c r="N194" i="69"/>
  <c r="N152" i="69"/>
  <c r="D105" i="69"/>
  <c r="N83" i="69"/>
  <c r="E169" i="69"/>
  <c r="E120" i="69"/>
  <c r="E92" i="69"/>
  <c r="N35" i="69" a="1"/>
  <c r="N35" i="69" s="1"/>
  <c r="H21" i="70"/>
  <c r="F17" i="70"/>
  <c r="E25" i="69" s="1"/>
  <c r="G17" i="70"/>
  <c r="F25" i="69" s="1"/>
  <c r="H17" i="70"/>
  <c r="G25" i="69" s="1"/>
  <c r="G35" i="69" s="1" a="1"/>
  <c r="G35" i="69" s="1"/>
  <c r="E17" i="70"/>
  <c r="D25" i="69" s="1"/>
  <c r="E65" i="69"/>
  <c r="F65" i="69"/>
  <c r="E106" i="69" a="1"/>
  <c r="E106" i="69" s="1"/>
  <c r="E16" i="70"/>
  <c r="F16" i="70"/>
  <c r="G16" i="70"/>
  <c r="D58" i="69"/>
  <c r="D107" i="69"/>
  <c r="E107" i="69" s="1" a="1"/>
  <c r="E107" i="69" s="1"/>
  <c r="D59" i="69"/>
  <c r="D60" i="69"/>
  <c r="N85" i="69"/>
  <c r="P35" i="69" a="1"/>
  <c r="P35" i="69" s="1"/>
  <c r="D114" i="69"/>
  <c r="E41" i="69"/>
  <c r="R35" i="69"/>
  <c r="E7" i="69"/>
  <c r="P87" i="97" l="1"/>
  <c r="F87" i="97"/>
  <c r="F20" i="69"/>
  <c r="F35" i="69" s="1" a="1"/>
  <c r="F35" i="69" s="1"/>
  <c r="F20" i="76"/>
  <c r="E20" i="69"/>
  <c r="E35" i="69" s="1" a="1"/>
  <c r="E35" i="69" s="1"/>
  <c r="F113" i="69" s="1" a="1"/>
  <c r="F113" i="69" s="1"/>
  <c r="E20" i="76"/>
  <c r="E30" i="76" a="1"/>
  <c r="E30" i="76" s="1"/>
  <c r="E53" i="76" s="1" a="1"/>
  <c r="E53" i="76" s="1"/>
  <c r="E82" i="76" s="1" a="1"/>
  <c r="E82" i="76" s="1"/>
  <c r="F109" i="76" s="1" a="1"/>
  <c r="F109" i="76" s="1"/>
  <c r="G30" i="76" a="1"/>
  <c r="G30" i="76" s="1"/>
  <c r="G53" i="76" s="1" a="1"/>
  <c r="G53" i="76" s="1"/>
  <c r="G82" i="76" s="1" a="1"/>
  <c r="G82" i="76" s="1"/>
  <c r="H111" i="76" s="1" a="1"/>
  <c r="H111" i="76" s="1"/>
  <c r="D20" i="69"/>
  <c r="D35" i="69" s="1" a="1"/>
  <c r="D35" i="69" s="1"/>
  <c r="D20" i="76"/>
  <c r="D30" i="76" s="1" a="1"/>
  <c r="D30" i="76" s="1"/>
  <c r="D53" i="76" s="1" a="1"/>
  <c r="D53" i="76" s="1"/>
  <c r="D82" i="76" s="1" a="1"/>
  <c r="D82" i="76" s="1"/>
  <c r="Q20" i="69"/>
  <c r="Q35" i="69" s="1" a="1"/>
  <c r="Q35" i="69" s="1"/>
  <c r="R113" i="69" s="1" a="1"/>
  <c r="R113" i="69" s="1"/>
  <c r="Q20" i="76"/>
  <c r="Q30" i="76" s="1" a="1"/>
  <c r="Q30" i="76" s="1"/>
  <c r="Q53" i="76" s="1" a="1"/>
  <c r="Q53" i="76" s="1"/>
  <c r="Q82" i="76" s="1" a="1"/>
  <c r="Q82" i="76" s="1"/>
  <c r="Q109" i="76" a="1"/>
  <c r="Q109" i="76" s="1"/>
  <c r="Q111" i="76" a="1"/>
  <c r="Q111" i="76" s="1"/>
  <c r="Q108" i="76" a="1"/>
  <c r="Q108" i="76" s="1"/>
  <c r="Q110" i="76" a="1"/>
  <c r="Q110" i="76" s="1"/>
  <c r="P109" i="76" a="1"/>
  <c r="P109" i="76" s="1"/>
  <c r="P111" i="76" a="1"/>
  <c r="P111" i="76" s="1"/>
  <c r="P108" i="76" a="1"/>
  <c r="P108" i="76" s="1"/>
  <c r="P110" i="76" a="1"/>
  <c r="P110" i="76" s="1"/>
  <c r="O110" i="76" a="1"/>
  <c r="O110" i="76" s="1"/>
  <c r="O109" i="76" a="1"/>
  <c r="O109" i="76" s="1"/>
  <c r="O111" i="76" a="1"/>
  <c r="O111" i="76" s="1"/>
  <c r="O108" i="76" a="1"/>
  <c r="O108" i="76" s="1"/>
  <c r="F30" i="76" a="1"/>
  <c r="F30" i="76" s="1"/>
  <c r="F53" i="76" s="1" a="1"/>
  <c r="F53" i="76" s="1"/>
  <c r="F82" i="76" s="1" a="1"/>
  <c r="F82" i="76" s="1"/>
  <c r="G114" i="69" a="1"/>
  <c r="G114" i="69" s="1"/>
  <c r="H114" i="69" a="1"/>
  <c r="H114" i="69" s="1"/>
  <c r="P113" i="69" a="1"/>
  <c r="P113" i="69" s="1"/>
  <c r="O113" i="69" a="1"/>
  <c r="O113" i="69" s="1"/>
  <c r="Q113" i="69" a="1"/>
  <c r="Q113" i="69" s="1"/>
  <c r="Q114" i="69" a="1"/>
  <c r="Q114" i="69" s="1"/>
  <c r="R114" i="69" a="1"/>
  <c r="R114" i="69" s="1"/>
  <c r="E105" i="69" a="1"/>
  <c r="E105" i="69" s="1"/>
  <c r="P114" i="69" a="1"/>
  <c r="P114" i="69" s="1"/>
  <c r="G113" i="69" a="1"/>
  <c r="G113" i="69" s="1"/>
  <c r="H113" i="69" a="1"/>
  <c r="H113" i="69" s="1"/>
  <c r="O114" i="69" a="1"/>
  <c r="O114" i="69" s="1"/>
  <c r="N20" i="106" l="1"/>
  <c r="N19" i="107"/>
  <c r="N24" i="107" s="1" a="1"/>
  <c r="N24" i="107" s="1"/>
  <c r="H20" i="106"/>
  <c r="H19" i="107"/>
  <c r="H24" i="107" s="1" a="1"/>
  <c r="H24" i="107" s="1"/>
  <c r="O20" i="106"/>
  <c r="O19" i="107"/>
  <c r="O24" i="107" s="1" a="1"/>
  <c r="O24" i="107" s="1"/>
  <c r="F114" i="69" a="1"/>
  <c r="F114" i="69" s="1"/>
  <c r="P20" i="106"/>
  <c r="P19" i="107"/>
  <c r="P24" i="107" s="1" a="1"/>
  <c r="P24" i="107" s="1"/>
  <c r="P152" i="76" a="1"/>
  <c r="P152" i="76" s="1"/>
  <c r="Q21" i="97"/>
  <c r="Q53" i="97" s="1" a="1"/>
  <c r="Q53" i="97" s="1"/>
  <c r="Q22" i="97"/>
  <c r="Q54" i="97" s="1" a="1"/>
  <c r="Q54" i="97" s="1"/>
  <c r="O152" i="76" a="1"/>
  <c r="O152" i="76" s="1"/>
  <c r="P21" i="97"/>
  <c r="P53" i="97" s="1" a="1"/>
  <c r="P53" i="97" s="1"/>
  <c r="P151" i="76" a="1"/>
  <c r="P151" i="76" s="1"/>
  <c r="Q20" i="97"/>
  <c r="Q52" i="97" s="1" a="1"/>
  <c r="Q52" i="97" s="1"/>
  <c r="Q152" i="76" a="1"/>
  <c r="Q152" i="76" s="1"/>
  <c r="R21" i="97"/>
  <c r="R53" i="97" s="1" a="1"/>
  <c r="R53" i="97" s="1"/>
  <c r="R22" i="97"/>
  <c r="R54" i="97" s="1" a="1"/>
  <c r="R54" i="97" s="1"/>
  <c r="Q150" i="76" a="1"/>
  <c r="Q150" i="76" s="1"/>
  <c r="R19" i="97"/>
  <c r="R51" i="97" s="1" a="1"/>
  <c r="R51" i="97" s="1"/>
  <c r="Q151" i="76" a="1"/>
  <c r="Q151" i="76" s="1"/>
  <c r="R20" i="97"/>
  <c r="R52" i="97" s="1" a="1"/>
  <c r="R52" i="97" s="1"/>
  <c r="P150" i="76" a="1"/>
  <c r="P150" i="76" s="1"/>
  <c r="Q19" i="97"/>
  <c r="Q51" i="97" s="1" a="1"/>
  <c r="Q51" i="97" s="1"/>
  <c r="O150" i="76" a="1"/>
  <c r="O150" i="76" s="1"/>
  <c r="P19" i="97"/>
  <c r="P51" i="97" s="1" a="1"/>
  <c r="P51" i="97" s="1"/>
  <c r="P22" i="97"/>
  <c r="P54" i="97" s="1" a="1"/>
  <c r="P54" i="97" s="1"/>
  <c r="O151" i="76" a="1"/>
  <c r="O151" i="76" s="1"/>
  <c r="P20" i="97"/>
  <c r="P52" i="97" s="1" a="1"/>
  <c r="P52" i="97" s="1"/>
  <c r="F151" i="76" a="1"/>
  <c r="F151" i="76" s="1"/>
  <c r="Q191" i="76" s="1" a="1"/>
  <c r="Q191" i="76" s="1"/>
  <c r="Q27" i="105" s="1"/>
  <c r="G20" i="97"/>
  <c r="G52" i="97" s="1" a="1"/>
  <c r="G52" i="97" s="1"/>
  <c r="I22" i="97"/>
  <c r="I54" i="97" s="1" a="1"/>
  <c r="I54" i="97" s="1"/>
  <c r="F108" i="76" a="1"/>
  <c r="F108" i="76" s="1"/>
  <c r="F110" i="76" a="1"/>
  <c r="F110" i="76" s="1"/>
  <c r="F111" i="76" a="1"/>
  <c r="F111" i="76" s="1"/>
  <c r="H109" i="76" a="1"/>
  <c r="H109" i="76" s="1"/>
  <c r="H110" i="76" a="1"/>
  <c r="H110" i="76" s="1"/>
  <c r="H108" i="76" a="1"/>
  <c r="H108" i="76" s="1"/>
  <c r="E114" i="69" a="1"/>
  <c r="E114" i="69" s="1"/>
  <c r="E112" i="69" a="1"/>
  <c r="E112" i="69" s="1"/>
  <c r="G109" i="76" a="1"/>
  <c r="G109" i="76" s="1"/>
  <c r="G111" i="76" a="1"/>
  <c r="G111" i="76" s="1"/>
  <c r="G108" i="76" a="1"/>
  <c r="G108" i="76" s="1"/>
  <c r="G110" i="76" a="1"/>
  <c r="G110" i="76" s="1"/>
  <c r="G112" i="69" a="1"/>
  <c r="G112" i="69" s="1"/>
  <c r="E113" i="69" a="1"/>
  <c r="E113" i="69" s="1"/>
  <c r="R109" i="76" a="1"/>
  <c r="R109" i="76" s="1"/>
  <c r="R108" i="76" a="1"/>
  <c r="R108" i="76" s="1"/>
  <c r="R111" i="76" a="1"/>
  <c r="R111" i="76" s="1"/>
  <c r="R110" i="76" a="1"/>
  <c r="R110" i="76" s="1"/>
  <c r="E110" i="76" a="1"/>
  <c r="E110" i="76" s="1"/>
  <c r="E109" i="76" a="1"/>
  <c r="E109" i="76" s="1"/>
  <c r="E111" i="76" a="1"/>
  <c r="E111" i="76" s="1"/>
  <c r="E108" i="76" a="1"/>
  <c r="E108" i="76" s="1"/>
  <c r="F112" i="69" a="1"/>
  <c r="F112" i="69" s="1"/>
  <c r="O112" i="69" a="1"/>
  <c r="O112" i="69" s="1"/>
  <c r="Q112" i="69" a="1"/>
  <c r="Q112" i="69" s="1"/>
  <c r="R112" i="69" a="1"/>
  <c r="R112" i="69" s="1"/>
  <c r="P112" i="69" a="1"/>
  <c r="P112" i="69" s="1"/>
  <c r="H112" i="69" a="1"/>
  <c r="H112" i="69" s="1"/>
  <c r="E20" i="106" l="1"/>
  <c r="E19" i="107"/>
  <c r="E24" i="107" s="1" a="1"/>
  <c r="E24" i="107" s="1"/>
  <c r="Q20" i="106"/>
  <c r="Q19" i="107"/>
  <c r="Q24" i="107" s="1" a="1"/>
  <c r="Q24" i="107" s="1"/>
  <c r="F20" i="106"/>
  <c r="F19" i="107"/>
  <c r="F24" i="107" s="1" a="1"/>
  <c r="F24" i="107" s="1"/>
  <c r="N26" i="107"/>
  <c r="P38" i="107" s="1"/>
  <c r="G20" i="106"/>
  <c r="G19" i="107"/>
  <c r="G24" i="107" s="1" a="1"/>
  <c r="G24" i="107" s="1"/>
  <c r="Q133" i="105" a="1"/>
  <c r="Q133" i="105" s="1"/>
  <c r="Q174" i="105" a="1"/>
  <c r="Q174" i="105" s="1"/>
  <c r="Q99" i="105" a="1"/>
  <c r="Q99" i="105" s="1"/>
  <c r="Q190" i="76" a="1"/>
  <c r="Q190" i="76" s="1"/>
  <c r="Q26" i="105" s="1"/>
  <c r="G190" i="76" a="1"/>
  <c r="G190" i="76" s="1"/>
  <c r="G24" i="98" s="1"/>
  <c r="G191" i="76" a="1"/>
  <c r="G191" i="76" s="1"/>
  <c r="G27" i="105" s="1"/>
  <c r="G192" i="76" a="1"/>
  <c r="G192" i="76" s="1"/>
  <c r="G28" i="105" s="1"/>
  <c r="Q192" i="76" a="1"/>
  <c r="Q192" i="76" s="1"/>
  <c r="Q28" i="105" s="1"/>
  <c r="Q193" i="76" a="1"/>
  <c r="Q193" i="76" s="1"/>
  <c r="Q29" i="105" s="1"/>
  <c r="G193" i="76" a="1"/>
  <c r="G193" i="76" s="1"/>
  <c r="G29" i="105" s="1"/>
  <c r="R152" i="76" a="1"/>
  <c r="R152" i="76" s="1"/>
  <c r="S21" i="97"/>
  <c r="S53" i="97" s="1" a="1"/>
  <c r="S53" i="97" s="1"/>
  <c r="R150" i="76" a="1"/>
  <c r="R150" i="76" s="1"/>
  <c r="S19" i="97"/>
  <c r="S51" i="97" s="1" a="1"/>
  <c r="S51" i="97" s="1"/>
  <c r="S22" i="97"/>
  <c r="S54" i="97" s="1" a="1"/>
  <c r="S54" i="97" s="1"/>
  <c r="R151" i="76" a="1"/>
  <c r="R151" i="76" s="1"/>
  <c r="S20" i="97"/>
  <c r="S52" i="97" s="1" a="1"/>
  <c r="S52" i="97" s="1"/>
  <c r="E150" i="76" a="1"/>
  <c r="E150" i="76" s="1"/>
  <c r="F188" i="76" s="1" a="1"/>
  <c r="F188" i="76" s="1"/>
  <c r="F24" i="105" s="1"/>
  <c r="F19" i="97"/>
  <c r="F51" i="97" s="1" a="1"/>
  <c r="F51" i="97" s="1"/>
  <c r="F22" i="97"/>
  <c r="F54" i="97" s="1" a="1"/>
  <c r="F54" i="97" s="1"/>
  <c r="E151" i="76" a="1"/>
  <c r="E151" i="76" s="1"/>
  <c r="F191" i="76" s="1" a="1"/>
  <c r="F191" i="76" s="1"/>
  <c r="F27" i="105" s="1"/>
  <c r="F20" i="97"/>
  <c r="F52" i="97" s="1" a="1"/>
  <c r="F52" i="97" s="1"/>
  <c r="E152" i="76" a="1"/>
  <c r="E152" i="76" s="1"/>
  <c r="F195" i="76" s="1" a="1"/>
  <c r="F195" i="76" s="1"/>
  <c r="F31" i="105" s="1"/>
  <c r="F21" i="97"/>
  <c r="F53" i="97" s="1" a="1"/>
  <c r="F53" i="97" s="1"/>
  <c r="H152" i="76" a="1"/>
  <c r="H152" i="76" s="1"/>
  <c r="I197" i="76" s="1" a="1"/>
  <c r="I197" i="76" s="1"/>
  <c r="I33" i="105" s="1"/>
  <c r="I21" i="97"/>
  <c r="I53" i="97" s="1" a="1"/>
  <c r="I53" i="97" s="1"/>
  <c r="G28" i="97"/>
  <c r="G60" i="97" s="1" a="1"/>
  <c r="G60" i="97" s="1"/>
  <c r="H151" i="76" a="1"/>
  <c r="H151" i="76" s="1"/>
  <c r="I193" i="76" s="1" a="1"/>
  <c r="I193" i="76" s="1"/>
  <c r="I29" i="105" s="1"/>
  <c r="I20" i="97"/>
  <c r="I52" i="97" s="1" a="1"/>
  <c r="I52" i="97" s="1"/>
  <c r="G22" i="97"/>
  <c r="G54" i="97" s="1" a="1"/>
  <c r="G54" i="97" s="1"/>
  <c r="F152" i="76" a="1"/>
  <c r="F152" i="76" s="1"/>
  <c r="G21" i="97"/>
  <c r="G53" i="97" s="1" a="1"/>
  <c r="G53" i="97" s="1"/>
  <c r="G150" i="76" a="1"/>
  <c r="G150" i="76" s="1"/>
  <c r="R186" i="76" s="1" a="1"/>
  <c r="R186" i="76" s="1"/>
  <c r="H19" i="97"/>
  <c r="H51" i="97" s="1" a="1"/>
  <c r="H51" i="97" s="1"/>
  <c r="G151" i="76" a="1"/>
  <c r="G151" i="76" s="1"/>
  <c r="R192" i="76" s="1" a="1"/>
  <c r="R192" i="76" s="1"/>
  <c r="R28" i="105" s="1"/>
  <c r="H20" i="97"/>
  <c r="H52" i="97" s="1" a="1"/>
  <c r="H52" i="97" s="1"/>
  <c r="G152" i="76" a="1"/>
  <c r="G152" i="76" s="1"/>
  <c r="R195" i="76" s="1" a="1"/>
  <c r="R195" i="76" s="1"/>
  <c r="R31" i="105" s="1"/>
  <c r="H21" i="97"/>
  <c r="H53" i="97" s="1" a="1"/>
  <c r="H53" i="97" s="1"/>
  <c r="H150" i="76" a="1"/>
  <c r="H150" i="76" s="1"/>
  <c r="S187" i="76" s="1" a="1"/>
  <c r="S187" i="76" s="1"/>
  <c r="S23" i="105" s="1"/>
  <c r="I19" i="97"/>
  <c r="I51" i="97" s="1" a="1"/>
  <c r="I51" i="97" s="1"/>
  <c r="Q29" i="97"/>
  <c r="Q61" i="97" s="1" a="1"/>
  <c r="Q61" i="97" s="1"/>
  <c r="H22" i="97"/>
  <c r="H54" i="97" s="1" a="1"/>
  <c r="H54" i="97" s="1"/>
  <c r="F150" i="76" a="1"/>
  <c r="F150" i="76" s="1"/>
  <c r="G19" i="97"/>
  <c r="G51" i="97" s="1" a="1"/>
  <c r="G51" i="97" s="1"/>
  <c r="Q28" i="97"/>
  <c r="Q60" i="97" s="1" a="1"/>
  <c r="Q60" i="97" s="1"/>
  <c r="E26" i="107" l="1"/>
  <c r="G38" i="107" s="1"/>
  <c r="Q27" i="97"/>
  <c r="Q59" i="97" s="1" a="1"/>
  <c r="Q59" i="97" s="1"/>
  <c r="G29" i="97"/>
  <c r="G61" i="97" s="1" a="1"/>
  <c r="G61" i="97" s="1"/>
  <c r="Q30" i="97"/>
  <c r="Q62" i="97" s="1" a="1"/>
  <c r="Q62" i="97" s="1"/>
  <c r="G27" i="97"/>
  <c r="G59" i="97" s="1" a="1"/>
  <c r="G59" i="97" s="1"/>
  <c r="G26" i="105"/>
  <c r="Q24" i="98"/>
  <c r="S193" i="76" a="1"/>
  <c r="S193" i="76" s="1"/>
  <c r="S29" i="105" s="1"/>
  <c r="S176" i="105" s="1" a="1"/>
  <c r="S176" i="105" s="1"/>
  <c r="S192" i="76" a="1"/>
  <c r="S192" i="76" s="1"/>
  <c r="S28" i="105" s="1"/>
  <c r="S100" i="105" s="1" a="1"/>
  <c r="S100" i="105" s="1"/>
  <c r="R137" i="105" a="1"/>
  <c r="R137" i="105" s="1"/>
  <c r="R103" i="105" a="1"/>
  <c r="R103" i="105" s="1"/>
  <c r="R178" i="105" a="1"/>
  <c r="R178" i="105" s="1"/>
  <c r="R100" i="105" a="1"/>
  <c r="R100" i="105" s="1"/>
  <c r="R175" i="105" a="1"/>
  <c r="R175" i="105" s="1"/>
  <c r="R134" i="105" a="1"/>
  <c r="R134" i="105" s="1"/>
  <c r="I135" i="105" a="1"/>
  <c r="I135" i="105" s="1"/>
  <c r="I101" i="105" a="1"/>
  <c r="I101" i="105" s="1"/>
  <c r="I176" i="105" a="1"/>
  <c r="I176" i="105" s="1"/>
  <c r="G135" i="105" a="1"/>
  <c r="G135" i="105" s="1"/>
  <c r="G101" i="105" a="1"/>
  <c r="G101" i="105" s="1"/>
  <c r="G176" i="105" a="1"/>
  <c r="G176" i="105" s="1"/>
  <c r="Q101" i="105" a="1"/>
  <c r="Q101" i="105" s="1"/>
  <c r="Q176" i="105" a="1"/>
  <c r="Q176" i="105" s="1"/>
  <c r="Q135" i="105" a="1"/>
  <c r="Q135" i="105" s="1"/>
  <c r="F96" i="105" a="1"/>
  <c r="F96" i="105" s="1"/>
  <c r="F130" i="105" a="1"/>
  <c r="F130" i="105" s="1"/>
  <c r="F171" i="105" a="1"/>
  <c r="F171" i="105" s="1"/>
  <c r="F178" i="105" a="1"/>
  <c r="F178" i="105" s="1"/>
  <c r="F19" i="13" s="1"/>
  <c r="F137" i="105" a="1"/>
  <c r="F137" i="105" s="1"/>
  <c r="F103" i="105" a="1"/>
  <c r="F103" i="105" s="1"/>
  <c r="Q100" i="105" a="1"/>
  <c r="Q100" i="105" s="1"/>
  <c r="Q175" i="105" a="1"/>
  <c r="Q175" i="105" s="1"/>
  <c r="Q134" i="105" a="1"/>
  <c r="Q134" i="105" s="1"/>
  <c r="G175" i="105" a="1"/>
  <c r="G175" i="105" s="1"/>
  <c r="G134" i="105" a="1"/>
  <c r="G134" i="105" s="1"/>
  <c r="G100" i="105" a="1"/>
  <c r="G100" i="105" s="1"/>
  <c r="I180" i="105" a="1"/>
  <c r="I180" i="105" s="1"/>
  <c r="I139" i="105" a="1"/>
  <c r="I139" i="105" s="1"/>
  <c r="I105" i="105" a="1"/>
  <c r="I105" i="105" s="1"/>
  <c r="G133" i="105" a="1"/>
  <c r="G133" i="105" s="1"/>
  <c r="G99" i="105" a="1"/>
  <c r="G99" i="105" s="1"/>
  <c r="G174" i="105" a="1"/>
  <c r="G174" i="105" s="1"/>
  <c r="F133" i="105" a="1"/>
  <c r="F133" i="105" s="1"/>
  <c r="F99" i="105" a="1"/>
  <c r="F99" i="105" s="1"/>
  <c r="F174" i="105" a="1"/>
  <c r="F174" i="105" s="1"/>
  <c r="P196" i="76" a="1"/>
  <c r="P196" i="76" s="1"/>
  <c r="P32" i="105" s="1"/>
  <c r="S129" i="105" a="1"/>
  <c r="S129" i="105" s="1"/>
  <c r="S95" i="105" a="1"/>
  <c r="S95" i="105" s="1"/>
  <c r="S170" i="105" a="1"/>
  <c r="S170" i="105" s="1"/>
  <c r="S175" i="105" a="1"/>
  <c r="S175" i="105" s="1"/>
  <c r="P193" i="76" a="1"/>
  <c r="P193" i="76" s="1"/>
  <c r="P29" i="105" s="1"/>
  <c r="F196" i="76" a="1"/>
  <c r="F196" i="76" s="1"/>
  <c r="F32" i="105" s="1"/>
  <c r="P194" i="76" a="1"/>
  <c r="P194" i="76" s="1"/>
  <c r="P30" i="105" s="1"/>
  <c r="S191" i="76" a="1"/>
  <c r="S191" i="76" s="1"/>
  <c r="S27" i="105" s="1"/>
  <c r="P189" i="76" a="1"/>
  <c r="P189" i="76" s="1"/>
  <c r="P25" i="105" s="1"/>
  <c r="G30" i="97"/>
  <c r="G62" i="97" s="1" a="1"/>
  <c r="G62" i="97" s="1"/>
  <c r="F192" i="76" a="1"/>
  <c r="F192" i="76" s="1"/>
  <c r="F28" i="105" s="1"/>
  <c r="S190" i="76" a="1"/>
  <c r="S190" i="76" s="1"/>
  <c r="S24" i="98" s="1"/>
  <c r="P190" i="76" a="1"/>
  <c r="P190" i="76" s="1"/>
  <c r="P24" i="98" s="1"/>
  <c r="H197" i="76" a="1"/>
  <c r="H197" i="76" s="1"/>
  <c r="H33" i="105" s="1"/>
  <c r="S195" i="76" a="1"/>
  <c r="S195" i="76" s="1"/>
  <c r="S31" i="105" s="1"/>
  <c r="R194" i="76" a="1"/>
  <c r="R194" i="76" s="1"/>
  <c r="R196" i="76" a="1"/>
  <c r="R196" i="76" s="1"/>
  <c r="R32" i="105" s="1"/>
  <c r="P188" i="76" a="1"/>
  <c r="P188" i="76" s="1"/>
  <c r="P24" i="105" s="1"/>
  <c r="I196" i="76" a="1"/>
  <c r="I196" i="76" s="1"/>
  <c r="I32" i="105" s="1"/>
  <c r="H196" i="76" a="1"/>
  <c r="H196" i="76" s="1"/>
  <c r="H32" i="105" s="1"/>
  <c r="F189" i="76" a="1"/>
  <c r="F189" i="76" s="1"/>
  <c r="F25" i="105" s="1"/>
  <c r="I194" i="76" a="1"/>
  <c r="I194" i="76" s="1"/>
  <c r="I31" i="97" s="1"/>
  <c r="I63" i="97" s="1" a="1"/>
  <c r="I63" i="97" s="1"/>
  <c r="I195" i="76" a="1"/>
  <c r="I195" i="76" s="1"/>
  <c r="I31" i="105" s="1"/>
  <c r="F187" i="76" a="1"/>
  <c r="F187" i="76" s="1"/>
  <c r="F23" i="105" s="1"/>
  <c r="S197" i="76" a="1"/>
  <c r="S197" i="76" s="1"/>
  <c r="S33" i="105" s="1"/>
  <c r="I188" i="76" a="1"/>
  <c r="I188" i="76" s="1"/>
  <c r="I24" i="105" s="1"/>
  <c r="P186" i="76" a="1"/>
  <c r="P186" i="76" s="1"/>
  <c r="P23" i="98" s="1"/>
  <c r="F186" i="76" a="1"/>
  <c r="F186" i="76" s="1"/>
  <c r="F22" i="105" s="1"/>
  <c r="R23" i="98"/>
  <c r="R22" i="105"/>
  <c r="P25" i="98"/>
  <c r="S186" i="76" a="1"/>
  <c r="S186" i="76" s="1"/>
  <c r="S188" i="76" a="1"/>
  <c r="S188" i="76" s="1"/>
  <c r="S24" i="105" s="1"/>
  <c r="S26" i="105"/>
  <c r="I186" i="76" a="1"/>
  <c r="I186" i="76" s="1"/>
  <c r="I187" i="76" a="1"/>
  <c r="I187" i="76" s="1"/>
  <c r="I23" i="105" s="1"/>
  <c r="P187" i="76" a="1"/>
  <c r="P187" i="76" s="1"/>
  <c r="P23" i="105" s="1"/>
  <c r="F194" i="76" a="1"/>
  <c r="F194" i="76" s="1"/>
  <c r="F30" i="105" s="1"/>
  <c r="I189" i="76" a="1"/>
  <c r="I189" i="76" s="1"/>
  <c r="I25" i="105" s="1"/>
  <c r="S194" i="76" a="1"/>
  <c r="S194" i="76" s="1"/>
  <c r="S196" i="76" a="1"/>
  <c r="S196" i="76" s="1"/>
  <c r="S32" i="105" s="1"/>
  <c r="F197" i="76" a="1"/>
  <c r="F197" i="76" s="1"/>
  <c r="F33" i="105" s="1"/>
  <c r="P197" i="76" a="1"/>
  <c r="P197" i="76" s="1"/>
  <c r="P33" i="105" s="1"/>
  <c r="F32" i="97"/>
  <c r="F64" i="97" s="1" a="1"/>
  <c r="F64" i="97" s="1"/>
  <c r="F28" i="97"/>
  <c r="F60" i="97" s="1" a="1"/>
  <c r="F60" i="97" s="1"/>
  <c r="F193" i="76" a="1"/>
  <c r="F193" i="76" s="1"/>
  <c r="F29" i="105" s="1"/>
  <c r="P191" i="76" a="1"/>
  <c r="P191" i="76" s="1"/>
  <c r="P27" i="105" s="1"/>
  <c r="F25" i="97"/>
  <c r="F57" i="97" s="1" a="1"/>
  <c r="F57" i="97" s="1"/>
  <c r="F190" i="76" a="1"/>
  <c r="F190" i="76" s="1"/>
  <c r="F26" i="105" s="1"/>
  <c r="P192" i="76" a="1"/>
  <c r="P192" i="76" s="1"/>
  <c r="P28" i="105" s="1"/>
  <c r="P26" i="97"/>
  <c r="P58" i="97" s="1" a="1"/>
  <c r="P58" i="97" s="1"/>
  <c r="P195" i="76" a="1"/>
  <c r="P195" i="76" s="1"/>
  <c r="P31" i="105" s="1"/>
  <c r="R197" i="76" a="1"/>
  <c r="R197" i="76" s="1"/>
  <c r="R33" i="105" s="1"/>
  <c r="P33" i="97"/>
  <c r="P65" i="97" s="1" a="1"/>
  <c r="P65" i="97" s="1"/>
  <c r="H193" i="76" a="1"/>
  <c r="H193" i="76" s="1"/>
  <c r="H29" i="105" s="1"/>
  <c r="P31" i="97"/>
  <c r="P63" i="97" s="1" a="1"/>
  <c r="P63" i="97" s="1"/>
  <c r="R191" i="76" a="1"/>
  <c r="R191" i="76" s="1"/>
  <c r="R190" i="76" a="1"/>
  <c r="R190" i="76" s="1"/>
  <c r="H195" i="76" a="1"/>
  <c r="H195" i="76" s="1"/>
  <c r="I30" i="97"/>
  <c r="I62" i="97" s="1" a="1"/>
  <c r="I62" i="97" s="1"/>
  <c r="R32" i="97"/>
  <c r="R64" i="97" s="1" a="1"/>
  <c r="R64" i="97" s="1"/>
  <c r="R29" i="97"/>
  <c r="R61" i="97" s="1" a="1"/>
  <c r="R61" i="97" s="1"/>
  <c r="R23" i="97"/>
  <c r="R55" i="97" s="1" a="1"/>
  <c r="R55" i="97" s="1"/>
  <c r="S24" i="97"/>
  <c r="S56" i="97" s="1" a="1"/>
  <c r="S56" i="97" s="1"/>
  <c r="S29" i="97"/>
  <c r="S61" i="97" s="1" a="1"/>
  <c r="S61" i="97" s="1"/>
  <c r="H191" i="76" a="1"/>
  <c r="H191" i="76" s="1"/>
  <c r="H27" i="105" s="1"/>
  <c r="R189" i="76" a="1"/>
  <c r="R189" i="76" s="1"/>
  <c r="R25" i="105" s="1"/>
  <c r="I192" i="76" a="1"/>
  <c r="I192" i="76" s="1"/>
  <c r="I28" i="105" s="1"/>
  <c r="R193" i="76" a="1"/>
  <c r="R193" i="76" s="1"/>
  <c r="R29" i="105" s="1"/>
  <c r="Q189" i="76" a="1"/>
  <c r="Q189" i="76" s="1"/>
  <c r="Q25" i="105" s="1"/>
  <c r="G186" i="76" a="1"/>
  <c r="G186" i="76" s="1"/>
  <c r="Q186" i="76" a="1"/>
  <c r="Q186" i="76" s="1"/>
  <c r="G187" i="76" a="1"/>
  <c r="G187" i="76" s="1"/>
  <c r="G23" i="105" s="1"/>
  <c r="G188" i="76" a="1"/>
  <c r="G188" i="76" s="1"/>
  <c r="G24" i="105" s="1"/>
  <c r="G189" i="76" a="1"/>
  <c r="G189" i="76" s="1"/>
  <c r="G25" i="105" s="1"/>
  <c r="Q187" i="76" a="1"/>
  <c r="Q187" i="76" s="1"/>
  <c r="Q23" i="105" s="1"/>
  <c r="Q188" i="76" a="1"/>
  <c r="Q188" i="76" s="1"/>
  <c r="Q24" i="105" s="1"/>
  <c r="S28" i="97"/>
  <c r="S60" i="97" s="1" a="1"/>
  <c r="S60" i="97" s="1"/>
  <c r="I34" i="97"/>
  <c r="I66" i="97" s="1" a="1"/>
  <c r="I66" i="97" s="1"/>
  <c r="I25" i="97"/>
  <c r="I57" i="97" s="1" a="1"/>
  <c r="I57" i="97" s="1"/>
  <c r="S34" i="97"/>
  <c r="S66" i="97" s="1" a="1"/>
  <c r="S66" i="97" s="1"/>
  <c r="H189" i="76" a="1"/>
  <c r="H189" i="76" s="1"/>
  <c r="H25" i="105" s="1"/>
  <c r="H186" i="76" a="1"/>
  <c r="H186" i="76" s="1"/>
  <c r="R187" i="76" a="1"/>
  <c r="R187" i="76" s="1"/>
  <c r="R23" i="105" s="1"/>
  <c r="Q194" i="76" a="1"/>
  <c r="Q194" i="76" s="1"/>
  <c r="Q196" i="76" a="1"/>
  <c r="Q196" i="76" s="1"/>
  <c r="Q32" i="105" s="1"/>
  <c r="G194" i="76" a="1"/>
  <c r="G194" i="76" s="1"/>
  <c r="G197" i="76" a="1"/>
  <c r="G197" i="76" s="1"/>
  <c r="G33" i="105" s="1"/>
  <c r="Q197" i="76" a="1"/>
  <c r="Q197" i="76" s="1"/>
  <c r="Q33" i="105" s="1"/>
  <c r="G195" i="76" a="1"/>
  <c r="G195" i="76" s="1"/>
  <c r="G31" i="105" s="1"/>
  <c r="G196" i="76" a="1"/>
  <c r="G196" i="76" s="1"/>
  <c r="G32" i="105" s="1"/>
  <c r="Q195" i="76" a="1"/>
  <c r="Q195" i="76" s="1"/>
  <c r="Q31" i="105" s="1"/>
  <c r="H187" i="76" a="1"/>
  <c r="H187" i="76" s="1"/>
  <c r="H23" i="105" s="1"/>
  <c r="H190" i="76" a="1"/>
  <c r="H190" i="76" s="1"/>
  <c r="R188" i="76" a="1"/>
  <c r="R188" i="76" s="1"/>
  <c r="R24" i="105" s="1"/>
  <c r="I190" i="76" a="1"/>
  <c r="I190" i="76" s="1"/>
  <c r="H192" i="76" a="1"/>
  <c r="H192" i="76" s="1"/>
  <c r="H28" i="105" s="1"/>
  <c r="S189" i="76" a="1"/>
  <c r="S189" i="76" s="1"/>
  <c r="S25" i="105" s="1"/>
  <c r="H188" i="76" a="1"/>
  <c r="H188" i="76" s="1"/>
  <c r="H24" i="105" s="1"/>
  <c r="H194" i="76" a="1"/>
  <c r="H194" i="76" s="1"/>
  <c r="S27" i="97"/>
  <c r="S59" i="97" s="1" a="1"/>
  <c r="S59" i="97" s="1"/>
  <c r="I191" i="76" a="1"/>
  <c r="I191" i="76" s="1"/>
  <c r="I27" i="105" s="1"/>
  <c r="P22" i="105" l="1"/>
  <c r="S134" i="105" a="1"/>
  <c r="S134" i="105" s="1"/>
  <c r="S101" i="105" a="1"/>
  <c r="S101" i="105" s="1"/>
  <c r="S135" i="105" a="1"/>
  <c r="S135" i="105" s="1"/>
  <c r="S30" i="97"/>
  <c r="S62" i="97" s="1" a="1"/>
  <c r="S62" i="97" s="1"/>
  <c r="F29" i="97"/>
  <c r="F61" i="97" s="1" a="1"/>
  <c r="F61" i="97" s="1"/>
  <c r="P30" i="97"/>
  <c r="P62" i="97" s="1" a="1"/>
  <c r="P62" i="97" s="1"/>
  <c r="Q130" i="105" a="1"/>
  <c r="Q130" i="105" s="1"/>
  <c r="Q171" i="105" a="1"/>
  <c r="Q171" i="105" s="1"/>
  <c r="Q96" i="105" a="1"/>
  <c r="Q96" i="105" s="1"/>
  <c r="I138" i="105" a="1"/>
  <c r="I138" i="105" s="1"/>
  <c r="I104" i="105" a="1"/>
  <c r="I104" i="105" s="1"/>
  <c r="I179" i="105" a="1"/>
  <c r="I179" i="105" s="1"/>
  <c r="G172" i="105" a="1"/>
  <c r="G172" i="105" s="1"/>
  <c r="G131" i="105" a="1"/>
  <c r="G131" i="105" s="1"/>
  <c r="G97" i="105" a="1"/>
  <c r="G97" i="105" s="1"/>
  <c r="H135" i="105" a="1"/>
  <c r="H135" i="105" s="1"/>
  <c r="H176" i="105" a="1"/>
  <c r="H176" i="105" s="1"/>
  <c r="H101" i="105" a="1"/>
  <c r="H101" i="105" s="1"/>
  <c r="F138" i="105" a="1"/>
  <c r="F138" i="105" s="1"/>
  <c r="F104" i="105" a="1"/>
  <c r="F104" i="105" s="1"/>
  <c r="F179" i="105" a="1"/>
  <c r="F179" i="105" s="1"/>
  <c r="P130" i="105" a="1"/>
  <c r="P130" i="105" s="1"/>
  <c r="P96" i="105" a="1"/>
  <c r="P96" i="105" s="1"/>
  <c r="P171" i="105" a="1"/>
  <c r="P171" i="105" s="1"/>
  <c r="S104" i="105" a="1"/>
  <c r="S104" i="105" s="1"/>
  <c r="S179" i="105" a="1"/>
  <c r="S179" i="105" s="1"/>
  <c r="S138" i="105" a="1"/>
  <c r="S138" i="105" s="1"/>
  <c r="H129" i="105" a="1"/>
  <c r="H129" i="105" s="1"/>
  <c r="H95" i="105" a="1"/>
  <c r="H95" i="105" s="1"/>
  <c r="H170" i="105" a="1"/>
  <c r="H170" i="105" s="1"/>
  <c r="H172" i="105" a="1"/>
  <c r="H172" i="105" s="1"/>
  <c r="H131" i="105" a="1"/>
  <c r="H131" i="105" s="1"/>
  <c r="H97" i="105" a="1"/>
  <c r="H97" i="105" s="1"/>
  <c r="G129" i="105" a="1"/>
  <c r="G129" i="105" s="1"/>
  <c r="G95" i="105" a="1"/>
  <c r="G95" i="105" s="1"/>
  <c r="G170" i="105" a="1"/>
  <c r="G170" i="105" s="1"/>
  <c r="P34" i="97"/>
  <c r="P66" i="97" s="1" a="1"/>
  <c r="P66" i="97" s="1"/>
  <c r="I172" i="105" a="1"/>
  <c r="I172" i="105" s="1"/>
  <c r="I131" i="105" a="1"/>
  <c r="I131" i="105" s="1"/>
  <c r="I97" i="105" a="1"/>
  <c r="I97" i="105" s="1"/>
  <c r="S103" i="105" a="1"/>
  <c r="S103" i="105" s="1"/>
  <c r="S178" i="105" a="1"/>
  <c r="S178" i="105" s="1"/>
  <c r="S137" i="105" a="1"/>
  <c r="S137" i="105" s="1"/>
  <c r="F139" i="105" a="1"/>
  <c r="F139" i="105" s="1"/>
  <c r="F105" i="105" a="1"/>
  <c r="F105" i="105" s="1"/>
  <c r="F180" i="105" a="1"/>
  <c r="F180" i="105" s="1"/>
  <c r="G96" i="105" a="1"/>
  <c r="G96" i="105" s="1"/>
  <c r="G171" i="105" a="1"/>
  <c r="G171" i="105" s="1"/>
  <c r="G130" i="105" a="1"/>
  <c r="G130" i="105" s="1"/>
  <c r="I129" i="105" a="1"/>
  <c r="I129" i="105" s="1"/>
  <c r="I95" i="105" a="1"/>
  <c r="I95" i="105" s="1"/>
  <c r="I170" i="105" a="1"/>
  <c r="I170" i="105" s="1"/>
  <c r="I96" i="105" a="1"/>
  <c r="I96" i="105" s="1"/>
  <c r="I130" i="105" a="1"/>
  <c r="I130" i="105" s="1"/>
  <c r="I171" i="105" a="1"/>
  <c r="I171" i="105" s="1"/>
  <c r="Q172" i="105" a="1"/>
  <c r="Q172" i="105" s="1"/>
  <c r="Q97" i="105" a="1"/>
  <c r="Q97" i="105" s="1"/>
  <c r="Q131" i="105" a="1"/>
  <c r="Q131" i="105" s="1"/>
  <c r="Q139" i="105" a="1"/>
  <c r="Q139" i="105" s="1"/>
  <c r="Q180" i="105" a="1"/>
  <c r="Q180" i="105" s="1"/>
  <c r="Q105" i="105" a="1"/>
  <c r="Q105" i="105" s="1"/>
  <c r="R176" i="105" a="1"/>
  <c r="R176" i="105" s="1"/>
  <c r="R135" i="105" a="1"/>
  <c r="R135" i="105" s="1"/>
  <c r="R101" i="105" a="1"/>
  <c r="R101" i="105" s="1"/>
  <c r="P137" i="105" a="1"/>
  <c r="P137" i="105" s="1"/>
  <c r="P103" i="105" a="1"/>
  <c r="P103" i="105" s="1"/>
  <c r="P178" i="105" a="1"/>
  <c r="P178" i="105" s="1"/>
  <c r="P133" i="105" a="1"/>
  <c r="P133" i="105" s="1"/>
  <c r="P174" i="105" a="1"/>
  <c r="P174" i="105" s="1"/>
  <c r="P99" i="105" a="1"/>
  <c r="P99" i="105" s="1"/>
  <c r="S139" i="105" a="1"/>
  <c r="S139" i="105" s="1"/>
  <c r="S180" i="105" a="1"/>
  <c r="S180" i="105" s="1"/>
  <c r="S105" i="105" a="1"/>
  <c r="S105" i="105" s="1"/>
  <c r="F175" i="105" a="1"/>
  <c r="F175" i="105" s="1"/>
  <c r="F134" i="105" a="1"/>
  <c r="F134" i="105" s="1"/>
  <c r="F100" i="105" a="1"/>
  <c r="F100" i="105" s="1"/>
  <c r="P104" i="105" a="1"/>
  <c r="P104" i="105" s="1"/>
  <c r="P179" i="105" a="1"/>
  <c r="P179" i="105" s="1"/>
  <c r="P138" i="105" a="1"/>
  <c r="P138" i="105" s="1"/>
  <c r="Q137" i="105" a="1"/>
  <c r="Q137" i="105" s="1"/>
  <c r="Q103" i="105" a="1"/>
  <c r="Q103" i="105" s="1"/>
  <c r="Q178" i="105" a="1"/>
  <c r="Q178" i="105" s="1"/>
  <c r="P134" i="105" a="1"/>
  <c r="P134" i="105" s="1"/>
  <c r="P100" i="105" a="1"/>
  <c r="P100" i="105" s="1"/>
  <c r="P175" i="105" a="1"/>
  <c r="P175" i="105" s="1"/>
  <c r="R130" i="105" a="1"/>
  <c r="R130" i="105" s="1"/>
  <c r="R171" i="105" a="1"/>
  <c r="R171" i="105" s="1"/>
  <c r="R96" i="105" a="1"/>
  <c r="R96" i="105" s="1"/>
  <c r="R104" i="105" a="1"/>
  <c r="R104" i="105" s="1"/>
  <c r="R179" i="105" a="1"/>
  <c r="R179" i="105" s="1"/>
  <c r="R138" i="105" a="1"/>
  <c r="R138" i="105" s="1"/>
  <c r="H105" i="105" a="1"/>
  <c r="H105" i="105" s="1"/>
  <c r="H180" i="105" a="1"/>
  <c r="H180" i="105" s="1"/>
  <c r="H139" i="105" a="1"/>
  <c r="H139" i="105" s="1"/>
  <c r="G138" i="105" a="1"/>
  <c r="G138" i="105" s="1"/>
  <c r="G104" i="105" a="1"/>
  <c r="G104" i="105" s="1"/>
  <c r="G179" i="105" a="1"/>
  <c r="G179" i="105" s="1"/>
  <c r="R172" i="105" a="1"/>
  <c r="R172" i="105" s="1"/>
  <c r="R97" i="105" a="1"/>
  <c r="R97" i="105" s="1"/>
  <c r="R131" i="105" a="1"/>
  <c r="R131" i="105" s="1"/>
  <c r="I178" i="105" a="1"/>
  <c r="I178" i="105" s="1"/>
  <c r="I137" i="105" a="1"/>
  <c r="I137" i="105" s="1"/>
  <c r="I103" i="105" a="1"/>
  <c r="I103" i="105" s="1"/>
  <c r="Q129" i="105" a="1"/>
  <c r="Q129" i="105" s="1"/>
  <c r="Q95" i="105" a="1"/>
  <c r="Q95" i="105" s="1"/>
  <c r="Q170" i="105" a="1"/>
  <c r="Q170" i="105" s="1"/>
  <c r="P101" i="105" a="1"/>
  <c r="P101" i="105" s="1"/>
  <c r="P176" i="105" a="1"/>
  <c r="P176" i="105" s="1"/>
  <c r="P135" i="105" a="1"/>
  <c r="P135" i="105" s="1"/>
  <c r="I99" i="105" a="1"/>
  <c r="I99" i="105" s="1"/>
  <c r="I174" i="105" a="1"/>
  <c r="I174" i="105" s="1"/>
  <c r="I133" i="105" a="1"/>
  <c r="I133" i="105" s="1"/>
  <c r="F129" i="105" a="1"/>
  <c r="F129" i="105" s="1"/>
  <c r="F95" i="105" a="1"/>
  <c r="F95" i="105" s="1"/>
  <c r="F170" i="105" a="1"/>
  <c r="F170" i="105" s="1"/>
  <c r="H96" i="105" a="1"/>
  <c r="H96" i="105" s="1"/>
  <c r="H171" i="105" a="1"/>
  <c r="H171" i="105" s="1"/>
  <c r="H130" i="105" a="1"/>
  <c r="H130" i="105" s="1"/>
  <c r="H99" i="105" a="1"/>
  <c r="H99" i="105" s="1"/>
  <c r="H174" i="105" a="1"/>
  <c r="H174" i="105" s="1"/>
  <c r="H133" i="105" a="1"/>
  <c r="H133" i="105" s="1"/>
  <c r="F23" i="98"/>
  <c r="S171" i="105" a="1"/>
  <c r="S171" i="105" s="1"/>
  <c r="S96" i="105" a="1"/>
  <c r="S96" i="105" s="1"/>
  <c r="S130" i="105" a="1"/>
  <c r="S130" i="105" s="1"/>
  <c r="P172" i="105" a="1"/>
  <c r="P172" i="105" s="1"/>
  <c r="P97" i="105" a="1"/>
  <c r="P97" i="105" s="1"/>
  <c r="P131" i="105" a="1"/>
  <c r="P131" i="105" s="1"/>
  <c r="R129" i="105" a="1"/>
  <c r="R129" i="105" s="1"/>
  <c r="R170" i="105" a="1"/>
  <c r="R170" i="105" s="1"/>
  <c r="R95" i="105" a="1"/>
  <c r="R95" i="105" s="1"/>
  <c r="P139" i="105" a="1"/>
  <c r="P139" i="105" s="1"/>
  <c r="P105" i="105" a="1"/>
  <c r="P105" i="105" s="1"/>
  <c r="P180" i="105" a="1"/>
  <c r="P180" i="105" s="1"/>
  <c r="G178" i="105" a="1"/>
  <c r="G178" i="105" s="1"/>
  <c r="G103" i="105" a="1"/>
  <c r="G103" i="105" s="1"/>
  <c r="G137" i="105" a="1"/>
  <c r="G137" i="105" s="1"/>
  <c r="R139" i="105" a="1"/>
  <c r="R139" i="105" s="1"/>
  <c r="R180" i="105" a="1"/>
  <c r="R180" i="105" s="1"/>
  <c r="R105" i="105" a="1"/>
  <c r="R105" i="105" s="1"/>
  <c r="I175" i="105" a="1"/>
  <c r="I175" i="105" s="1"/>
  <c r="I134" i="105" a="1"/>
  <c r="I134" i="105" s="1"/>
  <c r="I100" i="105" a="1"/>
  <c r="I100" i="105" s="1"/>
  <c r="Q104" i="105" a="1"/>
  <c r="Q104" i="105" s="1"/>
  <c r="Q138" i="105" a="1"/>
  <c r="Q138" i="105" s="1"/>
  <c r="Q179" i="105" a="1"/>
  <c r="Q179" i="105" s="1"/>
  <c r="H34" i="97"/>
  <c r="H66" i="97" s="1" a="1"/>
  <c r="H66" i="97" s="1"/>
  <c r="F172" i="105" a="1"/>
  <c r="F172" i="105" s="1"/>
  <c r="F97" i="105" a="1"/>
  <c r="F97" i="105" s="1"/>
  <c r="F131" i="105" a="1"/>
  <c r="F131" i="105" s="1"/>
  <c r="S174" i="105" a="1"/>
  <c r="S174" i="105" s="1"/>
  <c r="S133" i="105" a="1"/>
  <c r="S133" i="105" s="1"/>
  <c r="S99" i="105" a="1"/>
  <c r="S99" i="105" s="1"/>
  <c r="P129" i="105" a="1"/>
  <c r="P129" i="105" s="1"/>
  <c r="P95" i="105" a="1"/>
  <c r="P95" i="105" s="1"/>
  <c r="P170" i="105" a="1"/>
  <c r="P170" i="105" s="1"/>
  <c r="G139" i="105" a="1"/>
  <c r="G139" i="105" s="1"/>
  <c r="G105" i="105" a="1"/>
  <c r="G105" i="105" s="1"/>
  <c r="G180" i="105" a="1"/>
  <c r="G180" i="105" s="1"/>
  <c r="F135" i="105" a="1"/>
  <c r="F135" i="105" s="1"/>
  <c r="F101" i="105" a="1"/>
  <c r="F101" i="105" s="1"/>
  <c r="F176" i="105" a="1"/>
  <c r="F176" i="105" s="1"/>
  <c r="S97" i="105" a="1"/>
  <c r="S97" i="105" s="1"/>
  <c r="S131" i="105" a="1"/>
  <c r="S131" i="105" s="1"/>
  <c r="S172" i="105" a="1"/>
  <c r="S172" i="105" s="1"/>
  <c r="H175" i="105" a="1"/>
  <c r="H175" i="105" s="1"/>
  <c r="H134" i="105" a="1"/>
  <c r="H134" i="105" s="1"/>
  <c r="H100" i="105" a="1"/>
  <c r="H100" i="105" s="1"/>
  <c r="R34" i="97"/>
  <c r="R66" i="97" s="1" a="1"/>
  <c r="R66" i="97" s="1"/>
  <c r="F33" i="97"/>
  <c r="F65" i="97" s="1" a="1"/>
  <c r="F65" i="97" s="1"/>
  <c r="F23" i="97"/>
  <c r="F55" i="97" s="1" a="1"/>
  <c r="F55" i="97" s="1"/>
  <c r="H138" i="105" a="1"/>
  <c r="H138" i="105" s="1"/>
  <c r="H104" i="105" a="1"/>
  <c r="H104" i="105" s="1"/>
  <c r="H179" i="105" a="1"/>
  <c r="H179" i="105" s="1"/>
  <c r="R30" i="105"/>
  <c r="I23" i="97"/>
  <c r="I55" i="97" s="1" a="1"/>
  <c r="I55" i="97" s="1"/>
  <c r="R33" i="97"/>
  <c r="R65" i="97" s="1" a="1"/>
  <c r="R65" i="97" s="1"/>
  <c r="P26" i="105"/>
  <c r="P23" i="97"/>
  <c r="P55" i="97" s="1" a="1"/>
  <c r="P55" i="97" s="1"/>
  <c r="S32" i="97"/>
  <c r="S64" i="97" s="1" a="1"/>
  <c r="S64" i="97" s="1"/>
  <c r="P27" i="97"/>
  <c r="P59" i="97" s="1" a="1"/>
  <c r="P59" i="97" s="1"/>
  <c r="I30" i="105"/>
  <c r="S25" i="97"/>
  <c r="S57" i="97" s="1" a="1"/>
  <c r="S57" i="97" s="1"/>
  <c r="I24" i="97"/>
  <c r="I56" i="97" s="1" a="1"/>
  <c r="I56" i="97" s="1"/>
  <c r="I25" i="98"/>
  <c r="F25" i="98"/>
  <c r="R27" i="97"/>
  <c r="R59" i="97" s="1" a="1"/>
  <c r="R59" i="97" s="1"/>
  <c r="R31" i="97"/>
  <c r="R63" i="97" s="1" a="1"/>
  <c r="R63" i="97" s="1"/>
  <c r="P25" i="97"/>
  <c r="P57" i="97" s="1" a="1"/>
  <c r="P57" i="97" s="1"/>
  <c r="R25" i="98"/>
  <c r="I33" i="97"/>
  <c r="I65" i="97" s="1" a="1"/>
  <c r="I65" i="97" s="1"/>
  <c r="S31" i="97"/>
  <c r="S63" i="97" s="1" a="1"/>
  <c r="S63" i="97" s="1"/>
  <c r="H33" i="97"/>
  <c r="H65" i="97" s="1" a="1"/>
  <c r="H65" i="97" s="1"/>
  <c r="F31" i="97"/>
  <c r="F63" i="97" s="1" a="1"/>
  <c r="F63" i="97" s="1"/>
  <c r="S23" i="97"/>
  <c r="S55" i="97" s="1" a="1"/>
  <c r="S55" i="97" s="1"/>
  <c r="H30" i="97"/>
  <c r="H62" i="97" s="1" a="1"/>
  <c r="H62" i="97" s="1"/>
  <c r="I32" i="97"/>
  <c r="I64" i="97" s="1" a="1"/>
  <c r="I64" i="97" s="1"/>
  <c r="I26" i="97"/>
  <c r="I58" i="97" s="1" a="1"/>
  <c r="I58" i="97" s="1"/>
  <c r="F26" i="97"/>
  <c r="F58" i="97" s="1" a="1"/>
  <c r="F58" i="97" s="1"/>
  <c r="F34" i="97"/>
  <c r="F66" i="97" s="1" a="1"/>
  <c r="F66" i="97" s="1"/>
  <c r="F24" i="97"/>
  <c r="F56" i="97" s="1" a="1"/>
  <c r="F56" i="97" s="1"/>
  <c r="S33" i="97"/>
  <c r="S65" i="97" s="1" a="1"/>
  <c r="S65" i="97" s="1"/>
  <c r="H24" i="98"/>
  <c r="H26" i="105"/>
  <c r="R28" i="97"/>
  <c r="R60" i="97" s="1" a="1"/>
  <c r="R60" i="97" s="1"/>
  <c r="R27" i="105"/>
  <c r="Q23" i="98"/>
  <c r="Q22" i="105"/>
  <c r="G23" i="98"/>
  <c r="G22" i="105"/>
  <c r="H25" i="98"/>
  <c r="H30" i="105"/>
  <c r="P24" i="97"/>
  <c r="P56" i="97" s="1" a="1"/>
  <c r="P56" i="97" s="1"/>
  <c r="S23" i="98"/>
  <c r="S22" i="105"/>
  <c r="S25" i="98"/>
  <c r="S30" i="105"/>
  <c r="I24" i="98"/>
  <c r="I26" i="105"/>
  <c r="G25" i="98"/>
  <c r="G30" i="105"/>
  <c r="H32" i="97"/>
  <c r="H64" i="97" s="1" a="1"/>
  <c r="H64" i="97" s="1"/>
  <c r="H31" i="105"/>
  <c r="Q25" i="98"/>
  <c r="Q30" i="105"/>
  <c r="H23" i="98"/>
  <c r="H22" i="105"/>
  <c r="R26" i="105"/>
  <c r="R24" i="98"/>
  <c r="I23" i="98"/>
  <c r="I22" i="105"/>
  <c r="P28" i="97"/>
  <c r="P60" i="97" s="1" a="1"/>
  <c r="P60" i="97" s="1"/>
  <c r="P32" i="97"/>
  <c r="P64" i="97" s="1" a="1"/>
  <c r="P64" i="97" s="1"/>
  <c r="F30" i="97"/>
  <c r="F62" i="97" s="1" a="1"/>
  <c r="F62" i="97" s="1"/>
  <c r="F24" i="98"/>
  <c r="F27" i="97"/>
  <c r="F59" i="97" s="1" a="1"/>
  <c r="F59" i="97" s="1"/>
  <c r="P29" i="97"/>
  <c r="P61" i="97" s="1" a="1"/>
  <c r="P61" i="97" s="1"/>
  <c r="H28" i="97"/>
  <c r="H60" i="97" s="1" a="1"/>
  <c r="H60" i="97" s="1"/>
  <c r="H24" i="97"/>
  <c r="H56" i="97" s="1" a="1"/>
  <c r="H56" i="97" s="1"/>
  <c r="G25" i="97"/>
  <c r="G57" i="97" s="1" a="1"/>
  <c r="G57" i="97" s="1"/>
  <c r="G26" i="97"/>
  <c r="G58" i="97" s="1" a="1"/>
  <c r="G58" i="97" s="1"/>
  <c r="H31" i="97"/>
  <c r="H63" i="97" s="1" a="1"/>
  <c r="H63" i="97" s="1"/>
  <c r="Q32" i="97"/>
  <c r="Q64" i="97" s="1" a="1"/>
  <c r="Q64" i="97" s="1"/>
  <c r="G24" i="97"/>
  <c r="G56" i="97" s="1" a="1"/>
  <c r="G56" i="97" s="1"/>
  <c r="R26" i="97"/>
  <c r="R58" i="97" s="1" a="1"/>
  <c r="R58" i="97" s="1"/>
  <c r="Q23" i="97"/>
  <c r="Q55" i="97" s="1" a="1"/>
  <c r="Q55" i="97" s="1"/>
  <c r="I28" i="97"/>
  <c r="I60" i="97" s="1" a="1"/>
  <c r="I60" i="97" s="1"/>
  <c r="G34" i="97"/>
  <c r="G66" i="97" s="1" a="1"/>
  <c r="G66" i="97" s="1"/>
  <c r="Q24" i="97"/>
  <c r="Q56" i="97" s="1" a="1"/>
  <c r="Q56" i="97" s="1"/>
  <c r="G33" i="97"/>
  <c r="G65" i="97" s="1" a="1"/>
  <c r="G65" i="97" s="1"/>
  <c r="G32" i="97"/>
  <c r="G64" i="97" s="1" a="1"/>
  <c r="G64" i="97" s="1"/>
  <c r="Q34" i="97"/>
  <c r="Q66" i="97" s="1" a="1"/>
  <c r="Q66" i="97" s="1"/>
  <c r="G31" i="97"/>
  <c r="G63" i="97" s="1" a="1"/>
  <c r="G63" i="97" s="1"/>
  <c r="R30" i="97"/>
  <c r="R62" i="97" s="1" a="1"/>
  <c r="R62" i="97" s="1"/>
  <c r="R25" i="97"/>
  <c r="R57" i="97" s="1" a="1"/>
  <c r="R57" i="97" s="1"/>
  <c r="Q31" i="97"/>
  <c r="Q63" i="97" s="1" a="1"/>
  <c r="Q63" i="97" s="1"/>
  <c r="H23" i="97"/>
  <c r="H55" i="97" s="1" a="1"/>
  <c r="H55" i="97" s="1"/>
  <c r="I29" i="97"/>
  <c r="I61" i="97" s="1" a="1"/>
  <c r="I61" i="97" s="1"/>
  <c r="S26" i="97"/>
  <c r="S58" i="97" s="1" a="1"/>
  <c r="S58" i="97" s="1"/>
  <c r="Q26" i="97"/>
  <c r="Q58" i="97" s="1" a="1"/>
  <c r="Q58" i="97" s="1"/>
  <c r="G23" i="97"/>
  <c r="G55" i="97" s="1" a="1"/>
  <c r="G55" i="97" s="1"/>
  <c r="H29" i="97"/>
  <c r="H61" i="97" s="1" a="1"/>
  <c r="H61" i="97" s="1"/>
  <c r="Q33" i="97"/>
  <c r="Q65" i="97" s="1" a="1"/>
  <c r="Q65" i="97" s="1"/>
  <c r="H25" i="97"/>
  <c r="H57" i="97" s="1" a="1"/>
  <c r="H57" i="97" s="1"/>
  <c r="I27" i="97"/>
  <c r="I59" i="97" s="1" a="1"/>
  <c r="I59" i="97" s="1"/>
  <c r="H27" i="97"/>
  <c r="H59" i="97" s="1" a="1"/>
  <c r="H59" i="97" s="1"/>
  <c r="R24" i="97"/>
  <c r="R56" i="97" s="1" a="1"/>
  <c r="R56" i="97" s="1"/>
  <c r="H26" i="97"/>
  <c r="H58" i="97" s="1" a="1"/>
  <c r="H58" i="97" s="1"/>
  <c r="Q25" i="97"/>
  <c r="Q57" i="97" s="1" a="1"/>
  <c r="Q57" i="97" s="1"/>
  <c r="H178" i="105" l="1" a="1"/>
  <c r="H178" i="105" s="1"/>
  <c r="H137" i="105" a="1"/>
  <c r="H137" i="105" s="1"/>
  <c r="H103" i="105" a="1"/>
  <c r="H103" i="105" s="1"/>
  <c r="R133" i="105" a="1"/>
  <c r="R133" i="105" s="1"/>
  <c r="R174" i="105" a="1"/>
  <c r="R174" i="105" s="1"/>
  <c r="R99" i="105" a="1"/>
  <c r="R99" i="105" s="1"/>
  <c r="E68" i="97"/>
  <c r="G80" i="97" s="1"/>
  <c r="O68" i="97"/>
  <c r="Q80" i="97" s="1"/>
  <c r="D10" i="70" l="1"/>
  <c r="H49" i="70"/>
  <c r="G49" i="70"/>
  <c r="F49" i="70"/>
  <c r="E49" i="70" l="1"/>
  <c r="L40" i="70"/>
  <c r="L39" i="70"/>
  <c r="L38" i="70"/>
  <c r="L48" i="70"/>
  <c r="L47" i="70"/>
  <c r="L46" i="70"/>
  <c r="L45" i="70"/>
  <c r="L54" i="70"/>
  <c r="L53" i="70"/>
  <c r="L52" i="70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G45" i="98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39" i="107" l="1"/>
  <c r="P39" i="107"/>
  <c r="E30" i="15"/>
  <c r="G81" i="97"/>
  <c r="Q236" i="76"/>
  <c r="G236" i="76"/>
  <c r="E31" i="15"/>
  <c r="E32" i="15" s="1"/>
  <c r="G130" i="69"/>
  <c r="G51" i="69"/>
  <c r="E33" i="15"/>
  <c r="G14" i="98"/>
  <c r="E72" i="69" a="1"/>
  <c r="E72" i="69" s="1"/>
  <c r="E76" i="69" a="1"/>
  <c r="E76" i="69" s="1"/>
  <c r="E73" i="69" a="1"/>
  <c r="E73" i="69" s="1"/>
  <c r="E77" i="69" a="1"/>
  <c r="E77" i="69" s="1"/>
  <c r="E74" i="69" a="1"/>
  <c r="E74" i="69" s="1"/>
  <c r="E78" i="69" a="1"/>
  <c r="E78" i="69" s="1"/>
  <c r="E75" i="69" a="1"/>
  <c r="E75" i="69" s="1"/>
  <c r="E70" i="69" a="1"/>
  <c r="E70" i="69" s="1"/>
  <c r="E71" i="69" a="1"/>
  <c r="E71" i="69" s="1"/>
  <c r="D170" i="103"/>
  <c r="H51" i="103"/>
  <c r="H49" i="103"/>
  <c r="H54" i="103"/>
  <c r="H50" i="103"/>
  <c r="G211" i="76" s="1"/>
  <c r="H52" i="103"/>
  <c r="H48" i="103"/>
  <c r="H53" i="103"/>
  <c r="G82" i="97" l="1"/>
  <c r="P43" i="107"/>
  <c r="G85" i="97"/>
  <c r="G43" i="107"/>
  <c r="P40" i="107"/>
  <c r="G40" i="107"/>
  <c r="N45" i="107" s="1" a="1"/>
  <c r="N45" i="107" s="1"/>
  <c r="P47" i="107" s="1"/>
  <c r="N50" i="107" s="1" a="1"/>
  <c r="N50" i="107" s="1"/>
  <c r="H15" i="106"/>
  <c r="R219" i="76" a="1"/>
  <c r="R219" i="76" s="1"/>
  <c r="P219" i="76" a="1"/>
  <c r="P219" i="76" s="1"/>
  <c r="Q218" i="76" a="1"/>
  <c r="Q218" i="76" s="1"/>
  <c r="R216" i="76" a="1"/>
  <c r="R216" i="76" s="1"/>
  <c r="Q219" i="76" a="1"/>
  <c r="Q219" i="76" s="1"/>
  <c r="P217" i="76" a="1"/>
  <c r="P217" i="76" s="1"/>
  <c r="G217" i="76" a="1"/>
  <c r="G217" i="76" s="1"/>
  <c r="P218" i="76" a="1"/>
  <c r="P218" i="76" s="1"/>
  <c r="R217" i="76" a="1"/>
  <c r="R217" i="76" s="1"/>
  <c r="Q216" i="76" a="1"/>
  <c r="Q216" i="76" s="1"/>
  <c r="I219" i="76" a="1"/>
  <c r="I219" i="76" s="1"/>
  <c r="Q217" i="76" a="1"/>
  <c r="Q217" i="76" s="1"/>
  <c r="P216" i="76" a="1"/>
  <c r="P216" i="76" s="1"/>
  <c r="R218" i="76" a="1"/>
  <c r="R218" i="76" s="1"/>
  <c r="H218" i="76" a="1"/>
  <c r="H218" i="76" s="1"/>
  <c r="S218" i="76" a="1"/>
  <c r="S218" i="76" s="1"/>
  <c r="S216" i="76" a="1"/>
  <c r="S216" i="76" s="1"/>
  <c r="F219" i="76" a="1"/>
  <c r="F219" i="76" s="1"/>
  <c r="G224" i="76" a="1"/>
  <c r="G224" i="76" s="1"/>
  <c r="G219" i="76" a="1"/>
  <c r="G219" i="76" s="1"/>
  <c r="Q225" i="76" a="1"/>
  <c r="Q225" i="76" s="1"/>
  <c r="I216" i="76" a="1"/>
  <c r="I216" i="76" s="1"/>
  <c r="H217" i="76" a="1"/>
  <c r="H217" i="76" s="1"/>
  <c r="Q224" i="76" a="1"/>
  <c r="Q224" i="76" s="1"/>
  <c r="S219" i="76" a="1"/>
  <c r="S219" i="76" s="1"/>
  <c r="F217" i="76" a="1"/>
  <c r="F217" i="76" s="1"/>
  <c r="Q226" i="76" a="1"/>
  <c r="Q226" i="76" s="1"/>
  <c r="G218" i="76" a="1"/>
  <c r="G218" i="76" s="1"/>
  <c r="G216" i="76" a="1"/>
  <c r="G216" i="76" s="1"/>
  <c r="I218" i="76" a="1"/>
  <c r="I218" i="76" s="1"/>
  <c r="G225" i="76" a="1"/>
  <c r="G225" i="76" s="1"/>
  <c r="G226" i="76" a="1"/>
  <c r="G226" i="76" s="1"/>
  <c r="F216" i="76" a="1"/>
  <c r="F216" i="76" s="1"/>
  <c r="F218" i="76" a="1"/>
  <c r="F218" i="76" s="1"/>
  <c r="H216" i="76" a="1"/>
  <c r="H216" i="76" s="1"/>
  <c r="S217" i="76" a="1"/>
  <c r="S217" i="76" s="1"/>
  <c r="I217" i="76" a="1"/>
  <c r="I217" i="76" s="1"/>
  <c r="H219" i="76" a="1"/>
  <c r="H219" i="76" s="1"/>
  <c r="Q227" i="76" a="1"/>
  <c r="Q227" i="76" s="1"/>
  <c r="S226" i="76" a="1"/>
  <c r="S226" i="76" s="1"/>
  <c r="F229" i="76" a="1"/>
  <c r="F229" i="76" s="1"/>
  <c r="G227" i="76" a="1"/>
  <c r="G227" i="76" s="1"/>
  <c r="I227" i="76" a="1"/>
  <c r="I227" i="76" s="1"/>
  <c r="R229" i="76" a="1"/>
  <c r="R229" i="76" s="1"/>
  <c r="R226" i="76" a="1"/>
  <c r="R226" i="76" s="1"/>
  <c r="I231" i="76" a="1"/>
  <c r="I231" i="76" s="1"/>
  <c r="F225" i="76" a="1"/>
  <c r="F225" i="76" s="1"/>
  <c r="S225" i="76" a="1"/>
  <c r="S225" i="76" s="1"/>
  <c r="P223" i="76" a="1"/>
  <c r="P223" i="76" s="1"/>
  <c r="S224" i="76" a="1"/>
  <c r="S224" i="76" s="1"/>
  <c r="F222" i="76" a="1"/>
  <c r="F222" i="76" s="1"/>
  <c r="P230" i="76" a="1"/>
  <c r="P230" i="76" s="1"/>
  <c r="I222" i="76" a="1"/>
  <c r="I222" i="76" s="1"/>
  <c r="P228" i="76" a="1"/>
  <c r="P228" i="76" s="1"/>
  <c r="S221" i="76" a="1"/>
  <c r="S221" i="76" s="1"/>
  <c r="F226" i="76" a="1"/>
  <c r="F226" i="76" s="1"/>
  <c r="R220" i="76" a="1"/>
  <c r="R220" i="76" s="1"/>
  <c r="I228" i="76" a="1"/>
  <c r="I228" i="76" s="1"/>
  <c r="S227" i="76" a="1"/>
  <c r="S227" i="76" s="1"/>
  <c r="S220" i="76" a="1"/>
  <c r="S220" i="76" s="1"/>
  <c r="H230" i="76" a="1"/>
  <c r="H230" i="76" s="1"/>
  <c r="H225" i="76" a="1"/>
  <c r="H225" i="76" s="1"/>
  <c r="Q231" i="76" a="1"/>
  <c r="Q231" i="76" s="1"/>
  <c r="S223" i="76" a="1"/>
  <c r="S223" i="76" s="1"/>
  <c r="H224" i="76" a="1"/>
  <c r="H224" i="76" s="1"/>
  <c r="R223" i="76" a="1"/>
  <c r="R223" i="76" s="1"/>
  <c r="H221" i="76" a="1"/>
  <c r="H221" i="76" s="1"/>
  <c r="Q223" i="76" a="1"/>
  <c r="Q223" i="76" s="1"/>
  <c r="F230" i="76" a="1"/>
  <c r="F230" i="76" s="1"/>
  <c r="G230" i="76" a="1"/>
  <c r="G230" i="76" s="1"/>
  <c r="G229" i="76" a="1"/>
  <c r="G229" i="76" s="1"/>
  <c r="F220" i="76" a="1"/>
  <c r="F220" i="76" s="1"/>
  <c r="H231" i="76" a="1"/>
  <c r="H231" i="76" s="1"/>
  <c r="R228" i="76" a="1"/>
  <c r="R228" i="76" s="1"/>
  <c r="S231" i="76" a="1"/>
  <c r="S231" i="76" s="1"/>
  <c r="F227" i="76" a="1"/>
  <c r="F227" i="76" s="1"/>
  <c r="H222" i="76" a="1"/>
  <c r="H222" i="76" s="1"/>
  <c r="I230" i="76" a="1"/>
  <c r="I230" i="76" s="1"/>
  <c r="H227" i="76" a="1"/>
  <c r="H227" i="76" s="1"/>
  <c r="H229" i="76" a="1"/>
  <c r="H229" i="76" s="1"/>
  <c r="G228" i="76" a="1"/>
  <c r="G228" i="76" s="1"/>
  <c r="R221" i="76" a="1"/>
  <c r="R221" i="76" s="1"/>
  <c r="Q220" i="76" a="1"/>
  <c r="Q220" i="76" s="1"/>
  <c r="H228" i="76" a="1"/>
  <c r="H228" i="76" s="1"/>
  <c r="R225" i="76" a="1"/>
  <c r="R225" i="76" s="1"/>
  <c r="I224" i="76" a="1"/>
  <c r="I224" i="76" s="1"/>
  <c r="S229" i="76" a="1"/>
  <c r="S229" i="76" s="1"/>
  <c r="F223" i="76" a="1"/>
  <c r="F223" i="76" s="1"/>
  <c r="P225" i="76" a="1"/>
  <c r="P225" i="76" s="1"/>
  <c r="G222" i="76" a="1"/>
  <c r="G222" i="76" s="1"/>
  <c r="I225" i="76" a="1"/>
  <c r="I225" i="76" s="1"/>
  <c r="R227" i="76" a="1"/>
  <c r="R227" i="76" s="1"/>
  <c r="G220" i="76" a="1"/>
  <c r="G220" i="76" s="1"/>
  <c r="G231" i="76" a="1"/>
  <c r="G231" i="76" s="1"/>
  <c r="H226" i="76" a="1"/>
  <c r="H226" i="76" s="1"/>
  <c r="S222" i="76" a="1"/>
  <c r="S222" i="76" s="1"/>
  <c r="Q222" i="76" a="1"/>
  <c r="Q222" i="76" s="1"/>
  <c r="H220" i="76" a="1"/>
  <c r="H220" i="76" s="1"/>
  <c r="I221" i="76" a="1"/>
  <c r="I221" i="76" s="1"/>
  <c r="F231" i="76" a="1"/>
  <c r="F231" i="76" s="1"/>
  <c r="H223" i="76" a="1"/>
  <c r="H223" i="76" s="1"/>
  <c r="P229" i="76" a="1"/>
  <c r="P229" i="76" s="1"/>
  <c r="G223" i="76" a="1"/>
  <c r="G223" i="76" s="1"/>
  <c r="R222" i="76" a="1"/>
  <c r="R222" i="76" s="1"/>
  <c r="R231" i="76" a="1"/>
  <c r="R231" i="76" s="1"/>
  <c r="Q221" i="76" a="1"/>
  <c r="Q221" i="76" s="1"/>
  <c r="R230" i="76" a="1"/>
  <c r="R230" i="76" s="1"/>
  <c r="P227" i="76" a="1"/>
  <c r="P227" i="76" s="1"/>
  <c r="F221" i="76" a="1"/>
  <c r="F221" i="76" s="1"/>
  <c r="S230" i="76" a="1"/>
  <c r="S230" i="76" s="1"/>
  <c r="F228" i="76" a="1"/>
  <c r="F228" i="76" s="1"/>
  <c r="G221" i="76" a="1"/>
  <c r="G221" i="76" s="1"/>
  <c r="F224" i="76" a="1"/>
  <c r="F224" i="76" s="1"/>
  <c r="Q228" i="76" a="1"/>
  <c r="Q228" i="76" s="1"/>
  <c r="Q230" i="76" a="1"/>
  <c r="Q230" i="76" s="1"/>
  <c r="I220" i="76" a="1"/>
  <c r="I220" i="76" s="1"/>
  <c r="I223" i="76" a="1"/>
  <c r="I223" i="76" s="1"/>
  <c r="S228" i="76" a="1"/>
  <c r="S228" i="76" s="1"/>
  <c r="P220" i="76" a="1"/>
  <c r="P220" i="76" s="1"/>
  <c r="R224" i="76" a="1"/>
  <c r="R224" i="76" s="1"/>
  <c r="P231" i="76" a="1"/>
  <c r="P231" i="76" s="1"/>
  <c r="I229" i="76" a="1"/>
  <c r="I229" i="76" s="1"/>
  <c r="P221" i="76" a="1"/>
  <c r="P221" i="76" s="1"/>
  <c r="Q229" i="76" a="1"/>
  <c r="Q229" i="76" s="1"/>
  <c r="I226" i="76" a="1"/>
  <c r="I226" i="76" s="1"/>
  <c r="P224" i="76" a="1"/>
  <c r="P224" i="76" s="1"/>
  <c r="P222" i="76" a="1"/>
  <c r="P222" i="76" s="1"/>
  <c r="P226" i="76" a="1"/>
  <c r="P226" i="76" s="1"/>
  <c r="H85" i="69" a="1"/>
  <c r="H85" i="69" s="1"/>
  <c r="I194" i="69" s="1" a="1"/>
  <c r="I194" i="69" s="1"/>
  <c r="G85" i="69" a="1"/>
  <c r="G85" i="69" s="1"/>
  <c r="H194" i="69" s="1" a="1"/>
  <c r="H194" i="69" s="1"/>
  <c r="P85" i="69" a="1"/>
  <c r="P85" i="69" s="1"/>
  <c r="Q194" i="69" s="1" a="1"/>
  <c r="Q194" i="69" s="1"/>
  <c r="F85" i="69" a="1"/>
  <c r="F85" i="69" s="1"/>
  <c r="G194" i="69" s="1" a="1"/>
  <c r="G194" i="69" s="1"/>
  <c r="Q85" i="69" a="1"/>
  <c r="Q85" i="69" s="1"/>
  <c r="R194" i="69" s="1" a="1"/>
  <c r="R194" i="69" s="1"/>
  <c r="O85" i="69" a="1"/>
  <c r="O85" i="69" s="1"/>
  <c r="P194" i="69" s="1" a="1"/>
  <c r="P194" i="69" s="1"/>
  <c r="E85" i="69" a="1"/>
  <c r="E85" i="69" s="1"/>
  <c r="F194" i="69" s="1" a="1"/>
  <c r="F194" i="69" s="1"/>
  <c r="R85" i="69" a="1"/>
  <c r="R85" i="69" s="1"/>
  <c r="S194" i="69" s="1" a="1"/>
  <c r="S194" i="69" s="1"/>
  <c r="Q31" i="98" a="1"/>
  <c r="Q31" i="98" s="1"/>
  <c r="G31" i="98" a="1"/>
  <c r="G31" i="98" s="1"/>
  <c r="S31" i="98" a="1"/>
  <c r="S31" i="98" s="1"/>
  <c r="R30" i="98" a="1"/>
  <c r="R30" i="98" s="1"/>
  <c r="P30" i="98" a="1"/>
  <c r="P30" i="98" s="1"/>
  <c r="P31" i="98" a="1"/>
  <c r="P31" i="98" s="1"/>
  <c r="P32" i="98" a="1"/>
  <c r="P32" i="98" s="1"/>
  <c r="H30" i="98" a="1"/>
  <c r="H30" i="98" s="1"/>
  <c r="S30" i="98" a="1"/>
  <c r="S30" i="98" s="1"/>
  <c r="R31" i="98" a="1"/>
  <c r="R31" i="98" s="1"/>
  <c r="I31" i="98" a="1"/>
  <c r="I31" i="98" s="1"/>
  <c r="G30" i="98" a="1"/>
  <c r="G30" i="98" s="1"/>
  <c r="Q30" i="98" a="1"/>
  <c r="Q30" i="98" s="1"/>
  <c r="G32" i="98" a="1"/>
  <c r="G32" i="98" s="1"/>
  <c r="S32" i="98" a="1"/>
  <c r="S32" i="98" s="1"/>
  <c r="F31" i="98" a="1"/>
  <c r="F31" i="98" s="1"/>
  <c r="H31" i="98" a="1"/>
  <c r="H31" i="98" s="1"/>
  <c r="F30" i="98" a="1"/>
  <c r="F30" i="98" s="1"/>
  <c r="I30" i="98" a="1"/>
  <c r="I30" i="98" s="1"/>
  <c r="H32" i="98" a="1"/>
  <c r="H32" i="98" s="1"/>
  <c r="F32" i="98" a="1"/>
  <c r="F32" i="98" s="1"/>
  <c r="R32" i="98" a="1"/>
  <c r="R32" i="98" s="1"/>
  <c r="Q32" i="98" a="1"/>
  <c r="Q32" i="98" s="1"/>
  <c r="I32" i="98" a="1"/>
  <c r="I32" i="98" s="1"/>
  <c r="I158" i="69" a="1"/>
  <c r="I158" i="69" s="1"/>
  <c r="I202" i="69" s="1" a="1"/>
  <c r="I202" i="69" s="1"/>
  <c r="G162" i="69" a="1"/>
  <c r="G162" i="69" s="1"/>
  <c r="G206" i="69" s="1" a="1"/>
  <c r="G206" i="69" s="1"/>
  <c r="R162" i="69" a="1"/>
  <c r="R162" i="69" s="1"/>
  <c r="R206" i="69" s="1" a="1"/>
  <c r="R206" i="69" s="1"/>
  <c r="R158" i="69" a="1"/>
  <c r="R158" i="69" s="1"/>
  <c r="R202" i="69" s="1" a="1"/>
  <c r="R202" i="69" s="1"/>
  <c r="Q162" i="69" a="1"/>
  <c r="Q162" i="69" s="1"/>
  <c r="Q206" i="69" s="1" a="1"/>
  <c r="Q206" i="69" s="1"/>
  <c r="I162" i="69" a="1"/>
  <c r="I162" i="69" s="1"/>
  <c r="I206" i="69" s="1" a="1"/>
  <c r="I206" i="69" s="1"/>
  <c r="P158" i="69" a="1"/>
  <c r="P158" i="69" s="1"/>
  <c r="P202" i="69" s="1" a="1"/>
  <c r="P202" i="69" s="1"/>
  <c r="S158" i="69" a="1"/>
  <c r="S158" i="69" s="1"/>
  <c r="S202" i="69" s="1" a="1"/>
  <c r="S202" i="69" s="1"/>
  <c r="H158" i="69" a="1"/>
  <c r="H158" i="69" s="1"/>
  <c r="H202" i="69" s="1" a="1"/>
  <c r="H202" i="69" s="1"/>
  <c r="S162" i="69" a="1"/>
  <c r="S162" i="69" s="1"/>
  <c r="S206" i="69" s="1" a="1"/>
  <c r="S206" i="69" s="1"/>
  <c r="F162" i="69" a="1"/>
  <c r="F162" i="69" s="1"/>
  <c r="F206" i="69" s="1" a="1"/>
  <c r="F206" i="69" s="1"/>
  <c r="H162" i="69" a="1"/>
  <c r="H162" i="69" s="1"/>
  <c r="H206" i="69" s="1" a="1"/>
  <c r="H206" i="69" s="1"/>
  <c r="F154" i="69" a="1"/>
  <c r="F154" i="69" s="1"/>
  <c r="F198" i="69" s="1" a="1"/>
  <c r="F198" i="69" s="1"/>
  <c r="P162" i="69" a="1"/>
  <c r="P162" i="69" s="1"/>
  <c r="P206" i="69" s="1" a="1"/>
  <c r="P206" i="69" s="1"/>
  <c r="G158" i="69" a="1"/>
  <c r="G158" i="69" s="1"/>
  <c r="G202" i="69" s="1" a="1"/>
  <c r="G202" i="69" s="1"/>
  <c r="Q158" i="69" a="1"/>
  <c r="Q158" i="69" s="1"/>
  <c r="Q202" i="69" s="1" a="1"/>
  <c r="Q202" i="69" s="1"/>
  <c r="H154" i="69" a="1"/>
  <c r="H154" i="69" s="1"/>
  <c r="H198" i="69" s="1" a="1"/>
  <c r="H198" i="69" s="1"/>
  <c r="R154" i="69" a="1"/>
  <c r="R154" i="69" s="1"/>
  <c r="R198" i="69" s="1" a="1"/>
  <c r="R198" i="69" s="1"/>
  <c r="G154" i="69" a="1"/>
  <c r="G154" i="69" s="1"/>
  <c r="G198" i="69" s="1" a="1"/>
  <c r="G198" i="69" s="1"/>
  <c r="S154" i="69" a="1"/>
  <c r="S154" i="69" s="1"/>
  <c r="S198" i="69" s="1" a="1"/>
  <c r="S198" i="69" s="1"/>
  <c r="P154" i="69" a="1"/>
  <c r="P154" i="69" s="1"/>
  <c r="P198" i="69" s="1" a="1"/>
  <c r="P198" i="69" s="1"/>
  <c r="I154" i="69" a="1"/>
  <c r="I154" i="69" s="1"/>
  <c r="I198" i="69" s="1" a="1"/>
  <c r="I198" i="69" s="1"/>
  <c r="Q154" i="69" a="1"/>
  <c r="Q154" i="69" s="1"/>
  <c r="Q198" i="69" s="1" a="1"/>
  <c r="Q198" i="69" s="1"/>
  <c r="F158" i="69" a="1"/>
  <c r="F158" i="69" s="1"/>
  <c r="F202" i="69" s="1" a="1"/>
  <c r="F202" i="69" s="1"/>
  <c r="G46" i="98"/>
  <c r="O86" i="69" a="1"/>
  <c r="O86" i="69" s="1"/>
  <c r="P195" i="69" s="1" a="1"/>
  <c r="P195" i="69" s="1"/>
  <c r="Q86" i="69" a="1"/>
  <c r="Q86" i="69" s="1"/>
  <c r="R195" i="69" s="1" a="1"/>
  <c r="R195" i="69" s="1"/>
  <c r="P86" i="69" a="1"/>
  <c r="P86" i="69" s="1"/>
  <c r="Q195" i="69" s="1" a="1"/>
  <c r="Q195" i="69" s="1"/>
  <c r="G86" i="69" a="1"/>
  <c r="G86" i="69" s="1"/>
  <c r="H195" i="69" s="1" a="1"/>
  <c r="H195" i="69" s="1"/>
  <c r="H86" i="69" a="1"/>
  <c r="H86" i="69" s="1"/>
  <c r="I195" i="69" s="1" a="1"/>
  <c r="I195" i="69" s="1"/>
  <c r="F86" i="69" a="1"/>
  <c r="F86" i="69" s="1"/>
  <c r="G195" i="69" s="1" a="1"/>
  <c r="G195" i="69" s="1"/>
  <c r="R86" i="69" a="1"/>
  <c r="R86" i="69" s="1"/>
  <c r="S195" i="69" s="1" a="1"/>
  <c r="S195" i="69" s="1"/>
  <c r="E86" i="69" a="1"/>
  <c r="E86" i="69" s="1"/>
  <c r="F195" i="69" s="1" a="1"/>
  <c r="F195" i="69" s="1"/>
  <c r="Q84" i="69" a="1"/>
  <c r="Q84" i="69" s="1"/>
  <c r="R193" i="69" s="1" a="1"/>
  <c r="R193" i="69" s="1"/>
  <c r="G84" i="69" a="1"/>
  <c r="G84" i="69" s="1"/>
  <c r="H193" i="69" s="1" a="1"/>
  <c r="H193" i="69" s="1"/>
  <c r="H84" i="69" a="1"/>
  <c r="H84" i="69" s="1"/>
  <c r="I193" i="69" s="1" a="1"/>
  <c r="I193" i="69" s="1"/>
  <c r="F84" i="69" a="1"/>
  <c r="F84" i="69" s="1"/>
  <c r="G193" i="69" s="1" a="1"/>
  <c r="G193" i="69" s="1"/>
  <c r="O84" i="69" a="1"/>
  <c r="O84" i="69" s="1"/>
  <c r="P193" i="69" s="1" a="1"/>
  <c r="P193" i="69" s="1"/>
  <c r="R84" i="69" a="1"/>
  <c r="R84" i="69" s="1"/>
  <c r="S193" i="69" s="1" a="1"/>
  <c r="S193" i="69" s="1"/>
  <c r="P84" i="69" a="1"/>
  <c r="P84" i="69" s="1"/>
  <c r="Q193" i="69" s="1" a="1"/>
  <c r="Q193" i="69" s="1"/>
  <c r="E84" i="69" a="1"/>
  <c r="E84" i="69" s="1"/>
  <c r="F193" i="69" s="1" a="1"/>
  <c r="F193" i="69" s="1"/>
  <c r="G83" i="69" a="1"/>
  <c r="G83" i="69" s="1"/>
  <c r="H192" i="69" s="1" a="1"/>
  <c r="H192" i="69" s="1"/>
  <c r="O83" i="69" a="1"/>
  <c r="O83" i="69" s="1"/>
  <c r="P192" i="69" s="1" a="1"/>
  <c r="P192" i="69" s="1"/>
  <c r="H83" i="69" a="1"/>
  <c r="H83" i="69" s="1"/>
  <c r="I192" i="69" s="1" a="1"/>
  <c r="I192" i="69" s="1"/>
  <c r="P83" i="69" a="1"/>
  <c r="P83" i="69" s="1"/>
  <c r="Q192" i="69" s="1" a="1"/>
  <c r="Q192" i="69" s="1"/>
  <c r="F83" i="69" a="1"/>
  <c r="F83" i="69" s="1"/>
  <c r="G192" i="69" s="1" a="1"/>
  <c r="G192" i="69" s="1"/>
  <c r="Q83" i="69" a="1"/>
  <c r="Q83" i="69" s="1"/>
  <c r="R192" i="69" s="1" a="1"/>
  <c r="R192" i="69" s="1"/>
  <c r="R83" i="69" a="1"/>
  <c r="R83" i="69" s="1"/>
  <c r="S192" i="69" s="1" a="1"/>
  <c r="S192" i="69" s="1"/>
  <c r="E83" i="69" a="1"/>
  <c r="E83" i="69" s="1"/>
  <c r="F192" i="69" s="1" a="1"/>
  <c r="F192" i="69" s="1"/>
  <c r="H157" i="69" a="1"/>
  <c r="H157" i="69" s="1"/>
  <c r="H201" i="69" s="1" a="1"/>
  <c r="H201" i="69" s="1"/>
  <c r="S161" i="69" a="1"/>
  <c r="S161" i="69" s="1"/>
  <c r="S205" i="69" s="1" a="1"/>
  <c r="S205" i="69" s="1"/>
  <c r="I157" i="69" a="1"/>
  <c r="I157" i="69" s="1"/>
  <c r="I201" i="69" s="1" a="1"/>
  <c r="I201" i="69" s="1"/>
  <c r="G161" i="69" a="1"/>
  <c r="G161" i="69" s="1"/>
  <c r="G205" i="69" s="1" a="1"/>
  <c r="G205" i="69" s="1"/>
  <c r="Q161" i="69" a="1"/>
  <c r="Q161" i="69" s="1"/>
  <c r="Q205" i="69" s="1" a="1"/>
  <c r="Q205" i="69" s="1"/>
  <c r="G157" i="69" a="1"/>
  <c r="G157" i="69" s="1"/>
  <c r="G201" i="69" s="1" a="1"/>
  <c r="G201" i="69" s="1"/>
  <c r="S157" i="69" a="1"/>
  <c r="S157" i="69" s="1"/>
  <c r="S201" i="69" s="1" a="1"/>
  <c r="S201" i="69" s="1"/>
  <c r="P161" i="69" a="1"/>
  <c r="P161" i="69" s="1"/>
  <c r="P205" i="69" s="1" a="1"/>
  <c r="P205" i="69" s="1"/>
  <c r="R161" i="69" a="1"/>
  <c r="R161" i="69" s="1"/>
  <c r="R205" i="69" s="1" a="1"/>
  <c r="R205" i="69" s="1"/>
  <c r="Q157" i="69" a="1"/>
  <c r="Q157" i="69" s="1"/>
  <c r="Q201" i="69" s="1" a="1"/>
  <c r="Q201" i="69" s="1"/>
  <c r="H161" i="69" a="1"/>
  <c r="H161" i="69" s="1"/>
  <c r="H205" i="69" s="1" a="1"/>
  <c r="H205" i="69" s="1"/>
  <c r="I161" i="69" a="1"/>
  <c r="I161" i="69" s="1"/>
  <c r="I205" i="69" s="1" a="1"/>
  <c r="I205" i="69" s="1"/>
  <c r="R157" i="69" a="1"/>
  <c r="R157" i="69" s="1"/>
  <c r="R201" i="69" s="1" a="1"/>
  <c r="R201" i="69" s="1"/>
  <c r="S153" i="69" a="1"/>
  <c r="S153" i="69" s="1"/>
  <c r="S197" i="69" s="1" a="1"/>
  <c r="S197" i="69" s="1"/>
  <c r="I153" i="69" a="1"/>
  <c r="I153" i="69" s="1"/>
  <c r="I197" i="69" s="1" a="1"/>
  <c r="I197" i="69" s="1"/>
  <c r="P157" i="69" a="1"/>
  <c r="P157" i="69" s="1"/>
  <c r="P201" i="69" s="1" a="1"/>
  <c r="P201" i="69" s="1"/>
  <c r="F161" i="69" a="1"/>
  <c r="F161" i="69" s="1"/>
  <c r="F205" i="69" s="1" a="1"/>
  <c r="F205" i="69" s="1"/>
  <c r="Q153" i="69" a="1"/>
  <c r="Q153" i="69" s="1"/>
  <c r="Q197" i="69" s="1" a="1"/>
  <c r="Q197" i="69" s="1"/>
  <c r="R153" i="69" a="1"/>
  <c r="R153" i="69" s="1"/>
  <c r="R197" i="69" s="1" a="1"/>
  <c r="R197" i="69" s="1"/>
  <c r="G153" i="69" a="1"/>
  <c r="G153" i="69" s="1"/>
  <c r="G197" i="69" s="1" a="1"/>
  <c r="G197" i="69" s="1"/>
  <c r="F153" i="69" a="1"/>
  <c r="F153" i="69" s="1"/>
  <c r="F197" i="69" s="1" a="1"/>
  <c r="F197" i="69" s="1"/>
  <c r="F157" i="69" a="1"/>
  <c r="F157" i="69" s="1"/>
  <c r="F201" i="69" s="1" a="1"/>
  <c r="F201" i="69" s="1"/>
  <c r="P153" i="69" a="1"/>
  <c r="P153" i="69" s="1"/>
  <c r="P197" i="69" s="1" a="1"/>
  <c r="P197" i="69" s="1"/>
  <c r="H153" i="69" a="1"/>
  <c r="H153" i="69" s="1"/>
  <c r="H197" i="69" s="1" a="1"/>
  <c r="H197" i="69" s="1"/>
  <c r="S156" i="69" a="1"/>
  <c r="S156" i="69" s="1"/>
  <c r="S200" i="69" s="1" a="1"/>
  <c r="S200" i="69" s="1"/>
  <c r="Q160" i="69" a="1"/>
  <c r="Q160" i="69" s="1"/>
  <c r="Q204" i="69" s="1" a="1"/>
  <c r="Q204" i="69" s="1"/>
  <c r="I160" i="69" a="1"/>
  <c r="I160" i="69" s="1"/>
  <c r="I204" i="69" s="1" a="1"/>
  <c r="I204" i="69" s="1"/>
  <c r="R160" i="69" a="1"/>
  <c r="R160" i="69" s="1"/>
  <c r="R204" i="69" s="1" a="1"/>
  <c r="R204" i="69" s="1"/>
  <c r="Q156" i="69" a="1"/>
  <c r="Q156" i="69" s="1"/>
  <c r="Q200" i="69" s="1" a="1"/>
  <c r="Q200" i="69" s="1"/>
  <c r="G156" i="69" a="1"/>
  <c r="G156" i="69" s="1"/>
  <c r="G200" i="69" s="1" a="1"/>
  <c r="G200" i="69" s="1"/>
  <c r="S160" i="69" a="1"/>
  <c r="S160" i="69" s="1"/>
  <c r="S204" i="69" s="1" a="1"/>
  <c r="S204" i="69" s="1"/>
  <c r="F160" i="69" a="1"/>
  <c r="F160" i="69" s="1"/>
  <c r="F204" i="69" s="1" a="1"/>
  <c r="F204" i="69" s="1"/>
  <c r="H160" i="69" a="1"/>
  <c r="H160" i="69" s="1"/>
  <c r="H204" i="69" s="1" a="1"/>
  <c r="H204" i="69" s="1"/>
  <c r="H156" i="69" a="1"/>
  <c r="H156" i="69" s="1"/>
  <c r="H200" i="69" s="1" a="1"/>
  <c r="H200" i="69" s="1"/>
  <c r="I156" i="69" a="1"/>
  <c r="I156" i="69" s="1"/>
  <c r="I200" i="69" s="1" a="1"/>
  <c r="I200" i="69" s="1"/>
  <c r="R156" i="69" a="1"/>
  <c r="R156" i="69" s="1"/>
  <c r="R200" i="69" s="1" a="1"/>
  <c r="R200" i="69" s="1"/>
  <c r="G160" i="69" a="1"/>
  <c r="G160" i="69" s="1"/>
  <c r="G204" i="69" s="1" a="1"/>
  <c r="G204" i="69" s="1"/>
  <c r="P160" i="69" a="1"/>
  <c r="P160" i="69" s="1"/>
  <c r="P204" i="69" s="1" a="1"/>
  <c r="P204" i="69" s="1"/>
  <c r="P156" i="69" a="1"/>
  <c r="P156" i="69" s="1"/>
  <c r="P200" i="69" s="1" a="1"/>
  <c r="P200" i="69" s="1"/>
  <c r="P152" i="69" a="1"/>
  <c r="P152" i="69" s="1"/>
  <c r="P196" i="69" s="1" a="1"/>
  <c r="P196" i="69" s="1"/>
  <c r="S152" i="69" a="1"/>
  <c r="S152" i="69" s="1"/>
  <c r="S196" i="69" s="1" a="1"/>
  <c r="S196" i="69" s="1"/>
  <c r="F156" i="69" a="1"/>
  <c r="F156" i="69" s="1"/>
  <c r="F200" i="69" s="1" a="1"/>
  <c r="F200" i="69" s="1"/>
  <c r="I152" i="69" a="1"/>
  <c r="I152" i="69" s="1"/>
  <c r="I196" i="69" s="1" a="1"/>
  <c r="I196" i="69" s="1"/>
  <c r="Q152" i="69" a="1"/>
  <c r="Q152" i="69" s="1"/>
  <c r="Q196" i="69" s="1" a="1"/>
  <c r="Q196" i="69" s="1"/>
  <c r="R152" i="69" a="1"/>
  <c r="R152" i="69" s="1"/>
  <c r="R196" i="69" s="1" a="1"/>
  <c r="R196" i="69" s="1"/>
  <c r="F152" i="69" a="1"/>
  <c r="F152" i="69" s="1"/>
  <c r="F196" i="69" s="1" a="1"/>
  <c r="F196" i="69" s="1"/>
  <c r="G152" i="69" a="1"/>
  <c r="G152" i="69" s="1"/>
  <c r="G196" i="69" s="1" a="1"/>
  <c r="G196" i="69" s="1"/>
  <c r="H152" i="69" a="1"/>
  <c r="H152" i="69" s="1"/>
  <c r="H196" i="69" s="1" a="1"/>
  <c r="H196" i="69" s="1"/>
  <c r="H163" i="69" a="1"/>
  <c r="H163" i="69" s="1"/>
  <c r="H207" i="69" s="1" a="1"/>
  <c r="H207" i="69" s="1"/>
  <c r="F159" i="69" a="1"/>
  <c r="F159" i="69" s="1"/>
  <c r="F203" i="69" s="1" a="1"/>
  <c r="F203" i="69" s="1"/>
  <c r="Q163" i="69" a="1"/>
  <c r="Q163" i="69" s="1"/>
  <c r="Q207" i="69" s="1" a="1"/>
  <c r="Q207" i="69" s="1"/>
  <c r="S159" i="69" a="1"/>
  <c r="S159" i="69" s="1"/>
  <c r="S203" i="69" s="1" a="1"/>
  <c r="S203" i="69" s="1"/>
  <c r="R159" i="69" a="1"/>
  <c r="R159" i="69" s="1"/>
  <c r="R203" i="69" s="1" a="1"/>
  <c r="R203" i="69" s="1"/>
  <c r="P159" i="69" a="1"/>
  <c r="P159" i="69" s="1"/>
  <c r="P203" i="69" s="1" a="1"/>
  <c r="P203" i="69" s="1"/>
  <c r="I159" i="69" a="1"/>
  <c r="I159" i="69" s="1"/>
  <c r="I203" i="69" s="1" a="1"/>
  <c r="I203" i="69" s="1"/>
  <c r="H159" i="69" a="1"/>
  <c r="H159" i="69" s="1"/>
  <c r="H203" i="69" s="1" a="1"/>
  <c r="H203" i="69" s="1"/>
  <c r="G163" i="69" a="1"/>
  <c r="G163" i="69" s="1"/>
  <c r="G207" i="69" s="1" a="1"/>
  <c r="G207" i="69" s="1"/>
  <c r="S163" i="69" a="1"/>
  <c r="S163" i="69" s="1"/>
  <c r="S207" i="69" s="1" a="1"/>
  <c r="S207" i="69" s="1"/>
  <c r="G159" i="69" a="1"/>
  <c r="G159" i="69" s="1"/>
  <c r="G203" i="69" s="1" a="1"/>
  <c r="G203" i="69" s="1"/>
  <c r="R163" i="69" a="1"/>
  <c r="R163" i="69" s="1"/>
  <c r="R207" i="69" s="1" a="1"/>
  <c r="R207" i="69" s="1"/>
  <c r="Q159" i="69" a="1"/>
  <c r="Q159" i="69" s="1"/>
  <c r="Q203" i="69" s="1" a="1"/>
  <c r="Q203" i="69" s="1"/>
  <c r="I163" i="69" a="1"/>
  <c r="I163" i="69" s="1"/>
  <c r="I207" i="69" s="1" a="1"/>
  <c r="I207" i="69" s="1"/>
  <c r="F155" i="69" a="1"/>
  <c r="F155" i="69" s="1"/>
  <c r="F199" i="69" s="1" a="1"/>
  <c r="F199" i="69" s="1"/>
  <c r="R155" i="69" a="1"/>
  <c r="R155" i="69" s="1"/>
  <c r="R199" i="69" s="1" a="1"/>
  <c r="R199" i="69" s="1"/>
  <c r="S155" i="69" a="1"/>
  <c r="S155" i="69" s="1"/>
  <c r="S199" i="69" s="1" a="1"/>
  <c r="S199" i="69" s="1"/>
  <c r="F163" i="69" a="1"/>
  <c r="F163" i="69" s="1"/>
  <c r="F207" i="69" s="1" a="1"/>
  <c r="F207" i="69" s="1"/>
  <c r="I155" i="69" a="1"/>
  <c r="I155" i="69" s="1"/>
  <c r="I199" i="69" s="1" a="1"/>
  <c r="I199" i="69" s="1"/>
  <c r="G155" i="69" a="1"/>
  <c r="G155" i="69" s="1"/>
  <c r="G199" i="69" s="1" a="1"/>
  <c r="G199" i="69" s="1"/>
  <c r="H155" i="69" a="1"/>
  <c r="H155" i="69" s="1"/>
  <c r="H199" i="69" s="1" a="1"/>
  <c r="H199" i="69" s="1"/>
  <c r="P163" i="69" a="1"/>
  <c r="P163" i="69" s="1"/>
  <c r="P207" i="69" s="1" a="1"/>
  <c r="P207" i="69" s="1"/>
  <c r="Q155" i="69" a="1"/>
  <c r="Q155" i="69" s="1"/>
  <c r="Q199" i="69" s="1" a="1"/>
  <c r="Q199" i="69" s="1"/>
  <c r="P155" i="69" a="1"/>
  <c r="P155" i="69" s="1"/>
  <c r="P199" i="69" s="1" a="1"/>
  <c r="P199" i="69" s="1"/>
  <c r="O87" i="97" a="1"/>
  <c r="O87" i="97" s="1"/>
  <c r="Q89" i="97" s="1"/>
  <c r="O92" i="97" s="1" a="1"/>
  <c r="O92" i="97" s="1"/>
  <c r="E87" i="97" a="1"/>
  <c r="E87" i="97" s="1"/>
  <c r="G89" i="97" s="1"/>
  <c r="E92" i="97" s="1" a="1"/>
  <c r="E92" i="97" s="1"/>
  <c r="I10" i="13"/>
  <c r="H10" i="13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45" i="107" l="1" a="1"/>
  <c r="E45" i="107" s="1"/>
  <c r="G47" i="107" s="1"/>
  <c r="E50" i="107" s="1" a="1"/>
  <c r="E50" i="107" s="1"/>
  <c r="H25" i="106" a="1"/>
  <c r="H25" i="106" s="1"/>
  <c r="O25" i="106" a="1"/>
  <c r="O25" i="106" s="1"/>
  <c r="N25" i="106" a="1"/>
  <c r="N25" i="106" s="1"/>
  <c r="P25" i="106" a="1"/>
  <c r="P25" i="106" s="1"/>
  <c r="G25" i="106" a="1"/>
  <c r="G25" i="106" s="1"/>
  <c r="E25" i="106" a="1"/>
  <c r="E25" i="106" s="1"/>
  <c r="F25" i="106" a="1"/>
  <c r="F25" i="106" s="1"/>
  <c r="Q25" i="106" a="1"/>
  <c r="Q25" i="106" s="1"/>
  <c r="R51" i="98" a="1"/>
  <c r="R51" i="98" s="1"/>
  <c r="R62" i="105"/>
  <c r="F51" i="98" a="1"/>
  <c r="F51" i="98" s="1"/>
  <c r="F62" i="105"/>
  <c r="E209" i="69"/>
  <c r="G211" i="69" s="1"/>
  <c r="E214" i="69" s="1" a="1"/>
  <c r="E214" i="69" s="1"/>
  <c r="H52" i="98" a="1"/>
  <c r="H52" i="98" s="1"/>
  <c r="H66" i="105"/>
  <c r="S52" i="98" a="1"/>
  <c r="S52" i="98" s="1"/>
  <c r="S66" i="105"/>
  <c r="O233" i="76"/>
  <c r="Q235" i="76" s="1"/>
  <c r="O238" i="76" s="1" a="1"/>
  <c r="O238" i="76" s="1"/>
  <c r="F52" i="98" a="1"/>
  <c r="F52" i="98" s="1"/>
  <c r="F66" i="105"/>
  <c r="G52" i="98" a="1"/>
  <c r="G52" i="98" s="1"/>
  <c r="G66" i="105"/>
  <c r="S53" i="98" a="1"/>
  <c r="S53" i="98" s="1"/>
  <c r="S70" i="105"/>
  <c r="Q52" i="98" a="1"/>
  <c r="Q52" i="98" s="1"/>
  <c r="Q66" i="105"/>
  <c r="G53" i="98" a="1"/>
  <c r="G53" i="98" s="1"/>
  <c r="G70" i="105"/>
  <c r="Q51" i="98" a="1"/>
  <c r="Q51" i="98" s="1"/>
  <c r="Q62" i="105"/>
  <c r="G51" i="98" a="1"/>
  <c r="G51" i="98" s="1"/>
  <c r="G62" i="105"/>
  <c r="O209" i="69"/>
  <c r="Q211" i="69" s="1"/>
  <c r="O214" i="69" s="1" a="1"/>
  <c r="O214" i="69" s="1"/>
  <c r="I52" i="98" a="1"/>
  <c r="I52" i="98" s="1"/>
  <c r="I66" i="105"/>
  <c r="I53" i="98" a="1"/>
  <c r="I53" i="98" s="1"/>
  <c r="I70" i="105"/>
  <c r="R52" i="98" a="1"/>
  <c r="R52" i="98" s="1"/>
  <c r="R66" i="105"/>
  <c r="Q53" i="98" a="1"/>
  <c r="Q53" i="98" s="1"/>
  <c r="Q70" i="105"/>
  <c r="S51" i="98" a="1"/>
  <c r="S51" i="98" s="1"/>
  <c r="S62" i="105"/>
  <c r="E233" i="76"/>
  <c r="G235" i="76" s="1"/>
  <c r="E238" i="76" s="1" a="1"/>
  <c r="E238" i="76" s="1"/>
  <c r="R53" i="98" a="1"/>
  <c r="R53" i="98" s="1"/>
  <c r="R70" i="105"/>
  <c r="H51" i="98" a="1"/>
  <c r="H51" i="98" s="1"/>
  <c r="H62" i="105"/>
  <c r="F53" i="98" a="1"/>
  <c r="F53" i="98" s="1"/>
  <c r="F70" i="105"/>
  <c r="P53" i="98" a="1"/>
  <c r="P53" i="98" s="1"/>
  <c r="P70" i="105"/>
  <c r="P52" i="98" a="1"/>
  <c r="P52" i="98" s="1"/>
  <c r="P66" i="105"/>
  <c r="H53" i="98" a="1"/>
  <c r="H53" i="98" s="1"/>
  <c r="H70" i="105"/>
  <c r="I51" i="98" a="1"/>
  <c r="I51" i="98" s="1"/>
  <c r="I62" i="105"/>
  <c r="P51" i="98" a="1"/>
  <c r="P51" i="98" s="1"/>
  <c r="P62" i="105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27" i="106" l="1"/>
  <c r="G29" i="106" s="1"/>
  <c r="E32" i="106" s="1" a="1"/>
  <c r="E32" i="106" s="1"/>
  <c r="O55" i="98"/>
  <c r="Q57" i="98" s="1"/>
  <c r="O60" i="98" s="1" a="1"/>
  <c r="O60" i="98" s="1"/>
  <c r="N27" i="106"/>
  <c r="P29" i="106" s="1"/>
  <c r="N32" i="106" s="1" a="1"/>
  <c r="N32" i="106" s="1"/>
  <c r="F102" i="105" a="1"/>
  <c r="F102" i="105" s="1"/>
  <c r="F136" i="105" a="1"/>
  <c r="F136" i="105" s="1"/>
  <c r="F17" i="13" s="1"/>
  <c r="F177" i="105" a="1"/>
  <c r="F177" i="105" s="1"/>
  <c r="G132" i="105" a="1"/>
  <c r="G132" i="105" s="1"/>
  <c r="G98" i="105" a="1"/>
  <c r="G98" i="105" s="1"/>
  <c r="G173" i="105" a="1"/>
  <c r="G173" i="105" s="1"/>
  <c r="I98" i="105" a="1"/>
  <c r="I98" i="105" s="1"/>
  <c r="I173" i="105" a="1"/>
  <c r="I173" i="105" s="1"/>
  <c r="I132" i="105" a="1"/>
  <c r="I132" i="105" s="1"/>
  <c r="H169" i="105" a="1"/>
  <c r="H169" i="105" s="1"/>
  <c r="H128" i="105" a="1"/>
  <c r="H128" i="105" s="1"/>
  <c r="H94" i="105" a="1"/>
  <c r="H94" i="105" s="1"/>
  <c r="F98" i="105" a="1"/>
  <c r="F98" i="105" s="1"/>
  <c r="F173" i="105" a="1"/>
  <c r="F173" i="105" s="1"/>
  <c r="F132" i="105" a="1"/>
  <c r="F132" i="105" s="1"/>
  <c r="P169" i="105" a="1"/>
  <c r="P169" i="105" s="1"/>
  <c r="P128" i="105" a="1"/>
  <c r="P128" i="105" s="1"/>
  <c r="P94" i="105" a="1"/>
  <c r="P94" i="105" s="1"/>
  <c r="R136" i="105" a="1"/>
  <c r="R136" i="105" s="1"/>
  <c r="R102" i="105" a="1"/>
  <c r="R102" i="105" s="1"/>
  <c r="R177" i="105" a="1"/>
  <c r="R177" i="105" s="1"/>
  <c r="G94" i="105" a="1"/>
  <c r="G94" i="105" s="1"/>
  <c r="G169" i="105" a="1"/>
  <c r="G169" i="105" s="1"/>
  <c r="G128" i="105" a="1"/>
  <c r="G128" i="105" s="1"/>
  <c r="S98" i="105" a="1"/>
  <c r="S98" i="105" s="1"/>
  <c r="S173" i="105" a="1"/>
  <c r="S173" i="105" s="1"/>
  <c r="S132" i="105" a="1"/>
  <c r="S132" i="105" s="1"/>
  <c r="I128" i="105" a="1"/>
  <c r="I128" i="105" s="1"/>
  <c r="I94" i="105" a="1"/>
  <c r="I94" i="105" s="1"/>
  <c r="I169" i="105" a="1"/>
  <c r="I169" i="105" s="1"/>
  <c r="Q94" i="105" a="1"/>
  <c r="Q94" i="105" s="1"/>
  <c r="Q169" i="105" a="1"/>
  <c r="Q169" i="105" s="1"/>
  <c r="Q128" i="105" a="1"/>
  <c r="Q128" i="105" s="1"/>
  <c r="S169" i="105" a="1"/>
  <c r="S169" i="105" s="1"/>
  <c r="S128" i="105" a="1"/>
  <c r="S128" i="105" s="1"/>
  <c r="S94" i="105" a="1"/>
  <c r="S94" i="105" s="1"/>
  <c r="H132" i="105" a="1"/>
  <c r="H132" i="105" s="1"/>
  <c r="H98" i="105" a="1"/>
  <c r="H98" i="105" s="1"/>
  <c r="H173" i="105" a="1"/>
  <c r="H173" i="105" s="1"/>
  <c r="H177" i="105" a="1"/>
  <c r="H177" i="105" s="1"/>
  <c r="H136" i="105" a="1"/>
  <c r="H136" i="105" s="1"/>
  <c r="H102" i="105" a="1"/>
  <c r="H102" i="105" s="1"/>
  <c r="G136" i="105" a="1"/>
  <c r="G136" i="105" s="1"/>
  <c r="G102" i="105" a="1"/>
  <c r="G102" i="105" s="1"/>
  <c r="G177" i="105" a="1"/>
  <c r="G177" i="105" s="1"/>
  <c r="Q177" i="105" a="1"/>
  <c r="Q177" i="105" s="1"/>
  <c r="Q136" i="105" a="1"/>
  <c r="Q136" i="105" s="1"/>
  <c r="Q102" i="105" a="1"/>
  <c r="Q102" i="105" s="1"/>
  <c r="P132" i="105" a="1"/>
  <c r="P132" i="105" s="1"/>
  <c r="P173" i="105" a="1"/>
  <c r="P173" i="105" s="1"/>
  <c r="P98" i="105" a="1"/>
  <c r="P98" i="105" s="1"/>
  <c r="Q98" i="105" a="1"/>
  <c r="Q98" i="105" s="1"/>
  <c r="Q132" i="105" a="1"/>
  <c r="Q132" i="105" s="1"/>
  <c r="Q173" i="105" a="1"/>
  <c r="Q173" i="105" s="1"/>
  <c r="F94" i="105" a="1"/>
  <c r="F94" i="105" s="1"/>
  <c r="F169" i="105" a="1"/>
  <c r="F169" i="105" s="1"/>
  <c r="F128" i="105" a="1"/>
  <c r="F128" i="105" s="1"/>
  <c r="R98" i="105" a="1"/>
  <c r="R98" i="105" s="1"/>
  <c r="R173" i="105" a="1"/>
  <c r="R173" i="105" s="1"/>
  <c r="R132" i="105" a="1"/>
  <c r="R132" i="105" s="1"/>
  <c r="E55" i="98"/>
  <c r="G57" i="98" s="1"/>
  <c r="E60" i="98" s="1" a="1"/>
  <c r="E60" i="98" s="1"/>
  <c r="P177" i="105" a="1"/>
  <c r="P177" i="105" s="1"/>
  <c r="P102" i="105" a="1"/>
  <c r="P102" i="105" s="1"/>
  <c r="P136" i="105" a="1"/>
  <c r="P136" i="105" s="1"/>
  <c r="S136" i="105" a="1"/>
  <c r="S136" i="105" s="1"/>
  <c r="S102" i="105" a="1"/>
  <c r="S102" i="105" s="1"/>
  <c r="S177" i="105" a="1"/>
  <c r="S177" i="105" s="1"/>
  <c r="R94" i="105" a="1"/>
  <c r="R94" i="105" s="1"/>
  <c r="R169" i="105" a="1"/>
  <c r="R169" i="105" s="1"/>
  <c r="R128" i="105" a="1"/>
  <c r="R128" i="105" s="1"/>
  <c r="I136" i="105" a="1"/>
  <c r="I136" i="105" s="1"/>
  <c r="I102" i="105" a="1"/>
  <c r="I102" i="105" s="1"/>
  <c r="I177" i="105" a="1"/>
  <c r="I177" i="105" s="1"/>
  <c r="E29" i="15"/>
  <c r="E182" i="105" l="1"/>
  <c r="E107" i="105"/>
  <c r="E141" i="105"/>
  <c r="O107" i="105"/>
  <c r="O141" i="105"/>
  <c r="O182" i="105"/>
  <c r="E10" i="13"/>
  <c r="F10" i="13"/>
  <c r="E13" i="15"/>
  <c r="E17" i="13" l="1"/>
  <c r="E19" i="13"/>
  <c r="E18" i="13"/>
  <c r="I7" i="13"/>
  <c r="F7" i="13"/>
  <c r="H7" i="13"/>
  <c r="E7" i="13"/>
  <c r="I8" i="13" l="1"/>
  <c r="F8" i="13"/>
  <c r="H8" i="13"/>
  <c r="E8" i="13"/>
  <c r="H9" i="13" l="1"/>
  <c r="H11" i="13" s="1"/>
  <c r="E9" i="13"/>
  <c r="I9" i="13"/>
  <c r="I11" i="13" s="1"/>
  <c r="F9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<sst xmlns="http://schemas.openxmlformats.org/spreadsheetml/2006/main" count="1225" uniqueCount="335">
  <si>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</si>
  <si>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</si>
  <si>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</si>
  <si>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</si>
  <si>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</si>
  <si>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</si>
  <si>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</si>
  <si>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</si>
  <si>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</si>
  <si>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</si>
  <si>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</si>
  <si>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</si>
  <si>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</si>
  <si>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</si>
  <si>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</si>
  <si>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</si>
  <si>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</si>
  <si>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</si>
  <si>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</si>
  <si>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</si>
  <si>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</si>
  <si>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</si>
  <si>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</si>
  <si>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</si>
  <si>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</si>
  <si>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</si>
  <si>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</si>
  <si>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</si>
  <si>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</si>
  <si>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</si>
  <si>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</si>
  <si>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</si>
  <si>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</si>
  <si>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</si>
  <si>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</si>
  <si>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</si>
  <si>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</si>
  <si>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</si>
  <si>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</si>
  <si>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</si>
  <si>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</si>
  <si>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</si>
  <si>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</si>
  <si>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</si>
  <si>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</si>
  <si>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</si>
  <si>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</si>
  <si>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</si>
  <si>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</si>
  <si>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</si>
  <si>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</si>
  <si>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</si>
  <si>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</si>
  <si>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</si>
  <si>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</si>
  <si>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</si>
  <si>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</si>
  <si>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</si>
  <si>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</si>
  <si>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</si>
  <si>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</si>
  <si>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</si>
  <si>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</si>
  <si>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</si>
  <si>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</si>
  <si>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</si>
  <si>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</si>
  <si>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</si>
  <si>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</si>
  <si>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</si>
  <si>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</si>
  <si>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</si>
  <si>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</si>
  <si>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</si>
  <si>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</si>
  <si>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</si>
  <si>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</si>
  <si>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</si>
  <si>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</si>
  <si>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</si>
  <si>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</si>
  <si>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</si>
  <si>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</si>
  <si>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</si>
  <si>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</si>
  <si>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</si>
  <si>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</si>
  <si>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</si>
  <si>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</si>
  <si>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</si>
  <si>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</si>
  <si>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</si>
  <si>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</si>
  <si>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</si>
  <si>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</si>
  <si>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</si>
  <si>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</si>
  <si>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</si>
  <si>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</si>
  <si>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</si>
  <si>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</si>
  <si>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</si>
  <si>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</si>
  <si>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</si>
  <si>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</si>
  <si>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</si>
  <si>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</si>
  <si>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</si>
  <si>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</si>
  <si>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</si>
  <si>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</si>
  <si>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</si>
  <si>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</si>
  <si>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Sprinkler irrigation</t>
  </si>
  <si>
    <t>Total</t>
  </si>
  <si>
    <t>GHG Unit</t>
  </si>
  <si>
    <t>CO2-e unit</t>
  </si>
  <si>
    <t>Month</t>
  </si>
  <si>
    <t>fraction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</si>
  <si>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</si>
  <si>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</si>
  <si>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</si>
  <si>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</si>
  <si>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</si>
  <si>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</si>
  <si>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</si>
  <si>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</si>
  <si>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</si>
  <si>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</si>
  <si>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days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</si>
  <si>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</si>
  <si>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</si>
  <si>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Crop</t>
  </si>
  <si>
    <t>Acknowledgements</t>
  </si>
  <si>
    <t>Manure production</t>
  </si>
  <si>
    <t>NIR definition</t>
  </si>
  <si>
    <t>VSL</t>
  </si>
  <si>
    <t>Table_VSL_m_T-1</t>
  </si>
  <si>
    <t>Table_MMS_j_m_T-2</t>
  </si>
  <si>
    <t>Table_MCF_i_m</t>
  </si>
  <si>
    <t>Methane conversion factor for state</t>
  </si>
  <si>
    <t>N/A</t>
  </si>
  <si>
    <t>Manure management systems</t>
  </si>
  <si>
    <t>Stage 1 MMS</t>
  </si>
  <si>
    <t>Total sent to all MMS (Must equal 100%)</t>
  </si>
  <si>
    <t>Stage 2 MMS</t>
  </si>
  <si>
    <t>This tool demostrates inputs for one production system.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</si>
  <si>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</si>
  <si>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</si>
  <si>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</si>
  <si>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</si>
  <si>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</si>
  <si>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</si>
  <si>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Duration of stay</t>
  </si>
  <si>
    <t>Method 1 default values (Do not edit)</t>
  </si>
  <si>
    <t>Method 2 custom values (Edit if known)</t>
  </si>
  <si>
    <t>Methane emissions from manure management (Method 1)</t>
  </si>
  <si>
    <t>Methane emissions from manure management (Method 2)</t>
  </si>
  <si>
    <t>MMSm</t>
  </si>
  <si>
    <t>FracGASMmT</t>
  </si>
  <si>
    <t>NIR reference</t>
  </si>
  <si>
    <t>Table_MMS_j_m_T-1</t>
  </si>
  <si>
    <t>EFmT</t>
  </si>
  <si>
    <t>Nitrogen in stage 2 MMS (Method 1)</t>
  </si>
  <si>
    <t>M1_Table_E_N2O_dir</t>
  </si>
  <si>
    <t>Where manure was deposited on farm soils, what is the closest match?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</si>
  <si>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</si>
  <si>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4.2.1.7-8 Leaching and runoff</t>
  </si>
  <si>
    <t>kg N</t>
  </si>
  <si>
    <t>M1_Table_E_N2O_leach</t>
  </si>
  <si>
    <t>Annual emissions from leaching and runoff (Method 1)</t>
  </si>
  <si>
    <t>M2_Table_E_N2O_leach</t>
  </si>
  <si>
    <t>Annual emissions from leaching and runoff (Method 2)</t>
  </si>
  <si>
    <t>PF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</si>
  <si>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</si>
  <si>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</si>
  <si>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Nitrogen in stage 2 MMS (Method 2)</t>
  </si>
  <si>
    <t>M1_Table_MNSoil_scope3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</si>
  <si>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</si>
  <si>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</si>
  <si>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</si>
  <si>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</si>
  <si>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</si>
  <si>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</si>
  <si>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</si>
  <si>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</si>
  <si>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</si>
  <si>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</si>
  <si>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</si>
  <si>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</si>
  <si>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</si>
  <si>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</si>
  <si>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</si>
  <si>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</si>
  <si>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</si>
  <si>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</si>
  <si>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</si>
  <si>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</si>
  <si>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</si>
  <si>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</si>
  <si>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</si>
  <si>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Scope 1 - This piggery</t>
  </si>
  <si>
    <t>4.5.1.1-2 Manure methane</t>
  </si>
  <si>
    <t>4.5.1.3-4 Direct N2O</t>
  </si>
  <si>
    <t>4.5.1.5-6 Atmospheric deposition</t>
  </si>
  <si>
    <t>4.6 Manure management: Poultry: Results</t>
  </si>
  <si>
    <t>Input -Poultry</t>
  </si>
  <si>
    <t>Constants - Poultry</t>
  </si>
  <si>
    <t>Nutrient analysis</t>
  </si>
  <si>
    <t>Layers</t>
  </si>
  <si>
    <t>Meat chicken growers</t>
  </si>
  <si>
    <t>Meat chicken breeder</t>
  </si>
  <si>
    <t>Meat other</t>
  </si>
  <si>
    <t>Poultry class</t>
  </si>
  <si>
    <t>B0</t>
  </si>
  <si>
    <t>Poultry manure management systems</t>
  </si>
  <si>
    <t>Poultry manure management systems - Stage 1</t>
  </si>
  <si>
    <t>Poultry manure management systems - Stage 2</t>
  </si>
  <si>
    <t>No MMS</t>
  </si>
  <si>
    <t>Poultry production systems</t>
  </si>
  <si>
    <t>MMS m</t>
  </si>
  <si>
    <t>All states</t>
  </si>
  <si>
    <t>Couldn't find these numbers in NIR - what is the source?</t>
  </si>
  <si>
    <t>Free range</t>
  </si>
  <si>
    <t>Meat chicken breeders</t>
  </si>
  <si>
    <t>Other</t>
  </si>
  <si>
    <t>4.6.1.1-2 Manure Methane</t>
  </si>
  <si>
    <t>Dry matter intake</t>
  </si>
  <si>
    <t>Dry matter digestibility (DMD)</t>
  </si>
  <si>
    <t>kg/DM/bird/day</t>
  </si>
  <si>
    <t>M1_Table_I_j_k</t>
  </si>
  <si>
    <t>M2_Table_I_j_k</t>
  </si>
  <si>
    <t>Dry matter intake (Method 2)</t>
  </si>
  <si>
    <t>Dry matter intake (Method 1)</t>
  </si>
  <si>
    <t>M1_Table_DMD_j_k</t>
  </si>
  <si>
    <t>Table_A_j</t>
  </si>
  <si>
    <t>Ash content of manure</t>
  </si>
  <si>
    <t>M1_Table_VS_j_k</t>
  </si>
  <si>
    <t>M2_Table_VS_j_k</t>
  </si>
  <si>
    <t>Table_B_0_j</t>
  </si>
  <si>
    <t>Methane emissions potential per class</t>
  </si>
  <si>
    <t>m3 CH4/kg VS</t>
  </si>
  <si>
    <t>M1_Table_M_j_k_m_T-1</t>
  </si>
  <si>
    <t>Production of methane in stage 1 MMS (Method 1)</t>
  </si>
  <si>
    <t>Fraction of manure sent to stage 1 MMS</t>
  </si>
  <si>
    <t>Fraction volatile solids list in stage 1 MMS</t>
  </si>
  <si>
    <r>
      <t>VSL</t>
    </r>
    <r>
      <rPr>
        <b/>
        <vertAlign val="subscript"/>
        <sz val="11"/>
        <color rgb="FF183C1B"/>
        <rFont val="Times New Roman"/>
        <family val="1"/>
      </rPr>
      <t>mT=1</t>
    </r>
  </si>
  <si>
    <t>M1_Table_VST_j_k</t>
  </si>
  <si>
    <t>M2_Table_VST_j_k</t>
  </si>
  <si>
    <t>Volatile solids sent to stage 2 MMS (Method 1)</t>
  </si>
  <si>
    <t>Volatile solids sent to stage 2 MMS (Method 2)</t>
  </si>
  <si>
    <t>Fraction of manure in stage 2 MMS</t>
  </si>
  <si>
    <t>M1_Table_M_j_k_m_T-2</t>
  </si>
  <si>
    <t>Production of methane in stage 2 MMS</t>
  </si>
  <si>
    <t>Table_D_j_k</t>
  </si>
  <si>
    <t>Table_N_j_k</t>
  </si>
  <si>
    <t>Number of poultry</t>
  </si>
  <si>
    <t>birds</t>
  </si>
  <si>
    <t>M1_Table_N_j_k</t>
  </si>
  <si>
    <t>M2_Table_N_j_k</t>
  </si>
  <si>
    <t>Crude protein (CP)</t>
  </si>
  <si>
    <t>4.6.1.3-4 Manure Direct N2O</t>
  </si>
  <si>
    <t>M1_Table_CP_j_k</t>
  </si>
  <si>
    <t>Crude protein content of feed (Method 1)</t>
  </si>
  <si>
    <t>M2_Table_CP_j_k</t>
  </si>
  <si>
    <t>Crude protein content of feed (Method 2)</t>
  </si>
  <si>
    <t>M1_Table_NI_j_k</t>
  </si>
  <si>
    <t>Nitrogen intake (Method 1)</t>
  </si>
  <si>
    <t>Table_NR_j_k</t>
  </si>
  <si>
    <t>Nitrogen retention rate</t>
  </si>
  <si>
    <t>M1_Table_NE_j_k</t>
  </si>
  <si>
    <t>Nitrogen excretion (Method 1)</t>
  </si>
  <si>
    <t>M1_Table_AE_j_k</t>
  </si>
  <si>
    <t>Annual nitroge excretion (Method 1)</t>
  </si>
  <si>
    <t>M2_Table_AE_j_k</t>
  </si>
  <si>
    <t>Annual nitroge excretion (Method 2)</t>
  </si>
  <si>
    <t>M1_Table_MN_j_k_m_T-1</t>
  </si>
  <si>
    <t>Nitrogen in stage 1 MMS (Method 1)</t>
  </si>
  <si>
    <t>M2_Table_MN_j_k_m_T-1</t>
  </si>
  <si>
    <t>Nitrogen in stage 1 MMS (Method 2)</t>
  </si>
  <si>
    <t>Table_FracGASM_m_T-1</t>
  </si>
  <si>
    <t>Faction N volatilised in stage 1 MMS</t>
  </si>
  <si>
    <t>FracGASM</t>
  </si>
  <si>
    <t>Nitrous oxide emission factor for stage 1 MMS</t>
  </si>
  <si>
    <t>M1_Table_NT_j_k_m_T-1</t>
  </si>
  <si>
    <t>Nitrogen transferred to stage 2 MMS (Method 1)</t>
  </si>
  <si>
    <t>M2_Table_NT_j_k_m_T-1</t>
  </si>
  <si>
    <t>Nitrogen transferred to stage 2 MMS (Method 2)</t>
  </si>
  <si>
    <t>M1_Table_MN_j_k_m_T-2</t>
  </si>
  <si>
    <t>M2_Table_MN_j_k_m_T-2</t>
  </si>
  <si>
    <t>Table_EF_m</t>
  </si>
  <si>
    <t>Total annual direct nitrous oxide emissions from MMS (Method 1)</t>
  </si>
  <si>
    <t>Total annual direct nitrous oxide emissions from MMS (Method 2)</t>
  </si>
  <si>
    <t>4.6.1.5-6 Atmospheric deposition N2O</t>
  </si>
  <si>
    <t>M1_Table_MN_j_k_m_T</t>
  </si>
  <si>
    <t>Nitrogen in each MMS (Method 1)</t>
  </si>
  <si>
    <t>Table_FracGASM_m_T</t>
  </si>
  <si>
    <t>M1_Table_MMS_ATMOS</t>
  </si>
  <si>
    <t>M2_Table_MMS_ATMOS</t>
  </si>
  <si>
    <t>Total nitrogen volatilised from each MMS (Method 2)</t>
  </si>
  <si>
    <t>M2_Table_MN_j_k_m_T</t>
  </si>
  <si>
    <t>Nitrogen in each MMS (Method 2)</t>
  </si>
  <si>
    <t>Total nitrogen volatilised from each MMS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</si>
  <si>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</si>
  <si>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4.6.1.7-8 Leaching and runoff</t>
  </si>
  <si>
    <t>M1_Table_MN_j_k_m-4</t>
  </si>
  <si>
    <t>Nitrogen in solid storage MMS (Method 1)</t>
  </si>
  <si>
    <t>M2_Table_MN_j_k_m-4</t>
  </si>
  <si>
    <t>4.6.1.9 Manure applied to soils</t>
  </si>
  <si>
    <t>EFm</t>
  </si>
  <si>
    <t>Faction N volatilised in MMS</t>
  </si>
  <si>
    <t>M1_Table_MN_Leach_j_k_m-4</t>
  </si>
  <si>
    <t>M1_Table_MNLeach_MMS</t>
  </si>
  <si>
    <t>Mass of N lost to leaching and runoff (Method 1)</t>
  </si>
  <si>
    <t>Mass of N lost to leaching and runoff (Method 2)</t>
  </si>
  <si>
    <t>M2_Table_MNLeach_MMS</t>
  </si>
  <si>
    <t>Fraction of manure applied to soils on farm</t>
  </si>
  <si>
    <t>Table_PF</t>
  </si>
  <si>
    <t>Mass of nitrogen applied to soils for scope 3 (Method 1)</t>
  </si>
  <si>
    <t>Mass of nitrogen applied to soils for scope 1</t>
  </si>
  <si>
    <t>4.6.1.10-11 Soil direct N2O</t>
  </si>
  <si>
    <t>M1_Table_MN_j_k_m-14_T-1</t>
  </si>
  <si>
    <t>Mass on nitrogen excreted on pasture range and paddock (Method 1)</t>
  </si>
  <si>
    <t>Mass on nitrogen excreted on pasture range and paddock (Method 2)</t>
  </si>
  <si>
    <t>M1_Table_EM_N2O_PRP_dir</t>
  </si>
  <si>
    <t>Direct nitrous oxide emissions from manure on pasture (Method 1)</t>
  </si>
  <si>
    <r>
      <t>EM</t>
    </r>
    <r>
      <rPr>
        <b/>
        <vertAlign val="subscript"/>
        <sz val="16"/>
        <color theme="1" tint="0.24994659260841701"/>
        <rFont val="Times New Roman"/>
        <family val="1"/>
      </rPr>
      <t>N2O,PRP,dir</t>
    </r>
  </si>
  <si>
    <t>4.6.1.12-13 Soil atmospheric deposition</t>
  </si>
  <si>
    <t>M2_Table_MN_j_k_m-14_T-1</t>
  </si>
  <si>
    <t>No FracGASM_soil value in VEERG doc. Used 0.21 as per dairy, pasture beef etc</t>
  </si>
  <si>
    <t>M1_Table_M_vol_m-14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</si>
  <si>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vol,m=14</t>
    </r>
  </si>
  <si>
    <t>4.6.1.14-15 Soil leaching and runoff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</si>
  <si>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leach,m=14</t>
    </r>
  </si>
  <si>
    <t>M2_Table_M_vol_m-14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</si>
</sst>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7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>
      <alignment horizontal="left" vertical="center"/>
    </xf>
    <xf numFmtId="0" fontId="0" fillId="0" borderId="0" xfId="8" applyFont="1" applyFill="1" applyBorder="1">
      <alignment horizontal="left" vertical="center"/>
    </xf>
    <xf numFmtId="0" fontId="40" fillId="4" borderId="0" xfId="8" applyBorder="1">
      <alignment horizontal="left" vertical="center"/>
    </xf>
    <xf numFmtId="0" fontId="46" fillId="13" borderId="9" xfId="41" applyBorder="1">
      <alignment horizontal="left" vertical="center"/>
    </xf>
    <xf numFmtId="0" fontId="0" fillId="0" borderId="1" xfId="0" applyBorder="1"/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4" borderId="20" xfId="8" applyBorder="1">
      <alignment horizontal="left" vertical="center"/>
    </xf>
    <xf numFmtId="0" fontId="49" fillId="4" borderId="0" xfId="8" applyFont="1">
      <alignment horizontal="left" vertical="center"/>
    </xf>
    <xf numFmtId="0" fontId="50" fillId="4" borderId="0" xfId="8" applyFont="1">
      <alignment horizontal="left" vertical="center"/>
    </xf>
    <xf numFmtId="0" fontId="40" fillId="15" borderId="0" xfId="8" applyFill="1" applyAlignment="1">
      <alignment horizontal="left" vertical="center" indent="9"/>
    </xf>
    <xf numFmtId="0" fontId="35" fillId="14" borderId="2" xfId="55" applyFill="1" applyAlignment="1">
      <alignment vertical="center"/>
    </xf>
    <xf numFmtId="0" fontId="0" fillId="0" borderId="0" xfId="0" applyBorder="1"/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92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91"/>
      <tableStyleElement type="headerRow" dxfId="90"/>
      <tableStyleElement type="totalRow" dxfId="89"/>
      <tableStyleElement type="firstColumn" dxfId="88"/>
      <tableStyleElement type="firstRowStripe" dxfId="87"/>
      <tableStyleElement type="secondRowStripe" dxfId="86"/>
    </tableStyle>
    <tableStyle name="Equation table" pivot="0" count="6" xr9:uid="{B247698E-E41D-4CCD-AA0A-C14817E9DE65}">
      <tableStyleElement type="wholeTable" dxfId="85"/>
      <tableStyleElement type="headerRow" dxfId="84"/>
      <tableStyleElement type="totalRow" dxfId="83"/>
      <tableStyleElement type="firstColumn" dxfId="82"/>
      <tableStyleElement type="firstRowStripe" dxfId="81"/>
      <tableStyleElement type="secondRowStripe" dxfId="80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2</xdr:row>
      <xdr:rowOff>156882</xdr:rowOff>
    </xdr:from>
    <xdr:to>
      <xdr:col>21</xdr:col>
      <xdr:colOff>298636</xdr:colOff>
      <xdr:row>29</xdr:row>
      <xdr:rowOff>73656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72DE53-EBCE-4DC5-A0AE-A3D17951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54765" y="784411"/>
          <a:ext cx="13039725" cy="65730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133350</xdr:rowOff>
    </xdr:from>
    <xdr:ext cx="2264338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67DBD7D-59A6-365A-4117-725E1658E20F}"/>
                </a:ext>
              </a:extLst>
            </xdr:cNvPr>
            <xdr:cNvSpPr txBox="1"/>
          </xdr:nvSpPr>
          <xdr:spPr>
            <a:xfrm>
              <a:off x="2690812" y="2000250"/>
              <a:ext cx="2264338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𝑉𝑆_𝑗𝑘=𝐼_𝑗𝑘×(1−𝐷𝑀𝐷_𝑗𝑘 )×(1−𝐴_𝑗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41</xdr:row>
      <xdr:rowOff>133350</xdr:rowOff>
    </xdr:from>
    <xdr:ext cx="303801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E1E3620-8F79-4902-95C5-830799C6562D}"/>
                </a:ext>
              </a:extLst>
            </xdr:cNvPr>
            <xdr:cNvSpPr txBox="1"/>
          </xdr:nvSpPr>
          <xdr:spPr>
            <a:xfrm>
              <a:off x="2681287" y="10420350"/>
              <a:ext cx="303801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𝑀_(𝑗𝑘𝑚𝑇=1)=𝑉𝑆_𝑗𝑘×𝐵𝑂_𝑗×𝑀𝑀𝑆_(𝑗𝑚𝑇=1)×𝑀𝐶𝐹_𝑖𝑚×𝜌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92</xdr:row>
      <xdr:rowOff>142875</xdr:rowOff>
    </xdr:from>
    <xdr:ext cx="2713179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05D1842-9514-46BC-48C0-7AA066D0832F}"/>
                </a:ext>
              </a:extLst>
            </xdr:cNvPr>
            <xdr:cNvSpPr txBox="1"/>
          </xdr:nvSpPr>
          <xdr:spPr>
            <a:xfrm>
              <a:off x="2700337" y="23060025"/>
              <a:ext cx="271317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𝑉𝑆𝑇_𝑗𝑘=𝑉𝑆_𝑗𝑘×𝑀𝑀𝑆_(𝑗𝑚𝑇=1)×(1−𝑉𝑆𝐿_(𝑚𝑇=1)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120</xdr:row>
      <xdr:rowOff>123825</xdr:rowOff>
    </xdr:from>
    <xdr:ext cx="307199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7813F7-E279-EDBB-DB39-FA4114A3ECA8}"/>
                </a:ext>
              </a:extLst>
            </xdr:cNvPr>
            <xdr:cNvSpPr txBox="1"/>
          </xdr:nvSpPr>
          <xdr:spPr>
            <a:xfrm>
              <a:off x="2662237" y="29975175"/>
              <a:ext cx="307199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𝑀_(𝑗𝑘𝑚𝑇=2)=𝑉𝑆𝑇_𝑗𝑘×𝐵𝑂×𝑀𝑀𝑆_(𝑗𝑚𝑇=2)×𝑀𝐶𝐹_𝑖𝑚×𝜌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169</xdr:row>
      <xdr:rowOff>76200</xdr:rowOff>
    </xdr:from>
    <xdr:ext cx="3010631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77A974D-CDB2-4C02-3500-179514FF609E}"/>
                </a:ext>
              </a:extLst>
            </xdr:cNvPr>
            <xdr:cNvSpPr txBox="1"/>
          </xdr:nvSpPr>
          <xdr:spPr>
            <a:xfrm>
              <a:off x="2681287" y="42062400"/>
              <a:ext cx="301063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𝐸_𝐶𝐻4=∑8_𝑗▒∑8_𝑘▒∑8_𝑚▒∑8_𝑇▒(𝐷_𝑗𝑘×𝑀_𝑗𝑘𝑚𝑇×𝑁_𝑗𝑘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7</xdr:row>
      <xdr:rowOff>125506</xdr:rowOff>
    </xdr:from>
    <xdr:ext cx="1494833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B32B1B2-2BC6-5175-1E00-6EA38F1A34E1}"/>
                </a:ext>
              </a:extLst>
            </xdr:cNvPr>
            <xdr:cNvSpPr txBox="1"/>
          </xdr:nvSpPr>
          <xdr:spPr>
            <a:xfrm>
              <a:off x="2669241" y="1985682"/>
              <a:ext cx="149483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𝑁𝐼_𝑗𝑘=𝐼_𝑗𝑘×𝐶𝑃_𝑗𝑘÷6.25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36</xdr:row>
      <xdr:rowOff>91888</xdr:rowOff>
    </xdr:from>
    <xdr:ext cx="1609993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9D832B-8554-8266-4CD5-E7790A7B3D21}"/>
                </a:ext>
              </a:extLst>
            </xdr:cNvPr>
            <xdr:cNvSpPr txBox="1"/>
          </xdr:nvSpPr>
          <xdr:spPr>
            <a:xfrm>
              <a:off x="2691653" y="9101417"/>
              <a:ext cx="1609993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59D832B-8554-8266-4CD5-E7790A7B3D21}"/>
                </a:ext>
              </a:extLst>
            </xdr:cNvPr>
            <xdr:cNvSpPr txBox="1"/>
          </xdr:nvSpPr>
          <xdr:spPr>
            <a:xfrm>
              <a:off x="2691653" y="9101417"/>
              <a:ext cx="1609993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𝑁𝐸_𝑗𝑘=𝑁𝐼_𝑗𝑘×(1−𝑁𝑅_𝑗𝑘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24653</xdr:colOff>
      <xdr:row>59</xdr:row>
      <xdr:rowOff>147917</xdr:rowOff>
    </xdr:from>
    <xdr:ext cx="1513555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3644CE-993F-A582-9042-2048053A3531}"/>
                </a:ext>
              </a:extLst>
            </xdr:cNvPr>
            <xdr:cNvSpPr txBox="1"/>
          </xdr:nvSpPr>
          <xdr:spPr>
            <a:xfrm>
              <a:off x="2702859" y="14827623"/>
              <a:ext cx="15135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3644CE-993F-A582-9042-2048053A3531}"/>
                </a:ext>
              </a:extLst>
            </xdr:cNvPr>
            <xdr:cNvSpPr txBox="1"/>
          </xdr:nvSpPr>
          <xdr:spPr>
            <a:xfrm>
              <a:off x="2702859" y="14827623"/>
              <a:ext cx="15135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𝐴𝐸_𝑗𝑘=𝑁_𝑗𝑘×𝑁𝐸_𝑗𝑘×𝐷_𝑗𝑘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88</xdr:row>
      <xdr:rowOff>114300</xdr:rowOff>
    </xdr:from>
    <xdr:ext cx="1973232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7C22EEB-2EEB-700D-262F-743A3368C244}"/>
                </a:ext>
              </a:extLst>
            </xdr:cNvPr>
            <xdr:cNvSpPr txBox="1"/>
          </xdr:nvSpPr>
          <xdr:spPr>
            <a:xfrm>
              <a:off x="2680446" y="21943359"/>
              <a:ext cx="197323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7C22EEB-2EEB-700D-262F-743A3368C244}"/>
                </a:ext>
              </a:extLst>
            </xdr:cNvPr>
            <xdr:cNvSpPr txBox="1"/>
          </xdr:nvSpPr>
          <xdr:spPr>
            <a:xfrm>
              <a:off x="2680446" y="21943359"/>
              <a:ext cx="197323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𝑀𝑁_(𝑗𝑘𝑚,𝑇=1)=𝐴𝐸_𝑗𝑘×𝑀𝑀𝑆_(𝑗𝑚,𝑇=1)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24653</xdr:colOff>
      <xdr:row>117</xdr:row>
      <xdr:rowOff>125505</xdr:rowOff>
    </xdr:from>
    <xdr:ext cx="3641894" cy="1949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E073EC1-2F3E-2BD6-5E0A-E8F726AB33F3}"/>
                </a:ext>
              </a:extLst>
            </xdr:cNvPr>
            <xdr:cNvSpPr txBox="1"/>
          </xdr:nvSpPr>
          <xdr:spPr>
            <a:xfrm>
              <a:off x="2702859" y="29103917"/>
              <a:ext cx="3641894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E073EC1-2F3E-2BD6-5E0A-E8F726AB33F3}"/>
                </a:ext>
              </a:extLst>
            </xdr:cNvPr>
            <xdr:cNvSpPr txBox="1"/>
          </xdr:nvSpPr>
          <xdr:spPr>
            <a:xfrm>
              <a:off x="2702859" y="29103917"/>
              <a:ext cx="3641894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𝑁𝑇_(𝑗𝑘𝑚,𝑇=2)=𝑀𝑁_(𝑗𝑘𝑚,𝑇=1)×(1−𝐹𝑟𝑎𝑐𝐺𝐴𝑆𝑀_(𝑚,𝑇=1)−𝐸𝐹_(𝑚,𝑇=1)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35859</xdr:colOff>
      <xdr:row>158</xdr:row>
      <xdr:rowOff>147918</xdr:rowOff>
    </xdr:from>
    <xdr:ext cx="2258631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A68AC1-2AED-6A05-BC9C-C859E7F746E4}"/>
                </a:ext>
              </a:extLst>
            </xdr:cNvPr>
            <xdr:cNvSpPr txBox="1"/>
          </xdr:nvSpPr>
          <xdr:spPr>
            <a:xfrm>
              <a:off x="2714065" y="38494447"/>
              <a:ext cx="22586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A68AC1-2AED-6A05-BC9C-C859E7F746E4}"/>
                </a:ext>
              </a:extLst>
            </xdr:cNvPr>
            <xdr:cNvSpPr txBox="1"/>
          </xdr:nvSpPr>
          <xdr:spPr>
            <a:xfrm>
              <a:off x="2714065" y="38494447"/>
              <a:ext cx="22586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𝑀𝑁_(𝑗𝑘𝑚,𝑇=2)=𝑁𝑇_(𝑗𝑘𝑚,𝑇=2)×𝑀𝑀𝑆_(𝑚,𝑇=2)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203</xdr:row>
      <xdr:rowOff>58271</xdr:rowOff>
    </xdr:from>
    <xdr:ext cx="3509679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16673F-26E5-0A61-5962-6CDB5D864541}"/>
                </a:ext>
              </a:extLst>
            </xdr:cNvPr>
            <xdr:cNvSpPr txBox="1"/>
          </xdr:nvSpPr>
          <xdr:spPr>
            <a:xfrm>
              <a:off x="2680446" y="49252095"/>
              <a:ext cx="350967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𝑂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716673F-26E5-0A61-5962-6CDB5D864541}"/>
                </a:ext>
              </a:extLst>
            </xdr:cNvPr>
            <xdr:cNvSpPr txBox="1"/>
          </xdr:nvSpPr>
          <xdr:spPr>
            <a:xfrm>
              <a:off x="2680446" y="49252095"/>
              <a:ext cx="350967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𝐸_(𝑁2𝑂,𝑑𝑖𝑟)=∑8_𝑗▒∑8_𝑘▒∑8_𝑚▒∑8_𝑇▒(𝑀𝑁_𝑗𝑘𝑚𝑇×𝐸𝐹_𝑗𝑚×𝐶_𝑁2𝑂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33337</xdr:colOff>
      <xdr:row>7</xdr:row>
      <xdr:rowOff>28575</xdr:rowOff>
    </xdr:from>
    <xdr:ext cx="3305777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57B431-672D-DBD1-CF70-B1B5B3A5B3F0}"/>
                </a:ext>
              </a:extLst>
            </xdr:cNvPr>
            <xdr:cNvSpPr txBox="1"/>
          </xdr:nvSpPr>
          <xdr:spPr>
            <a:xfrm>
              <a:off x="2709862" y="1895475"/>
              <a:ext cx="330577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𝑗𝑘𝑚𝑇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57B431-672D-DBD1-CF70-B1B5B3A5B3F0}"/>
                </a:ext>
              </a:extLst>
            </xdr:cNvPr>
            <xdr:cNvSpPr txBox="1"/>
          </xdr:nvSpPr>
          <xdr:spPr>
            <a:xfrm>
              <a:off x="2709862" y="1895475"/>
              <a:ext cx="3305777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𝑀𝑀𝑆_𝐴𝑇𝑀𝑂𝑆=∑8_𝑗▒∑8_𝑘▒∑8_𝑚▒∑8_𝑇▒(𝑀𝑁_𝑗𝑘𝑚𝑇×𝐹𝑟𝑎𝑐𝐺𝐴𝑆𝑀_𝑚𝑇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280987</xdr:colOff>
      <xdr:row>74</xdr:row>
      <xdr:rowOff>123825</xdr:rowOff>
    </xdr:from>
    <xdr:ext cx="2914836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0B8BC72-7A28-B819-7313-17A7028928BC}"/>
                </a:ext>
              </a:extLst>
            </xdr:cNvPr>
            <xdr:cNvSpPr txBox="1"/>
          </xdr:nvSpPr>
          <xdr:spPr>
            <a:xfrm>
              <a:off x="2643187" y="18087975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0B8BC72-7A28-B819-7313-17A7028928BC}"/>
                </a:ext>
              </a:extLst>
            </xdr:cNvPr>
            <xdr:cNvSpPr txBox="1"/>
          </xdr:nvSpPr>
          <xdr:spPr>
            <a:xfrm>
              <a:off x="2643187" y="18087975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7</xdr:row>
      <xdr:rowOff>136712</xdr:rowOff>
    </xdr:from>
    <xdr:ext cx="3745704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50B14A-4CC0-ED70-E537-116F82DAA948}"/>
                </a:ext>
              </a:extLst>
            </xdr:cNvPr>
            <xdr:cNvSpPr txBox="1"/>
          </xdr:nvSpPr>
          <xdr:spPr>
            <a:xfrm>
              <a:off x="2669241" y="1996888"/>
              <a:ext cx="374570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A50B14A-4CC0-ED70-E537-116F82DAA948}"/>
                </a:ext>
              </a:extLst>
            </xdr:cNvPr>
            <xdr:cNvSpPr txBox="1"/>
          </xdr:nvSpPr>
          <xdr:spPr>
            <a:xfrm>
              <a:off x="2669241" y="1996888"/>
              <a:ext cx="374570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𝑀𝑁𝐿𝑒𝑎𝑐ℎ_(𝑗𝑘𝑚=4)=𝑀𝑁_(𝑗𝑘𝑚=4,𝑇=1)×𝐹𝑟𝑎𝑐𝑊𝐸𝑇×𝐹𝑟𝑎𝑐𝐿𝐸𝐴𝐶𝐻_𝑀𝑆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2241</xdr:colOff>
      <xdr:row>38</xdr:row>
      <xdr:rowOff>114299</xdr:rowOff>
    </xdr:from>
    <xdr:ext cx="3270190" cy="1863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9B3617-9350-9193-44D9-DBC2F9806FEE}"/>
                </a:ext>
              </a:extLst>
            </xdr:cNvPr>
            <xdr:cNvSpPr txBox="1"/>
          </xdr:nvSpPr>
          <xdr:spPr>
            <a:xfrm>
              <a:off x="2680447" y="9616887"/>
              <a:ext cx="3270190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9B3617-9350-9193-44D9-DBC2F9806FEE}"/>
                </a:ext>
              </a:extLst>
            </xdr:cNvPr>
            <xdr:cNvSpPr txBox="1"/>
          </xdr:nvSpPr>
          <xdr:spPr>
            <a:xfrm>
              <a:off x="2680447" y="9616887"/>
              <a:ext cx="3270190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𝐸_(𝑁2𝑂,𝑙𝑒𝑎𝑐ℎ)=𝑀𝑁𝐿𝑒𝑎𝑐ℎ_(𝑗𝑘𝑚=4)×𝐸𝐹_𝑙𝑒𝑎𝑐ℎ×𝐶_𝑁2𝑂×10^(−3)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28575</xdr:rowOff>
    </xdr:from>
    <xdr:ext cx="561583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C22941-4550-2525-55F2-1635CC9C725D}"/>
                </a:ext>
              </a:extLst>
            </xdr:cNvPr>
            <xdr:cNvSpPr txBox="1"/>
          </xdr:nvSpPr>
          <xdr:spPr>
            <a:xfrm>
              <a:off x="2681287" y="1895475"/>
              <a:ext cx="561583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𝑀𝑀𝑆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C22941-4550-2525-55F2-1635CC9C725D}"/>
                </a:ext>
              </a:extLst>
            </xdr:cNvPr>
            <xdr:cNvSpPr txBox="1"/>
          </xdr:nvSpPr>
          <xdr:spPr>
            <a:xfrm>
              <a:off x="2681287" y="1895475"/>
              <a:ext cx="561583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𝑀𝑁𝑆𝑜𝑖𝑙_𝑠𝑐𝑜𝑝𝑒1=∑8_𝑗▒∑8_𝑚▒(𝑀𝑁_(𝑗𝑚,𝑇=2)×(1−𝐸𝐹_(𝑚𝑇=2)−𝐹𝑟𝑎𝑐𝐺𝐴𝑆𝑀_(𝑚𝑇=2) )−𝑀𝑁𝐿𝑒𝑎𝑐ℎ_𝑀𝑀𝑆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113</xdr:row>
      <xdr:rowOff>38100</xdr:rowOff>
    </xdr:from>
    <xdr:ext cx="5979136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0C0A22-69DE-9987-E0FE-29341A6369B9}"/>
                </a:ext>
              </a:extLst>
            </xdr:cNvPr>
            <xdr:cNvSpPr txBox="1"/>
          </xdr:nvSpPr>
          <xdr:spPr>
            <a:xfrm>
              <a:off x="2690812" y="28155900"/>
              <a:ext cx="59791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𝑀𝑀𝑆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0C0A22-69DE-9987-E0FE-29341A6369B9}"/>
                </a:ext>
              </a:extLst>
            </xdr:cNvPr>
            <xdr:cNvSpPr txBox="1"/>
          </xdr:nvSpPr>
          <xdr:spPr>
            <a:xfrm>
              <a:off x="2690812" y="28155900"/>
              <a:ext cx="59791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𝑀𝑁𝑆𝑜𝑖𝑙_𝑠𝑐𝑜𝑝𝑒3=∑8_𝑗▒∑8_𝑚▒(𝑀𝑁_(𝑗𝑚,𝑇=2)×(1−𝐸𝐹_(𝑚𝑇=2)−𝐹𝑟𝑎𝑐𝐺𝐴𝑆𝑀_(𝑚𝑇=2) )−𝑀𝑁𝐿𝑒𝑎𝑐ℎ_𝑀𝑀𝑆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47625</xdr:rowOff>
    </xdr:from>
    <xdr:ext cx="3858428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A850237-CD54-3C9B-A4FE-B1C04820A67C}"/>
                </a:ext>
              </a:extLst>
            </xdr:cNvPr>
            <xdr:cNvSpPr txBox="1"/>
          </xdr:nvSpPr>
          <xdr:spPr>
            <a:xfrm>
              <a:off x="2671762" y="1914525"/>
              <a:ext cx="385842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𝐸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𝑃𝑅𝑃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𝑂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A850237-CD54-3C9B-A4FE-B1C04820A67C}"/>
                </a:ext>
              </a:extLst>
            </xdr:cNvPr>
            <xdr:cNvSpPr txBox="1"/>
          </xdr:nvSpPr>
          <xdr:spPr>
            <a:xfrm>
              <a:off x="2671762" y="1914525"/>
              <a:ext cx="385842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𝐸𝑀_(𝑁2𝑂,𝑃𝑅𝑃,𝑑𝑖𝑟)=∑8_𝑗▒∑8_𝑘▒(𝑀𝑁_(𝑗𝑘𝑚=14,𝑇=1)×𝐸𝐹_𝑃𝑅𝑃×𝐶_𝑁2𝑂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76200</xdr:rowOff>
    </xdr:from>
    <xdr:ext cx="3232936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1F2B21-E908-82F0-8835-9F1B0FD8C5B9}"/>
                </a:ext>
              </a:extLst>
            </xdr:cNvPr>
            <xdr:cNvSpPr txBox="1"/>
          </xdr:nvSpPr>
          <xdr:spPr>
            <a:xfrm>
              <a:off x="2690812" y="1943100"/>
              <a:ext cx="32329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𝐹𝑟𝑎𝑐𝐺𝐴𝑆𝑀𝑠𝑜𝑖𝑙</m:t>
                                </m:r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1F2B21-E908-82F0-8835-9F1B0FD8C5B9}"/>
                </a:ext>
              </a:extLst>
            </xdr:cNvPr>
            <xdr:cNvSpPr txBox="1"/>
          </xdr:nvSpPr>
          <xdr:spPr>
            <a:xfrm>
              <a:off x="2690812" y="1943100"/>
              <a:ext cx="323293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𝑀_(𝑣𝑜𝑙,𝑚=14)=∑8_𝑗▒∑8_𝑘▒(𝑀𝑁_(𝑗𝑘𝑚=14,𝑇=1)×𝐹𝑟𝑎𝑐𝐺𝐴𝑆𝑀𝑠𝑜𝑖𝑙)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32</xdr:row>
      <xdr:rowOff>133350</xdr:rowOff>
    </xdr:from>
    <xdr:ext cx="2723630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BC17D5-8E12-B8C2-1197-C888037B5ED8}"/>
                </a:ext>
              </a:extLst>
            </xdr:cNvPr>
            <xdr:cNvSpPr txBox="1"/>
          </xdr:nvSpPr>
          <xdr:spPr>
            <a:xfrm>
              <a:off x="2690812" y="8191500"/>
              <a:ext cx="272363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BC17D5-8E12-B8C2-1197-C888037B5ED8}"/>
                </a:ext>
              </a:extLst>
            </xdr:cNvPr>
            <xdr:cNvSpPr txBox="1"/>
          </xdr:nvSpPr>
          <xdr:spPr>
            <a:xfrm>
              <a:off x="2690812" y="8191500"/>
              <a:ext cx="272363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𝐸_(𝑁2𝑂,𝑎𝑑)=𝑀_(𝑣𝑜𝑙,𝑚=14)×𝐸𝐹_𝑁2𝑂×𝐶_𝑁2𝑂×10^(−3)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271462</xdr:colOff>
      <xdr:row>7</xdr:row>
      <xdr:rowOff>28575</xdr:rowOff>
    </xdr:from>
    <xdr:ext cx="407932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5386AD-389A-C769-A5DD-E85EABAABDF3}"/>
                </a:ext>
              </a:extLst>
            </xdr:cNvPr>
            <xdr:cNvSpPr txBox="1"/>
          </xdr:nvSpPr>
          <xdr:spPr>
            <a:xfrm>
              <a:off x="2633662" y="1895475"/>
              <a:ext cx="40793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=14,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=1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𝐹𝑟𝑎𝑐𝑊𝑒𝑡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𝐹𝑟𝑎𝑐𝐿𝐸𝐴𝐶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𝑆</m:t>
                                </m:r>
                              </m:e>
                            </m:d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5386AD-389A-C769-A5DD-E85EABAABDF3}"/>
                </a:ext>
              </a:extLst>
            </xdr:cNvPr>
            <xdr:cNvSpPr txBox="1"/>
          </xdr:nvSpPr>
          <xdr:spPr>
            <a:xfrm>
              <a:off x="2633662" y="1895475"/>
              <a:ext cx="40793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𝑀_(𝑙𝑒𝑎𝑐ℎ,𝑚=14)=∑8_𝑗▒∑8_𝑘▒(𝑀𝑁_(𝑗𝑘𝑚=14,𝑇=1)×𝐹𝑟𝑎𝑐𝑊𝑒𝑡×𝐹𝑟𝑎𝑐𝐿𝐸𝐴𝐶𝐻_𝑀 𝑆)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280987</xdr:colOff>
      <xdr:row>37</xdr:row>
      <xdr:rowOff>104775</xdr:rowOff>
    </xdr:from>
    <xdr:ext cx="3045001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9C5037-73FE-4B71-12DC-740D9B54D914}"/>
                </a:ext>
              </a:extLst>
            </xdr:cNvPr>
            <xdr:cNvSpPr txBox="1"/>
          </xdr:nvSpPr>
          <xdr:spPr>
            <a:xfrm>
              <a:off x="2643187" y="9401175"/>
              <a:ext cx="3045001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9C5037-73FE-4B71-12DC-740D9B54D914}"/>
                </a:ext>
              </a:extLst>
            </xdr:cNvPr>
            <xdr:cNvSpPr txBox="1"/>
          </xdr:nvSpPr>
          <xdr:spPr>
            <a:xfrm>
              <a:off x="2643187" y="9401175"/>
              <a:ext cx="3045001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𝐸_(𝑁2𝑂,𝑙𝑒𝑎𝑐ℎ)=𝑀_(𝑙𝑒𝑎𝑐ℎ,𝑚=14)×𝐸𝐹_𝑙𝑒𝑎𝑐ℎ×𝐶_𝑁2𝑂×10^(−3)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Old\GAF2-Template-WIP-v30.xlsx" TargetMode="External"/><Relationship Id="rId1" Type="http://schemas.openxmlformats.org/officeDocument/2006/relationships/externalLinkPath" Target="Old/GAF2-Template-WIP-v3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Dairy_WIP_v05.xlsx" TargetMode="External"/><Relationship Id="rId1" Type="http://schemas.openxmlformats.org/officeDocument/2006/relationships/externalLinkPath" Target="4_1_ManureManagement_Dairy_WIP_v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- MMS - Feedlot"/>
      <sheetName val="Calcs - CH4 MMS Feedlot"/>
      <sheetName val="Input - MMS - Poultry"/>
      <sheetName val="Calcs - CH4 MMS Poultry"/>
      <sheetName val="Input - Herd - Swine"/>
      <sheetName val="Input - MMS - Swine"/>
      <sheetName val="Calcs - CH4 MMS Swine"/>
      <sheetName val="Tab template"/>
      <sheetName val="Results"/>
      <sheetName val="Input - Site"/>
      <sheetName val="Input - Production"/>
      <sheetName val="Input - Herd - Dairy"/>
      <sheetName val="Input - Feed - Dairy"/>
      <sheetName val="Input - Herd - Feedlot"/>
      <sheetName val="Input - Grains"/>
      <sheetName val="Input - Pasture"/>
      <sheetName val="Input - Fert Lime Chem"/>
      <sheetName val="Input - Fuel &amp; Energy"/>
      <sheetName val="Input - Other Farm Inputs"/>
      <sheetName val="Input - Aquaculture"/>
      <sheetName val="Input - Data Quality"/>
      <sheetName val="Input - LULUCF"/>
      <sheetName val="Calcs - Fert Lime"/>
      <sheetName val="Calcs - Residue mgmt - Crop"/>
      <sheetName val="Calcs - Residue mgmt - Pasture"/>
      <sheetName val="Calcs - Field burning"/>
      <sheetName val="Calcs - Fuel"/>
      <sheetName val="Calcs - Electricity"/>
      <sheetName val="Calcs - Refrigerants"/>
      <sheetName val="Calcs - Scope 3"/>
      <sheetName val="Constants - Common"/>
      <sheetName val="Constants - Cropping"/>
      <sheetName val="Constants - Livestock"/>
      <sheetName val="Constants - Dairy"/>
      <sheetName val="Constants - Feedlot"/>
      <sheetName val="Sty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5">
          <cell r="E15" t="str">
            <v>Solid storage</v>
          </cell>
          <cell r="F15" t="str">
            <v>Solid storage (m=4)</v>
          </cell>
        </row>
        <row r="17">
          <cell r="E17" t="str">
            <v>Composting (passive windrow)</v>
          </cell>
          <cell r="F17" t="str">
            <v>Composting (passive windrow) (m=6)</v>
          </cell>
        </row>
        <row r="18">
          <cell r="E18" t="str">
            <v>Digester / covered lagoons</v>
          </cell>
          <cell r="F18" t="str">
            <v>Digester / covered lagoons (m=7)</v>
          </cell>
        </row>
        <row r="21">
          <cell r="E21" t="str">
            <v>Poultry manure with bedding</v>
          </cell>
          <cell r="F21" t="str">
            <v>Poultry manure with bedding (m=10)</v>
          </cell>
        </row>
        <row r="23">
          <cell r="E23" t="str">
            <v>Belt manure removal</v>
          </cell>
          <cell r="F23" t="str">
            <v>Belt manure removal (m=11a)</v>
          </cell>
        </row>
        <row r="24">
          <cell r="E24" t="str">
            <v>Manure stored in house</v>
          </cell>
          <cell r="F24" t="str">
            <v>Manure stored in house (m=11b)</v>
          </cell>
        </row>
        <row r="25">
          <cell r="E25" t="str">
            <v>Direct processing</v>
          </cell>
          <cell r="F25" t="str">
            <v>Direct processing (m=12)</v>
          </cell>
        </row>
        <row r="26">
          <cell r="E26" t="str">
            <v>Direct application</v>
          </cell>
          <cell r="F26" t="str">
            <v>Direct application (m=13)</v>
          </cell>
        </row>
        <row r="27">
          <cell r="E27" t="str">
            <v>Pasture range and paddock</v>
          </cell>
          <cell r="F27" t="str">
            <v>Pasture range and paddock (m=14)</v>
          </cell>
        </row>
      </sheetData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Dairy"/>
      <sheetName val="4.3.1.1-2 Methane"/>
      <sheetName val="4.3.1.3-4 Direct N20"/>
      <sheetName val="4.3.1.5 Atmos deposition"/>
      <sheetName val="4.3.1.6-7 Leaching and runoff"/>
      <sheetName val="4.3.1.8 Manure applied to soils"/>
      <sheetName val="4.3.1.9 Soil direct N2O"/>
      <sheetName val="4.3.1.10-11 Soil Atmos Dep"/>
      <sheetName val="4.3.1.12-13 Soil leach runoff"/>
      <sheetName val="Constants - Dairy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EBB88F-78E2-4301-A115-5D57142F74BA}" name="Table_SourceData_Poultry_DietProperties" displayName="Table_SourceData_Poultry_DietProperties" ref="D8:H13" totalsRowShown="0">
  <autoFilter ref="D8:H13" xr:uid="{C0EBB88F-78E2-4301-A115-5D57142F74BA}"/>
  <tableColumns count="5">
    <tableColumn id="1" xr3:uid="{C87DC6D9-335D-4EE2-BBEC-7AD45CC183B5}" name="Nutrient analysis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2" xr3:uid="{57461AF5-0667-4FCB-8332-88C8FE7F18B5}" name="Layers" dataDxfId="59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3" xr3:uid="{BBD63E84-AE9F-4272-BEE7-379028D818EB}" name="Meat chicken growers" dataDxfId="58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4" xr3:uid="{20F9064F-204E-49AA-B166-1040B3B7326B}" name="Meat chicken breeder" dataDxfId="57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  <tableColumn id="5" xr3:uid="{B7F00411-E5E4-487B-81BB-C26564C09F24}" name="Meat other" dataDxfId="56" dataCellStyle="Content normal">
      <calculatedColumnFormula array="1">Common_InputFunctions.Utility_DisplayArrayInTable(SourceData_Poultry.SourceData_Poultry_DietProperties_Data(), Table_SourceData_Poultry_DietProperties[[#Headers],[Nutrient analysis]],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37049C-2437-4EFA-AAFD-35A825C8877D}" name="Table_SourceData_Poultry_MethaneEmissionsPotential" displayName="Table_SourceData_Poultry_MethaneEmissionsPotential" ref="D19:E21" totalsRowShown="0">
  <autoFilter ref="D19:E21" xr:uid="{B337049C-2437-4EFA-AAFD-35A825C8877D}"/>
  <tableColumns count="2">
    <tableColumn id="1" xr3:uid="{DEBB59A0-CAC2-4DEA-9982-17651E388A17}" name="Poultry class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  <tableColumn id="2" xr3:uid="{920E8514-DD22-464B-9DB6-900D6A99CD4D}" name="B0" dataDxfId="55" dataCellStyle="Content normal">
      <calculatedColumnFormula array="1">Common_InputFunctions.Utility_DisplayArrayInTable(SourceData_Poultry.SourceData_Poultry_MethaneEmissionsPotential_Data(), Table_SourceData_Poultry_MethaneEmissionsPotential[[#Headers],[Poultry class]], 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F7090B5-6718-41B7-9B26-A00EDB46BAC3}" name="Table_SourceData_PoultryMMS" displayName="Table_SourceData_PoultryMMS" ref="D28:E38" totalsRowShown="0">
  <autoFilter ref="D28:E38" xr:uid="{AF7090B5-6718-41B7-9B26-A00EDB46BAC3}"/>
  <tableColumns count="2">
    <tableColumn id="1" xr3:uid="{47CF50D5-E766-4A0D-8070-E14082E43836}" name="MMS"/>
    <tableColumn id="2" xr3:uid="{EABA1EC1-40EE-4DB0-9429-6D402A5B5F90}" name="Symbol and MMS" dataDxfId="54" dataCellStyle="Content normal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10106E-36C6-489E-8962-5DE08C5F2EAC}" name="Table_SourceData_Poultry_ProductionSystems" displayName="Table_SourceData_Poultry_ProductionSystems" ref="D44:D47" totalsRowShown="0">
  <autoFilter ref="D44:D47" xr:uid="{5810106E-36C6-489E-8962-5DE08C5F2EAC}"/>
  <tableColumns count="1">
    <tableColumn id="1" xr3:uid="{F1CB7D97-90DF-41BF-87CB-E70D8254376B}" name="Production system">
      <calculatedColumnFormula array="1">Common_InputFunctions.Utility_DisplayArrayInTable(SourceData_Poultry.SourceData_Poultry_ProductionSystems_Data(), Table_SourceData_Poultry_ProductionSystems[[#Headers],[Production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26BAEA5-5A43-49B7-A0AB-1CF0D30AA767}" name="Table_SourceData_Poultry_MMSMCF" displayName="Table_SourceData_Poultry_MMSMCF" ref="D59:N68" totalsRowShown="0">
  <autoFilter ref="D59:N68" xr:uid="{F26BAEA5-5A43-49B7-A0AB-1CF0D30AA767}"/>
  <tableColumns count="11">
    <tableColumn id="1" xr3:uid="{E7FEC0DD-5366-4EB8-BE39-F19E084CE3E5}" name="MMS m">
      <calculatedColumnFormula array="1">Common_InputFunctions.Utility_DisplayArrayInTable(SourceData_Poultry.SourceData_Poultry_MCF_Data(), Table_SourceData_Poultry_MMSMCF[[#Headers],[MMS m]], 0)</calculatedColumnFormula>
    </tableColumn>
    <tableColumn id="2" xr3:uid="{269563D6-D06B-469F-866D-B00E1ED1865F}" name="All states" dataDxfId="53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3" xr3:uid="{7C7AFB2F-9F78-49C3-824F-3F0C9D5E1146}" name="NSW" dataDxfId="52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4" xr3:uid="{8F6C8F7B-16F4-4119-9CD6-B9D7410A1058}" name="ACT" dataDxfId="51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5" xr3:uid="{35DF7A08-4598-4E85-8418-B56B47561C03}" name="QLD" dataDxfId="50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6" xr3:uid="{0B5D1F9A-8137-494F-B4FA-06AEED00BE12}" name="NT" dataDxfId="49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7" xr3:uid="{20E75A60-87D5-4323-B301-DFEBFE0A70D0}" name="VIC" dataDxfId="48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8" xr3:uid="{704B2AB5-8F76-4A6E-BC83-4EE3CB8F0CD9}" name="SA" dataDxfId="47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9" xr3:uid="{DCEEC972-73B0-4C14-9A4D-FCB373657CEB}" name="WA" dataDxfId="46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0" xr3:uid="{94C744BC-E6D5-4FB2-974B-2F4DFD6F4EFB}" name="TAS" dataDxfId="45" dataCellStyle="Content normal">
      <calculatedColumnFormula array="1">Common_InputFunctions.Utility_DisplayArrayInTable(SourceData_Poultry.SourceData_Poultry_MCF_Data(), Table_SourceData_Poultry_MMSMCF[[#Headers],[MMS m]], 0)</calculatedColumnFormula>
    </tableColumn>
    <tableColumn id="11" xr3:uid="{F98C8970-3F12-428D-A15A-417E592F316E}" name="NIR definition" dataDxfId="44" dataCellStyle="Content normal">
      <calculatedColumnFormula array="1">Common_InputFunctions.Utility_DisplayArrayInTable(SourceData_Poultry.SourceData_Poultry_MCF_Data(), Table_SourceData_Poultry_MMSMCF[[#Headers],[MMS m]],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EE6EA5E-2B4D-4BFE-9875-EACD468C453A}" name="Table_SourceData_PoultryMMSSTage1" displayName="Table_SourceData_PoultryMMSSTage1" ref="G28:H33" totalsRowShown="0">
  <autoFilter ref="G28:H33" xr:uid="{DEE6EA5E-2B4D-4BFE-9875-EACD468C453A}"/>
  <tableColumns count="2">
    <tableColumn id="1" xr3:uid="{4E5C4C69-995C-42D1-BBE3-542B0FF491A1}" name="MMS"/>
    <tableColumn id="2" xr3:uid="{8B69BB2A-335F-47C5-9D1B-E4F564913CD2}" name="Symbol and MMS" dataDxfId="43" dataCellStyle="Content normal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C4CB048-5E1F-4D26-9F6C-B04ADADF31C3}" name="Table_SourceData_PoultryMMSStage2" displayName="Table_SourceData_PoultryMMSStage2" ref="J28:K34" totalsRowShown="0">
  <autoFilter ref="J28:K34" xr:uid="{EC4CB048-5E1F-4D26-9F6C-B04ADADF31C3}"/>
  <tableColumns count="2">
    <tableColumn id="1" xr3:uid="{A833F318-5E96-452B-914B-56EBEE0F957E}" name="MMS"/>
    <tableColumn id="2" xr3:uid="{6F353241-E782-4530-8CAF-E831533C8B4E}" name="Symbol and MMS" dataDxfId="42" dataCellStyle="Content normal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7BAFF-4BC8-4D7F-BDAE-6BC460B8A0CA}" name="Table_SourceData_Poultry_MMSVSL" displayName="Table_SourceData_Poultry_MMSVSL" ref="D76:F79" totalsRowShown="0">
  <autoFilter ref="D76:F79" xr:uid="{9227BAFF-4BC8-4D7F-BDAE-6BC460B8A0CA}"/>
  <tableColumns count="3">
    <tableColumn id="1" xr3:uid="{3F31A5AB-9F38-4ADE-A3EA-A68D670EEA61}" name="MMS">
      <calculatedColumnFormula array="1">Common_InputFunctions.Utility_DisplayArrayInTable(SourceData_Poultry.SourceData_Poultry_VSL_Data(), Table_SourceData_Poultry_MMSVSL[[#Headers],[MMS]], 0)</calculatedColumnFormula>
    </tableColumn>
    <tableColumn id="2" xr3:uid="{C618765F-80B1-4CE0-8745-39A121688928}" name="VSL" dataDxfId="41" dataCellStyle="Content normal">
      <calculatedColumnFormula array="1">Common_InputFunctions.Utility_DisplayArrayInTable(SourceData_Poultry.SourceData_Poultry_VSL_Data(), Table_SourceData_Poultry_MMSVSL[[#Headers],[MMS]], 0)</calculatedColumnFormula>
    </tableColumn>
    <tableColumn id="3" xr3:uid="{29EBD005-C894-48D5-96B7-8F2BE6A56B71}" name="NIR definition" dataDxfId="40" dataCellStyle="Content normal">
      <calculatedColumnFormula array="1">Common_InputFunctions.Utility_DisplayArrayInTable(SourceData_Poultry.SourceData_Poultry_VSL_Data(), Table_SourceData_Poultry_MMSVSL[[#Headers],[MMS]],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BA131A3-0B04-413F-9D7A-86F5FB660776}" name="Table_SourceData_Poultry_FracGASM" displayName="Table_SourceData_Poultry_FracGASM" ref="D85:F92" totalsRowShown="0">
  <autoFilter ref="D85:F92" xr:uid="{9BA131A3-0B04-413F-9D7A-86F5FB660776}">
    <filterColumn colId="0" hiddenButton="1"/>
    <filterColumn colId="1" hiddenButton="1"/>
    <filterColumn colId="2" hiddenButton="1"/>
  </autoFilter>
  <tableColumns count="3">
    <tableColumn id="1" xr3:uid="{196CD414-F336-4607-9663-271DD653A2CF}" name="MMSm">
      <calculatedColumnFormula array="1">Common_InputFunctions.Utility_DisplayArrayInTable(SourceData_Poultry.SourceData_Poultry_FracGASMmT_Data(), Table_SourceData_Poultry_FracGASM[[#Headers],[MMSm]], 0)</calculatedColumnFormula>
    </tableColumn>
    <tableColumn id="2" xr3:uid="{8525C18F-EC46-466C-9313-CE932691CFFA}" name="FracGASMmT" dataDxfId="39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  <tableColumn id="3" xr3:uid="{BF75B3E6-C5BF-4822-ADCF-E7FF0C1AA46F}" name="NIR reference" dataDxfId="38" dataCellStyle="Content normal">
      <calculatedColumnFormula array="1">Common_InputFunctions.Utility_DisplayArrayInTable(SourceData_Poultry.SourceData_Poultry_FracGASMmT_Data(), Table_SourceData_Poultry_FracGASM[[#Headers],[MMSm]],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DCEB6AC-6595-49CF-B6BF-C7F6309D3288}" name="Table_SourceData_Poultry_EFmT" displayName="Table_SourceData_Poultry_EFmT" ref="D98:F106" totalsRowShown="0">
  <autoFilter ref="D98:F106" xr:uid="{1DCEB6AC-6595-49CF-B6BF-C7F6309D3288}">
    <filterColumn colId="0" hiddenButton="1"/>
    <filterColumn colId="1" hiddenButton="1"/>
    <filterColumn colId="2" hiddenButton="1"/>
  </autoFilter>
  <tableColumns count="3">
    <tableColumn id="1" xr3:uid="{F09762C4-A2FE-4E41-9D55-47BAECA3B88C}" name="MMSm">
      <calculatedColumnFormula array="1">Common_InputFunctions.Utility_DisplayArrayInTable(SourceData_Poultry.SourceData_Poultry_EFmT_Data(),Table_SourceData_Poultry_EFmT[[#Headers],[MMSm]], 0)</calculatedColumnFormula>
    </tableColumn>
    <tableColumn id="2" xr3:uid="{FE2E40D4-6F56-4728-A4BC-EDAB5A737C4D}" name="EFmT" dataDxfId="37" dataCellStyle="Content normal">
      <calculatedColumnFormula array="1">Common_InputFunctions.Utility_DisplayArrayInTable(SourceData_Poultry.SourceData_Poultry_EFmT_Data(),Table_SourceData_Poultry_EFmT[[#Headers],[MMSm]], 0)</calculatedColumnFormula>
    </tableColumn>
    <tableColumn id="3" xr3:uid="{A4683055-F26C-4120-A660-7D1BE201E4C8}" name="NIR reference" dataDxfId="36" dataCellStyle="Content normal">
      <calculatedColumnFormula array="1">Common_InputFunctions.Utility_DisplayArrayInTable(SourceData_Poultry.SourceData_Poultry_EFmT_Data(),Table_SourceData_Poultry_EFmT[[#Headers],[MMSm]],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7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7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7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7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7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7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7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7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7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7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6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6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6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6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6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64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63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62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61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60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4" sqref="A4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205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40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107</v>
      </c>
      <c r="E6" s="115" t="s">
        <v>123</v>
      </c>
      <c r="F6" s="115" t="s">
        <v>124</v>
      </c>
      <c r="G6" s="115" t="s">
        <v>115</v>
      </c>
      <c r="H6" s="115" t="s">
        <v>125</v>
      </c>
      <c r="I6" s="115" t="s">
        <v>126</v>
      </c>
      <c r="J6" s="115" t="s">
        <v>116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202</v>
      </c>
      <c r="E7" s="112">
        <f>'4.6.1.1-2 Methane'!E280</f>
        <v>0</v>
      </c>
      <c r="F7" s="112">
        <f>'4.6.1.1-2 Methane'!O280</f>
        <v>0</v>
      </c>
      <c r="G7" s="54" t="s">
        <v>119</v>
      </c>
      <c r="H7" s="112">
        <f>'4.6.1.1-2 Methane'!E285</f>
        <v>0</v>
      </c>
      <c r="I7" s="112">
        <f>'4.6.1.1-2 Methane'!O285</f>
        <v>0</v>
      </c>
      <c r="J7" s="54" t="s">
        <v>121</v>
      </c>
      <c r="K7" s="22"/>
    </row>
    <row r="8" spans="1:11" ht="20.100000000000001" customHeight="1" x14ac:dyDescent="0.25">
      <c r="A8" s="17" t="str">
        <f>HYPERLINK("#'Input - Poultry'!A1", "Poultry")</f>
        <v>Poultry</v>
      </c>
      <c r="C8" s="22"/>
      <c r="D8" s="1" t="s">
        <v>203</v>
      </c>
      <c r="E8" s="112">
        <f>'4.6.1.3-4 Direct N20'!E274</f>
        <v>0</v>
      </c>
      <c r="F8" s="112">
        <f>'4.6.1.3-4 Direct N20'!O274</f>
        <v>0</v>
      </c>
      <c r="G8" s="54" t="s">
        <v>131</v>
      </c>
      <c r="H8" s="112">
        <f>'4.6.1.3-4 Direct N20'!E279</f>
        <v>0</v>
      </c>
      <c r="I8" s="112">
        <f>'4.6.1.3-4 Direct N20'!O279</f>
        <v>0</v>
      </c>
      <c r="J8" s="54" t="s">
        <v>121</v>
      </c>
      <c r="K8" s="22"/>
    </row>
    <row r="9" spans="1:11" ht="20.100000000000001" customHeight="1" x14ac:dyDescent="0.25">
      <c r="A9" s="17"/>
      <c r="C9" s="22"/>
      <c r="D9" s="1" t="s">
        <v>204</v>
      </c>
      <c r="E9" s="112">
        <f>'4.6.1.5-6 Atmos Dep'!E114</f>
        <v>0</v>
      </c>
      <c r="F9" s="112">
        <f>'4.6.1.5-6 Atmos Dep'!O114</f>
        <v>0</v>
      </c>
      <c r="G9" s="54" t="s">
        <v>131</v>
      </c>
      <c r="H9" s="112">
        <f>'4.6.1.5-6 Atmos Dep'!E119</f>
        <v>0</v>
      </c>
      <c r="I9" s="112">
        <f>'4.6.1.5-6 Atmos Dep'!O119</f>
        <v>0</v>
      </c>
      <c r="J9" s="54" t="s">
        <v>121</v>
      </c>
      <c r="K9" s="22"/>
    </row>
    <row r="10" spans="1:11" ht="20.100000000000001" customHeight="1" x14ac:dyDescent="0.25">
      <c r="A10" s="19" t="s">
        <v>76</v>
      </c>
      <c r="C10" s="22"/>
      <c r="D10" s="1" t="s">
        <v>167</v>
      </c>
      <c r="E10" s="112" t="str">
        <f>'4.6.1.7-8 Leaching and runoff'!$E$30</f>
        <v>Solid storage</v>
      </c>
      <c r="F10" s="112">
        <f>'4.6.1.7-8 Leaching and runoff'!$O$36</f>
        <v>0</v>
      </c>
      <c r="G10" s="54" t="s">
        <v>131</v>
      </c>
      <c r="H10" s="112">
        <f>'4.6.1.7-8 Leaching and runoff'!E54</f>
        <v>0</v>
      </c>
      <c r="I10" s="112">
        <f>'4.6.1.7-8 Leaching and runoff'!O54</f>
        <v>0</v>
      </c>
      <c r="J10" s="54" t="s">
        <v>121</v>
      </c>
      <c r="K10" s="22"/>
    </row>
    <row r="11" spans="1:11" ht="20.100000000000001" customHeight="1" x14ac:dyDescent="0.3">
      <c r="A11" s="17" t="str">
        <f>HYPERLINK("#'4.6.1.1-2 Methane'!A1", "4.6.1.1-2 Methane")</f>
        <v>4.6.1.1-2 Methane</v>
      </c>
      <c r="C11" s="22"/>
      <c r="D11" s="29" t="s">
        <v>114</v>
      </c>
      <c r="E11" s="23"/>
      <c r="F11" s="23"/>
      <c r="G11" s="29"/>
      <c r="H11" s="114">
        <f>SUM(H7:H10)</f>
        <v>0</v>
      </c>
      <c r="I11" s="114">
        <f>SUM(I7:I10)</f>
        <v>0</v>
      </c>
      <c r="J11" s="105" t="s">
        <v>121</v>
      </c>
      <c r="K11" s="22"/>
    </row>
    <row r="12" spans="1:11" ht="20.100000000000001" customHeight="1" x14ac:dyDescent="0.25">
      <c r="A12" s="17" t="str">
        <f>HYPERLINK("#'4.6.1.3-4 Direct N20'!A1", "4.6.1.3-4 Direct N2O")</f>
        <v>4.6.1.3-4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HYPERLINK("#'4.6.1.5-6 Atmos Dep'!A1", "4.6.1.5-6 Soil atm. deposition")</f>
        <v>4.6.1.5-6 Soil atm. deposition</v>
      </c>
      <c r="C13" s="22"/>
      <c r="D13" s="106" t="s">
        <v>188</v>
      </c>
      <c r="E13" s="1"/>
      <c r="F13" s="1"/>
      <c r="G13" s="1"/>
      <c r="H13" s="24"/>
      <c r="I13" s="1"/>
      <c r="J13" s="22"/>
      <c r="K13" s="22"/>
    </row>
    <row r="14" spans="1:11" ht="20.100000000000001" customHeight="1" x14ac:dyDescent="0.25">
      <c r="A14" s="17" t="str">
        <f>HYPERLINK("#'4.6.1.7-8 Leaching and runoff'!A1", "4.6.1.7-8 Leaching &amp; runoff")</f>
        <v>4.6.1.7-8 Leaching &amp; runoff</v>
      </c>
      <c r="C14" s="22"/>
      <c r="D14" s="136" t="s">
        <v>189</v>
      </c>
      <c r="E14" s="1"/>
      <c r="F14" s="1"/>
      <c r="G14" s="1"/>
      <c r="H14" s="1"/>
      <c r="I14" s="1"/>
      <c r="J14" s="22"/>
      <c r="K14" s="22"/>
    </row>
    <row r="15" spans="1:11" ht="20.100000000000001" customHeight="1" x14ac:dyDescent="0.25">
      <c r="A15" s="17" t="str">
        <f>HYPERLINK("#'4.6.1.9 Manure applied to soils'!A1", "4.6.1.9 Manure applied to soils")</f>
        <v>4.6.1.9 Manure applied to soils</v>
      </c>
      <c r="C15" s="22"/>
      <c r="D15" s="106"/>
      <c r="E15" s="1"/>
      <c r="F15" s="1"/>
      <c r="G15" s="1"/>
      <c r="H15" s="1"/>
      <c r="I15" s="1"/>
      <c r="J15" s="22"/>
      <c r="K15" s="22"/>
    </row>
    <row r="16" spans="1:11" ht="20.100000000000001" customHeight="1" x14ac:dyDescent="0.25">
      <c r="A16" s="17" t="str">
        <f>HYPERLINK("#'4.6.1.10-11 Soil direct N2O'!A1", "4.6.1.10-11 Soil direct N2O")</f>
        <v>4.6.1.10-11 Soil direct N2O</v>
      </c>
      <c r="C16" s="22"/>
      <c r="D16" s="115" t="s">
        <v>190</v>
      </c>
      <c r="E16" s="115" t="s">
        <v>191</v>
      </c>
      <c r="F16" s="115" t="s">
        <v>192</v>
      </c>
      <c r="G16" s="115" t="s">
        <v>193</v>
      </c>
      <c r="H16" s="115" t="s">
        <v>194</v>
      </c>
      <c r="I16" s="1"/>
      <c r="J16" s="22"/>
      <c r="K16" s="22"/>
    </row>
    <row r="17" spans="1:11" ht="20.100000000000001" customHeight="1" x14ac:dyDescent="0.25">
      <c r="A17" s="17" t="str">
        <f>HYPERLINK("#'4.6.1.12-13 Soil atmos dep'!A1", "4.6.1.12-13 Soil Atm. deposition")</f>
        <v>4.6.1.12-13 Soil Atm. deposition</v>
      </c>
      <c r="C17" s="22"/>
      <c r="D17" s="1" t="s">
        <v>195</v>
      </c>
      <c r="E17" s="129" t="str">
        <f>'4.6.1.9 Manure applied to soils'!E136</f>
        <v>Solid storage</v>
      </c>
      <c r="F17" s="54">
        <f>'4.6.1.9 Manure applied to soils'!F136</f>
        <v>0.11833280940000002</v>
      </c>
      <c r="G17" s="1" t="s">
        <v>201</v>
      </c>
      <c r="H17" s="1" t="s">
        <v>196</v>
      </c>
      <c r="I17" s="1"/>
      <c r="J17" s="22"/>
      <c r="K17" s="22"/>
    </row>
    <row r="18" spans="1:11" ht="20.100000000000001" customHeight="1" x14ac:dyDescent="0.25">
      <c r="A18" s="17" t="str">
        <f>HYPERLINK("#'4.6.1.14-15 Soil leach runoff'!A1", "4.6.1.14-15 Soil leach &amp; runoff")</f>
        <v>4.6.1.14-15 Soil leach &amp; runoff</v>
      </c>
      <c r="C18" s="22"/>
      <c r="D18" s="1" t="s">
        <v>197</v>
      </c>
      <c r="E18" s="129">
        <f>'4.6.1.9 Manure applied to soils'!E235</f>
        <v>0</v>
      </c>
      <c r="F18" s="54">
        <f>'4.6.1.9 Manure applied to soils'!F235</f>
        <v>0</v>
      </c>
      <c r="G18" s="1" t="s">
        <v>201</v>
      </c>
      <c r="H18" s="1" t="s">
        <v>196</v>
      </c>
      <c r="I18" s="22"/>
      <c r="J18" s="22"/>
      <c r="K18" s="22"/>
    </row>
    <row r="19" spans="1:11" ht="20.100000000000001" customHeight="1" x14ac:dyDescent="0.25">
      <c r="C19" s="22"/>
      <c r="D19" s="1" t="s">
        <v>198</v>
      </c>
      <c r="E19" s="129" t="str">
        <f>'4.6.1.9 Manure applied to soils'!E178</f>
        <v>Composting (passive windrow)</v>
      </c>
      <c r="F19" s="54">
        <f>'4.6.1.9 Manure applied to soils'!F178</f>
        <v>0.12062312184000003</v>
      </c>
      <c r="G19" s="1" t="s">
        <v>199</v>
      </c>
      <c r="H19" s="1" t="s">
        <v>200</v>
      </c>
      <c r="I19" s="22"/>
      <c r="J19" s="22"/>
      <c r="K19" s="22"/>
    </row>
    <row r="20" spans="1:11" ht="20.100000000000001" customHeight="1" x14ac:dyDescent="0.3">
      <c r="A20" s="18" t="s">
        <v>4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A21" s="17" t="str">
        <f>HYPERLINK("#'Constants - Poultry'!A1", "Constants - Poultry")</f>
        <v>Constants - Poultry</v>
      </c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 t="str">
        <f>HYPERLINK("#'Constants - Livestock'!A1", "Constants - Livestock")</f>
        <v>Constants - Livestock</v>
      </c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 t="str">
        <f>HYPERLINK("#'Constants - Common'!A1", "Constants - Common")</f>
        <v>Constants - Common</v>
      </c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 t="str">
        <f>HYPERLINK("#'Acknowledgements'!A1", "Acknowledgements")</f>
        <v>Acknowledgements</v>
      </c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7" sqref="A7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39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Poultry'!A1", "Poultry")</f>
        <v>Poultry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HYPERLINK("#'4.6.1.1-2 Methane'!A1", "4.6.1.1-2 Methane")</f>
        <v>4.6.1.1-2 Methane</v>
      </c>
      <c r="N11" s="43"/>
    </row>
    <row r="12" spans="1:24" ht="20.100000000000001" customHeight="1" x14ac:dyDescent="0.25">
      <c r="A12" s="17" t="str">
        <f>HYPERLINK("#'4.6.1.3-4 Direct N20'!A1", "4.6.1.3-4 Direct N2O")</f>
        <v>4.6.1.3-4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HYPERLINK("#'4.6.1.5-6 Atmos Dep'!A1", "4.6.1.5-6 Soil atm. deposition")</f>
        <v>4.6.1.5-6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HYPERLINK("#'4.6.1.7-8 Leaching and runoff'!A1", "4.6.1.7-8 Leaching &amp; runoff")</f>
        <v>4.6.1.7-8 Leaching &amp; runoff</v>
      </c>
      <c r="N14" s="38"/>
      <c r="O14" s="38"/>
    </row>
    <row r="15" spans="1:24" ht="20.100000000000001" customHeight="1" x14ac:dyDescent="0.25">
      <c r="A15" s="17" t="str">
        <f>HYPERLINK("#'4.6.1.9 Manure applied to soils'!A1", "4.6.1.9 Manure applied to soils")</f>
        <v>4.6.1.9 Manure applied to soils</v>
      </c>
      <c r="N15" s="38"/>
      <c r="O15" s="38"/>
    </row>
    <row r="16" spans="1:24" ht="20.100000000000001" customHeight="1" x14ac:dyDescent="0.25">
      <c r="A16" s="17" t="str">
        <f>HYPERLINK("#'4.6.1.10-11 Soil direct N2O'!A1", "4.6.1.10-11 Soil direct N2O")</f>
        <v>4.6.1.10-11 Soil direct N2O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HYPERLINK("#'4.6.1.12-13 Soil atmos dep'!A1", "4.6.1.12-13 Soil Atm. deposition")</f>
        <v>4.6.1.12-13 Soil Atm. deposition</v>
      </c>
    </row>
    <row r="18" spans="1:25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6" t="s">
        <v>16</v>
      </c>
      <c r="E18" s="91"/>
      <c r="F18" s="91"/>
      <c r="G18" s="87"/>
    </row>
    <row r="19" spans="1:25" ht="20.100000000000001" customHeight="1" x14ac:dyDescent="0.25">
      <c r="A19"/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8" t="s">
        <v>4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HYPERLINK("#'Constants - Poultry'!A1", "Constants - Poultry")</f>
        <v>Constants - Poultry</v>
      </c>
      <c r="D21" s="1" t="s">
        <v>8</v>
      </c>
      <c r="E21" s="39" t="s">
        <v>128</v>
      </c>
      <c r="F21" s="2" t="s">
        <v>11</v>
      </c>
    </row>
    <row r="22" spans="1:25" ht="20.100000000000001" customHeight="1" x14ac:dyDescent="0.25">
      <c r="A22" s="17" t="str">
        <f>HYPERLINK("#'Constants - Livestock'!A1", "Constants - Livestock")</f>
        <v>Constants - Livestock</v>
      </c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 t="str">
        <f>HYPERLINK("#'Constants - Common'!A1", "Constants - Common")</f>
        <v>Constants - Common</v>
      </c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 t="str">
        <f>HYPERLINK("#'Acknowledgements'!A1", "Acknowledgements")</f>
        <v>Acknowledgements</v>
      </c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zoomScale="85" zoomScaleNormal="85" workbookViewId="0">
      <selection activeCell="A8" sqref="A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15.285156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206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146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/>
      <c r="E6" s="90"/>
      <c r="F6" s="90"/>
      <c r="G6" s="90"/>
      <c r="H6" s="88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39" t="str">
        <f>HYPERLINK("#'Input - Poultry'!A1", "Poultry")</f>
        <v>Poultry</v>
      </c>
      <c r="M8" s="3"/>
      <c r="Q8" s="7"/>
    </row>
    <row r="9" spans="1:22" ht="20.100000000000001" customHeight="1" x14ac:dyDescent="0.25">
      <c r="A9" s="17"/>
      <c r="E9" s="118" t="s">
        <v>209</v>
      </c>
      <c r="F9" s="118" t="s">
        <v>210</v>
      </c>
      <c r="G9" s="118" t="s">
        <v>224</v>
      </c>
      <c r="H9" s="118" t="s">
        <v>225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HYPERLINK("#'4.6.1.1-2 Methane'!A1", "4.6.1.1-2 Methane")</f>
        <v>4.6.1.1-2 Methane</v>
      </c>
      <c r="D11" s="48" t="str">
        <f>"Average number of birds between " &amp; TEXT('Input - Site'!$E$12, "dd mmm yy") &amp; " and " &amp; TEXT('Input - Site'!$E$13, "dd mmm yy")</f>
        <v>Average number of birds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99</v>
      </c>
      <c r="Q11" s="7"/>
    </row>
    <row r="12" spans="1:22" ht="20.100000000000001" customHeight="1" x14ac:dyDescent="0.25">
      <c r="A12" s="17" t="str">
        <f>HYPERLINK("#'4.6.1.3-4 Direct N20'!A1", "4.6.1.3-4 Direct N2O")</f>
        <v>4.6.1.3-4 Direct N2O</v>
      </c>
      <c r="Q12" s="7"/>
    </row>
    <row r="13" spans="1:22" ht="20.100000000000001" customHeight="1" x14ac:dyDescent="0.25">
      <c r="A13" s="17" t="str">
        <f>HYPERLINK("#'4.6.1.5-6 Atmos Dep'!A1", "4.6.1.5-6 Soil atm. deposition")</f>
        <v>4.6.1.5-6 Soil atm. deposition</v>
      </c>
      <c r="D13" s="6" t="s">
        <v>134</v>
      </c>
      <c r="Q13" s="38"/>
    </row>
    <row r="14" spans="1:22" ht="20.100000000000001" customHeight="1" x14ac:dyDescent="0.25">
      <c r="A14" s="17" t="str">
        <f>HYPERLINK("#'4.6.1.7-8 Leaching and runoff'!A1", "4.6.1.7-8 Leaching &amp; runoff")</f>
        <v>4.6.1.7-8 Leaching &amp; runoff</v>
      </c>
      <c r="Q14" s="38"/>
    </row>
    <row r="15" spans="1:22" ht="20.100000000000001" customHeight="1" x14ac:dyDescent="0.25">
      <c r="A15" s="17" t="str">
        <f>HYPERLINK("#'4.6.1.9 Manure applied to soils'!A1", "4.6.1.9 Manure applied to soils")</f>
        <v>4.6.1.9 Manure applied to soils</v>
      </c>
      <c r="D15" s="63" t="s">
        <v>154</v>
      </c>
      <c r="E15" s="118" t="s">
        <v>209</v>
      </c>
      <c r="F15" s="118" t="s">
        <v>210</v>
      </c>
      <c r="G15" s="118" t="s">
        <v>224</v>
      </c>
      <c r="H15" s="118" t="s">
        <v>225</v>
      </c>
      <c r="Q15" s="38"/>
    </row>
    <row r="16" spans="1:22" ht="20.100000000000001" customHeight="1" x14ac:dyDescent="0.25">
      <c r="A16" s="17" t="str">
        <f>HYPERLINK("#'4.6.1.10-11 Soil direct N2O'!A1", "4.6.1.10-11 Soil direct N2O")</f>
        <v>4.6.1.10-11 Soil direct N2O</v>
      </c>
      <c r="D16" s="1" t="s">
        <v>227</v>
      </c>
      <c r="E16" s="52">
        <f>'Constants - Poultry'!E9</f>
        <v>8.5999999999999993E-2</v>
      </c>
      <c r="F16" s="52">
        <f>'Constants - Poultry'!F9</f>
        <v>9.2999999999999999E-2</v>
      </c>
      <c r="G16" s="52">
        <f>'Constants - Poultry'!G9</f>
        <v>0.10299999999999999</v>
      </c>
      <c r="H16" s="52">
        <f>'Constants - Poultry'!H9</f>
        <v>9.2999999999999999E-2</v>
      </c>
      <c r="I16" s="2" t="s">
        <v>229</v>
      </c>
      <c r="Q16" s="38"/>
    </row>
    <row r="17" spans="1:17" ht="20.100000000000001" customHeight="1" x14ac:dyDescent="0.25">
      <c r="A17" s="17" t="str">
        <f>HYPERLINK("#'4.6.1.12-13 Soil atmos dep'!A1", "4.6.1.12-13 Soil Atm. deposition")</f>
        <v>4.6.1.12-13 Soil Atm. deposition</v>
      </c>
      <c r="D17" s="1" t="s">
        <v>228</v>
      </c>
      <c r="E17" s="52">
        <f>'Constants - Poultry'!E10</f>
        <v>0.8</v>
      </c>
      <c r="F17" s="52">
        <f>'Constants - Poultry'!F10</f>
        <v>0.8</v>
      </c>
      <c r="G17" s="52">
        <f>'Constants - Poultry'!G10</f>
        <v>0.8</v>
      </c>
      <c r="H17" s="52">
        <f>'Constants - Poultry'!H10</f>
        <v>0.8</v>
      </c>
      <c r="I17" s="2" t="s">
        <v>118</v>
      </c>
      <c r="Q17" s="7"/>
    </row>
    <row r="18" spans="1:17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1" t="s">
        <v>260</v>
      </c>
      <c r="E18" s="52">
        <f>'Constants - Poultry'!E11</f>
        <v>0.19</v>
      </c>
      <c r="F18" s="52">
        <f>'Constants - Poultry'!F11</f>
        <v>0.23</v>
      </c>
      <c r="G18" s="52">
        <f>'Constants - Poultry'!G11</f>
        <v>0.19</v>
      </c>
      <c r="H18" s="52">
        <f>'Constants - Poultry'!H11</f>
        <v>0.23</v>
      </c>
      <c r="I18" s="2" t="s">
        <v>118</v>
      </c>
      <c r="J18" s="2"/>
      <c r="Q18" s="7"/>
    </row>
    <row r="19" spans="1:17" ht="20.100000000000001" customHeight="1" x14ac:dyDescent="0.25">
      <c r="Q19" s="7"/>
    </row>
    <row r="20" spans="1:17" ht="20.100000000000001" customHeight="1" x14ac:dyDescent="0.25">
      <c r="A20" s="18" t="s">
        <v>4</v>
      </c>
      <c r="D20" s="63" t="s">
        <v>155</v>
      </c>
      <c r="E20" s="118" t="s">
        <v>209</v>
      </c>
      <c r="F20" s="118" t="s">
        <v>210</v>
      </c>
      <c r="G20" s="118" t="s">
        <v>224</v>
      </c>
      <c r="H20" s="118" t="s">
        <v>225</v>
      </c>
      <c r="Q20" s="7"/>
    </row>
    <row r="21" spans="1:17" ht="20.100000000000001" customHeight="1" x14ac:dyDescent="0.25">
      <c r="A21" s="17" t="str">
        <f>HYPERLINK("#'Constants - Poultry'!A1", "Constants - Poultry")</f>
        <v>Constants - Poultry</v>
      </c>
      <c r="D21" s="1" t="s">
        <v>227</v>
      </c>
      <c r="E21" s="66">
        <f>'Constants - Poultry'!E9</f>
        <v>8.5999999999999993E-2</v>
      </c>
      <c r="F21" s="66">
        <f>'Constants - Poultry'!F9</f>
        <v>9.2999999999999999E-2</v>
      </c>
      <c r="G21" s="66">
        <f>'Constants - Poultry'!G9</f>
        <v>0.10299999999999999</v>
      </c>
      <c r="H21" s="66">
        <f>'Constants - Poultry'!H9</f>
        <v>9.2999999999999999E-2</v>
      </c>
      <c r="I21" s="2" t="s">
        <v>229</v>
      </c>
      <c r="Q21" s="7"/>
    </row>
    <row r="22" spans="1:17" ht="20.100000000000001" customHeight="1" x14ac:dyDescent="0.25">
      <c r="A22" s="17" t="str">
        <f>HYPERLINK("#'Constants - Livestock'!A1", "Constants - Livestock")</f>
        <v>Constants - Livestock</v>
      </c>
      <c r="D22" s="1" t="s">
        <v>228</v>
      </c>
      <c r="E22" s="66">
        <f>'Constants - Poultry'!E10</f>
        <v>0.8</v>
      </c>
      <c r="F22" s="66">
        <f>'Constants - Poultry'!F10</f>
        <v>0.8</v>
      </c>
      <c r="G22" s="66">
        <f>'Constants - Poultry'!G10</f>
        <v>0.8</v>
      </c>
      <c r="H22" s="66">
        <f>'Constants - Poultry'!H10</f>
        <v>0.8</v>
      </c>
      <c r="I22" s="2" t="s">
        <v>118</v>
      </c>
      <c r="Q22" s="7"/>
    </row>
    <row r="23" spans="1:17" ht="20.100000000000001" customHeight="1" x14ac:dyDescent="0.25">
      <c r="A23" s="17" t="str">
        <f>HYPERLINK("#'Constants - Common'!A1", "Constants - Common")</f>
        <v>Constants - Common</v>
      </c>
      <c r="D23" s="1" t="s">
        <v>260</v>
      </c>
      <c r="E23" s="66">
        <f>'Constants - Poultry'!E11</f>
        <v>0.19</v>
      </c>
      <c r="F23" s="66">
        <f>'Constants - Poultry'!F11</f>
        <v>0.23</v>
      </c>
      <c r="G23" s="66">
        <f>'Constants - Poultry'!G11</f>
        <v>0.19</v>
      </c>
      <c r="H23" s="66">
        <f>'Constants - Poultry'!H11</f>
        <v>0.23</v>
      </c>
      <c r="I23" s="2" t="s">
        <v>118</v>
      </c>
      <c r="Q23" s="7"/>
    </row>
    <row r="24" spans="1:17" ht="20.100000000000001" customHeight="1" x14ac:dyDescent="0.25">
      <c r="A24" s="17" t="str">
        <f>HYPERLINK("#'Acknowledgements'!A1", "Acknowledgements")</f>
        <v>Acknowledgements</v>
      </c>
      <c r="Q24" s="7"/>
    </row>
    <row r="25" spans="1:17" ht="20.100000000000001" customHeight="1" x14ac:dyDescent="0.25">
      <c r="D25" s="6" t="s">
        <v>142</v>
      </c>
      <c r="Q25" s="7"/>
    </row>
    <row r="26" spans="1:17" ht="20.100000000000001" customHeight="1" x14ac:dyDescent="0.25">
      <c r="Q26" s="7"/>
    </row>
    <row r="27" spans="1:17" ht="20.100000000000001" customHeight="1" x14ac:dyDescent="0.25">
      <c r="A27" s="17"/>
      <c r="D27" s="1" t="s">
        <v>112</v>
      </c>
      <c r="E27" s="39" t="s">
        <v>223</v>
      </c>
      <c r="F27" s="2" t="s">
        <v>11</v>
      </c>
      <c r="Q27" s="7"/>
    </row>
    <row r="28" spans="1:17" ht="20.100000000000001" customHeight="1" x14ac:dyDescent="0.25">
      <c r="A28" s="17"/>
      <c r="Q28" s="7"/>
    </row>
    <row r="29" spans="1:17" ht="20.100000000000001" customHeight="1" x14ac:dyDescent="0.25">
      <c r="A29" s="17"/>
      <c r="D29" s="63" t="s">
        <v>143</v>
      </c>
      <c r="E29" s="118" t="s">
        <v>209</v>
      </c>
      <c r="F29" s="118" t="s">
        <v>210</v>
      </c>
      <c r="G29" s="118" t="s">
        <v>224</v>
      </c>
      <c r="H29" s="118" t="s">
        <v>225</v>
      </c>
      <c r="Q29" s="7"/>
    </row>
    <row r="30" spans="1:17" ht="20.100000000000001" customHeight="1" x14ac:dyDescent="0.25">
      <c r="A30" s="17"/>
      <c r="D30" s="124" t="str">
        <f>'Constants - Poultry'!G29</f>
        <v>Poultry manure with bedding</v>
      </c>
      <c r="E30" s="46">
        <v>0.3</v>
      </c>
      <c r="F30" s="46">
        <v>0.3</v>
      </c>
      <c r="G30" s="46">
        <v>0.3</v>
      </c>
      <c r="H30" s="46">
        <v>0.3</v>
      </c>
      <c r="I30" s="2" t="s">
        <v>18</v>
      </c>
      <c r="Q30" s="7"/>
    </row>
    <row r="31" spans="1:17" ht="20.100000000000001" customHeight="1" x14ac:dyDescent="0.25">
      <c r="A31" s="67"/>
      <c r="D31" s="124" t="str">
        <f>'Constants - Poultry'!G30</f>
        <v>Belt manure removal</v>
      </c>
      <c r="E31" s="46">
        <v>0.3</v>
      </c>
      <c r="F31" s="46">
        <v>0.3</v>
      </c>
      <c r="G31" s="46">
        <v>0.3</v>
      </c>
      <c r="H31" s="46">
        <v>0.3</v>
      </c>
      <c r="I31" s="2" t="s">
        <v>18</v>
      </c>
      <c r="Q31" s="7"/>
    </row>
    <row r="32" spans="1:17" ht="20.100000000000001" customHeight="1" x14ac:dyDescent="0.25">
      <c r="A32" s="67"/>
      <c r="D32" s="124" t="str">
        <f>'Constants - Poultry'!G31</f>
        <v>Manure stored in house</v>
      </c>
      <c r="E32" s="46">
        <v>0.3</v>
      </c>
      <c r="F32" s="46">
        <v>0.3</v>
      </c>
      <c r="G32" s="46">
        <v>0.3</v>
      </c>
      <c r="H32" s="46">
        <v>0.3</v>
      </c>
      <c r="I32" s="2" t="s">
        <v>18</v>
      </c>
      <c r="Q32" s="7"/>
    </row>
    <row r="33" spans="1:17" ht="20.100000000000001" customHeight="1" x14ac:dyDescent="0.25">
      <c r="A33" s="17"/>
      <c r="D33" s="124" t="str">
        <f>'Constants - Poultry'!G32</f>
        <v>Pasture range and paddock</v>
      </c>
      <c r="E33" s="46">
        <v>0.1</v>
      </c>
      <c r="F33" s="46">
        <v>0.1</v>
      </c>
      <c r="G33" s="46">
        <v>0.1</v>
      </c>
      <c r="H33" s="46">
        <v>0.1</v>
      </c>
      <c r="I33" s="2" t="s">
        <v>18</v>
      </c>
      <c r="Q33" s="7"/>
    </row>
    <row r="34" spans="1:17" ht="20.100000000000001" customHeight="1" x14ac:dyDescent="0.25">
      <c r="D34" s="123" t="s">
        <v>144</v>
      </c>
      <c r="E34" s="97">
        <f>SUM(E30,E31,E32,E33)</f>
        <v>0.99999999999999989</v>
      </c>
      <c r="F34" s="97">
        <f>SUM(F30,F31,F32,F33)</f>
        <v>0.99999999999999989</v>
      </c>
      <c r="G34" s="97">
        <f>SUM(G30,G31,G32,G33)</f>
        <v>0.99999999999999989</v>
      </c>
      <c r="H34" s="97">
        <f>SUM(H30,H31,H32,H33)</f>
        <v>0.99999999999999989</v>
      </c>
      <c r="I34" s="2"/>
      <c r="Q34" s="7"/>
    </row>
    <row r="35" spans="1:17" ht="20.100000000000001" customHeight="1" x14ac:dyDescent="0.25">
      <c r="D35" s="130" t="s">
        <v>151</v>
      </c>
      <c r="Q35" s="7"/>
    </row>
    <row r="36" spans="1:17" ht="20.100000000000001" customHeight="1" x14ac:dyDescent="0.25">
      <c r="D36" s="126" t="s">
        <v>145</v>
      </c>
      <c r="E36" s="118" t="s">
        <v>209</v>
      </c>
      <c r="F36" s="118" t="s">
        <v>210</v>
      </c>
      <c r="G36" s="118" t="s">
        <v>224</v>
      </c>
      <c r="H36" s="118" t="s">
        <v>225</v>
      </c>
      <c r="I36" s="131" t="s">
        <v>152</v>
      </c>
      <c r="J36" s="63" t="s">
        <v>147</v>
      </c>
      <c r="K36" s="63"/>
      <c r="L36" s="119"/>
      <c r="Q36" s="7"/>
    </row>
    <row r="37" spans="1:17" ht="20.100000000000001" customHeight="1" x14ac:dyDescent="0.25">
      <c r="D37" s="127" t="str">
        <f>"From stage 1: " &amp; $D$30</f>
        <v>From stage 1: Poultry manure with bedding</v>
      </c>
      <c r="E37" s="106" t="str">
        <f>IF(SUM(E30:H30)&gt;0,"Manure was sent to this MMS, please complete this section.","No manure was sent to this MMS. Leave this section blank.")</f>
        <v>Manure was sent to this MMS, please complete this section.</v>
      </c>
      <c r="J37" s="129" t="s">
        <v>148</v>
      </c>
      <c r="K37" s="129" t="s">
        <v>149</v>
      </c>
      <c r="L37" s="129" t="s">
        <v>150</v>
      </c>
      <c r="Q37" s="7"/>
    </row>
    <row r="38" spans="1:17" ht="20.100000000000001" customHeight="1" x14ac:dyDescent="0.25">
      <c r="D38" s="128" t="str">
        <f>'Constants - Poultry'!$J$29</f>
        <v>Solid storage</v>
      </c>
      <c r="E38" s="46">
        <v>0.2</v>
      </c>
      <c r="F38" s="46">
        <v>0.2</v>
      </c>
      <c r="G38" s="46">
        <v>0.2</v>
      </c>
      <c r="H38" s="46">
        <v>0.2</v>
      </c>
      <c r="I38" s="2" t="s">
        <v>18</v>
      </c>
      <c r="J38" s="46">
        <v>0.25</v>
      </c>
      <c r="K38" s="46">
        <v>0.25</v>
      </c>
      <c r="L38" s="97">
        <f t="shared" ref="L38:L41" si="0">1-SUM(J38:K38)</f>
        <v>0.5</v>
      </c>
      <c r="Q38" s="7"/>
    </row>
    <row r="39" spans="1:17" ht="20.100000000000001" customHeight="1" x14ac:dyDescent="0.25">
      <c r="A39" s="17"/>
      <c r="D39" s="128" t="str">
        <f>'Constants - Poultry'!$J$30</f>
        <v>Composting (passive windrow)</v>
      </c>
      <c r="E39" s="46">
        <v>0.2</v>
      </c>
      <c r="F39" s="46">
        <v>0.2</v>
      </c>
      <c r="G39" s="46">
        <v>0.2</v>
      </c>
      <c r="H39" s="46">
        <v>0.2</v>
      </c>
      <c r="I39" s="2" t="s">
        <v>18</v>
      </c>
      <c r="J39" s="46">
        <v>0.25</v>
      </c>
      <c r="K39" s="46">
        <v>0.25</v>
      </c>
      <c r="L39" s="97">
        <f t="shared" si="0"/>
        <v>0.5</v>
      </c>
      <c r="Q39" s="7"/>
    </row>
    <row r="40" spans="1:17" ht="20.100000000000001" customHeight="1" x14ac:dyDescent="0.25">
      <c r="D40" s="128" t="str">
        <f>'Constants - Poultry'!$J$31</f>
        <v>Digester / covered lagoons</v>
      </c>
      <c r="E40" s="46">
        <v>0.2</v>
      </c>
      <c r="F40" s="46">
        <v>0.2</v>
      </c>
      <c r="G40" s="46">
        <v>0.2</v>
      </c>
      <c r="H40" s="46">
        <v>0.2</v>
      </c>
      <c r="I40" s="2" t="s">
        <v>18</v>
      </c>
      <c r="J40" s="46">
        <v>0.25</v>
      </c>
      <c r="K40" s="46">
        <v>0.25</v>
      </c>
      <c r="L40" s="97">
        <f t="shared" si="0"/>
        <v>0.5</v>
      </c>
      <c r="Q40" s="7"/>
    </row>
    <row r="41" spans="1:17" ht="20.100000000000001" customHeight="1" x14ac:dyDescent="0.25">
      <c r="A41" s="44"/>
      <c r="D41" s="128" t="str">
        <f>'Constants - Poultry'!$J$32</f>
        <v>Direct processing</v>
      </c>
      <c r="E41" s="46">
        <v>0.2</v>
      </c>
      <c r="F41" s="46">
        <v>0.2</v>
      </c>
      <c r="G41" s="46">
        <v>0.2</v>
      </c>
      <c r="H41" s="46">
        <v>0.2</v>
      </c>
      <c r="I41" s="2" t="s">
        <v>18</v>
      </c>
      <c r="J41" s="46">
        <v>0.25</v>
      </c>
      <c r="K41" s="46">
        <v>0.25</v>
      </c>
      <c r="L41" s="97">
        <f t="shared" ref="L41" si="1">1-SUM(J41:K41)</f>
        <v>0.5</v>
      </c>
      <c r="Q41" s="7"/>
    </row>
    <row r="42" spans="1:17" ht="20.100000000000001" customHeight="1" x14ac:dyDescent="0.25">
      <c r="D42" s="144" t="s">
        <v>150</v>
      </c>
      <c r="E42" s="97">
        <f>1-SUM(E38:E41)</f>
        <v>0.19999999999999996</v>
      </c>
      <c r="F42" s="97">
        <f t="shared" ref="F42:H42" si="2">1-SUM(F38:F41)</f>
        <v>0.19999999999999996</v>
      </c>
      <c r="G42" s="97">
        <f t="shared" si="2"/>
        <v>0.19999999999999996</v>
      </c>
      <c r="H42" s="97">
        <f t="shared" si="2"/>
        <v>0.19999999999999996</v>
      </c>
      <c r="I42" s="2" t="s">
        <v>18</v>
      </c>
      <c r="Q42" s="7"/>
    </row>
    <row r="43" spans="1:17" ht="20.100000000000001" customHeight="1" x14ac:dyDescent="0.25">
      <c r="D43" s="125"/>
      <c r="F43" s="2"/>
      <c r="Q43" s="7"/>
    </row>
    <row r="44" spans="1:17" ht="20.100000000000001" customHeight="1" x14ac:dyDescent="0.25">
      <c r="D44" s="127" t="str">
        <f>"From stage 1: " &amp; $D$31</f>
        <v>From stage 1: Belt manure removal</v>
      </c>
      <c r="E44" s="106" t="str">
        <f>IF(SUM(E31:H31)&gt;0,"Manure was sent to this MMS, please complete this section.","No manure was sent to this MMS. Leave this section blank.")</f>
        <v>Manure was sent to this MMS, please complete this section.</v>
      </c>
      <c r="J44" s="129" t="s">
        <v>148</v>
      </c>
      <c r="K44" s="129" t="s">
        <v>149</v>
      </c>
      <c r="L44" s="129" t="s">
        <v>150</v>
      </c>
      <c r="Q44" s="7"/>
    </row>
    <row r="45" spans="1:17" ht="20.100000000000001" customHeight="1" x14ac:dyDescent="0.25">
      <c r="D45" s="128" t="str">
        <f>'Constants - Poultry'!$J$29</f>
        <v>Solid storage</v>
      </c>
      <c r="E45" s="46">
        <v>0.2</v>
      </c>
      <c r="F45" s="46">
        <v>0.2</v>
      </c>
      <c r="G45" s="46">
        <v>0.2</v>
      </c>
      <c r="H45" s="46">
        <v>0.2</v>
      </c>
      <c r="I45" s="2" t="s">
        <v>18</v>
      </c>
      <c r="J45" s="46">
        <v>0.25</v>
      </c>
      <c r="K45" s="46">
        <v>0.25</v>
      </c>
      <c r="L45" s="97">
        <f>1-SUM(J45:K45)</f>
        <v>0.5</v>
      </c>
      <c r="Q45" s="7"/>
    </row>
    <row r="46" spans="1:17" ht="20.100000000000001" customHeight="1" x14ac:dyDescent="0.25">
      <c r="D46" s="128" t="str">
        <f>'Constants - Poultry'!$J$30</f>
        <v>Composting (passive windrow)</v>
      </c>
      <c r="E46" s="46">
        <v>0.2</v>
      </c>
      <c r="F46" s="46">
        <v>0.2</v>
      </c>
      <c r="G46" s="46">
        <v>0.2</v>
      </c>
      <c r="H46" s="46">
        <v>0.2</v>
      </c>
      <c r="I46" s="2" t="s">
        <v>18</v>
      </c>
      <c r="J46" s="46">
        <v>0.25</v>
      </c>
      <c r="K46" s="46">
        <v>0.25</v>
      </c>
      <c r="L46" s="97">
        <f t="shared" ref="L46:L49" si="3">1-SUM(J46:K46)</f>
        <v>0.5</v>
      </c>
      <c r="Q46" s="7"/>
    </row>
    <row r="47" spans="1:17" ht="20.100000000000001" customHeight="1" x14ac:dyDescent="0.25">
      <c r="D47" s="128" t="str">
        <f>'Constants - Poultry'!$J$31</f>
        <v>Digester / covered lagoons</v>
      </c>
      <c r="E47" s="46">
        <v>0.2</v>
      </c>
      <c r="F47" s="46">
        <v>0.2</v>
      </c>
      <c r="G47" s="46">
        <v>0.2</v>
      </c>
      <c r="H47" s="46">
        <v>0.2</v>
      </c>
      <c r="I47" s="2" t="s">
        <v>18</v>
      </c>
      <c r="J47" s="46">
        <v>0.25</v>
      </c>
      <c r="K47" s="46">
        <v>0.25</v>
      </c>
      <c r="L47" s="97">
        <f t="shared" si="3"/>
        <v>0.5</v>
      </c>
      <c r="Q47" s="7"/>
    </row>
    <row r="48" spans="1:17" ht="20.100000000000001" customHeight="1" x14ac:dyDescent="0.25">
      <c r="D48" s="128" t="str">
        <f>'Constants - Poultry'!$J$32</f>
        <v>Direct processing</v>
      </c>
      <c r="E48" s="46">
        <v>0.2</v>
      </c>
      <c r="F48" s="46">
        <v>0.2</v>
      </c>
      <c r="G48" s="46">
        <v>0.2</v>
      </c>
      <c r="H48" s="46">
        <v>0.2</v>
      </c>
      <c r="I48" s="2" t="s">
        <v>18</v>
      </c>
      <c r="J48" s="46">
        <v>0.25</v>
      </c>
      <c r="K48" s="46">
        <v>0.25</v>
      </c>
      <c r="L48" s="97">
        <f t="shared" si="3"/>
        <v>0.5</v>
      </c>
      <c r="Q48" s="7"/>
    </row>
    <row r="49" spans="4:17" ht="20.100000000000001" customHeight="1" x14ac:dyDescent="0.25">
      <c r="D49" s="144" t="s">
        <v>150</v>
      </c>
      <c r="E49" s="97">
        <f>1-SUM(E45:E48)</f>
        <v>0.19999999999999996</v>
      </c>
      <c r="F49" s="97">
        <f t="shared" ref="F49:H49" si="4">1-SUM(F45:F48)</f>
        <v>0.19999999999999996</v>
      </c>
      <c r="G49" s="97">
        <f t="shared" si="4"/>
        <v>0.19999999999999996</v>
      </c>
      <c r="H49" s="97">
        <f t="shared" si="4"/>
        <v>0.19999999999999996</v>
      </c>
      <c r="Q49" s="7"/>
    </row>
    <row r="50" spans="4:17" ht="20.100000000000001" customHeight="1" x14ac:dyDescent="0.25">
      <c r="Q50" s="7"/>
    </row>
    <row r="51" spans="4:17" ht="20.100000000000001" customHeight="1" x14ac:dyDescent="0.25">
      <c r="D51" s="127" t="str">
        <f>"From stage 1: " &amp; $D$32</f>
        <v>From stage 1: Manure stored in house</v>
      </c>
      <c r="E51" s="106" t="str">
        <f>IF(SUM(E32:H32)&gt;0,"Manure was sent to this MMS, please complete this section.","No manure was sent to this MMS. Leave this section blank.")</f>
        <v>Manure was sent to this MMS, please complete this section.</v>
      </c>
      <c r="J51" s="129" t="s">
        <v>148</v>
      </c>
      <c r="K51" s="129" t="s">
        <v>149</v>
      </c>
      <c r="L51" s="129" t="s">
        <v>150</v>
      </c>
      <c r="Q51" s="7"/>
    </row>
    <row r="52" spans="4:17" ht="20.100000000000001" customHeight="1" x14ac:dyDescent="0.25">
      <c r="D52" s="128" t="str">
        <f>'Constants - Poultry'!$J$29</f>
        <v>Solid storage</v>
      </c>
      <c r="E52" s="46">
        <v>0.2</v>
      </c>
      <c r="F52" s="46">
        <v>0.2</v>
      </c>
      <c r="G52" s="46">
        <v>0.2</v>
      </c>
      <c r="H52" s="46">
        <v>0.2</v>
      </c>
      <c r="I52" s="2" t="s">
        <v>18</v>
      </c>
      <c r="J52" s="46">
        <v>0.25</v>
      </c>
      <c r="K52" s="46">
        <v>0.25</v>
      </c>
      <c r="L52" s="97">
        <f>1-SUM(J52:K52)</f>
        <v>0.5</v>
      </c>
      <c r="Q52" s="7"/>
    </row>
    <row r="53" spans="4:17" ht="20.100000000000001" customHeight="1" x14ac:dyDescent="0.25">
      <c r="D53" s="128" t="str">
        <f>'Constants - Poultry'!$J$30</f>
        <v>Composting (passive windrow)</v>
      </c>
      <c r="E53" s="46">
        <v>0.2</v>
      </c>
      <c r="F53" s="46">
        <v>0.2</v>
      </c>
      <c r="G53" s="46">
        <v>0.2</v>
      </c>
      <c r="H53" s="46">
        <v>0.2</v>
      </c>
      <c r="I53" s="2" t="s">
        <v>18</v>
      </c>
      <c r="J53" s="46">
        <v>0.25</v>
      </c>
      <c r="K53" s="46">
        <v>0.25</v>
      </c>
      <c r="L53" s="97">
        <f>1-SUM(J53:K53)</f>
        <v>0.5</v>
      </c>
      <c r="Q53" s="7"/>
    </row>
    <row r="54" spans="4:17" ht="20.100000000000001" customHeight="1" x14ac:dyDescent="0.25">
      <c r="D54" s="128" t="str">
        <f>'Constants - Poultry'!$J$31</f>
        <v>Digester / covered lagoons</v>
      </c>
      <c r="E54" s="46">
        <v>0.2</v>
      </c>
      <c r="F54" s="46">
        <v>0.2</v>
      </c>
      <c r="G54" s="46">
        <v>0.2</v>
      </c>
      <c r="H54" s="46">
        <v>0.2</v>
      </c>
      <c r="I54" s="2" t="s">
        <v>18</v>
      </c>
      <c r="J54" s="46">
        <v>0.25</v>
      </c>
      <c r="K54" s="46">
        <v>0.25</v>
      </c>
      <c r="L54" s="97">
        <f>1-SUM(J54:K54)</f>
        <v>0.5</v>
      </c>
      <c r="Q54" s="7"/>
    </row>
    <row r="55" spans="4:17" ht="20.100000000000001" customHeight="1" x14ac:dyDescent="0.25">
      <c r="D55" s="128" t="str">
        <f>'Constants - Poultry'!$J$32</f>
        <v>Direct processing</v>
      </c>
      <c r="E55" s="46">
        <v>0.2</v>
      </c>
      <c r="F55" s="46">
        <v>0.2</v>
      </c>
      <c r="G55" s="46">
        <v>0.2</v>
      </c>
      <c r="H55" s="46">
        <v>0.2</v>
      </c>
      <c r="I55" s="2" t="s">
        <v>18</v>
      </c>
      <c r="J55" s="46">
        <v>0.25</v>
      </c>
      <c r="K55" s="46">
        <v>0.25</v>
      </c>
      <c r="L55" s="97">
        <f t="shared" ref="L55" si="5">1-SUM(J55:K55)</f>
        <v>0.5</v>
      </c>
      <c r="Q55" s="7"/>
    </row>
    <row r="56" spans="4:17" ht="20.100000000000001" customHeight="1" x14ac:dyDescent="0.25">
      <c r="D56" s="144" t="s">
        <v>150</v>
      </c>
      <c r="E56" s="97">
        <f>1-SUM(E52:E55)</f>
        <v>0.19999999999999996</v>
      </c>
      <c r="F56" s="97">
        <f t="shared" ref="F56:H56" si="6">1-SUM(F52:F55)</f>
        <v>0.19999999999999996</v>
      </c>
      <c r="G56" s="97">
        <f t="shared" si="6"/>
        <v>0.19999999999999996</v>
      </c>
      <c r="H56" s="97">
        <f t="shared" si="6"/>
        <v>0.19999999999999996</v>
      </c>
      <c r="I56" s="2" t="s">
        <v>18</v>
      </c>
      <c r="Q56" s="7"/>
    </row>
    <row r="57" spans="4:17" ht="20.100000000000001" customHeight="1" x14ac:dyDescent="0.25">
      <c r="Q57" s="7"/>
    </row>
    <row r="58" spans="4:17" ht="20.100000000000001" customHeight="1" x14ac:dyDescent="0.25">
      <c r="D58" s="123"/>
      <c r="Q58" s="7"/>
    </row>
    <row r="59" spans="4:17" ht="20.100000000000001" customHeight="1" x14ac:dyDescent="0.25">
      <c r="D59" s="1" t="s">
        <v>165</v>
      </c>
      <c r="E59" s="39" t="s">
        <v>132</v>
      </c>
      <c r="F59" s="2" t="s">
        <v>11</v>
      </c>
      <c r="Q59" s="7"/>
    </row>
    <row r="60" spans="4:17" ht="20.100000000000001" customHeight="1" x14ac:dyDescent="0.25">
      <c r="E60" s="39" t="s">
        <v>113</v>
      </c>
      <c r="F60" s="2" t="s">
        <v>11</v>
      </c>
      <c r="Q60" s="7"/>
    </row>
    <row r="61" spans="4:17" ht="20.100000000000001" customHeight="1" x14ac:dyDescent="0.25">
      <c r="Q61" s="7"/>
    </row>
    <row r="62" spans="4:17" ht="20.100000000000001" customHeight="1" x14ac:dyDescent="0.25">
      <c r="Q62" s="7"/>
    </row>
    <row r="63" spans="4:17" ht="20.100000000000001" customHeight="1" x14ac:dyDescent="0.25">
      <c r="Q63" s="7"/>
    </row>
    <row r="64" spans="4:17" ht="20.100000000000001" customHeight="1" x14ac:dyDescent="0.25">
      <c r="Q64" s="7"/>
    </row>
    <row r="65" spans="17:17" ht="20.100000000000001" customHeight="1" x14ac:dyDescent="0.25">
      <c r="Q65" s="7"/>
    </row>
    <row r="66" spans="17:17" ht="20.100000000000001" customHeight="1" x14ac:dyDescent="0.25">
      <c r="Q66" s="7"/>
    </row>
    <row r="67" spans="17:17" ht="20.100000000000001" customHeight="1" x14ac:dyDescent="0.25">
      <c r="Q67" s="7"/>
    </row>
    <row r="68" spans="17:17" ht="20.100000000000001" customHeight="1" x14ac:dyDescent="0.25">
      <c r="Q68" s="7"/>
    </row>
    <row r="69" spans="17:17" ht="20.100000000000001" customHeight="1" x14ac:dyDescent="0.25">
      <c r="Q69" s="7"/>
    </row>
    <row r="70" spans="17:17" ht="20.100000000000001" customHeight="1" x14ac:dyDescent="0.25">
      <c r="Q70" s="7"/>
    </row>
    <row r="71" spans="17:17" ht="20.100000000000001" customHeight="1" x14ac:dyDescent="0.25">
      <c r="Q71" s="7"/>
    </row>
    <row r="72" spans="17:17" ht="20.100000000000001" customHeight="1" x14ac:dyDescent="0.25">
      <c r="Q72" s="7"/>
    </row>
    <row r="73" spans="17:17" ht="20.100000000000001" customHeight="1" x14ac:dyDescent="0.25">
      <c r="Q73" s="7"/>
    </row>
    <row r="74" spans="17:17" ht="20.100000000000001" customHeight="1" x14ac:dyDescent="0.25">
      <c r="Q74" s="7"/>
    </row>
    <row r="75" spans="17:17" ht="20.100000000000001" customHeight="1" x14ac:dyDescent="0.25">
      <c r="Q75" s="7"/>
    </row>
    <row r="76" spans="17:17" ht="20.100000000000001" customHeight="1" x14ac:dyDescent="0.25">
      <c r="Q76" s="7"/>
    </row>
    <row r="77" spans="17:17" ht="20.100000000000001" customHeight="1" x14ac:dyDescent="0.25">
      <c r="Q77" s="7"/>
    </row>
    <row r="78" spans="17:17" ht="20.100000000000001" customHeight="1" x14ac:dyDescent="0.25">
      <c r="Q78" s="7"/>
    </row>
    <row r="79" spans="17:17" ht="20.100000000000001" customHeight="1" x14ac:dyDescent="0.25">
      <c r="Q79" s="7"/>
    </row>
    <row r="80" spans="17:17" ht="20.100000000000001" customHeight="1" x14ac:dyDescent="0.25">
      <c r="Q80" s="7"/>
    </row>
    <row r="81" spans="17:17" ht="20.100000000000001" customHeight="1" x14ac:dyDescent="0.25">
      <c r="Q81" s="7"/>
    </row>
    <row r="82" spans="17:17" ht="20.100000000000001" customHeight="1" x14ac:dyDescent="0.25">
      <c r="Q82" s="7"/>
    </row>
    <row r="83" spans="17:17" ht="20.100000000000001" customHeight="1" x14ac:dyDescent="0.25">
      <c r="Q83" s="7"/>
    </row>
    <row r="84" spans="17:17" ht="20.100000000000001" customHeight="1" x14ac:dyDescent="0.25">
      <c r="Q84" s="7"/>
    </row>
    <row r="85" spans="17:17" ht="20.100000000000001" customHeight="1" x14ac:dyDescent="0.25">
      <c r="Q85" s="7"/>
    </row>
    <row r="86" spans="17:17" ht="20.100000000000001" customHeight="1" x14ac:dyDescent="0.25">
      <c r="Q86" s="7"/>
    </row>
    <row r="87" spans="17:17" ht="20.100000000000001" customHeight="1" x14ac:dyDescent="0.25">
      <c r="Q87" s="7"/>
    </row>
    <row r="88" spans="17:17" ht="20.100000000000001" customHeight="1" x14ac:dyDescent="0.25">
      <c r="Q88" s="7"/>
    </row>
    <row r="89" spans="17:17" ht="20.100000000000001" customHeight="1" x14ac:dyDescent="0.25">
      <c r="Q89" s="7"/>
    </row>
    <row r="90" spans="17:17" ht="20.100000000000001" customHeight="1" x14ac:dyDescent="0.25">
      <c r="Q90" s="7"/>
    </row>
    <row r="91" spans="17:17" ht="20.100000000000001" customHeight="1" x14ac:dyDescent="0.25">
      <c r="Q91" s="7"/>
    </row>
    <row r="92" spans="17:17" ht="20.100000000000001" customHeight="1" x14ac:dyDescent="0.25">
      <c r="Q92" s="7"/>
    </row>
    <row r="93" spans="17:17" ht="20.100000000000001" customHeight="1" x14ac:dyDescent="0.25">
      <c r="Q93" s="7"/>
    </row>
    <row r="94" spans="17:17" ht="20.100000000000001" customHeight="1" x14ac:dyDescent="0.25">
      <c r="Q94" s="7"/>
    </row>
    <row r="95" spans="17:17" ht="20.100000000000001" customHeight="1" x14ac:dyDescent="0.25">
      <c r="Q95" s="7"/>
    </row>
    <row r="96" spans="17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N43:O43 M101 K184:L185 K180:L180 K194:L195 K188:L189 I205:L205 I199:L199 K198:L198 I119:J119 I84:I87 I77:I79 I38:I42 I52:I55 I71:I72 I60">
    <cfRule type="cellIs" dxfId="35" priority="74" operator="lessThan">
      <formula>0</formula>
    </cfRule>
  </conditionalFormatting>
  <conditionalFormatting sqref="E205:G205">
    <cfRule type="cellIs" dxfId="34" priority="79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33" priority="102" operator="lessThan">
      <formula>0</formula>
    </cfRule>
  </conditionalFormatting>
  <conditionalFormatting sqref="F245:F246">
    <cfRule type="cellIs" dxfId="32" priority="93" operator="lessThan">
      <formula>0</formula>
    </cfRule>
  </conditionalFormatting>
  <conditionalFormatting sqref="F250:F251">
    <cfRule type="cellIs" dxfId="31" priority="92" operator="lessThan">
      <formula>0</formula>
    </cfRule>
  </conditionalFormatting>
  <conditionalFormatting sqref="F255:F256">
    <cfRule type="cellIs" dxfId="30" priority="91" operator="lessThan">
      <formula>0</formula>
    </cfRule>
  </conditionalFormatting>
  <conditionalFormatting sqref="F279:F280">
    <cfRule type="cellIs" dxfId="29" priority="85" operator="lessThan">
      <formula>0</formula>
    </cfRule>
  </conditionalFormatting>
  <conditionalFormatting sqref="F284:F285">
    <cfRule type="cellIs" dxfId="28" priority="84" operator="lessThan">
      <formula>0</formula>
    </cfRule>
  </conditionalFormatting>
  <conditionalFormatting sqref="F289:F290">
    <cfRule type="cellIs" dxfId="27" priority="83" operator="lessThan">
      <formula>0</formula>
    </cfRule>
  </conditionalFormatting>
  <conditionalFormatting sqref="I30">
    <cfRule type="cellIs" dxfId="26" priority="70" operator="lessThan">
      <formula>0</formula>
    </cfRule>
  </conditionalFormatting>
  <conditionalFormatting sqref="F43">
    <cfRule type="cellIs" dxfId="25" priority="62" operator="lessThan">
      <formula>0</formula>
    </cfRule>
  </conditionalFormatting>
  <conditionalFormatting sqref="I31">
    <cfRule type="cellIs" dxfId="24" priority="59" operator="lessThan">
      <formula>0</formula>
    </cfRule>
  </conditionalFormatting>
  <conditionalFormatting sqref="I32">
    <cfRule type="cellIs" dxfId="23" priority="58" operator="lessThan">
      <formula>0</formula>
    </cfRule>
  </conditionalFormatting>
  <conditionalFormatting sqref="I33">
    <cfRule type="cellIs" dxfId="22" priority="57" operator="lessThan">
      <formula>0</formula>
    </cfRule>
  </conditionalFormatting>
  <conditionalFormatting sqref="I34">
    <cfRule type="cellIs" dxfId="21" priority="55" operator="lessThan">
      <formula>0</formula>
    </cfRule>
  </conditionalFormatting>
  <conditionalFormatting sqref="I45:I48">
    <cfRule type="cellIs" dxfId="20" priority="27" operator="lessThan">
      <formula>0</formula>
    </cfRule>
  </conditionalFormatting>
  <conditionalFormatting sqref="J147">
    <cfRule type="cellIs" dxfId="19" priority="24" operator="lessThan">
      <formula>0</formula>
    </cfRule>
  </conditionalFormatting>
  <conditionalFormatting sqref="F121:F122">
    <cfRule type="cellIs" dxfId="18" priority="21" operator="lessThan">
      <formula>0</formula>
    </cfRule>
  </conditionalFormatting>
  <conditionalFormatting sqref="F133:F134">
    <cfRule type="cellIs" dxfId="17" priority="20" operator="lessThan">
      <formula>0</formula>
    </cfRule>
  </conditionalFormatting>
  <conditionalFormatting sqref="F145:F146">
    <cfRule type="cellIs" dxfId="16" priority="19" operator="lessThan">
      <formula>0</formula>
    </cfRule>
  </conditionalFormatting>
  <conditionalFormatting sqref="F157:F158">
    <cfRule type="cellIs" dxfId="15" priority="18" operator="lessThan">
      <formula>0</formula>
    </cfRule>
  </conditionalFormatting>
  <conditionalFormatting sqref="L119">
    <cfRule type="cellIs" dxfId="14" priority="17" operator="lessThan">
      <formula>0</formula>
    </cfRule>
  </conditionalFormatting>
  <conditionalFormatting sqref="L131">
    <cfRule type="cellIs" dxfId="13" priority="16" operator="lessThan">
      <formula>0</formula>
    </cfRule>
  </conditionalFormatting>
  <conditionalFormatting sqref="L143">
    <cfRule type="cellIs" dxfId="12" priority="15" operator="lessThan">
      <formula>0</formula>
    </cfRule>
  </conditionalFormatting>
  <conditionalFormatting sqref="L155">
    <cfRule type="cellIs" dxfId="11" priority="14" operator="lessThan">
      <formula>0</formula>
    </cfRule>
  </conditionalFormatting>
  <conditionalFormatting sqref="L160">
    <cfRule type="cellIs" dxfId="10" priority="13" operator="lessThan">
      <formula>0</formula>
    </cfRule>
  </conditionalFormatting>
  <conditionalFormatting sqref="L159">
    <cfRule type="cellIs" dxfId="9" priority="12" operator="lessThan">
      <formula>0</formula>
    </cfRule>
  </conditionalFormatting>
  <conditionalFormatting sqref="L113:L116">
    <cfRule type="cellIs" dxfId="8" priority="11" operator="lessThan">
      <formula>0</formula>
    </cfRule>
  </conditionalFormatting>
  <conditionalFormatting sqref="L125:L128">
    <cfRule type="cellIs" dxfId="7" priority="10" operator="lessThan">
      <formula>0</formula>
    </cfRule>
  </conditionalFormatting>
  <conditionalFormatting sqref="L137:L140">
    <cfRule type="cellIs" dxfId="6" priority="9" operator="lessThan">
      <formula>0</formula>
    </cfRule>
  </conditionalFormatting>
  <conditionalFormatting sqref="L149:L152">
    <cfRule type="cellIs" dxfId="5" priority="8" operator="lessThan">
      <formula>0</formula>
    </cfRule>
  </conditionalFormatting>
  <conditionalFormatting sqref="I49">
    <cfRule type="cellIs" dxfId="4" priority="6" operator="lessThan">
      <formula>0</formula>
    </cfRule>
  </conditionalFormatting>
  <conditionalFormatting sqref="I56">
    <cfRule type="cellIs" dxfId="3" priority="5" operator="lessThan">
      <formula>0</formula>
    </cfRule>
  </conditionalFormatting>
  <conditionalFormatting sqref="I73">
    <cfRule type="cellIs" dxfId="2" priority="4" operator="lessThan">
      <formula>0</formula>
    </cfRule>
  </conditionalFormatting>
  <conditionalFormatting sqref="I80">
    <cfRule type="cellIs" dxfId="1" priority="3" operator="lessThan">
      <formula>0</formula>
    </cfRule>
  </conditionalFormatting>
  <conditionalFormatting sqref="I88">
    <cfRule type="cellIs" dxfId="0" priority="1" operator="lessThan">
      <formula>0</formula>
    </cfRule>
  </conditionalFormatting>
  <dataValidations disablePrompts="1"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56 E144 E120 E132" xr:uid="{00A4EA4C-90D3-4150-979D-4D71C7F37A31}">
      <formula1>"Yes, No"</formula1>
    </dataValidation>
    <dataValidation type="list" allowBlank="1" showInputMessage="1" showErrorMessage="1" sqref="E27" xr:uid="{7CE3F3B3-74F0-4147-9434-E417CDC75C10}">
      <formula1>INDIRECT("Table_SourceData_Poultry_ProductionSystems[Production system]")</formula1>
    </dataValidation>
    <dataValidation type="list" allowBlank="1" showInputMessage="1" showErrorMessage="1" sqref="E60" xr:uid="{DBA884B0-B52E-420E-8FD2-21B082EB75E2}">
      <formula1>INDIRECT("Table_SourceData_Swine_IrrigationMethods[Irrigation method]")</formula1>
    </dataValidation>
    <dataValidation type="list" allowBlank="1" showInputMessage="1" showErrorMessage="1" sqref="E59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zoomScaleNormal="100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226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MMS_Poultry_Methane_Equations.VEERG_4_6_1_1__5_VolatileSolidProduction_Title()</f>
        <v>Volatile solid production poultry classes</v>
      </c>
    </row>
    <row r="6" spans="1:21" ht="20.100000000000001" customHeight="1" x14ac:dyDescent="0.25">
      <c r="A6" s="20" t="s">
        <v>3</v>
      </c>
      <c r="D6" s="5" t="str" cm="1">
        <f t="array" ref="D6">MMS_Poultry_Methane_Equations.VEERG_4_6_1_1__5_VolatileSolidProduction_Source()</f>
        <v>VEERG 2026: 4.4.1.1,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Common_InputFunctions.Utility_DisplayFunctionName(D35)</f>
        <v>=MMS_Poultry_Methane_Equations.VEERG_4_6_1_1__5_VolatileSolidProduction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MMS_Poultry_Methane_Equations.VEERG_4_6_1_1__5_VolatileSolidProduction_Variable()</f>
        <v>VS_jk</v>
      </c>
    </row>
    <row r="11" spans="1:21" ht="20.100000000000001" customHeight="1" x14ac:dyDescent="0.25">
      <c r="A11" s="138" t="str">
        <f>HYPERLINK("#'4.6.1.1-2 Methane'!A1", "4.6.1.1-2 Methane")</f>
        <v>4.6.1.1-2 Methane</v>
      </c>
      <c r="D11" s="53" t="s">
        <v>19</v>
      </c>
      <c r="E11" s="54" t="str" cm="1">
        <f t="array" ref="E11">MMS_Poultry_Methane_Equations.VEERG_4_6_1_1__5_VolatileSolidProduction_Unit()</f>
        <v>kg VS/bird/day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Soil atm. deposition")</f>
        <v>4.6.1.5-6 Soil atm. deposition</v>
      </c>
      <c r="D13" s="57" t="str" cm="1">
        <f t="array" ref="D13:E15">MMS_Poultry_Methane_Equations.VEERG_4_6_1_1__5_VolatileSolidProduction_Arguments()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DMD_jk</v>
      </c>
      <c r="E14" s="58" t="str">
        <v>dry matter digestibility for each class and subclass : fraction</v>
      </c>
      <c r="F14" s="59"/>
      <c r="G14" s="57" t="str">
        <f>"See " &amp; D22</f>
        <v>See M1_Table_DMD_j_k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A_j</v>
      </c>
      <c r="E15" s="58" t="str">
        <v>ash content of manure for each class and subclass : fraction</v>
      </c>
      <c r="F15" s="59"/>
      <c r="G15" s="57" t="str">
        <f>"See " &amp; D32</f>
        <v>See M1_Table_VS_j_k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230</v>
      </c>
      <c r="N17" s="99" t="s">
        <v>231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233</v>
      </c>
      <c r="N18" s="98" t="s">
        <v>232</v>
      </c>
    </row>
    <row r="19" spans="1:18" ht="20.100000000000001" customHeight="1" x14ac:dyDescent="0.25">
      <c r="D19" s="51" t="s">
        <v>209</v>
      </c>
      <c r="E19" s="51" t="s">
        <v>210</v>
      </c>
      <c r="F19" s="51" t="s">
        <v>224</v>
      </c>
      <c r="G19" s="51" t="s">
        <v>225</v>
      </c>
      <c r="N19" s="51" t="s">
        <v>209</v>
      </c>
      <c r="O19" s="51" t="s">
        <v>210</v>
      </c>
      <c r="P19" s="51" t="s">
        <v>224</v>
      </c>
      <c r="Q19" s="51" t="s">
        <v>225</v>
      </c>
    </row>
    <row r="20" spans="1:18" ht="20.100000000000001" customHeight="1" x14ac:dyDescent="0.25">
      <c r="A20" s="18" t="s">
        <v>4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229</v>
      </c>
      <c r="N20" s="52">
        <f>'Input - Poultry'!E21</f>
        <v>8.5999999999999993E-2</v>
      </c>
      <c r="O20" s="52">
        <f>'Input - Poultry'!F21</f>
        <v>9.2999999999999999E-2</v>
      </c>
      <c r="P20" s="52">
        <f>'Input - Poultry'!G21</f>
        <v>0.10299999999999999</v>
      </c>
      <c r="Q20" s="52">
        <f>'Input - Poultry'!H21</f>
        <v>9.2999999999999999E-2</v>
      </c>
      <c r="R20" s="2" t="s">
        <v>229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234</v>
      </c>
      <c r="N22" s="99" t="s">
        <v>234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105</v>
      </c>
      <c r="N23" s="98" t="s">
        <v>105</v>
      </c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209</v>
      </c>
      <c r="E24" s="51" t="s">
        <v>210</v>
      </c>
      <c r="F24" s="51" t="s">
        <v>224</v>
      </c>
      <c r="G24" s="51" t="s">
        <v>225</v>
      </c>
      <c r="N24" s="51" t="s">
        <v>209</v>
      </c>
      <c r="O24" s="51" t="s">
        <v>210</v>
      </c>
      <c r="P24" s="51" t="s">
        <v>224</v>
      </c>
      <c r="Q24" s="51" t="s">
        <v>225</v>
      </c>
    </row>
    <row r="25" spans="1:18" ht="20.100000000000001" customHeight="1" x14ac:dyDescent="0.25">
      <c r="D25" s="52">
        <f>'Input - Poultry'!E17</f>
        <v>0.8</v>
      </c>
      <c r="E25" s="52">
        <f>'Input - Poultry'!F17</f>
        <v>0.8</v>
      </c>
      <c r="F25" s="52">
        <f>'Input - Poultry'!G17</f>
        <v>0.8</v>
      </c>
      <c r="G25" s="52">
        <f>'Input - Poultry'!H17</f>
        <v>0.8</v>
      </c>
      <c r="H25" s="2" t="s">
        <v>118</v>
      </c>
      <c r="N25" s="52">
        <f>'Input - Poultry'!E22</f>
        <v>0.8</v>
      </c>
      <c r="O25" s="52">
        <f>'Input - Poultry'!F22</f>
        <v>0.8</v>
      </c>
      <c r="P25" s="52">
        <f>'Input - Poultry'!G22</f>
        <v>0.8</v>
      </c>
      <c r="Q25" s="52">
        <f>'Input - Poultry'!H22</f>
        <v>0.8</v>
      </c>
      <c r="R25" s="2" t="s">
        <v>118</v>
      </c>
    </row>
    <row r="26" spans="1:18" ht="20.100000000000001" customHeight="1" x14ac:dyDescent="0.25"/>
    <row r="27" spans="1:18" ht="20.100000000000001" customHeight="1" x14ac:dyDescent="0.25">
      <c r="D27" s="99" t="s">
        <v>235</v>
      </c>
    </row>
    <row r="28" spans="1:18" ht="20.100000000000001" customHeight="1" x14ac:dyDescent="0.25">
      <c r="D28" s="98" t="s">
        <v>236</v>
      </c>
    </row>
    <row r="29" spans="1:18" ht="20.100000000000001" customHeight="1" x14ac:dyDescent="0.25">
      <c r="D29" s="51" t="s">
        <v>209</v>
      </c>
      <c r="E29" s="51" t="s">
        <v>210</v>
      </c>
      <c r="F29" s="51" t="s">
        <v>224</v>
      </c>
      <c r="G29" s="51" t="s">
        <v>225</v>
      </c>
    </row>
    <row r="30" spans="1:18" ht="20.100000000000001" customHeight="1" x14ac:dyDescent="0.25">
      <c r="D30" s="52">
        <f>'Constants - Poultry'!E13</f>
        <v>0.18</v>
      </c>
      <c r="E30" s="52">
        <f>'Constants - Poultry'!F13</f>
        <v>0.15</v>
      </c>
      <c r="F30" s="52">
        <f>'Constants - Poultry'!G13</f>
        <v>0.18</v>
      </c>
      <c r="G30" s="52">
        <f>'Constants - Poultry'!H13</f>
        <v>0.15</v>
      </c>
      <c r="H30" s="2" t="s">
        <v>118</v>
      </c>
    </row>
    <row r="31" spans="1:18" ht="20.100000000000001" customHeight="1" x14ac:dyDescent="0.25"/>
    <row r="32" spans="1:18" ht="20.100000000000001" customHeight="1" x14ac:dyDescent="0.25">
      <c r="D32" s="99" t="s">
        <v>237</v>
      </c>
      <c r="N32" s="99" t="s">
        <v>238</v>
      </c>
    </row>
    <row r="33" spans="3:21" ht="20.100000000000001" customHeight="1" x14ac:dyDescent="0.25">
      <c r="D33" s="98" t="s">
        <v>104</v>
      </c>
      <c r="N33" s="98" t="s">
        <v>106</v>
      </c>
    </row>
    <row r="34" spans="3:21" ht="20.100000000000001" customHeight="1" x14ac:dyDescent="0.25">
      <c r="D34" s="51" t="s">
        <v>209</v>
      </c>
      <c r="E34" s="51" t="s">
        <v>210</v>
      </c>
      <c r="F34" s="51" t="s">
        <v>224</v>
      </c>
      <c r="G34" s="51" t="s">
        <v>225</v>
      </c>
      <c r="N34" s="51" t="s">
        <v>209</v>
      </c>
      <c r="O34" s="51" t="s">
        <v>210</v>
      </c>
      <c r="P34" s="51" t="s">
        <v>224</v>
      </c>
      <c r="Q34" s="51" t="s">
        <v>225</v>
      </c>
    </row>
    <row r="35" spans="3:21" ht="20.100000000000001" customHeight="1" x14ac:dyDescent="0.25">
      <c r="D35" s="52" cm="1">
        <f t="array" ref="D35">MMS_Poultry_Methane_Equations.VEERG_4_6_1_1__5_VolatileSolidProduction(D20,D25,D30)</f>
        <v>1.4103999999999995E-2</v>
      </c>
      <c r="E35" s="52" cm="1">
        <f t="array" ref="E35">MMS_Poultry_Methane_Equations.VEERG_4_6_1_1__5_VolatileSolidProduction(E20,E25,E30)</f>
        <v>1.5809999999999994E-2</v>
      </c>
      <c r="F35" s="52" cm="1">
        <f t="array" ref="F35">MMS_Poultry_Methane_Equations.VEERG_4_6_1_1__5_VolatileSolidProduction(F20,F25,F30)</f>
        <v>1.6891999999999997E-2</v>
      </c>
      <c r="G35" s="52" cm="1">
        <f t="array" ref="G35">MMS_Poultry_Methane_Equations.VEERG_4_6_1_1__5_VolatileSolidProduction(G20,G25,G30)</f>
        <v>1.5809999999999994E-2</v>
      </c>
      <c r="H35" s="2" t="str">
        <f>$E$11</f>
        <v>kg VS/bird/day</v>
      </c>
      <c r="N35" s="52" cm="1">
        <f t="array" ref="N35">MMS_Poultry_Methane_Equations.VEERG_4_6_1_1__5_VolatileSolidProduction(N20,N25,D30)</f>
        <v>1.4103999999999995E-2</v>
      </c>
      <c r="O35" s="52" cm="1">
        <f t="array" ref="O35">MMS_Poultry_Methane_Equations.VEERG_4_6_1_1__5_VolatileSolidProduction(O20,O25,E30)</f>
        <v>1.5809999999999994E-2</v>
      </c>
      <c r="P35" s="52" cm="1">
        <f t="array" ref="P35">MMS_Poultry_Methane_Equations.VEERG_4_6_1_1__5_VolatileSolidProduction(P20,P25,F30)</f>
        <v>1.6891999999999997E-2</v>
      </c>
      <c r="Q35" s="52" cm="1">
        <f t="array" ref="Q35">MMS_Poultry_Methane_Equations.VEERG_4_6_1_1__5_VolatileSolidProduction(Q20,Q25,G30)</f>
        <v>1.5809999999999994E-2</v>
      </c>
      <c r="R35" s="2" t="str">
        <f>$E$11</f>
        <v>kg VS/bird/day</v>
      </c>
    </row>
    <row r="36" spans="3:21" ht="20.100000000000001" customHeight="1" x14ac:dyDescent="0.25"/>
    <row r="37" spans="3:21" ht="20.100000000000001" customHeight="1" x14ac:dyDescent="0.25">
      <c r="C37" s="141"/>
      <c r="D37" s="141"/>
      <c r="E37" s="141"/>
      <c r="F37" s="141"/>
      <c r="G37" s="141"/>
      <c r="H37" s="141"/>
      <c r="I37" s="141"/>
      <c r="J37" s="141"/>
      <c r="K37" s="141"/>
      <c r="M37" s="141"/>
      <c r="N37" s="141"/>
      <c r="O37" s="141"/>
      <c r="P37" s="141"/>
      <c r="Q37" s="141"/>
      <c r="R37" s="141"/>
      <c r="S37" s="141"/>
      <c r="T37" s="141"/>
      <c r="U37" s="141"/>
    </row>
    <row r="38" spans="3:21" ht="20.100000000000001" customHeight="1" x14ac:dyDescent="0.25"/>
    <row r="39" spans="3:21" ht="20.100000000000001" customHeight="1" x14ac:dyDescent="0.25">
      <c r="D39" s="6" t="str" cm="1">
        <f t="array" ref="D39">MMS_Poultry_Methane_Equations.VEERG_4_6_1_1__2_Stage1MethaneProduction_Title()</f>
        <v>Production of methane in treatment stage 1 MMS</v>
      </c>
    </row>
    <row r="40" spans="3:21" ht="20.100000000000001" customHeight="1" x14ac:dyDescent="0.25">
      <c r="D40" s="5" t="str" cm="1">
        <f t="array" ref="D40">MMS_Poultry_Methane_Equations.VEERG_4_6_1_1__2_Stage1MethaneProduction_Source()</f>
        <v>VEERG 2026: 4.4.1.1, Equation (2)</v>
      </c>
    </row>
    <row r="41" spans="3:21" ht="20.100000000000001" customHeight="1" x14ac:dyDescent="0.25">
      <c r="D41" s="13" t="s">
        <v>26</v>
      </c>
      <c r="E41" s="13" t="str" cm="1">
        <f t="array" aca="1" ref="E41" ca="1">Common_InputFunctions.Utility_DisplayFunctionName(E83)</f>
        <v>=MMS_Poultry_Methane_Equations.VEERG_4_6_1_1__2_Stage1MethaneProduction</v>
      </c>
    </row>
    <row r="42" spans="3:21" ht="20.100000000000001" customHeight="1" x14ac:dyDescent="0.25"/>
    <row r="43" spans="3:21" ht="20.100000000000001" customHeight="1" x14ac:dyDescent="0.25"/>
    <row r="44" spans="3:21" ht="20.100000000000001" customHeight="1" x14ac:dyDescent="0.25">
      <c r="D44" s="53" t="s">
        <v>29</v>
      </c>
      <c r="E44" s="1" t="str" cm="1">
        <f t="array" ref="E44">MMS_Poultry_Methane_Equations.VEERG_4_6_1_1__2_Stage1MethaneProduction_Variable()</f>
        <v>M_jkmT1</v>
      </c>
    </row>
    <row r="45" spans="3:21" ht="20.100000000000001" customHeight="1" x14ac:dyDescent="0.25">
      <c r="D45" s="53" t="s">
        <v>19</v>
      </c>
      <c r="E45" s="54" t="str" cm="1">
        <f t="array" ref="E45">MMS_Poultry_Methane_Equations.VEERG_4_6_1_1__2_Stage1MethaneProduction_Unit()</f>
        <v>kg CH4/bird/day</v>
      </c>
    </row>
    <row r="46" spans="3:21" ht="20.100000000000001" customHeight="1" x14ac:dyDescent="0.25"/>
    <row r="47" spans="3:21" ht="20.100000000000001" customHeight="1" x14ac:dyDescent="0.25">
      <c r="D47" s="57" t="str" cm="1">
        <f t="array" ref="D47:E52">MMS_Poultry_Methane_Equations.VEERG_4_6_1_1__2_Stage1MethaneProduction_Arguments()</f>
        <v>VS_jk</v>
      </c>
      <c r="E47" s="58" t="str">
        <v>volatile solid production poultry classes : kg VS/bird/day</v>
      </c>
      <c r="F47" s="59"/>
      <c r="G47" s="57" t="str">
        <f>"See " &amp; D32</f>
        <v>See M1_Table_VS_j_k</v>
      </c>
    </row>
    <row r="48" spans="3:21" ht="20.100000000000001" customHeight="1" x14ac:dyDescent="0.25">
      <c r="D48" s="57" t="str">
        <v>BO_j</v>
      </c>
      <c r="E48" s="58" t="str">
        <v>emissions potential per class : m3 CH4/kg VS</v>
      </c>
      <c r="F48" s="59"/>
      <c r="G48" s="57" t="str">
        <f>"See " &amp; D62</f>
        <v>See Table_B_0_j</v>
      </c>
    </row>
    <row r="49" spans="4:9" ht="20.100000000000001" customHeight="1" x14ac:dyDescent="0.25">
      <c r="D49" s="57" t="str">
        <v>MMS_jmT1</v>
      </c>
      <c r="E49" s="58" t="str">
        <v>fraction of manure in each primary system : fraction</v>
      </c>
      <c r="F49" s="59"/>
      <c r="G49" s="57" t="str">
        <f>"See " &amp; D54</f>
        <v>See Table_MMS_j_m_T-1</v>
      </c>
    </row>
    <row r="50" spans="4:9" ht="20.100000000000001" customHeight="1" x14ac:dyDescent="0.25">
      <c r="D50" s="57" t="str">
        <v>MCF_im</v>
      </c>
      <c r="E50" s="58" t="str">
        <v>methane conversion factor for temperature zone and MMS : fraction</v>
      </c>
      <c r="F50" s="59"/>
      <c r="G50" s="57" t="str">
        <f>"See " &amp; D67</f>
        <v>See Table_MCF_i_m</v>
      </c>
    </row>
    <row r="51" spans="4:9" ht="20.100000000000001" customHeight="1" x14ac:dyDescent="0.25">
      <c r="D51" s="57" t="str">
        <v>rho</v>
      </c>
      <c r="E51" s="58" t="str">
        <v>density of methane : kg/m3</v>
      </c>
      <c r="F51" s="59"/>
      <c r="G51" s="57">
        <f>'Constants - Common'!$D$175</f>
        <v>0.6784</v>
      </c>
    </row>
    <row r="52" spans="4:9" ht="20.100000000000001" customHeight="1" x14ac:dyDescent="0.25">
      <c r="D52" s="57" t="str">
        <v>i</v>
      </c>
      <c r="E52" s="58" t="str">
        <v>state</v>
      </c>
      <c r="F52" s="59"/>
      <c r="G52" s="57" t="str">
        <f>'Input - Site'!$E$21</f>
        <v>Western Australia</v>
      </c>
    </row>
    <row r="53" spans="4:9" ht="20.100000000000001" customHeight="1" x14ac:dyDescent="0.25"/>
    <row r="54" spans="4:9" ht="20.100000000000001" customHeight="1" x14ac:dyDescent="0.25">
      <c r="D54" s="99" t="s">
        <v>161</v>
      </c>
    </row>
    <row r="55" spans="4:9" ht="20.100000000000001" customHeight="1" x14ac:dyDescent="0.25">
      <c r="D55" s="98" t="s">
        <v>244</v>
      </c>
    </row>
    <row r="56" spans="4:9" ht="20.100000000000001" customHeight="1" x14ac:dyDescent="0.25">
      <c r="D56" s="51" t="s">
        <v>143</v>
      </c>
      <c r="E56" s="51" t="s">
        <v>209</v>
      </c>
      <c r="F56" s="51" t="s">
        <v>210</v>
      </c>
      <c r="G56" s="51" t="s">
        <v>224</v>
      </c>
      <c r="H56" s="51" t="s">
        <v>225</v>
      </c>
    </row>
    <row r="57" spans="4:9" ht="20.100000000000001" customHeight="1" x14ac:dyDescent="0.25">
      <c r="D57" s="52" t="str">
        <f>'Input - Poultry'!$D$30</f>
        <v>Poultry manure with bedding</v>
      </c>
      <c r="E57" s="52">
        <f>'Input - Poultry'!E30</f>
        <v>0.3</v>
      </c>
      <c r="F57" s="52">
        <f>'Input - Poultry'!F30</f>
        <v>0.3</v>
      </c>
      <c r="G57" s="52">
        <f>'Input - Poultry'!G30</f>
        <v>0.3</v>
      </c>
      <c r="H57" s="52">
        <f>'Input - Poultry'!H30</f>
        <v>0.3</v>
      </c>
      <c r="I57" s="2" t="s">
        <v>118</v>
      </c>
    </row>
    <row r="58" spans="4:9" ht="20.100000000000001" customHeight="1" x14ac:dyDescent="0.25">
      <c r="D58" s="52" t="str">
        <f>'Input - Poultry'!$D$31</f>
        <v>Belt manure removal</v>
      </c>
      <c r="E58" s="52">
        <f>'Input - Poultry'!E31</f>
        <v>0.3</v>
      </c>
      <c r="F58" s="52">
        <f>'Input - Poultry'!F31</f>
        <v>0.3</v>
      </c>
      <c r="G58" s="52">
        <f>'Input - Poultry'!G31</f>
        <v>0.3</v>
      </c>
      <c r="H58" s="52">
        <f>'Input - Poultry'!H31</f>
        <v>0.3</v>
      </c>
      <c r="I58" s="2" t="s">
        <v>118</v>
      </c>
    </row>
    <row r="59" spans="4:9" ht="20.100000000000001" customHeight="1" x14ac:dyDescent="0.25">
      <c r="D59" s="52" t="str">
        <f>'Input - Poultry'!$D$32</f>
        <v>Manure stored in house</v>
      </c>
      <c r="E59" s="52">
        <f>'Input - Poultry'!E32</f>
        <v>0.3</v>
      </c>
      <c r="F59" s="52">
        <f>'Input - Poultry'!F32</f>
        <v>0.3</v>
      </c>
      <c r="G59" s="52">
        <f>'Input - Poultry'!G32</f>
        <v>0.3</v>
      </c>
      <c r="H59" s="52">
        <f>'Input - Poultry'!H32</f>
        <v>0.3</v>
      </c>
      <c r="I59" s="2" t="s">
        <v>118</v>
      </c>
    </row>
    <row r="60" spans="4:9" ht="20.100000000000001" customHeight="1" x14ac:dyDescent="0.25">
      <c r="D60" s="52" t="str">
        <f>'Input - Poultry'!$D$33</f>
        <v>Pasture range and paddock</v>
      </c>
      <c r="E60" s="52">
        <f>'Input - Poultry'!E33</f>
        <v>0.1</v>
      </c>
      <c r="F60" s="52">
        <f>'Input - Poultry'!F33</f>
        <v>0.1</v>
      </c>
      <c r="G60" s="52">
        <f>'Input - Poultry'!G33</f>
        <v>0.1</v>
      </c>
      <c r="H60" s="52">
        <f>'Input - Poultry'!H33</f>
        <v>0.1</v>
      </c>
      <c r="I60" s="2" t="s">
        <v>118</v>
      </c>
    </row>
    <row r="61" spans="4:9" ht="20.100000000000001" customHeight="1" x14ac:dyDescent="0.25"/>
    <row r="62" spans="4:9" ht="20.100000000000001" customHeight="1" x14ac:dyDescent="0.25">
      <c r="D62" s="99" t="s">
        <v>239</v>
      </c>
      <c r="G62" s="13"/>
    </row>
    <row r="63" spans="4:9" ht="20.100000000000001" customHeight="1" x14ac:dyDescent="0.25">
      <c r="D63" s="98" t="s">
        <v>240</v>
      </c>
    </row>
    <row r="64" spans="4:9" ht="20.100000000000001" customHeight="1" x14ac:dyDescent="0.25">
      <c r="D64" s="51" t="s">
        <v>209</v>
      </c>
      <c r="E64" s="51" t="s">
        <v>210</v>
      </c>
      <c r="F64" s="51" t="s">
        <v>224</v>
      </c>
      <c r="G64" s="51" t="s">
        <v>225</v>
      </c>
    </row>
    <row r="65" spans="4:14" ht="20.100000000000001" customHeight="1" x14ac:dyDescent="0.25">
      <c r="D65" s="52">
        <f>'Constants - Poultry'!$E$20</f>
        <v>0.39</v>
      </c>
      <c r="E65" s="52">
        <f>'Constants - Poultry'!$E$21</f>
        <v>0.36</v>
      </c>
      <c r="F65" s="52">
        <f>'Constants - Poultry'!$E$21</f>
        <v>0.36</v>
      </c>
      <c r="G65" s="52">
        <f>'Constants - Poultry'!$E$21</f>
        <v>0.36</v>
      </c>
      <c r="H65" s="2" t="s">
        <v>241</v>
      </c>
    </row>
    <row r="66" spans="4:14" ht="20.100000000000001" customHeight="1" x14ac:dyDescent="0.25"/>
    <row r="67" spans="4:14" ht="20.100000000000001" customHeight="1" x14ac:dyDescent="0.25">
      <c r="D67" s="121" t="s">
        <v>139</v>
      </c>
    </row>
    <row r="68" spans="4:14" ht="20.100000000000001" customHeight="1" x14ac:dyDescent="0.25">
      <c r="D68" s="122" t="s">
        <v>140</v>
      </c>
    </row>
    <row r="69" spans="4:14" ht="20.100000000000001" customHeight="1" x14ac:dyDescent="0.25">
      <c r="D69" s="51" t="s">
        <v>67</v>
      </c>
      <c r="E69" s="51" t="s">
        <v>98</v>
      </c>
    </row>
    <row r="70" spans="4:14" ht="20.100000000000001" customHeight="1" x14ac:dyDescent="0.25">
      <c r="D70" s="57" t="str">
        <f>'Constants - Poultry'!D29</f>
        <v>Poultry manure with bedding</v>
      </c>
      <c r="E70" s="52" cm="1">
        <f t="array" ref="E70">CommonLivestock_InputFunctions.Livestock_LookupMCFState(D70,Table_SourceData_Poultry_MMSMCF[NIR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1" spans="4:14" ht="20.100000000000001" customHeight="1" x14ac:dyDescent="0.25">
      <c r="D71" s="57" t="str">
        <f>'Constants - Poultry'!D30</f>
        <v>Belt manure removal</v>
      </c>
      <c r="E71" s="52" cm="1">
        <f t="array" ref="E71">CommonLivestock_InputFunctions.Livestock_LookupMCFState(D71,Table_SourceData_Poultry_MMSMCF[NIR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2" spans="4:14" ht="20.100000000000001" customHeight="1" x14ac:dyDescent="0.25">
      <c r="D72" s="57" t="str">
        <f>'Constants - Poultry'!D31</f>
        <v>Manure stored in house</v>
      </c>
      <c r="E72" s="52" cm="1">
        <f t="array" ref="E72">CommonLivestock_InputFunctions.Livestock_LookupMCFState(D72,Table_SourceData_Poultry_MMSMCF[NIR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1.4999999999999999E-2</v>
      </c>
    </row>
    <row r="73" spans="4:14" ht="20.100000000000001" customHeight="1" x14ac:dyDescent="0.25">
      <c r="D73" s="57" t="str">
        <f>'Constants - Poultry'!D32</f>
        <v>Pasture range and paddock</v>
      </c>
      <c r="E73" s="52" cm="1">
        <f t="array" ref="E73">CommonLivestock_InputFunctions.Livestock_LookupMCFState(D73,Table_SourceData_Poultry_MMSMCF[NIR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4" spans="4:14" ht="20.100000000000001" customHeight="1" x14ac:dyDescent="0.25">
      <c r="D74" s="57" t="str">
        <f>'Constants - Poultry'!D33</f>
        <v>Solid storage</v>
      </c>
      <c r="E74" s="52" cm="1">
        <f t="array" ref="E74">CommonLivestock_InputFunctions.Livestock_LookupMCFState(D74,Table_SourceData_Poultry_MMSMCF[NIR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0.02</v>
      </c>
    </row>
    <row r="75" spans="4:14" ht="20.100000000000001" customHeight="1" x14ac:dyDescent="0.25">
      <c r="D75" s="57" t="str">
        <f>'Constants - Poultry'!D34</f>
        <v>Composting (passive windrow)</v>
      </c>
      <c r="E75" s="52" cm="1">
        <f t="array" ref="E75">CommonLivestock_InputFunctions.Livestock_LookupMCFState(D75,Table_SourceData_Poultry_MMSMCF[NIR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0.01</v>
      </c>
    </row>
    <row r="76" spans="4:14" ht="20.100000000000001" customHeight="1" x14ac:dyDescent="0.25">
      <c r="D76" s="57" t="str">
        <f>'Constants - Poultry'!D35</f>
        <v>Digester / covered lagoons</v>
      </c>
      <c r="E76" s="52" cm="1">
        <f t="array" ref="E76">CommonLivestock_InputFunctions.Livestock_LookupMCFState(D76,Table_SourceData_Poultry_MMSMCF[NIR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0.1</v>
      </c>
    </row>
    <row r="77" spans="4:14" ht="20.100000000000001" customHeight="1" x14ac:dyDescent="0.25">
      <c r="D77" s="57" t="str">
        <f>'Constants - Poultry'!D36</f>
        <v>Direct processing</v>
      </c>
      <c r="E77" s="52" cm="1">
        <f t="array" ref="E77">CommonLivestock_InputFunctions.Livestock_LookupMCFState(D77,Table_SourceData_Poultry_MMSMCF[NIR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8" spans="4:14" ht="20.100000000000001" customHeight="1" x14ac:dyDescent="0.25">
      <c r="D78" s="57" t="str">
        <f>'Constants - Poultry'!D37</f>
        <v>Direct application</v>
      </c>
      <c r="E78" s="52" cm="1">
        <f t="array" ref="E78">CommonLivestock_InputFunctions.Livestock_LookupMCFState(D78,Table_SourceData_Poultry_MMSMCF[NIR definition],Common_InputFunctions.Utility_ConvertStateCommonNameToAbbreviation($G$52,Table_AustralianStates[Common Name],Table_AustralianStates[Abbreviation]),Table_SourceData_Poultry_MMSMCF[#Headers],Table_SourceData_Poultry_MMSMCF[#Data])</f>
        <v>0</v>
      </c>
    </row>
    <row r="79" spans="4:14" ht="20.100000000000001" customHeight="1" x14ac:dyDescent="0.25"/>
    <row r="80" spans="4:14" ht="20.100000000000001" customHeight="1" x14ac:dyDescent="0.25">
      <c r="D80" s="99" t="s">
        <v>242</v>
      </c>
      <c r="N80" s="99" t="s">
        <v>242</v>
      </c>
    </row>
    <row r="81" spans="3:21" ht="20.100000000000001" customHeight="1" x14ac:dyDescent="0.25">
      <c r="D81" s="98" t="s">
        <v>243</v>
      </c>
      <c r="N81" s="98" t="s">
        <v>243</v>
      </c>
    </row>
    <row r="82" spans="3:21" ht="20.100000000000001" customHeight="1" x14ac:dyDescent="0.25">
      <c r="D82" s="51" t="s">
        <v>143</v>
      </c>
      <c r="E82" s="51" t="s">
        <v>209</v>
      </c>
      <c r="F82" s="51" t="s">
        <v>210</v>
      </c>
      <c r="G82" s="51" t="s">
        <v>224</v>
      </c>
      <c r="H82" s="51" t="s">
        <v>225</v>
      </c>
      <c r="N82" s="51" t="s">
        <v>143</v>
      </c>
      <c r="O82" s="51" t="s">
        <v>209</v>
      </c>
      <c r="P82" s="51" t="s">
        <v>210</v>
      </c>
      <c r="Q82" s="51" t="s">
        <v>224</v>
      </c>
      <c r="R82" s="51" t="s">
        <v>225</v>
      </c>
    </row>
    <row r="83" spans="3:21" ht="20.100000000000001" customHeight="1" x14ac:dyDescent="0.25">
      <c r="D83" s="52" t="str">
        <f>'Input - Poultry'!$D$30</f>
        <v>Poultry manure with bedding</v>
      </c>
      <c r="E83" s="52" cm="1">
        <f t="array" ref="E83">MMS_Poultry_Methane_Equations.VEERG_4_6_1_1__2_Stage1MethaneProduction(D$35,D$65,E57,_xlfn.XLOOKUP($D83,$D$70:$D$78,$E$70:$E$78),$G$51)</f>
        <v>1.6792109567999992E-5</v>
      </c>
      <c r="F83" s="52" cm="1">
        <f t="array" ref="F83">MMS_Poultry_Methane_Equations.VEERG_4_6_1_1__2_Stage1MethaneProduction(E$35,E$65,F57,_xlfn.XLOOKUP($D83,$D$70:$D$78,$E$70:$E$78),$G$51)</f>
        <v>1.7375316479999991E-5</v>
      </c>
      <c r="G83" s="52" cm="1">
        <f t="array" ref="G83">MMS_Poultry_Methane_Equations.VEERG_4_6_1_1__2_Stage1MethaneProduction(F$35,F$65,G57,_xlfn.XLOOKUP($D83,$D$70:$D$78,$E$70:$E$78),$G$51)</f>
        <v>1.8564443135999995E-5</v>
      </c>
      <c r="H83" s="52" cm="1">
        <f t="array" ref="H83">MMS_Poultry_Methane_Equations.VEERG_4_6_1_1__2_Stage1MethaneProduction(G$35,G$65,H57,_xlfn.XLOOKUP($D83,$D$70:$D$78,$E$70:$E$78),$G$51)</f>
        <v>1.7375316479999991E-5</v>
      </c>
      <c r="I83" s="2" t="str">
        <f>$E$45</f>
        <v>kg CH4/bird/day</v>
      </c>
      <c r="N83" s="52" t="str">
        <f>'Input - Poultry'!$D$30</f>
        <v>Poultry manure with bedding</v>
      </c>
      <c r="O83" s="52" cm="1">
        <f t="array" ref="O83">MMS_Poultry_Methane_Equations.VEERG_4_6_1_1__2_Stage1MethaneProduction(N$35,D$65,E57,_xlfn.XLOOKUP($N83,$D$70:$D$78,$E$70:$E$78),$G$51)</f>
        <v>1.6792109567999992E-5</v>
      </c>
      <c r="P83" s="52" cm="1">
        <f t="array" ref="P83">MMS_Poultry_Methane_Equations.VEERG_4_6_1_1__2_Stage1MethaneProduction(O$35,E$65,F57,_xlfn.XLOOKUP($N83,$D$70:$D$78,$E$70:$E$78),$G$51)</f>
        <v>1.7375316479999991E-5</v>
      </c>
      <c r="Q83" s="52" cm="1">
        <f t="array" ref="Q83">MMS_Poultry_Methane_Equations.VEERG_4_6_1_1__2_Stage1MethaneProduction(P$35,F$65,G57,_xlfn.XLOOKUP($N83,$D$70:$D$78,$E$70:$E$78),$G$51)</f>
        <v>1.8564443135999995E-5</v>
      </c>
      <c r="R83" s="52" cm="1">
        <f t="array" ref="R83">MMS_Poultry_Methane_Equations.VEERG_4_6_1_1__2_Stage1MethaneProduction(Q$35,G$65,H57,_xlfn.XLOOKUP($N83,$D$70:$D$78,$E$70:$E$78),$G$51)</f>
        <v>1.7375316479999991E-5</v>
      </c>
      <c r="S83" s="2" t="str">
        <f>$E$45</f>
        <v>kg CH4/bird/day</v>
      </c>
    </row>
    <row r="84" spans="3:21" ht="20.100000000000001" customHeight="1" x14ac:dyDescent="0.25">
      <c r="D84" s="52" t="str">
        <f>'Input - Poultry'!$D$31</f>
        <v>Belt manure removal</v>
      </c>
      <c r="E84" s="52" cm="1">
        <f t="array" ref="E84">MMS_Poultry_Methane_Equations.VEERG_4_6_1_1__2_Stage1MethaneProduction(D$35,D$65,E58,_xlfn.XLOOKUP($D84,$D$70:$D$78,$E$70:$E$78),$G$51)</f>
        <v>1.6792109567999992E-5</v>
      </c>
      <c r="F84" s="52" cm="1">
        <f t="array" ref="F84">MMS_Poultry_Methane_Equations.VEERG_4_6_1_1__2_Stage1MethaneProduction(E$35,E$65,F58,_xlfn.XLOOKUP($D84,$D$70:$D$78,$E$70:$E$78),$G$51)</f>
        <v>1.7375316479999991E-5</v>
      </c>
      <c r="G84" s="52" cm="1">
        <f t="array" ref="G84">MMS_Poultry_Methane_Equations.VEERG_4_6_1_1__2_Stage1MethaneProduction(F$35,F$65,G58,_xlfn.XLOOKUP($D84,$D$70:$D$78,$E$70:$E$78),$G$51)</f>
        <v>1.8564443135999995E-5</v>
      </c>
      <c r="H84" s="52" cm="1">
        <f t="array" ref="H84">MMS_Poultry_Methane_Equations.VEERG_4_6_1_1__2_Stage1MethaneProduction(G$35,G$65,H58,_xlfn.XLOOKUP($D84,$D$70:$D$78,$E$70:$E$78),$G$51)</f>
        <v>1.7375316479999991E-5</v>
      </c>
      <c r="I84" s="2" t="str">
        <f t="shared" ref="I84:I86" si="0">$E$45</f>
        <v>kg CH4/bird/day</v>
      </c>
      <c r="N84" s="52" t="str">
        <f>'Input - Poultry'!$D$31</f>
        <v>Belt manure removal</v>
      </c>
      <c r="O84" s="52" cm="1">
        <f t="array" ref="O84">MMS_Poultry_Methane_Equations.VEERG_4_6_1_1__2_Stage1MethaneProduction(N$35,D$65,E58,_xlfn.XLOOKUP($N84,$D$70:$D$78,$E$70:$E$78),$G$51)</f>
        <v>1.6792109567999992E-5</v>
      </c>
      <c r="P84" s="52" cm="1">
        <f t="array" ref="P84">MMS_Poultry_Methane_Equations.VEERG_4_6_1_1__2_Stage1MethaneProduction(O$35,E$65,F58,_xlfn.XLOOKUP($N84,$D$70:$D$78,$E$70:$E$78),$G$51)</f>
        <v>1.7375316479999991E-5</v>
      </c>
      <c r="Q84" s="52" cm="1">
        <f t="array" ref="Q84">MMS_Poultry_Methane_Equations.VEERG_4_6_1_1__2_Stage1MethaneProduction(P$35,F$65,G58,_xlfn.XLOOKUP($N84,$D$70:$D$78,$E$70:$E$78),$G$51)</f>
        <v>1.8564443135999995E-5</v>
      </c>
      <c r="R84" s="52" cm="1">
        <f t="array" ref="R84">MMS_Poultry_Methane_Equations.VEERG_4_6_1_1__2_Stage1MethaneProduction(Q$35,G$65,H58,_xlfn.XLOOKUP($N84,$D$70:$D$78,$E$70:$E$78),$G$51)</f>
        <v>1.7375316479999991E-5</v>
      </c>
      <c r="S84" s="2" t="str">
        <f t="shared" ref="S84:S86" si="1">$E$45</f>
        <v>kg CH4/bird/day</v>
      </c>
    </row>
    <row r="85" spans="3:21" ht="20.100000000000001" customHeight="1" x14ac:dyDescent="0.25">
      <c r="D85" s="52" t="str">
        <f>'Input - Poultry'!$D$32</f>
        <v>Manure stored in house</v>
      </c>
      <c r="E85" s="52" cm="1">
        <f t="array" ref="E85">MMS_Poultry_Methane_Equations.VEERG_4_6_1_1__2_Stage1MethaneProduction(D$35,D$65,E59,_xlfn.XLOOKUP($D85,$D$70:$D$78,$E$70:$E$78),$G$51)</f>
        <v>1.6792109567999992E-5</v>
      </c>
      <c r="F85" s="52" cm="1">
        <f t="array" ref="F85">MMS_Poultry_Methane_Equations.VEERG_4_6_1_1__2_Stage1MethaneProduction(E$35,E$65,F59,_xlfn.XLOOKUP($D85,$D$70:$D$78,$E$70:$E$78),$G$51)</f>
        <v>1.7375316479999991E-5</v>
      </c>
      <c r="G85" s="52" cm="1">
        <f t="array" ref="G85">MMS_Poultry_Methane_Equations.VEERG_4_6_1_1__2_Stage1MethaneProduction(F$35,F$65,G59,_xlfn.XLOOKUP($D85,$D$70:$D$78,$E$70:$E$78),$G$51)</f>
        <v>1.8564443135999995E-5</v>
      </c>
      <c r="H85" s="52" cm="1">
        <f t="array" ref="H85">MMS_Poultry_Methane_Equations.VEERG_4_6_1_1__2_Stage1MethaneProduction(G$35,G$65,H59,_xlfn.XLOOKUP($D85,$D$70:$D$78,$E$70:$E$78),$G$51)</f>
        <v>1.7375316479999991E-5</v>
      </c>
      <c r="I85" s="2" t="str">
        <f t="shared" si="0"/>
        <v>kg CH4/bird/day</v>
      </c>
      <c r="N85" s="52" t="str">
        <f>'Input - Poultry'!$D$32</f>
        <v>Manure stored in house</v>
      </c>
      <c r="O85" s="52" cm="1">
        <f t="array" ref="O85">MMS_Poultry_Methane_Equations.VEERG_4_6_1_1__2_Stage1MethaneProduction(N$35,D$65,E59,_xlfn.XLOOKUP($N85,$D$70:$D$78,$E$70:$E$78),$G$51)</f>
        <v>1.6792109567999992E-5</v>
      </c>
      <c r="P85" s="52" cm="1">
        <f t="array" ref="P85">MMS_Poultry_Methane_Equations.VEERG_4_6_1_1__2_Stage1MethaneProduction(O$35,E$65,F59,_xlfn.XLOOKUP($N85,$D$70:$D$78,$E$70:$E$78),$G$51)</f>
        <v>1.7375316479999991E-5</v>
      </c>
      <c r="Q85" s="52" cm="1">
        <f t="array" ref="Q85">MMS_Poultry_Methane_Equations.VEERG_4_6_1_1__2_Stage1MethaneProduction(P$35,F$65,G59,_xlfn.XLOOKUP($N85,$D$70:$D$78,$E$70:$E$78),$G$51)</f>
        <v>1.8564443135999995E-5</v>
      </c>
      <c r="R85" s="52" cm="1">
        <f t="array" ref="R85">MMS_Poultry_Methane_Equations.VEERG_4_6_1_1__2_Stage1MethaneProduction(Q$35,G$65,H59,_xlfn.XLOOKUP($N85,$D$70:$D$78,$E$70:$E$78),$G$51)</f>
        <v>1.7375316479999991E-5</v>
      </c>
      <c r="S85" s="2" t="str">
        <f t="shared" si="1"/>
        <v>kg CH4/bird/day</v>
      </c>
    </row>
    <row r="86" spans="3:21" ht="20.100000000000001" customHeight="1" x14ac:dyDescent="0.25">
      <c r="D86" s="52" t="str">
        <f>'Input - Poultry'!$D$33</f>
        <v>Pasture range and paddock</v>
      </c>
      <c r="E86" s="52" cm="1">
        <f t="array" ref="E86">MMS_Poultry_Methane_Equations.VEERG_4_6_1_1__2_Stage1MethaneProduction(D$35,D$65,E60,_xlfn.XLOOKUP($D86,$D$70:$D$78,$E$70:$E$78),$G$51)</f>
        <v>3.7315799039999991E-6</v>
      </c>
      <c r="F86" s="52" cm="1">
        <f t="array" ref="F86">MMS_Poultry_Methane_Equations.VEERG_4_6_1_1__2_Stage1MethaneProduction(E$35,E$65,F60,_xlfn.XLOOKUP($D86,$D$70:$D$78,$E$70:$E$78),$G$51)</f>
        <v>3.8611814399999991E-6</v>
      </c>
      <c r="G86" s="52" cm="1">
        <f t="array" ref="G86">MMS_Poultry_Methane_Equations.VEERG_4_6_1_1__2_Stage1MethaneProduction(F$35,F$65,G60,_xlfn.XLOOKUP($D86,$D$70:$D$78,$E$70:$E$78),$G$51)</f>
        <v>4.1254318079999997E-6</v>
      </c>
      <c r="H86" s="52" cm="1">
        <f t="array" ref="H86">MMS_Poultry_Methane_Equations.VEERG_4_6_1_1__2_Stage1MethaneProduction(G$35,G$65,H60,_xlfn.XLOOKUP($D86,$D$70:$D$78,$E$70:$E$78),$G$51)</f>
        <v>3.8611814399999991E-6</v>
      </c>
      <c r="I86" s="2" t="str">
        <f t="shared" si="0"/>
        <v>kg CH4/bird/day</v>
      </c>
      <c r="N86" s="52" t="str">
        <f>'Input - Poultry'!$D$33</f>
        <v>Pasture range and paddock</v>
      </c>
      <c r="O86" s="52" cm="1">
        <f t="array" ref="O86">MMS_Poultry_Methane_Equations.VEERG_4_6_1_1__2_Stage1MethaneProduction(N$35,D$65,E60,_xlfn.XLOOKUP($N86,$D$70:$D$78,$E$70:$E$78),$G$51)</f>
        <v>3.7315799039999991E-6</v>
      </c>
      <c r="P86" s="52" cm="1">
        <f t="array" ref="P86">MMS_Poultry_Methane_Equations.VEERG_4_6_1_1__2_Stage1MethaneProduction(O$35,E$65,F60,_xlfn.XLOOKUP($N86,$D$70:$D$78,$E$70:$E$78),$G$51)</f>
        <v>3.8611814399999991E-6</v>
      </c>
      <c r="Q86" s="52" cm="1">
        <f t="array" ref="Q86">MMS_Poultry_Methane_Equations.VEERG_4_6_1_1__2_Stage1MethaneProduction(P$35,F$65,G60,_xlfn.XLOOKUP($N86,$D$70:$D$78,$E$70:$E$78),$G$51)</f>
        <v>4.1254318079999997E-6</v>
      </c>
      <c r="R86" s="52" cm="1">
        <f t="array" ref="R86">MMS_Poultry_Methane_Equations.VEERG_4_6_1_1__2_Stage1MethaneProduction(Q$35,G$65,H60,_xlfn.XLOOKUP($N86,$D$70:$D$78,$E$70:$E$78),$G$51)</f>
        <v>3.8611814399999991E-6</v>
      </c>
      <c r="S86" s="2" t="str">
        <f t="shared" si="1"/>
        <v>kg CH4/bird/day</v>
      </c>
    </row>
    <row r="87" spans="3:21" ht="20.100000000000001" customHeight="1" x14ac:dyDescent="0.25"/>
    <row r="88" spans="3:21" ht="20.100000000000001" customHeight="1" x14ac:dyDescent="0.25"/>
    <row r="89" spans="3:21" ht="20.100000000000001" customHeight="1" x14ac:dyDescent="0.25">
      <c r="C89" s="45"/>
      <c r="D89" s="45"/>
      <c r="E89" s="45"/>
      <c r="F89" s="45"/>
      <c r="G89" s="45"/>
      <c r="H89" s="45"/>
      <c r="I89" s="45"/>
      <c r="J89" s="45"/>
      <c r="K89" s="45"/>
      <c r="M89" s="45"/>
      <c r="N89" s="45"/>
      <c r="O89" s="45"/>
      <c r="P89" s="45"/>
      <c r="Q89" s="45"/>
      <c r="R89" s="45"/>
      <c r="S89" s="45"/>
      <c r="T89" s="45"/>
      <c r="U89" s="45"/>
    </row>
    <row r="90" spans="3:21" ht="20.100000000000001" customHeight="1" x14ac:dyDescent="0.25">
      <c r="D90" s="6" t="str" cm="1">
        <f t="array" ref="D90">MMS_Poultry_Methane_Equations.VEERG_4_6_1_1__4_VolatileSolidsTransferred_Title()</f>
        <v>Volatile solids transferred to treatment stage 2 MMS</v>
      </c>
    </row>
    <row r="91" spans="3:21" ht="20.100000000000001" customHeight="1" x14ac:dyDescent="0.25">
      <c r="D91" s="5" t="str" cm="1">
        <f t="array" ref="D91">MMS_Poultry_Methane_Equations.VEERG_4_6_1_1__4_VolatileSolidsTransferred_Source()</f>
        <v>VEERG 2026: 4.4.1.1, Equation (4)</v>
      </c>
    </row>
    <row r="92" spans="3:21" ht="20.100000000000001" customHeight="1" x14ac:dyDescent="0.25">
      <c r="D92" s="13" t="s">
        <v>26</v>
      </c>
      <c r="E92" s="13" t="str" cm="1">
        <f t="array" aca="1" ref="E92" ca="1">Common_InputFunctions.Utility_DisplayFunctionName(E112)</f>
        <v>=MMS_Poultry_Methane_Equations.VEERG_4_6_1_1__4_VolatileSolidsTransferred</v>
      </c>
    </row>
    <row r="93" spans="3:21" ht="20.100000000000001" customHeight="1" x14ac:dyDescent="0.25"/>
    <row r="94" spans="3:21" ht="20.100000000000001" customHeight="1" x14ac:dyDescent="0.25"/>
    <row r="95" spans="3:21" ht="20.100000000000001" customHeight="1" x14ac:dyDescent="0.25">
      <c r="D95" s="53" t="s">
        <v>29</v>
      </c>
      <c r="E95" s="1" t="str" cm="1">
        <f t="array" ref="E95">MMS_Poultry_Methane_Equations.VEERG_4_6_1_1__4_VolatileSolidsTransferred_Variable()</f>
        <v>VST_jk</v>
      </c>
    </row>
    <row r="96" spans="3:21" ht="20.100000000000001" customHeight="1" x14ac:dyDescent="0.25">
      <c r="D96" s="53" t="s">
        <v>19</v>
      </c>
      <c r="E96" s="54" t="str" cm="1">
        <f t="array" ref="E96">MMS_Poultry_Methane_Equations.VEERG_4_6_1_1__4_VolatileSolidsTransferred_Unit()</f>
        <v>kg VS/bird/day</v>
      </c>
    </row>
    <row r="97" spans="4:19" ht="20.100000000000001" customHeight="1" x14ac:dyDescent="0.25"/>
    <row r="98" spans="4:19" ht="20.100000000000001" customHeight="1" x14ac:dyDescent="0.25">
      <c r="D98" s="57" t="str" cm="1">
        <f t="array" ref="D98:E100">MMS_Poultry_Methane_Equations.VEERG_4_6_1_1__4_VolatileSolidsTransferred_Arguments()</f>
        <v>VS_jk</v>
      </c>
      <c r="E98" s="58" t="str">
        <v>volatile solid production poultry classes : kg VS/bird/day</v>
      </c>
      <c r="F98" s="59"/>
      <c r="G98" s="57" t="str">
        <f>"See " &amp; D32</f>
        <v>See M1_Table_VS_j_k</v>
      </c>
    </row>
    <row r="99" spans="4:19" ht="20.100000000000001" customHeight="1" x14ac:dyDescent="0.25">
      <c r="D99" s="57" t="str">
        <v>MMS_jmT1</v>
      </c>
      <c r="E99" s="58" t="str">
        <v>fraction of manure in each primary system : fraction</v>
      </c>
      <c r="F99" s="59"/>
      <c r="G99" s="57" t="str">
        <f>"See " &amp; D54</f>
        <v>See Table_MMS_j_m_T-1</v>
      </c>
    </row>
    <row r="100" spans="4:19" ht="20.100000000000001" customHeight="1" x14ac:dyDescent="0.25">
      <c r="D100" s="57" t="str">
        <v>VSL_mT1</v>
      </c>
      <c r="E100" s="58" t="str">
        <v>fraction of volatile solids lost during storage in the primary system : fraction</v>
      </c>
      <c r="F100" s="59"/>
      <c r="G100" s="57" t="str">
        <f>"See " &amp; D102</f>
        <v>See Table_VSL_m_T-1</v>
      </c>
    </row>
    <row r="101" spans="4:19" ht="20.100000000000001" customHeight="1" x14ac:dyDescent="0.25"/>
    <row r="102" spans="4:19" ht="20.100000000000001" customHeight="1" x14ac:dyDescent="0.25">
      <c r="D102" s="142" t="s">
        <v>137</v>
      </c>
    </row>
    <row r="103" spans="4:19" ht="20.100000000000001" customHeight="1" x14ac:dyDescent="0.25">
      <c r="D103" s="143" t="s">
        <v>245</v>
      </c>
    </row>
    <row r="104" spans="4:19" ht="20.100000000000001" customHeight="1" x14ac:dyDescent="0.25">
      <c r="D104" s="51" t="s">
        <v>143</v>
      </c>
      <c r="E104" s="51" t="s">
        <v>246</v>
      </c>
    </row>
    <row r="105" spans="4:19" ht="20.100000000000001" customHeight="1" x14ac:dyDescent="0.25">
      <c r="D105" s="52" t="str">
        <f>'Input - Poultry'!$D$30</f>
        <v>Poultry manure with bedding</v>
      </c>
      <c r="E105" s="52" cm="1">
        <f t="array" ref="E105">Common_InputFunctions.Utility_LookupValueInTableNumber(D105, Table_SourceData_Poultry_MMSVSL[NIR definition],Table_SourceData_Poultry_MMSVSL[VSL])</f>
        <v>0.15</v>
      </c>
      <c r="F105" s="2" t="s">
        <v>118</v>
      </c>
    </row>
    <row r="106" spans="4:19" ht="20.100000000000001" customHeight="1" x14ac:dyDescent="0.25">
      <c r="D106" s="52" t="str">
        <f>'Input - Poultry'!$D$31</f>
        <v>Belt manure removal</v>
      </c>
      <c r="E106" s="52" cm="1">
        <f t="array" ref="E106">Common_InputFunctions.Utility_LookupValueInTableNumber(D106, Table_SourceData_Poultry_MMSVSL[NIR definition],Table_SourceData_Poultry_MMSVSL[VSL])</f>
        <v>0</v>
      </c>
      <c r="F106" s="2" t="s">
        <v>118</v>
      </c>
    </row>
    <row r="107" spans="4:19" ht="20.100000000000001" customHeight="1" x14ac:dyDescent="0.25">
      <c r="D107" s="52" t="str">
        <f>'Input - Poultry'!$D$32</f>
        <v>Manure stored in house</v>
      </c>
      <c r="E107" s="52" cm="1">
        <f t="array" ref="E107">Common_InputFunctions.Utility_LookupValueInTableNumber(D107, Table_SourceData_Poultry_MMSVSL[NIR definition],Table_SourceData_Poultry_MMSVSL[VSL])</f>
        <v>0.2</v>
      </c>
      <c r="F107" s="2" t="s">
        <v>118</v>
      </c>
    </row>
    <row r="108" spans="4:19" ht="20.100000000000001" customHeight="1" x14ac:dyDescent="0.25">
      <c r="F108" s="2"/>
    </row>
    <row r="109" spans="4:19" ht="20.100000000000001" customHeight="1" x14ac:dyDescent="0.25">
      <c r="D109" s="99" t="s">
        <v>247</v>
      </c>
      <c r="N109" s="99" t="s">
        <v>248</v>
      </c>
    </row>
    <row r="110" spans="4:19" ht="20.100000000000001" customHeight="1" x14ac:dyDescent="0.25">
      <c r="D110" s="98" t="s">
        <v>249</v>
      </c>
      <c r="N110" s="98" t="s">
        <v>250</v>
      </c>
    </row>
    <row r="111" spans="4:19" ht="20.100000000000001" customHeight="1" x14ac:dyDescent="0.25">
      <c r="D111" s="51" t="s">
        <v>143</v>
      </c>
      <c r="E111" s="51" t="s">
        <v>209</v>
      </c>
      <c r="F111" s="51" t="s">
        <v>210</v>
      </c>
      <c r="G111" s="51" t="s">
        <v>224</v>
      </c>
      <c r="H111" s="51" t="s">
        <v>225</v>
      </c>
      <c r="N111" s="51" t="s">
        <v>143</v>
      </c>
      <c r="O111" s="51" t="s">
        <v>209</v>
      </c>
      <c r="P111" s="51" t="s">
        <v>210</v>
      </c>
      <c r="Q111" s="51" t="s">
        <v>224</v>
      </c>
      <c r="R111" s="51" t="s">
        <v>225</v>
      </c>
    </row>
    <row r="112" spans="4:19" ht="20.100000000000001" customHeight="1" x14ac:dyDescent="0.25">
      <c r="D112" s="52" t="str">
        <f>'Input - Poultry'!$D$30</f>
        <v>Poultry manure with bedding</v>
      </c>
      <c r="E112" s="52" cm="1">
        <f t="array" ref="E112">MMS_Poultry_Methane_Equations.VEERG_4_6_1_1__4_VolatileSolidsTransferred(D$35,E57,_xlfn.XLOOKUP($D112,$D$105:$D$107,$E$105:$E$107))</f>
        <v>3.5965199999999985E-3</v>
      </c>
      <c r="F112" s="52" cm="1">
        <f t="array" ref="F112">MMS_Poultry_Methane_Equations.VEERG_4_6_1_1__4_VolatileSolidsTransferred(E$35,F57,_xlfn.XLOOKUP($D112,$D$105:$D$107,$E$105:$E$107))</f>
        <v>4.0315499999999983E-3</v>
      </c>
      <c r="G112" s="52" cm="1">
        <f t="array" ref="G112">MMS_Poultry_Methane_Equations.VEERG_4_6_1_1__4_VolatileSolidsTransferred(F$35,G57,_xlfn.XLOOKUP($D112,$D$105:$D$107,$E$105:$E$107))</f>
        <v>4.3074599999999991E-3</v>
      </c>
      <c r="H112" s="52" cm="1">
        <f t="array" ref="H112">MMS_Poultry_Methane_Equations.VEERG_4_6_1_1__4_VolatileSolidsTransferred(G$35,H57,_xlfn.XLOOKUP($D112,$D$105:$D$107,$E$105:$E$107))</f>
        <v>4.0315499999999983E-3</v>
      </c>
      <c r="I112" s="2" t="str">
        <f>$E$96</f>
        <v>kg VS/bird/day</v>
      </c>
      <c r="N112" s="52" t="str">
        <f>'Input - Poultry'!$D$30</f>
        <v>Poultry manure with bedding</v>
      </c>
      <c r="O112" s="52" cm="1">
        <f t="array" ref="O112">MMS_Poultry_Methane_Equations.VEERG_4_6_1_1__4_VolatileSolidsTransferred(N$35,E57,_xlfn.XLOOKUP($N112,$D$105:$D$107,$E$105:$E$107))</f>
        <v>3.5965199999999985E-3</v>
      </c>
      <c r="P112" s="52" cm="1">
        <f t="array" ref="P112">MMS_Poultry_Methane_Equations.VEERG_4_6_1_1__4_VolatileSolidsTransferred(O$35,F57,_xlfn.XLOOKUP($N112,$D$105:$D$107,$E$105:$E$107))</f>
        <v>4.0315499999999983E-3</v>
      </c>
      <c r="Q112" s="52" cm="1">
        <f t="array" ref="Q112">MMS_Poultry_Methane_Equations.VEERG_4_6_1_1__4_VolatileSolidsTransferred(P$35,G57,_xlfn.XLOOKUP($N112,$D$105:$D$107,$E$105:$E$107))</f>
        <v>4.3074599999999991E-3</v>
      </c>
      <c r="R112" s="52" cm="1">
        <f t="array" ref="R112">MMS_Poultry_Methane_Equations.VEERG_4_6_1_1__4_VolatileSolidsTransferred(Q$35,H57,_xlfn.XLOOKUP($N112,$D$105:$D$107,$E$105:$E$107))</f>
        <v>4.0315499999999983E-3</v>
      </c>
      <c r="S112" s="2" t="str">
        <f>$E$96</f>
        <v>kg VS/bird/day</v>
      </c>
    </row>
    <row r="113" spans="3:21" ht="20.100000000000001" customHeight="1" x14ac:dyDescent="0.25">
      <c r="D113" s="52" t="str">
        <f>'Input - Poultry'!$D$31</f>
        <v>Belt manure removal</v>
      </c>
      <c r="E113" s="52" cm="1">
        <f t="array" ref="E113">MMS_Poultry_Methane_Equations.VEERG_4_6_1_1__4_VolatileSolidsTransferred(D$35,E58,_xlfn.XLOOKUP($D113,$D$105:$D$107,$E$105:$E$107))</f>
        <v>4.2311999999999983E-3</v>
      </c>
      <c r="F113" s="52" cm="1">
        <f t="array" ref="F113">MMS_Poultry_Methane_Equations.VEERG_4_6_1_1__4_VolatileSolidsTransferred(E$35,F58,_xlfn.XLOOKUP($D113,$D$105:$D$107,$E$105:$E$107))</f>
        <v>4.7429999999999981E-3</v>
      </c>
      <c r="G113" s="52" cm="1">
        <f t="array" ref="G113">MMS_Poultry_Methane_Equations.VEERG_4_6_1_1__4_VolatileSolidsTransferred(F$35,G58,_xlfn.XLOOKUP($D113,$D$105:$D$107,$E$105:$E$107))</f>
        <v>5.0675999999999994E-3</v>
      </c>
      <c r="H113" s="52" cm="1">
        <f t="array" ref="H113">MMS_Poultry_Methane_Equations.VEERG_4_6_1_1__4_VolatileSolidsTransferred(G$35,H58,_xlfn.XLOOKUP($D113,$D$105:$D$107,$E$105:$E$107))</f>
        <v>4.7429999999999981E-3</v>
      </c>
      <c r="I113" s="2" t="str">
        <f t="shared" ref="I113:I116" si="2">$E$96</f>
        <v>kg VS/bird/day</v>
      </c>
      <c r="N113" s="52" t="str">
        <f>'Input - Poultry'!$D$31</f>
        <v>Belt manure removal</v>
      </c>
      <c r="O113" s="52" cm="1">
        <f t="array" ref="O113">MMS_Poultry_Methane_Equations.VEERG_4_6_1_1__4_VolatileSolidsTransferred(N$35,E58,_xlfn.XLOOKUP($N113,$D$105:$D$107,$E$105:$E$107))</f>
        <v>4.2311999999999983E-3</v>
      </c>
      <c r="P113" s="52" cm="1">
        <f t="array" ref="P113">MMS_Poultry_Methane_Equations.VEERG_4_6_1_1__4_VolatileSolidsTransferred(O$35,F58,_xlfn.XLOOKUP($N113,$D$105:$D$107,$E$105:$E$107))</f>
        <v>4.7429999999999981E-3</v>
      </c>
      <c r="Q113" s="52" cm="1">
        <f t="array" ref="Q113">MMS_Poultry_Methane_Equations.VEERG_4_6_1_1__4_VolatileSolidsTransferred(P$35,G58,_xlfn.XLOOKUP($N113,$D$105:$D$107,$E$105:$E$107))</f>
        <v>5.0675999999999994E-3</v>
      </c>
      <c r="R113" s="52" cm="1">
        <f t="array" ref="R113">MMS_Poultry_Methane_Equations.VEERG_4_6_1_1__4_VolatileSolidsTransferred(Q$35,H58,_xlfn.XLOOKUP($N113,$D$105:$D$107,$E$105:$E$107))</f>
        <v>4.7429999999999981E-3</v>
      </c>
      <c r="S113" s="2" t="str">
        <f t="shared" ref="S113:S114" si="3">$E$96</f>
        <v>kg VS/bird/day</v>
      </c>
    </row>
    <row r="114" spans="3:21" ht="20.100000000000001" customHeight="1" x14ac:dyDescent="0.25">
      <c r="D114" s="52" t="str">
        <f>'Input - Poultry'!$D$32</f>
        <v>Manure stored in house</v>
      </c>
      <c r="E114" s="52" cm="1">
        <f t="array" ref="E114">MMS_Poultry_Methane_Equations.VEERG_4_6_1_1__4_VolatileSolidsTransferred(D$35,E59,_xlfn.XLOOKUP($D114,$D$105:$D$107,$E$105:$E$107))</f>
        <v>3.3849599999999989E-3</v>
      </c>
      <c r="F114" s="52" cm="1">
        <f t="array" ref="F114">MMS_Poultry_Methane_Equations.VEERG_4_6_1_1__4_VolatileSolidsTransferred(E$35,F59,_xlfn.XLOOKUP($D114,$D$105:$D$107,$E$105:$E$107))</f>
        <v>3.7943999999999986E-3</v>
      </c>
      <c r="G114" s="52" cm="1">
        <f t="array" ref="G114">MMS_Poultry_Methane_Equations.VEERG_4_6_1_1__4_VolatileSolidsTransferred(F$35,G59,_xlfn.XLOOKUP($D114,$D$105:$D$107,$E$105:$E$107))</f>
        <v>4.0540799999999998E-3</v>
      </c>
      <c r="H114" s="52" cm="1">
        <f t="array" ref="H114">MMS_Poultry_Methane_Equations.VEERG_4_6_1_1__4_VolatileSolidsTransferred(G$35,H59,_xlfn.XLOOKUP($D114,$D$105:$D$107,$E$105:$E$107))</f>
        <v>3.7943999999999986E-3</v>
      </c>
      <c r="I114" s="2" t="str">
        <f t="shared" si="2"/>
        <v>kg VS/bird/day</v>
      </c>
      <c r="N114" s="52" t="str">
        <f>'Input - Poultry'!$D$32</f>
        <v>Manure stored in house</v>
      </c>
      <c r="O114" s="52" cm="1">
        <f t="array" ref="O114">MMS_Poultry_Methane_Equations.VEERG_4_6_1_1__4_VolatileSolidsTransferred(N$35,E59,_xlfn.XLOOKUP($N114,$D$105:$D$107,$E$105:$E$107))</f>
        <v>3.3849599999999989E-3</v>
      </c>
      <c r="P114" s="52" cm="1">
        <f t="array" ref="P114">MMS_Poultry_Methane_Equations.VEERG_4_6_1_1__4_VolatileSolidsTransferred(O$35,F59,_xlfn.XLOOKUP($N114,$D$105:$D$107,$E$105:$E$107))</f>
        <v>3.7943999999999986E-3</v>
      </c>
      <c r="Q114" s="52" cm="1">
        <f t="array" ref="Q114">MMS_Poultry_Methane_Equations.VEERG_4_6_1_1__4_VolatileSolidsTransferred(P$35,G59,_xlfn.XLOOKUP($N114,$D$105:$D$107,$E$105:$E$107))</f>
        <v>4.0540799999999998E-3</v>
      </c>
      <c r="R114" s="52" cm="1">
        <f t="array" ref="R114">MMS_Poultry_Methane_Equations.VEERG_4_6_1_1__4_VolatileSolidsTransferred(Q$35,H59,_xlfn.XLOOKUP($N114,$D$105:$D$107,$E$105:$E$107))</f>
        <v>3.7943999999999986E-3</v>
      </c>
      <c r="S114" s="2" t="str">
        <f t="shared" si="3"/>
        <v>kg VS/bird/day</v>
      </c>
    </row>
    <row r="115" spans="3:21" ht="20.100000000000001" customHeight="1" x14ac:dyDescent="0.25"/>
    <row r="116" spans="3:21" ht="20.100000000000001" customHeight="1" x14ac:dyDescent="0.25"/>
    <row r="117" spans="3:21" ht="20.100000000000001" customHeight="1" x14ac:dyDescent="0.25">
      <c r="C117" s="45"/>
      <c r="D117" s="45"/>
      <c r="E117" s="45"/>
      <c r="F117" s="45"/>
      <c r="G117" s="45"/>
      <c r="H117" s="45"/>
      <c r="I117" s="45"/>
      <c r="J117" s="45"/>
      <c r="K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3:21" ht="20.100000000000001" customHeight="1" x14ac:dyDescent="0.25">
      <c r="D118" s="6" t="str" cm="1">
        <f t="array" ref="D118">MMS_Poultry_Methane_Equations.VEERG_4_6_1_1__3_Stage2MethaneProduction_Title()</f>
        <v>Production of methane in treatment stage 2 MMS</v>
      </c>
    </row>
    <row r="119" spans="3:21" ht="20.100000000000001" customHeight="1" x14ac:dyDescent="0.25">
      <c r="D119" s="5" t="str" cm="1">
        <f t="array" ref="D119">MMS_Poultry_Methane_Equations.VEERG_4_6_1_1__3_Stage2MethaneProduction_Source()</f>
        <v>VEERG 2026: 4.4.1.1, Equation (3)</v>
      </c>
    </row>
    <row r="120" spans="3:21" ht="20.100000000000001" customHeight="1" x14ac:dyDescent="0.25">
      <c r="D120" s="13" t="s">
        <v>26</v>
      </c>
      <c r="E120" s="13" t="str" cm="1">
        <f t="array" aca="1" ref="E120" ca="1">Common_InputFunctions.Utility_DisplayFunctionName(F152)</f>
        <v>=MMS_Poultry_Methane_Equations.VEERG_4_6_1_1__3_Stage2MethaneProduction</v>
      </c>
    </row>
    <row r="121" spans="3:21" ht="20.100000000000001" customHeight="1" x14ac:dyDescent="0.25"/>
    <row r="122" spans="3:21" ht="20.100000000000001" customHeight="1" x14ac:dyDescent="0.25"/>
    <row r="123" spans="3:21" ht="20.100000000000001" customHeight="1" x14ac:dyDescent="0.25">
      <c r="D123" s="53" t="s">
        <v>29</v>
      </c>
      <c r="E123" s="1" t="str" cm="1">
        <f t="array" ref="E123">MMS_Poultry_Methane_Equations.VEERG_4_6_1_1__3_Stage2MethaneProduction_Variable()</f>
        <v>M_jkmT2</v>
      </c>
    </row>
    <row r="124" spans="3:21" ht="20.100000000000001" customHeight="1" x14ac:dyDescent="0.25">
      <c r="D124" s="53" t="s">
        <v>19</v>
      </c>
      <c r="E124" s="54" t="str" cm="1">
        <f t="array" ref="E124">MMS_Poultry_Methane_Equations.VEERG_4_6_1_1__3_Stage2MethaneProduction_Unit()</f>
        <v>kg CH4/bird/day</v>
      </c>
    </row>
    <row r="125" spans="3:21" ht="20.100000000000001" customHeight="1" x14ac:dyDescent="0.25"/>
    <row r="126" spans="3:21" ht="20.100000000000001" customHeight="1" x14ac:dyDescent="0.25">
      <c r="D126" s="57" t="str" cm="1">
        <f t="array" ref="D126:E131">MMS_Poultry_Methane_Equations.VEERG_4_6_1_1__3_Stage2MethaneProduction_Arguments()</f>
        <v>VST_jk</v>
      </c>
      <c r="E126" s="58" t="str">
        <v>volatile solids transferred to treatment stage 2 MMS : kg VS/bird/day</v>
      </c>
      <c r="F126" s="59"/>
      <c r="G126" s="57" t="str">
        <f>"See " &amp; D109</f>
        <v>See M1_Table_VST_j_k</v>
      </c>
    </row>
    <row r="127" spans="3:21" ht="20.100000000000001" customHeight="1" x14ac:dyDescent="0.25">
      <c r="D127" s="57" t="str">
        <v>BO</v>
      </c>
      <c r="E127" s="58" t="str">
        <v>emissions potential : m3 CH4/kg VS</v>
      </c>
      <c r="F127" s="59"/>
      <c r="G127" s="57" t="str">
        <f>"See " &amp; D62</f>
        <v>See Table_B_0_j</v>
      </c>
    </row>
    <row r="128" spans="3:21" ht="20.100000000000001" customHeight="1" x14ac:dyDescent="0.25">
      <c r="D128" s="57" t="str">
        <v>MMS_jmT2</v>
      </c>
      <c r="E128" s="58" t="str">
        <v>fraction of manure in each secondary system : fraction</v>
      </c>
      <c r="F128" s="59"/>
      <c r="G128" s="57" t="str">
        <f>"See " &amp; D133</f>
        <v>See Table_MMS_j_m_T-2</v>
      </c>
    </row>
    <row r="129" spans="4:10" ht="20.100000000000001" customHeight="1" x14ac:dyDescent="0.25">
      <c r="D129" s="57" t="str">
        <v>MCF_im</v>
      </c>
      <c r="E129" s="58" t="str">
        <v>methane conversion factor for temperature zone and MMS : fraction</v>
      </c>
      <c r="F129" s="59"/>
      <c r="G129" s="57" t="str">
        <f>"See " &amp; D67</f>
        <v>See Table_MCF_i_m</v>
      </c>
    </row>
    <row r="130" spans="4:10" ht="20.100000000000001" customHeight="1" x14ac:dyDescent="0.25">
      <c r="D130" s="57" t="str">
        <v>rho</v>
      </c>
      <c r="E130" s="58" t="str">
        <v>density of methane : kg/m3</v>
      </c>
      <c r="F130" s="59"/>
      <c r="G130" s="57">
        <f>'Constants - Common'!$D$175</f>
        <v>0.6784</v>
      </c>
    </row>
    <row r="131" spans="4:10" ht="20.100000000000001" customHeight="1" x14ac:dyDescent="0.25">
      <c r="D131" s="57" t="str">
        <v>i</v>
      </c>
      <c r="E131" s="58" t="str">
        <v>state</v>
      </c>
      <c r="F131" s="59"/>
      <c r="G131" s="57" t="str">
        <f>'Input - Site'!$E$21</f>
        <v>Western Australia</v>
      </c>
    </row>
    <row r="132" spans="4:10" ht="20.100000000000001" customHeight="1" x14ac:dyDescent="0.25"/>
    <row r="133" spans="4:10" ht="20.100000000000001" customHeight="1" x14ac:dyDescent="0.25">
      <c r="D133" s="99" t="s">
        <v>138</v>
      </c>
    </row>
    <row r="134" spans="4:10" ht="20.100000000000001" customHeight="1" x14ac:dyDescent="0.25">
      <c r="D134" s="98" t="s">
        <v>251</v>
      </c>
    </row>
    <row r="135" spans="4:10" ht="20.100000000000001" customHeight="1" x14ac:dyDescent="0.25">
      <c r="D135" s="51" t="s">
        <v>143</v>
      </c>
      <c r="E135" s="51" t="s">
        <v>145</v>
      </c>
      <c r="F135" s="51" t="s">
        <v>209</v>
      </c>
      <c r="G135" s="51" t="s">
        <v>210</v>
      </c>
      <c r="H135" s="51" t="s">
        <v>224</v>
      </c>
      <c r="I135" s="51" t="s">
        <v>225</v>
      </c>
    </row>
    <row r="136" spans="4:10" ht="20.100000000000001" customHeight="1" x14ac:dyDescent="0.25">
      <c r="D136" s="52" t="str">
        <f>'Input - Poultry'!$D$30</f>
        <v>Poultry manure with bedding</v>
      </c>
      <c r="E136" s="52" t="str">
        <f>'Input - Poultry'!$D$38</f>
        <v>Solid storage</v>
      </c>
      <c r="F136" s="52">
        <f>'Input - Poultry'!E38</f>
        <v>0.2</v>
      </c>
      <c r="G136" s="52">
        <f>'Input - Poultry'!F38</f>
        <v>0.2</v>
      </c>
      <c r="H136" s="52">
        <f>'Input - Poultry'!G38</f>
        <v>0.2</v>
      </c>
      <c r="I136" s="52">
        <f>'Input - Poultry'!H38</f>
        <v>0.2</v>
      </c>
      <c r="J136" s="2" t="s">
        <v>118</v>
      </c>
    </row>
    <row r="137" spans="4:10" ht="20.100000000000001" customHeight="1" x14ac:dyDescent="0.25">
      <c r="D137" s="52"/>
      <c r="E137" s="52" t="str">
        <f>'Input - Poultry'!$D$39</f>
        <v>Composting (passive windrow)</v>
      </c>
      <c r="F137" s="52">
        <f>'Input - Poultry'!E39</f>
        <v>0.2</v>
      </c>
      <c r="G137" s="52">
        <f>'Input - Poultry'!F39</f>
        <v>0.2</v>
      </c>
      <c r="H137" s="52">
        <f>'Input - Poultry'!G39</f>
        <v>0.2</v>
      </c>
      <c r="I137" s="52">
        <f>'Input - Poultry'!H39</f>
        <v>0.2</v>
      </c>
      <c r="J137" s="2" t="s">
        <v>118</v>
      </c>
    </row>
    <row r="138" spans="4:10" ht="20.100000000000001" customHeight="1" x14ac:dyDescent="0.25">
      <c r="D138" s="52"/>
      <c r="E138" s="52" t="str">
        <f>'Input - Poultry'!$D$40</f>
        <v>Digester / covered lagoons</v>
      </c>
      <c r="F138" s="52">
        <f>'Input - Poultry'!E40</f>
        <v>0.2</v>
      </c>
      <c r="G138" s="52">
        <f>'Input - Poultry'!F40</f>
        <v>0.2</v>
      </c>
      <c r="H138" s="52">
        <f>'Input - Poultry'!G40</f>
        <v>0.2</v>
      </c>
      <c r="I138" s="52">
        <f>'Input - Poultry'!H40</f>
        <v>0.2</v>
      </c>
      <c r="J138" s="2" t="s">
        <v>118</v>
      </c>
    </row>
    <row r="139" spans="4:10" ht="20.100000000000001" customHeight="1" x14ac:dyDescent="0.25">
      <c r="D139" s="52"/>
      <c r="E139" s="52" t="str">
        <f>'Input - Poultry'!$D$41</f>
        <v>Direct processing</v>
      </c>
      <c r="F139" s="52">
        <f>'Input - Poultry'!E41</f>
        <v>0.2</v>
      </c>
      <c r="G139" s="52">
        <f>'Input - Poultry'!F41</f>
        <v>0.2</v>
      </c>
      <c r="H139" s="52">
        <f>'Input - Poultry'!G41</f>
        <v>0.2</v>
      </c>
      <c r="I139" s="52">
        <f>'Input - Poultry'!H41</f>
        <v>0.2</v>
      </c>
      <c r="J139" s="2" t="s">
        <v>118</v>
      </c>
    </row>
    <row r="140" spans="4:10" ht="20.100000000000001" customHeight="1" x14ac:dyDescent="0.25">
      <c r="D140" s="52" t="str">
        <f>'Input - Poultry'!$D$31</f>
        <v>Belt manure removal</v>
      </c>
      <c r="E140" s="52" t="str">
        <f>'Input - Poultry'!$D$45</f>
        <v>Solid storage</v>
      </c>
      <c r="F140" s="52">
        <f>'Input - Poultry'!E45</f>
        <v>0.2</v>
      </c>
      <c r="G140" s="52">
        <f>'Input - Poultry'!F45</f>
        <v>0.2</v>
      </c>
      <c r="H140" s="52">
        <f>'Input - Poultry'!G45</f>
        <v>0.2</v>
      </c>
      <c r="I140" s="52">
        <f>'Input - Poultry'!H45</f>
        <v>0.2</v>
      </c>
      <c r="J140" s="2" t="s">
        <v>118</v>
      </c>
    </row>
    <row r="141" spans="4:10" ht="20.100000000000001" customHeight="1" x14ac:dyDescent="0.25">
      <c r="D141" s="52"/>
      <c r="E141" s="52" t="str">
        <f>'Input - Poultry'!$D$46</f>
        <v>Composting (passive windrow)</v>
      </c>
      <c r="F141" s="52">
        <f>'Input - Poultry'!E46</f>
        <v>0.2</v>
      </c>
      <c r="G141" s="52">
        <f>'Input - Poultry'!F46</f>
        <v>0.2</v>
      </c>
      <c r="H141" s="52">
        <f>'Input - Poultry'!G46</f>
        <v>0.2</v>
      </c>
      <c r="I141" s="52">
        <f>'Input - Poultry'!H46</f>
        <v>0.2</v>
      </c>
      <c r="J141" s="2" t="s">
        <v>118</v>
      </c>
    </row>
    <row r="142" spans="4:10" ht="20.100000000000001" customHeight="1" x14ac:dyDescent="0.25">
      <c r="D142" s="52"/>
      <c r="E142" s="52" t="str">
        <f>'Input - Poultry'!$D$47</f>
        <v>Digester / covered lagoons</v>
      </c>
      <c r="F142" s="52">
        <f>'Input - Poultry'!E47</f>
        <v>0.2</v>
      </c>
      <c r="G142" s="52">
        <f>'Input - Poultry'!F47</f>
        <v>0.2</v>
      </c>
      <c r="H142" s="52">
        <f>'Input - Poultry'!G47</f>
        <v>0.2</v>
      </c>
      <c r="I142" s="52">
        <f>'Input - Poultry'!H47</f>
        <v>0.2</v>
      </c>
      <c r="J142" s="2" t="s">
        <v>118</v>
      </c>
    </row>
    <row r="143" spans="4:10" ht="20.100000000000001" customHeight="1" x14ac:dyDescent="0.25">
      <c r="D143" s="52"/>
      <c r="E143" s="52" t="str">
        <f>'Input - Poultry'!$D$48</f>
        <v>Direct processing</v>
      </c>
      <c r="F143" s="52">
        <f>'Input - Poultry'!E48</f>
        <v>0.2</v>
      </c>
      <c r="G143" s="52">
        <f>'Input - Poultry'!F48</f>
        <v>0.2</v>
      </c>
      <c r="H143" s="52">
        <f>'Input - Poultry'!G48</f>
        <v>0.2</v>
      </c>
      <c r="I143" s="52">
        <f>'Input - Poultry'!H48</f>
        <v>0.2</v>
      </c>
      <c r="J143" s="2" t="s">
        <v>118</v>
      </c>
    </row>
    <row r="144" spans="4:10" ht="20.100000000000001" customHeight="1" x14ac:dyDescent="0.25">
      <c r="D144" s="52" t="str">
        <f>'Input - Poultry'!$D$32</f>
        <v>Manure stored in house</v>
      </c>
      <c r="E144" s="52" t="str">
        <f>'Input - Poultry'!$D$52</f>
        <v>Solid storage</v>
      </c>
      <c r="F144" s="52">
        <f>'Input - Poultry'!E52</f>
        <v>0.2</v>
      </c>
      <c r="G144" s="52">
        <f>'Input - Poultry'!F52</f>
        <v>0.2</v>
      </c>
      <c r="H144" s="52">
        <f>'Input - Poultry'!G52</f>
        <v>0.2</v>
      </c>
      <c r="I144" s="52">
        <f>'Input - Poultry'!H52</f>
        <v>0.2</v>
      </c>
      <c r="J144" s="2" t="s">
        <v>118</v>
      </c>
    </row>
    <row r="145" spans="4:20" ht="20.100000000000001" customHeight="1" x14ac:dyDescent="0.25">
      <c r="D145" s="52"/>
      <c r="E145" s="52" t="str">
        <f>'Input - Poultry'!$D$53</f>
        <v>Composting (passive windrow)</v>
      </c>
      <c r="F145" s="52">
        <f>'Input - Poultry'!E53</f>
        <v>0.2</v>
      </c>
      <c r="G145" s="52">
        <f>'Input - Poultry'!F53</f>
        <v>0.2</v>
      </c>
      <c r="H145" s="52">
        <f>'Input - Poultry'!G53</f>
        <v>0.2</v>
      </c>
      <c r="I145" s="52">
        <f>'Input - Poultry'!H53</f>
        <v>0.2</v>
      </c>
      <c r="J145" s="2" t="s">
        <v>118</v>
      </c>
    </row>
    <row r="146" spans="4:20" ht="20.100000000000001" customHeight="1" x14ac:dyDescent="0.25">
      <c r="D146" s="52"/>
      <c r="E146" s="52" t="str">
        <f>'Input - Poultry'!$D$54</f>
        <v>Digester / covered lagoons</v>
      </c>
      <c r="F146" s="52">
        <f>'Input - Poultry'!E54</f>
        <v>0.2</v>
      </c>
      <c r="G146" s="52">
        <f>'Input - Poultry'!F54</f>
        <v>0.2</v>
      </c>
      <c r="H146" s="52">
        <f>'Input - Poultry'!G54</f>
        <v>0.2</v>
      </c>
      <c r="I146" s="52">
        <f>'Input - Poultry'!H54</f>
        <v>0.2</v>
      </c>
      <c r="J146" s="2" t="s">
        <v>118</v>
      </c>
    </row>
    <row r="147" spans="4:20" ht="20.100000000000001" customHeight="1" x14ac:dyDescent="0.25">
      <c r="D147" s="52"/>
      <c r="E147" s="52" t="str">
        <f>'Input - Poultry'!$D$55</f>
        <v>Direct processing</v>
      </c>
      <c r="F147" s="52">
        <f>'Input - Poultry'!E55</f>
        <v>0.2</v>
      </c>
      <c r="G147" s="52">
        <f>'Input - Poultry'!F55</f>
        <v>0.2</v>
      </c>
      <c r="H147" s="52">
        <f>'Input - Poultry'!G55</f>
        <v>0.2</v>
      </c>
      <c r="I147" s="52">
        <f>'Input - Poultry'!H55</f>
        <v>0.2</v>
      </c>
      <c r="J147" s="2" t="s">
        <v>118</v>
      </c>
    </row>
    <row r="148" spans="4:20" ht="20.100000000000001" customHeight="1" x14ac:dyDescent="0.25"/>
    <row r="149" spans="4:20" ht="20.100000000000001" customHeight="1" x14ac:dyDescent="0.25">
      <c r="D149" s="99" t="s">
        <v>252</v>
      </c>
      <c r="N149" s="99" t="s">
        <v>252</v>
      </c>
    </row>
    <row r="150" spans="4:20" ht="20.100000000000001" customHeight="1" x14ac:dyDescent="0.25">
      <c r="D150" s="98" t="s">
        <v>253</v>
      </c>
      <c r="N150" s="98" t="s">
        <v>253</v>
      </c>
    </row>
    <row r="151" spans="4:20" ht="20.100000000000001" customHeight="1" x14ac:dyDescent="0.25">
      <c r="D151" s="51" t="s">
        <v>143</v>
      </c>
      <c r="E151" s="51" t="s">
        <v>145</v>
      </c>
      <c r="F151" s="51" t="s">
        <v>209</v>
      </c>
      <c r="G151" s="51" t="s">
        <v>210</v>
      </c>
      <c r="H151" s="51" t="s">
        <v>224</v>
      </c>
      <c r="I151" s="51" t="s">
        <v>225</v>
      </c>
      <c r="N151" s="51" t="s">
        <v>143</v>
      </c>
      <c r="O151" s="51" t="s">
        <v>145</v>
      </c>
      <c r="P151" s="51" t="s">
        <v>209</v>
      </c>
      <c r="Q151" s="51" t="s">
        <v>210</v>
      </c>
      <c r="R151" s="51" t="s">
        <v>224</v>
      </c>
      <c r="S151" s="51" t="s">
        <v>225</v>
      </c>
    </row>
    <row r="152" spans="4:20" ht="20.100000000000001" customHeight="1" x14ac:dyDescent="0.25">
      <c r="D152" s="52" t="str">
        <f>'Input - Poultry'!$D$30</f>
        <v>Poultry manure with bedding</v>
      </c>
      <c r="E152" s="52" t="str">
        <f>'Input - Poultry'!$D$38</f>
        <v>Solid storage</v>
      </c>
      <c r="F152" s="52" cm="1">
        <f t="array" ref="F152">MMS_Poultry_Methane_Equations.VEERG_4_6_1_1__3_Stage2MethaneProduction(E$112,D$65,F136,_xlfn.XLOOKUP($E152,$D$70:$D$78,$E$70:$E$78),$G$130)</f>
        <v>3.8062115020799981E-6</v>
      </c>
      <c r="G152" s="52" cm="1">
        <f t="array" ref="G152">MMS_Poultry_Methane_Equations.VEERG_4_6_1_1__3_Stage2MethaneProduction(F$112,E$65,G136,_xlfn.XLOOKUP($E152,$D$70:$D$78,$E$70:$E$78),$G$130)</f>
        <v>3.9384050687999985E-6</v>
      </c>
      <c r="H152" s="52" cm="1">
        <f t="array" ref="H152">MMS_Poultry_Methane_Equations.VEERG_4_6_1_1__3_Stage2MethaneProduction(G$112,F$65,H136,_xlfn.XLOOKUP($E152,$D$70:$D$78,$E$70:$E$78),$G$130)</f>
        <v>4.2079404441599992E-6</v>
      </c>
      <c r="I152" s="52" cm="1">
        <f t="array" ref="I152">MMS_Poultry_Methane_Equations.VEERG_4_6_1_1__3_Stage2MethaneProduction(H$112,G$65,I136,_xlfn.XLOOKUP($E152,$D$70:$D$78,$E$70:$E$78),$G$130)</f>
        <v>3.9384050687999985E-6</v>
      </c>
      <c r="J152" s="2" t="str">
        <f>$E$124</f>
        <v>kg CH4/bird/day</v>
      </c>
      <c r="N152" s="52" t="str">
        <f>'Input - Poultry'!$D$30</f>
        <v>Poultry manure with bedding</v>
      </c>
      <c r="O152" s="52" t="str">
        <f>'Input - Poultry'!$D$38</f>
        <v>Solid storage</v>
      </c>
      <c r="P152" s="52" cm="1">
        <f t="array" ref="P152">MMS_Poultry_Methane_Equations.VEERG_4_6_1_1__3_Stage2MethaneProduction(E$112,D$65,F136,_xlfn.XLOOKUP($O152,$D$70:$D$78,$E$70:$E$78),$G$130)</f>
        <v>3.8062115020799981E-6</v>
      </c>
      <c r="Q152" s="52" cm="1">
        <f t="array" ref="Q152">MMS_Poultry_Methane_Equations.VEERG_4_6_1_1__3_Stage2MethaneProduction(F$112,E$65,G136,_xlfn.XLOOKUP($O152,$D$70:$D$78,$E$70:$E$78),$G$130)</f>
        <v>3.9384050687999985E-6</v>
      </c>
      <c r="R152" s="52" cm="1">
        <f t="array" ref="R152">MMS_Poultry_Methane_Equations.VEERG_4_6_1_1__3_Stage2MethaneProduction(G$112,F$65,H136,_xlfn.XLOOKUP($O152,$D$70:$D$78,$E$70:$E$78),$G$130)</f>
        <v>4.2079404441599992E-6</v>
      </c>
      <c r="S152" s="52" cm="1">
        <f t="array" ref="S152">MMS_Poultry_Methane_Equations.VEERG_4_6_1_1__3_Stage2MethaneProduction(H$112,G$65,I136,_xlfn.XLOOKUP($O152,$D$70:$D$78,$E$70:$E$78),$G$130)</f>
        <v>3.9384050687999985E-6</v>
      </c>
      <c r="T152" s="2" t="str">
        <f t="shared" ref="T152:T163" si="4">$E$124</f>
        <v>kg CH4/bird/day</v>
      </c>
    </row>
    <row r="153" spans="4:20" ht="20.100000000000001" customHeight="1" x14ac:dyDescent="0.25">
      <c r="D153" s="52"/>
      <c r="E153" s="52" t="str">
        <f>'Input - Poultry'!$D$39</f>
        <v>Composting (passive windrow)</v>
      </c>
      <c r="F153" s="52" cm="1">
        <f t="array" ref="F153">MMS_Poultry_Methane_Equations.VEERG_4_6_1_1__3_Stage2MethaneProduction(E$112,D$65,F137,_xlfn.XLOOKUP($E153,$D$70:$D$78,$E$70:$E$78),$G$130)</f>
        <v>1.9031057510399991E-6</v>
      </c>
      <c r="G153" s="52" cm="1">
        <f t="array" ref="G153">MMS_Poultry_Methane_Equations.VEERG_4_6_1_1__3_Stage2MethaneProduction(F$112,E$65,G137,_xlfn.XLOOKUP($E153,$D$70:$D$78,$E$70:$E$78),$G$130)</f>
        <v>1.9692025343999993E-6</v>
      </c>
      <c r="H153" s="52" cm="1">
        <f t="array" ref="H153">MMS_Poultry_Methane_Equations.VEERG_4_6_1_1__3_Stage2MethaneProduction(G$112,F$65,H137,_xlfn.XLOOKUP($E153,$D$70:$D$78,$E$70:$E$78),$G$130)</f>
        <v>2.1039702220799996E-6</v>
      </c>
      <c r="I153" s="52" cm="1">
        <f t="array" ref="I153">MMS_Poultry_Methane_Equations.VEERG_4_6_1_1__3_Stage2MethaneProduction(H$112,G$65,I137,_xlfn.XLOOKUP($E153,$D$70:$D$78,$E$70:$E$78),$G$130)</f>
        <v>1.9692025343999993E-6</v>
      </c>
      <c r="J153" s="2" t="str">
        <f t="shared" ref="J153:J163" si="5">$E$124</f>
        <v>kg CH4/bird/day</v>
      </c>
      <c r="N153" s="52"/>
      <c r="O153" s="52" t="str">
        <f>'Input - Poultry'!$D$39</f>
        <v>Composting (passive windrow)</v>
      </c>
      <c r="P153" s="52" cm="1">
        <f t="array" ref="P153">MMS_Poultry_Methane_Equations.VEERG_4_6_1_1__3_Stage2MethaneProduction(E$112,D$65,F137,_xlfn.XLOOKUP($O153,$D$70:$D$78,$E$70:$E$78),$G$130)</f>
        <v>1.9031057510399991E-6</v>
      </c>
      <c r="Q153" s="52" cm="1">
        <f t="array" ref="Q153">MMS_Poultry_Methane_Equations.VEERG_4_6_1_1__3_Stage2MethaneProduction(F$112,E$65,G137,_xlfn.XLOOKUP($O153,$D$70:$D$78,$E$70:$E$78),$G$130)</f>
        <v>1.9692025343999993E-6</v>
      </c>
      <c r="R153" s="52" cm="1">
        <f t="array" ref="R153">MMS_Poultry_Methane_Equations.VEERG_4_6_1_1__3_Stage2MethaneProduction(G$112,F$65,H137,_xlfn.XLOOKUP($O153,$D$70:$D$78,$E$70:$E$78),$G$130)</f>
        <v>2.1039702220799996E-6</v>
      </c>
      <c r="S153" s="52" cm="1">
        <f t="array" ref="S153">MMS_Poultry_Methane_Equations.VEERG_4_6_1_1__3_Stage2MethaneProduction(H$112,G$65,I137,_xlfn.XLOOKUP($O153,$D$70:$D$78,$E$70:$E$78),$G$130)</f>
        <v>1.9692025343999993E-6</v>
      </c>
      <c r="T153" s="2" t="str">
        <f t="shared" si="4"/>
        <v>kg CH4/bird/day</v>
      </c>
    </row>
    <row r="154" spans="4:20" ht="20.100000000000001" customHeight="1" x14ac:dyDescent="0.25">
      <c r="D154" s="52"/>
      <c r="E154" s="52" t="str">
        <f>'Input - Poultry'!$D$40</f>
        <v>Digester / covered lagoons</v>
      </c>
      <c r="F154" s="52" cm="1">
        <f t="array" ref="F154">MMS_Poultry_Methane_Equations.VEERG_4_6_1_1__3_Stage2MethaneProduction(E$112,D$65,F138,_xlfn.XLOOKUP($E154,$D$70:$D$78,$E$70:$E$78),$G$130)</f>
        <v>1.9031057510399994E-5</v>
      </c>
      <c r="G154" s="52" cm="1">
        <f t="array" ref="G154">MMS_Poultry_Methane_Equations.VEERG_4_6_1_1__3_Stage2MethaneProduction(F$112,E$65,G138,_xlfn.XLOOKUP($E154,$D$70:$D$78,$E$70:$E$78),$G$130)</f>
        <v>1.9692025343999994E-5</v>
      </c>
      <c r="H154" s="52" cm="1">
        <f t="array" ref="H154">MMS_Poultry_Methane_Equations.VEERG_4_6_1_1__3_Stage2MethaneProduction(G$112,F$65,H138,_xlfn.XLOOKUP($E154,$D$70:$D$78,$E$70:$E$78),$G$130)</f>
        <v>2.1039702220799998E-5</v>
      </c>
      <c r="I154" s="52" cm="1">
        <f t="array" ref="I154">MMS_Poultry_Methane_Equations.VEERG_4_6_1_1__3_Stage2MethaneProduction(H$112,G$65,I138,_xlfn.XLOOKUP($E154,$D$70:$D$78,$E$70:$E$78),$G$130)</f>
        <v>1.9692025343999994E-5</v>
      </c>
      <c r="J154" s="2" t="str">
        <f t="shared" si="5"/>
        <v>kg CH4/bird/day</v>
      </c>
      <c r="N154" s="52"/>
      <c r="O154" s="52" t="str">
        <f>'Input - Poultry'!$D$40</f>
        <v>Digester / covered lagoons</v>
      </c>
      <c r="P154" s="52" cm="1">
        <f t="array" ref="P154">MMS_Poultry_Methane_Equations.VEERG_4_6_1_1__3_Stage2MethaneProduction(E$112,D$65,F138,_xlfn.XLOOKUP($O154,$D$70:$D$78,$E$70:$E$78),$G$130)</f>
        <v>1.9031057510399994E-5</v>
      </c>
      <c r="Q154" s="52" cm="1">
        <f t="array" ref="Q154">MMS_Poultry_Methane_Equations.VEERG_4_6_1_1__3_Stage2MethaneProduction(F$112,E$65,G138,_xlfn.XLOOKUP($O154,$D$70:$D$78,$E$70:$E$78),$G$130)</f>
        <v>1.9692025343999994E-5</v>
      </c>
      <c r="R154" s="52" cm="1">
        <f t="array" ref="R154">MMS_Poultry_Methane_Equations.VEERG_4_6_1_1__3_Stage2MethaneProduction(G$112,F$65,H138,_xlfn.XLOOKUP($O154,$D$70:$D$78,$E$70:$E$78),$G$130)</f>
        <v>2.1039702220799998E-5</v>
      </c>
      <c r="S154" s="52" cm="1">
        <f t="array" ref="S154">MMS_Poultry_Methane_Equations.VEERG_4_6_1_1__3_Stage2MethaneProduction(H$112,G$65,I138,_xlfn.XLOOKUP($O154,$D$70:$D$78,$E$70:$E$78),$G$130)</f>
        <v>1.9692025343999994E-5</v>
      </c>
      <c r="T154" s="2" t="str">
        <f t="shared" si="4"/>
        <v>kg CH4/bird/day</v>
      </c>
    </row>
    <row r="155" spans="4:20" ht="20.100000000000001" customHeight="1" x14ac:dyDescent="0.25">
      <c r="D155" s="52"/>
      <c r="E155" s="52" t="str">
        <f>'Input - Poultry'!$D$41</f>
        <v>Direct processing</v>
      </c>
      <c r="F155" s="52" cm="1">
        <f t="array" ref="F155">MMS_Poultry_Methane_Equations.VEERG_4_6_1_1__3_Stage2MethaneProduction(E$112,D$65,F139,_xlfn.XLOOKUP($E155,$D$70:$D$78,$E$70:$E$78),$G$130)</f>
        <v>0</v>
      </c>
      <c r="G155" s="52" cm="1">
        <f t="array" ref="G155">MMS_Poultry_Methane_Equations.VEERG_4_6_1_1__3_Stage2MethaneProduction(F$112,E$65,G139,_xlfn.XLOOKUP($E155,$D$70:$D$78,$E$70:$E$78),$G$130)</f>
        <v>0</v>
      </c>
      <c r="H155" s="52" cm="1">
        <f t="array" ref="H155">MMS_Poultry_Methane_Equations.VEERG_4_6_1_1__3_Stage2MethaneProduction(G$112,F$65,H139,_xlfn.XLOOKUP($E155,$D$70:$D$78,$E$70:$E$78),$G$130)</f>
        <v>0</v>
      </c>
      <c r="I155" s="52" cm="1">
        <f t="array" ref="I155">MMS_Poultry_Methane_Equations.VEERG_4_6_1_1__3_Stage2MethaneProduction(H$112,G$65,I139,_xlfn.XLOOKUP($E155,$D$70:$D$78,$E$70:$E$78),$G$130)</f>
        <v>0</v>
      </c>
      <c r="J155" s="2" t="str">
        <f t="shared" si="5"/>
        <v>kg CH4/bird/day</v>
      </c>
      <c r="N155" s="52"/>
      <c r="O155" s="52" t="str">
        <f>'Input - Poultry'!$D$41</f>
        <v>Direct processing</v>
      </c>
      <c r="P155" s="52" cm="1">
        <f t="array" ref="P155">MMS_Poultry_Methane_Equations.VEERG_4_6_1_1__3_Stage2MethaneProduction(E$112,D$65,F139,_xlfn.XLOOKUP($O155,$D$70:$D$78,$E$70:$E$78),$G$130)</f>
        <v>0</v>
      </c>
      <c r="Q155" s="52" cm="1">
        <f t="array" ref="Q155">MMS_Poultry_Methane_Equations.VEERG_4_6_1_1__3_Stage2MethaneProduction(F$112,E$65,G139,_xlfn.XLOOKUP($O155,$D$70:$D$78,$E$70:$E$78),$G$130)</f>
        <v>0</v>
      </c>
      <c r="R155" s="52" cm="1">
        <f t="array" ref="R155">MMS_Poultry_Methane_Equations.VEERG_4_6_1_1__3_Stage2MethaneProduction(G$112,F$65,H139,_xlfn.XLOOKUP($O155,$D$70:$D$78,$E$70:$E$78),$G$130)</f>
        <v>0</v>
      </c>
      <c r="S155" s="52" cm="1">
        <f t="array" ref="S155">MMS_Poultry_Methane_Equations.VEERG_4_6_1_1__3_Stage2MethaneProduction(H$112,G$65,I139,_xlfn.XLOOKUP($O155,$D$70:$D$78,$E$70:$E$78),$G$130)</f>
        <v>0</v>
      </c>
      <c r="T155" s="2" t="str">
        <f t="shared" si="4"/>
        <v>kg CH4/bird/day</v>
      </c>
    </row>
    <row r="156" spans="4:20" ht="20.100000000000001" customHeight="1" x14ac:dyDescent="0.25">
      <c r="D156" s="52" t="str">
        <f>'Input - Poultry'!$D$31</f>
        <v>Belt manure removal</v>
      </c>
      <c r="E156" s="52" t="str">
        <f>'Input - Poultry'!$D$45</f>
        <v>Solid storage</v>
      </c>
      <c r="F156" s="52" cm="1">
        <f t="array" ref="F156">MMS_Poultry_Methane_Equations.VEERG_4_6_1_1__3_Stage2MethaneProduction(E$113,D$65,F140,_xlfn.XLOOKUP($E156,$D$70:$D$78,$E$70:$E$78),$G$130)</f>
        <v>4.4778958847999987E-6</v>
      </c>
      <c r="G156" s="52" cm="1">
        <f t="array" ref="G156">MMS_Poultry_Methane_Equations.VEERG_4_6_1_1__3_Stage2MethaneProduction(F$113,E$65,G140,_xlfn.XLOOKUP($E156,$D$70:$D$78,$E$70:$E$78),$G$130)</f>
        <v>4.6334177279999986E-6</v>
      </c>
      <c r="H156" s="52" cm="1">
        <f t="array" ref="H156">MMS_Poultry_Methane_Equations.VEERG_4_6_1_1__3_Stage2MethaneProduction(G$113,F$65,H140,_xlfn.XLOOKUP($E156,$D$70:$D$78,$E$70:$E$78),$G$130)</f>
        <v>4.9505181695999996E-6</v>
      </c>
      <c r="I156" s="52" cm="1">
        <f t="array" ref="I156">MMS_Poultry_Methane_Equations.VEERG_4_6_1_1__3_Stage2MethaneProduction(H$113,G$65,I140,_xlfn.XLOOKUP($E156,$D$70:$D$78,$E$70:$E$78),$G$130)</f>
        <v>4.6334177279999986E-6</v>
      </c>
      <c r="J156" s="2" t="str">
        <f t="shared" si="5"/>
        <v>kg CH4/bird/day</v>
      </c>
      <c r="N156" s="52" t="str">
        <f>'Input - Poultry'!$D$31</f>
        <v>Belt manure removal</v>
      </c>
      <c r="O156" s="52" t="str">
        <f>'Input - Poultry'!$D$45</f>
        <v>Solid storage</v>
      </c>
      <c r="P156" s="52" cm="1">
        <f t="array" ref="P156">MMS_Poultry_Methane_Equations.VEERG_4_6_1_1__3_Stage2MethaneProduction(E$113,D$65,F140,_xlfn.XLOOKUP($O156,$D$70:$D$78,$E$70:$E$78),$G$130)</f>
        <v>4.4778958847999987E-6</v>
      </c>
      <c r="Q156" s="52" cm="1">
        <f t="array" ref="Q156">MMS_Poultry_Methane_Equations.VEERG_4_6_1_1__3_Stage2MethaneProduction(F$113,E$65,G140,_xlfn.XLOOKUP($O156,$D$70:$D$78,$E$70:$E$78),$G$130)</f>
        <v>4.6334177279999986E-6</v>
      </c>
      <c r="R156" s="52" cm="1">
        <f t="array" ref="R156">MMS_Poultry_Methane_Equations.VEERG_4_6_1_1__3_Stage2MethaneProduction(G$113,F$65,H140,_xlfn.XLOOKUP($O156,$D$70:$D$78,$E$70:$E$78),$G$130)</f>
        <v>4.9505181695999996E-6</v>
      </c>
      <c r="S156" s="52" cm="1">
        <f t="array" ref="S156">MMS_Poultry_Methane_Equations.VEERG_4_6_1_1__3_Stage2MethaneProduction(H$113,G$65,I140,_xlfn.XLOOKUP($O156,$D$70:$D$78,$E$70:$E$78),$G$130)</f>
        <v>4.6334177279999986E-6</v>
      </c>
      <c r="T156" s="2" t="str">
        <f t="shared" si="4"/>
        <v>kg CH4/bird/day</v>
      </c>
    </row>
    <row r="157" spans="4:20" ht="20.100000000000001" customHeight="1" x14ac:dyDescent="0.25">
      <c r="D157" s="52"/>
      <c r="E157" s="52" t="str">
        <f>'Input - Poultry'!$D$46</f>
        <v>Composting (passive windrow)</v>
      </c>
      <c r="F157" s="52" cm="1">
        <f t="array" ref="F157">MMS_Poultry_Methane_Equations.VEERG_4_6_1_1__3_Stage2MethaneProduction(E$113,D$65,F141,_xlfn.XLOOKUP($E157,$D$70:$D$78,$E$70:$E$78),$G$130)</f>
        <v>2.2389479423999994E-6</v>
      </c>
      <c r="G157" s="52" cm="1">
        <f t="array" ref="G157">MMS_Poultry_Methane_Equations.VEERG_4_6_1_1__3_Stage2MethaneProduction(F$113,E$65,G141,_xlfn.XLOOKUP($E157,$D$70:$D$78,$E$70:$E$78),$G$130)</f>
        <v>2.3167088639999993E-6</v>
      </c>
      <c r="H157" s="52" cm="1">
        <f t="array" ref="H157">MMS_Poultry_Methane_Equations.VEERG_4_6_1_1__3_Stage2MethaneProduction(G$113,F$65,H141,_xlfn.XLOOKUP($E157,$D$70:$D$78,$E$70:$E$78),$G$130)</f>
        <v>2.4752590847999998E-6</v>
      </c>
      <c r="I157" s="52" cm="1">
        <f t="array" ref="I157">MMS_Poultry_Methane_Equations.VEERG_4_6_1_1__3_Stage2MethaneProduction(H$113,G$65,I141,_xlfn.XLOOKUP($E157,$D$70:$D$78,$E$70:$E$78),$G$130)</f>
        <v>2.3167088639999993E-6</v>
      </c>
      <c r="J157" s="2" t="str">
        <f t="shared" si="5"/>
        <v>kg CH4/bird/day</v>
      </c>
      <c r="N157" s="52"/>
      <c r="O157" s="52" t="str">
        <f>'Input - Poultry'!$D$46</f>
        <v>Composting (passive windrow)</v>
      </c>
      <c r="P157" s="52" cm="1">
        <f t="array" ref="P157">MMS_Poultry_Methane_Equations.VEERG_4_6_1_1__3_Stage2MethaneProduction(E$113,D$65,F141,_xlfn.XLOOKUP($O157,$D$70:$D$78,$E$70:$E$78),$G$130)</f>
        <v>2.2389479423999994E-6</v>
      </c>
      <c r="Q157" s="52" cm="1">
        <f t="array" ref="Q157">MMS_Poultry_Methane_Equations.VEERG_4_6_1_1__3_Stage2MethaneProduction(F$113,E$65,G141,_xlfn.XLOOKUP($O157,$D$70:$D$78,$E$70:$E$78),$G$130)</f>
        <v>2.3167088639999993E-6</v>
      </c>
      <c r="R157" s="52" cm="1">
        <f t="array" ref="R157">MMS_Poultry_Methane_Equations.VEERG_4_6_1_1__3_Stage2MethaneProduction(G$113,F$65,H141,_xlfn.XLOOKUP($O157,$D$70:$D$78,$E$70:$E$78),$G$130)</f>
        <v>2.4752590847999998E-6</v>
      </c>
      <c r="S157" s="52" cm="1">
        <f t="array" ref="S157">MMS_Poultry_Methane_Equations.VEERG_4_6_1_1__3_Stage2MethaneProduction(H$113,G$65,I141,_xlfn.XLOOKUP($O157,$D$70:$D$78,$E$70:$E$78),$G$130)</f>
        <v>2.3167088639999993E-6</v>
      </c>
      <c r="T157" s="2" t="str">
        <f t="shared" si="4"/>
        <v>kg CH4/bird/day</v>
      </c>
    </row>
    <row r="158" spans="4:20" ht="20.100000000000001" customHeight="1" x14ac:dyDescent="0.25">
      <c r="D158" s="52"/>
      <c r="E158" s="52" t="str">
        <f>'Input - Poultry'!$D$47</f>
        <v>Digester / covered lagoons</v>
      </c>
      <c r="F158" s="52" cm="1">
        <f t="array" ref="F158">MMS_Poultry_Methane_Equations.VEERG_4_6_1_1__3_Stage2MethaneProduction(E$113,D$65,F142,_xlfn.XLOOKUP($E158,$D$70:$D$78,$E$70:$E$78),$G$130)</f>
        <v>2.2389479423999996E-5</v>
      </c>
      <c r="G158" s="52" cm="1">
        <f t="array" ref="G158">MMS_Poultry_Methane_Equations.VEERG_4_6_1_1__3_Stage2MethaneProduction(F$113,E$65,G142,_xlfn.XLOOKUP($E158,$D$70:$D$78,$E$70:$E$78),$G$130)</f>
        <v>2.3167088639999993E-5</v>
      </c>
      <c r="H158" s="52" cm="1">
        <f t="array" ref="H158">MMS_Poultry_Methane_Equations.VEERG_4_6_1_1__3_Stage2MethaneProduction(G$113,F$65,H142,_xlfn.XLOOKUP($E158,$D$70:$D$78,$E$70:$E$78),$G$130)</f>
        <v>2.4752590847999998E-5</v>
      </c>
      <c r="I158" s="52" cm="1">
        <f t="array" ref="I158">MMS_Poultry_Methane_Equations.VEERG_4_6_1_1__3_Stage2MethaneProduction(H$113,G$65,I142,_xlfn.XLOOKUP($E158,$D$70:$D$78,$E$70:$E$78),$G$130)</f>
        <v>2.3167088639999993E-5</v>
      </c>
      <c r="J158" s="2" t="str">
        <f t="shared" si="5"/>
        <v>kg CH4/bird/day</v>
      </c>
      <c r="N158" s="52"/>
      <c r="O158" s="52" t="str">
        <f>'Input - Poultry'!$D$47</f>
        <v>Digester / covered lagoons</v>
      </c>
      <c r="P158" s="52" cm="1">
        <f t="array" ref="P158">MMS_Poultry_Methane_Equations.VEERG_4_6_1_1__3_Stage2MethaneProduction(E$113,D$65,F142,_xlfn.XLOOKUP($O158,$D$70:$D$78,$E$70:$E$78),$G$130)</f>
        <v>2.2389479423999996E-5</v>
      </c>
      <c r="Q158" s="52" cm="1">
        <f t="array" ref="Q158">MMS_Poultry_Methane_Equations.VEERG_4_6_1_1__3_Stage2MethaneProduction(F$113,E$65,G142,_xlfn.XLOOKUP($O158,$D$70:$D$78,$E$70:$E$78),$G$130)</f>
        <v>2.3167088639999993E-5</v>
      </c>
      <c r="R158" s="52" cm="1">
        <f t="array" ref="R158">MMS_Poultry_Methane_Equations.VEERG_4_6_1_1__3_Stage2MethaneProduction(G$113,F$65,H142,_xlfn.XLOOKUP($O158,$D$70:$D$78,$E$70:$E$78),$G$130)</f>
        <v>2.4752590847999998E-5</v>
      </c>
      <c r="S158" s="52" cm="1">
        <f t="array" ref="S158">MMS_Poultry_Methane_Equations.VEERG_4_6_1_1__3_Stage2MethaneProduction(H$113,G$65,I142,_xlfn.XLOOKUP($O158,$D$70:$D$78,$E$70:$E$78),$G$130)</f>
        <v>2.3167088639999993E-5</v>
      </c>
      <c r="T158" s="2" t="str">
        <f t="shared" si="4"/>
        <v>kg CH4/bird/day</v>
      </c>
    </row>
    <row r="159" spans="4:20" ht="20.100000000000001" customHeight="1" x14ac:dyDescent="0.25">
      <c r="D159" s="52"/>
      <c r="E159" s="52" t="str">
        <f>'Input - Poultry'!$D$48</f>
        <v>Direct processing</v>
      </c>
      <c r="F159" s="52" cm="1">
        <f t="array" ref="F159">MMS_Poultry_Methane_Equations.VEERG_4_6_1_1__3_Stage2MethaneProduction(E$113,D$65,F143,_xlfn.XLOOKUP($E159,$D$70:$D$78,$E$70:$E$78),$G$130)</f>
        <v>0</v>
      </c>
      <c r="G159" s="52" cm="1">
        <f t="array" ref="G159">MMS_Poultry_Methane_Equations.VEERG_4_6_1_1__3_Stage2MethaneProduction(F$113,E$65,G143,_xlfn.XLOOKUP($E159,$D$70:$D$78,$E$70:$E$78),$G$130)</f>
        <v>0</v>
      </c>
      <c r="H159" s="52" cm="1">
        <f t="array" ref="H159">MMS_Poultry_Methane_Equations.VEERG_4_6_1_1__3_Stage2MethaneProduction(G$113,F$65,H143,_xlfn.XLOOKUP($E159,$D$70:$D$78,$E$70:$E$78),$G$130)</f>
        <v>0</v>
      </c>
      <c r="I159" s="52" cm="1">
        <f t="array" ref="I159">MMS_Poultry_Methane_Equations.VEERG_4_6_1_1__3_Stage2MethaneProduction(H$113,G$65,I143,_xlfn.XLOOKUP($E159,$D$70:$D$78,$E$70:$E$78),$G$130)</f>
        <v>0</v>
      </c>
      <c r="J159" s="2" t="str">
        <f t="shared" si="5"/>
        <v>kg CH4/bird/day</v>
      </c>
      <c r="N159" s="52"/>
      <c r="O159" s="52" t="str">
        <f>'Input - Poultry'!$D$48</f>
        <v>Direct processing</v>
      </c>
      <c r="P159" s="52" cm="1">
        <f t="array" ref="P159">MMS_Poultry_Methane_Equations.VEERG_4_6_1_1__3_Stage2MethaneProduction(E$113,D$65,F143,_xlfn.XLOOKUP($O159,$D$70:$D$78,$E$70:$E$78),$G$130)</f>
        <v>0</v>
      </c>
      <c r="Q159" s="52" cm="1">
        <f t="array" ref="Q159">MMS_Poultry_Methane_Equations.VEERG_4_6_1_1__3_Stage2MethaneProduction(F$113,E$65,G143,_xlfn.XLOOKUP($O159,$D$70:$D$78,$E$70:$E$78),$G$130)</f>
        <v>0</v>
      </c>
      <c r="R159" s="52" cm="1">
        <f t="array" ref="R159">MMS_Poultry_Methane_Equations.VEERG_4_6_1_1__3_Stage2MethaneProduction(G$113,F$65,H143,_xlfn.XLOOKUP($O159,$D$70:$D$78,$E$70:$E$78),$G$130)</f>
        <v>0</v>
      </c>
      <c r="S159" s="52" cm="1">
        <f t="array" ref="S159">MMS_Poultry_Methane_Equations.VEERG_4_6_1_1__3_Stage2MethaneProduction(H$113,G$65,I143,_xlfn.XLOOKUP($O159,$D$70:$D$78,$E$70:$E$78),$G$130)</f>
        <v>0</v>
      </c>
      <c r="T159" s="2" t="str">
        <f t="shared" si="4"/>
        <v>kg CH4/bird/day</v>
      </c>
    </row>
    <row r="160" spans="4:20" ht="20.100000000000001" customHeight="1" x14ac:dyDescent="0.25">
      <c r="D160" s="52" t="str">
        <f>'Input - Poultry'!$D$32</f>
        <v>Manure stored in house</v>
      </c>
      <c r="E160" s="52" t="str">
        <f>'Input - Poultry'!$D$52</f>
        <v>Solid storage</v>
      </c>
      <c r="F160" s="52" cm="1">
        <f t="array" ref="F160">MMS_Poultry_Methane_Equations.VEERG_4_6_1_1__3_Stage2MethaneProduction(E$114,D$65,F144,_xlfn.XLOOKUP($E160,$D$70:$D$78,$E$70:$E$78),$G$130)</f>
        <v>3.5823167078399993E-6</v>
      </c>
      <c r="G160" s="52" cm="1">
        <f t="array" ref="G160">MMS_Poultry_Methane_Equations.VEERG_4_6_1_1__3_Stage2MethaneProduction(F$114,E$65,G144,_xlfn.XLOOKUP($E160,$D$70:$D$78,$E$70:$E$78),$G$130)</f>
        <v>3.7067341823999979E-6</v>
      </c>
      <c r="H160" s="52" cm="1">
        <f t="array" ref="H160">MMS_Poultry_Methane_Equations.VEERG_4_6_1_1__3_Stage2MethaneProduction(G$114,F$65,H144,_xlfn.XLOOKUP($E160,$D$70:$D$78,$E$70:$E$78),$G$130)</f>
        <v>3.9604145356799999E-6</v>
      </c>
      <c r="I160" s="52" cm="1">
        <f t="array" ref="I160">MMS_Poultry_Methane_Equations.VEERG_4_6_1_1__3_Stage2MethaneProduction(H$114,G$65,I144,_xlfn.XLOOKUP($E160,$D$70:$D$78,$E$70:$E$78),$G$130)</f>
        <v>3.7067341823999979E-6</v>
      </c>
      <c r="J160" s="2" t="str">
        <f t="shared" si="5"/>
        <v>kg CH4/bird/day</v>
      </c>
      <c r="N160" s="52" t="str">
        <f>'Input - Poultry'!$D$32</f>
        <v>Manure stored in house</v>
      </c>
      <c r="O160" s="52" t="str">
        <f>'Input - Poultry'!$D$52</f>
        <v>Solid storage</v>
      </c>
      <c r="P160" s="52" cm="1">
        <f t="array" ref="P160">MMS_Poultry_Methane_Equations.VEERG_4_6_1_1__3_Stage2MethaneProduction(E$114,D$65,F144,_xlfn.XLOOKUP($O160,$D$70:$D$78,$E$70:$E$78),$G$130)</f>
        <v>3.5823167078399993E-6</v>
      </c>
      <c r="Q160" s="52" cm="1">
        <f t="array" ref="Q160">MMS_Poultry_Methane_Equations.VEERG_4_6_1_1__3_Stage2MethaneProduction(F$114,E$65,G144,_xlfn.XLOOKUP($O160,$D$70:$D$78,$E$70:$E$78),$G$130)</f>
        <v>3.7067341823999979E-6</v>
      </c>
      <c r="R160" s="52" cm="1">
        <f t="array" ref="R160">MMS_Poultry_Methane_Equations.VEERG_4_6_1_1__3_Stage2MethaneProduction(G$114,F$65,H144,_xlfn.XLOOKUP($O160,$D$70:$D$78,$E$70:$E$78),$G$130)</f>
        <v>3.9604145356799999E-6</v>
      </c>
      <c r="S160" s="52" cm="1">
        <f t="array" ref="S160">MMS_Poultry_Methane_Equations.VEERG_4_6_1_1__3_Stage2MethaneProduction(H$114,G$65,I144,_xlfn.XLOOKUP($O160,$D$70:$D$78,$E$70:$E$78),$G$130)</f>
        <v>3.7067341823999979E-6</v>
      </c>
      <c r="T160" s="2" t="str">
        <f t="shared" si="4"/>
        <v>kg CH4/bird/day</v>
      </c>
    </row>
    <row r="161" spans="3:21" ht="20.100000000000001" customHeight="1" x14ac:dyDescent="0.25">
      <c r="D161" s="52"/>
      <c r="E161" s="52" t="str">
        <f>'Input - Poultry'!$D$53</f>
        <v>Composting (passive windrow)</v>
      </c>
      <c r="F161" s="52" cm="1">
        <f t="array" ref="F161">MMS_Poultry_Methane_Equations.VEERG_4_6_1_1__3_Stage2MethaneProduction(E$114,D$65,F145,_xlfn.XLOOKUP($E161,$D$70:$D$78,$E$70:$E$78),$G$130)</f>
        <v>1.7911583539199997E-6</v>
      </c>
      <c r="G161" s="52" cm="1">
        <f t="array" ref="G161">MMS_Poultry_Methane_Equations.VEERG_4_6_1_1__3_Stage2MethaneProduction(F$114,E$65,G145,_xlfn.XLOOKUP($E161,$D$70:$D$78,$E$70:$E$78),$G$130)</f>
        <v>1.8533670911999989E-6</v>
      </c>
      <c r="H161" s="52" cm="1">
        <f t="array" ref="H161">MMS_Poultry_Methane_Equations.VEERG_4_6_1_1__3_Stage2MethaneProduction(G$114,F$65,H145,_xlfn.XLOOKUP($E161,$D$70:$D$78,$E$70:$E$78),$G$130)</f>
        <v>1.9802072678399999E-6</v>
      </c>
      <c r="I161" s="52" cm="1">
        <f t="array" ref="I161">MMS_Poultry_Methane_Equations.VEERG_4_6_1_1__3_Stage2MethaneProduction(H$114,G$65,I145,_xlfn.XLOOKUP($E161,$D$70:$D$78,$E$70:$E$78),$G$130)</f>
        <v>1.8533670911999989E-6</v>
      </c>
      <c r="J161" s="2" t="str">
        <f t="shared" si="5"/>
        <v>kg CH4/bird/day</v>
      </c>
      <c r="N161" s="52"/>
      <c r="O161" s="52" t="str">
        <f>'Input - Poultry'!$D$53</f>
        <v>Composting (passive windrow)</v>
      </c>
      <c r="P161" s="52" cm="1">
        <f t="array" ref="P161">MMS_Poultry_Methane_Equations.VEERG_4_6_1_1__3_Stage2MethaneProduction(E$114,D$65,F145,_xlfn.XLOOKUP($O161,$D$70:$D$78,$E$70:$E$78),$G$130)</f>
        <v>1.7911583539199997E-6</v>
      </c>
      <c r="Q161" s="52" cm="1">
        <f t="array" ref="Q161">MMS_Poultry_Methane_Equations.VEERG_4_6_1_1__3_Stage2MethaneProduction(F$114,E$65,G145,_xlfn.XLOOKUP($O161,$D$70:$D$78,$E$70:$E$78),$G$130)</f>
        <v>1.8533670911999989E-6</v>
      </c>
      <c r="R161" s="52" cm="1">
        <f t="array" ref="R161">MMS_Poultry_Methane_Equations.VEERG_4_6_1_1__3_Stage2MethaneProduction(G$114,F$65,H145,_xlfn.XLOOKUP($O161,$D$70:$D$78,$E$70:$E$78),$G$130)</f>
        <v>1.9802072678399999E-6</v>
      </c>
      <c r="S161" s="52" cm="1">
        <f t="array" ref="S161">MMS_Poultry_Methane_Equations.VEERG_4_6_1_1__3_Stage2MethaneProduction(H$114,G$65,I145,_xlfn.XLOOKUP($O161,$D$70:$D$78,$E$70:$E$78),$G$130)</f>
        <v>1.8533670911999989E-6</v>
      </c>
      <c r="T161" s="2" t="str">
        <f t="shared" si="4"/>
        <v>kg CH4/bird/day</v>
      </c>
    </row>
    <row r="162" spans="3:21" ht="20.100000000000001" customHeight="1" x14ac:dyDescent="0.25">
      <c r="D162" s="52"/>
      <c r="E162" s="52" t="str">
        <f>'Input - Poultry'!$D$54</f>
        <v>Digester / covered lagoons</v>
      </c>
      <c r="F162" s="52" cm="1">
        <f t="array" ref="F162">MMS_Poultry_Methane_Equations.VEERG_4_6_1_1__3_Stage2MethaneProduction(E$114,D$65,F146,_xlfn.XLOOKUP($E162,$D$70:$D$78,$E$70:$E$78),$G$130)</f>
        <v>1.7911583539199998E-5</v>
      </c>
      <c r="G162" s="52" cm="1">
        <f t="array" ref="G162">MMS_Poultry_Methane_Equations.VEERG_4_6_1_1__3_Stage2MethaneProduction(F$114,E$65,G146,_xlfn.XLOOKUP($E162,$D$70:$D$78,$E$70:$E$78),$G$130)</f>
        <v>1.8533670911999991E-5</v>
      </c>
      <c r="H162" s="52" cm="1">
        <f t="array" ref="H162">MMS_Poultry_Methane_Equations.VEERG_4_6_1_1__3_Stage2MethaneProduction(G$114,F$65,H146,_xlfn.XLOOKUP($E162,$D$70:$D$78,$E$70:$E$78),$G$130)</f>
        <v>1.9802072678399998E-5</v>
      </c>
      <c r="I162" s="52" cm="1">
        <f t="array" ref="I162">MMS_Poultry_Methane_Equations.VEERG_4_6_1_1__3_Stage2MethaneProduction(H$114,G$65,I146,_xlfn.XLOOKUP($E162,$D$70:$D$78,$E$70:$E$78),$G$130)</f>
        <v>1.8533670911999991E-5</v>
      </c>
      <c r="J162" s="2" t="str">
        <f t="shared" si="5"/>
        <v>kg CH4/bird/day</v>
      </c>
      <c r="N162" s="52"/>
      <c r="O162" s="52" t="str">
        <f>'Input - Poultry'!$D$54</f>
        <v>Digester / covered lagoons</v>
      </c>
      <c r="P162" s="52" cm="1">
        <f t="array" ref="P162">MMS_Poultry_Methane_Equations.VEERG_4_6_1_1__3_Stage2MethaneProduction(E$114,D$65,F146,_xlfn.XLOOKUP($O162,$D$70:$D$78,$E$70:$E$78),$G$130)</f>
        <v>1.7911583539199998E-5</v>
      </c>
      <c r="Q162" s="52" cm="1">
        <f t="array" ref="Q162">MMS_Poultry_Methane_Equations.VEERG_4_6_1_1__3_Stage2MethaneProduction(F$114,E$65,G146,_xlfn.XLOOKUP($O162,$D$70:$D$78,$E$70:$E$78),$G$130)</f>
        <v>1.8533670911999991E-5</v>
      </c>
      <c r="R162" s="52" cm="1">
        <f t="array" ref="R162">MMS_Poultry_Methane_Equations.VEERG_4_6_1_1__3_Stage2MethaneProduction(G$114,F$65,H146,_xlfn.XLOOKUP($O162,$D$70:$D$78,$E$70:$E$78),$G$130)</f>
        <v>1.9802072678399998E-5</v>
      </c>
      <c r="S162" s="52" cm="1">
        <f t="array" ref="S162">MMS_Poultry_Methane_Equations.VEERG_4_6_1_1__3_Stage2MethaneProduction(H$114,G$65,I146,_xlfn.XLOOKUP($O162,$D$70:$D$78,$E$70:$E$78),$G$130)</f>
        <v>1.8533670911999991E-5</v>
      </c>
      <c r="T162" s="2" t="str">
        <f t="shared" si="4"/>
        <v>kg CH4/bird/day</v>
      </c>
    </row>
    <row r="163" spans="3:21" ht="20.100000000000001" customHeight="1" x14ac:dyDescent="0.25">
      <c r="D163" s="52"/>
      <c r="E163" s="52" t="str">
        <f>'Input - Poultry'!$D$55</f>
        <v>Direct processing</v>
      </c>
      <c r="F163" s="52" cm="1">
        <f t="array" ref="F163">MMS_Poultry_Methane_Equations.VEERG_4_6_1_1__3_Stage2MethaneProduction(E$114,D$65,F147,_xlfn.XLOOKUP($E163,$D$70:$D$78,$E$70:$E$78),$G$130)</f>
        <v>0</v>
      </c>
      <c r="G163" s="52" cm="1">
        <f t="array" ref="G163">MMS_Poultry_Methane_Equations.VEERG_4_6_1_1__3_Stage2MethaneProduction(F$114,E$65,G147,_xlfn.XLOOKUP($E163,$D$70:$D$78,$E$70:$E$78),$G$130)</f>
        <v>0</v>
      </c>
      <c r="H163" s="52" cm="1">
        <f t="array" ref="H163">MMS_Poultry_Methane_Equations.VEERG_4_6_1_1__3_Stage2MethaneProduction(G$114,F$65,H147,_xlfn.XLOOKUP($E163,$D$70:$D$78,$E$70:$E$78),$G$130)</f>
        <v>0</v>
      </c>
      <c r="I163" s="52" cm="1">
        <f t="array" ref="I163">MMS_Poultry_Methane_Equations.VEERG_4_6_1_1__3_Stage2MethaneProduction(H$114,G$65,I147,_xlfn.XLOOKUP($E163,$D$70:$D$78,$E$70:$E$78),$G$130)</f>
        <v>0</v>
      </c>
      <c r="J163" s="2" t="str">
        <f t="shared" si="5"/>
        <v>kg CH4/bird/day</v>
      </c>
      <c r="N163" s="52"/>
      <c r="O163" s="52" t="str">
        <f>'Input - Poultry'!$D$55</f>
        <v>Direct processing</v>
      </c>
      <c r="P163" s="52" cm="1">
        <f t="array" ref="P163">MMS_Poultry_Methane_Equations.VEERG_4_6_1_1__3_Stage2MethaneProduction(E$114,D$65,F147,_xlfn.XLOOKUP($O163,$D$70:$D$78,$E$70:$E$78),$G$130)</f>
        <v>0</v>
      </c>
      <c r="Q163" s="52" cm="1">
        <f t="array" ref="Q163">MMS_Poultry_Methane_Equations.VEERG_4_6_1_1__3_Stage2MethaneProduction(F$114,E$65,G147,_xlfn.XLOOKUP($O163,$D$70:$D$78,$E$70:$E$78),$G$130)</f>
        <v>0</v>
      </c>
      <c r="R163" s="52" cm="1">
        <f t="array" ref="R163">MMS_Poultry_Methane_Equations.VEERG_4_6_1_1__3_Stage2MethaneProduction(G$114,F$65,H147,_xlfn.XLOOKUP($O163,$D$70:$D$78,$E$70:$E$78),$G$130)</f>
        <v>0</v>
      </c>
      <c r="S163" s="52" cm="1">
        <f t="array" ref="S163">MMS_Poultry_Methane_Equations.VEERG_4_6_1_1__3_Stage2MethaneProduction(H$114,G$65,I147,_xlfn.XLOOKUP($O163,$D$70:$D$78,$E$70:$E$78),$G$130)</f>
        <v>0</v>
      </c>
      <c r="T163" s="2" t="str">
        <f t="shared" si="4"/>
        <v>kg CH4/bird/day</v>
      </c>
    </row>
    <row r="164" spans="3:21" ht="20.100000000000001" customHeight="1" x14ac:dyDescent="0.25"/>
    <row r="165" spans="3:21" ht="20.100000000000001" customHeight="1" x14ac:dyDescent="0.25"/>
    <row r="166" spans="3:21" ht="20.100000000000001" customHeight="1" x14ac:dyDescent="0.25">
      <c r="C166" s="45"/>
      <c r="D166" s="45"/>
      <c r="E166" s="45"/>
      <c r="F166" s="45"/>
      <c r="G166" s="45"/>
      <c r="H166" s="45"/>
      <c r="I166" s="45"/>
      <c r="J166" s="45"/>
      <c r="K166" s="45"/>
      <c r="M166" s="45"/>
      <c r="N166" s="45"/>
      <c r="O166" s="45"/>
      <c r="P166" s="45"/>
      <c r="Q166" s="45"/>
      <c r="R166" s="45"/>
      <c r="S166" s="45"/>
      <c r="T166" s="45"/>
      <c r="U166" s="45"/>
    </row>
    <row r="167" spans="3:21" ht="20.100000000000001" customHeight="1" x14ac:dyDescent="0.25">
      <c r="D167" s="6" t="str" cm="1">
        <f t="array" ref="D167">MMS_Poultry_Methane_Equations.VEERG_4_6_1_1__1_TotalAnnualMethaneEmissions_Title()</f>
        <v>Total annual methane emissions from manure management</v>
      </c>
    </row>
    <row r="168" spans="3:21" ht="20.100000000000001" customHeight="1" x14ac:dyDescent="0.25">
      <c r="D168" s="5" t="str" cm="1">
        <f t="array" ref="D168">MMS_Poultry_Methane_Equations.VEERG_4_6_1_1__1_TotalAnnualMethaneEmissions_Source()</f>
        <v>VEERG 2026: 4.4.1.1, Equation (1)</v>
      </c>
    </row>
    <row r="169" spans="3:21" ht="20.100000000000001" customHeight="1" x14ac:dyDescent="0.25">
      <c r="D169" s="13" t="s">
        <v>26</v>
      </c>
      <c r="E169" s="13" t="str" cm="1">
        <f t="array" aca="1" ref="E169" ca="1">Common_InputFunctions.Utility_DisplayFunctionName(F201)</f>
        <v>=MMS_Poultry_Methane_Equations.VEERG_4_6_1_1__1_TotalAnnualMethaneEmissions</v>
      </c>
    </row>
    <row r="170" spans="3:21" ht="20.100000000000001" customHeight="1" x14ac:dyDescent="0.25"/>
    <row r="171" spans="3:21" ht="20.100000000000001" customHeight="1" x14ac:dyDescent="0.25"/>
    <row r="172" spans="3:21" ht="20.100000000000001" customHeight="1" x14ac:dyDescent="0.25">
      <c r="D172" s="53" t="s">
        <v>29</v>
      </c>
      <c r="E172" s="1" t="str" cm="1">
        <f t="array" ref="E172">MMS_Poultry_Methane_Equations.VEERG_4_6_1_1__1_TotalAnnualMethaneEmissions_Variable()</f>
        <v>E_CH4</v>
      </c>
    </row>
    <row r="173" spans="3:21" ht="20.100000000000001" customHeight="1" x14ac:dyDescent="0.25">
      <c r="D173" s="53" t="s">
        <v>19</v>
      </c>
      <c r="E173" s="54" t="str" cm="1">
        <f t="array" ref="E173">MMS_Poultry_Methane_Equations.VEERG_4_6_1_1__1_TotalAnnualMethaneEmissions_Unit()</f>
        <v>t CH4</v>
      </c>
    </row>
    <row r="174" spans="3:21" ht="20.100000000000001" customHeight="1" x14ac:dyDescent="0.25"/>
    <row r="175" spans="3:21" ht="20.100000000000001" customHeight="1" x14ac:dyDescent="0.25">
      <c r="D175" s="57" t="str" cm="1">
        <f t="array" ref="D175:E177">MMS_Poultry_Methane_Equations.VEERG_4_6_1_1__1_TotalAnnualMethaneEmissions_Arguments()</f>
        <v>D_jk</v>
      </c>
      <c r="E175" s="58" t="str">
        <v>duration of stay of each class and subclass of poultry : days</v>
      </c>
      <c r="F175" s="100"/>
      <c r="G175" s="59"/>
      <c r="H175" s="58" t="str">
        <f>"See " &amp; D179</f>
        <v>See Table_D_j_k</v>
      </c>
      <c r="I175" s="59"/>
    </row>
    <row r="176" spans="3:21" ht="20.100000000000001" customHeight="1" x14ac:dyDescent="0.25">
      <c r="D176" s="57" t="str">
        <v>M_jkmT</v>
      </c>
      <c r="E176" s="58" t="str">
        <v>methane production from manure per class, subclass, MMS, and treatment stage : kg CH4/bird/day</v>
      </c>
      <c r="F176" s="100"/>
      <c r="G176" s="59"/>
      <c r="H176" s="58" t="str">
        <f>"See " &amp; D80 &amp; " and " &amp; D149</f>
        <v>See M1_Table_M_j_k_m_T-1 and M1_Table_M_j_k_m_T-2</v>
      </c>
      <c r="I176" s="59"/>
    </row>
    <row r="177" spans="4:20" ht="20.100000000000001" customHeight="1" x14ac:dyDescent="0.25">
      <c r="D177" s="57" t="str">
        <v>N_jk</v>
      </c>
      <c r="E177" s="58" t="str">
        <v>numbers of poultry in each class and subclass : bird</v>
      </c>
      <c r="F177" s="100"/>
      <c r="G177" s="59"/>
      <c r="H177" s="58" t="str">
        <f>"See " &amp; D184</f>
        <v>See Table_N_j_k</v>
      </c>
      <c r="I177" s="59"/>
    </row>
    <row r="178" spans="4:20" ht="20.100000000000001" customHeight="1" x14ac:dyDescent="0.25"/>
    <row r="179" spans="4:20" ht="20.100000000000001" customHeight="1" x14ac:dyDescent="0.25">
      <c r="D179" s="99" t="s">
        <v>254</v>
      </c>
      <c r="G179" s="13"/>
    </row>
    <row r="180" spans="4:20" ht="20.100000000000001" customHeight="1" x14ac:dyDescent="0.25">
      <c r="D180" s="98" t="s">
        <v>153</v>
      </c>
    </row>
    <row r="181" spans="4:20" ht="20.100000000000001" customHeight="1" x14ac:dyDescent="0.25">
      <c r="D181" s="51" t="s">
        <v>209</v>
      </c>
      <c r="E181" s="51" t="s">
        <v>210</v>
      </c>
      <c r="F181" s="51" t="s">
        <v>224</v>
      </c>
      <c r="G181" s="51" t="s">
        <v>225</v>
      </c>
    </row>
    <row r="182" spans="4:20" ht="20.100000000000001" customHeight="1" x14ac:dyDescent="0.25">
      <c r="D182" s="52">
        <f>'Input - Poultry'!E10</f>
        <v>365</v>
      </c>
      <c r="E182" s="52">
        <f>'Input - Poultry'!F10</f>
        <v>365</v>
      </c>
      <c r="F182" s="52">
        <f>'Input - Poultry'!G10</f>
        <v>365</v>
      </c>
      <c r="G182" s="52">
        <f>'Input - Poultry'!H10</f>
        <v>365</v>
      </c>
      <c r="H182" s="2" t="s">
        <v>129</v>
      </c>
    </row>
    <row r="183" spans="4:20" ht="20.100000000000001" customHeight="1" x14ac:dyDescent="0.25"/>
    <row r="184" spans="4:20" ht="20.100000000000001" customHeight="1" x14ac:dyDescent="0.25">
      <c r="D184" s="99" t="s">
        <v>255</v>
      </c>
      <c r="G184" s="13"/>
    </row>
    <row r="185" spans="4:20" ht="20.100000000000001" customHeight="1" x14ac:dyDescent="0.25">
      <c r="D185" s="98" t="s">
        <v>256</v>
      </c>
    </row>
    <row r="186" spans="4:20" ht="20.100000000000001" customHeight="1" x14ac:dyDescent="0.25">
      <c r="D186" s="51" t="s">
        <v>209</v>
      </c>
      <c r="E186" s="51" t="s">
        <v>210</v>
      </c>
      <c r="F186" s="51" t="s">
        <v>224</v>
      </c>
      <c r="G186" s="51" t="s">
        <v>225</v>
      </c>
    </row>
    <row r="187" spans="4:20" ht="20.100000000000001" customHeight="1" x14ac:dyDescent="0.25">
      <c r="D187" s="52">
        <f>'Input - Poultry'!E11</f>
        <v>100</v>
      </c>
      <c r="E187" s="52">
        <f>'Input - Poultry'!F11</f>
        <v>100</v>
      </c>
      <c r="F187" s="52">
        <f>'Input - Poultry'!G11</f>
        <v>100</v>
      </c>
      <c r="G187" s="52">
        <f>'Input - Poultry'!H11</f>
        <v>100</v>
      </c>
      <c r="H187" s="2" t="s">
        <v>257</v>
      </c>
    </row>
    <row r="188" spans="4:20" ht="20.100000000000001" customHeight="1" x14ac:dyDescent="0.25"/>
    <row r="189" spans="4:20" ht="20.100000000000001" customHeight="1" x14ac:dyDescent="0.25">
      <c r="D189" s="99" t="s">
        <v>258</v>
      </c>
      <c r="N189" s="99" t="s">
        <v>259</v>
      </c>
    </row>
    <row r="190" spans="4:20" ht="20.100000000000001" customHeight="1" x14ac:dyDescent="0.25">
      <c r="D190" s="98" t="s">
        <v>156</v>
      </c>
      <c r="N190" s="98" t="s">
        <v>157</v>
      </c>
    </row>
    <row r="191" spans="4:20" ht="20.100000000000001" customHeight="1" x14ac:dyDescent="0.25">
      <c r="D191" s="51" t="s">
        <v>143</v>
      </c>
      <c r="E191" s="51" t="s">
        <v>145</v>
      </c>
      <c r="F191" s="51" t="s">
        <v>209</v>
      </c>
      <c r="G191" s="51" t="s">
        <v>210</v>
      </c>
      <c r="H191" s="51" t="s">
        <v>224</v>
      </c>
      <c r="I191" s="51" t="s">
        <v>225</v>
      </c>
      <c r="N191" s="51" t="s">
        <v>143</v>
      </c>
      <c r="O191" s="51" t="s">
        <v>145</v>
      </c>
      <c r="P191" s="51" t="s">
        <v>209</v>
      </c>
      <c r="Q191" s="51" t="s">
        <v>210</v>
      </c>
      <c r="R191" s="51" t="s">
        <v>224</v>
      </c>
      <c r="S191" s="51" t="s">
        <v>225</v>
      </c>
    </row>
    <row r="192" spans="4:20" ht="20.100000000000001" customHeight="1" x14ac:dyDescent="0.25">
      <c r="D192" s="52" t="str">
        <f>'Input - Poultry'!$D$30</f>
        <v>Poultry manure with bedding</v>
      </c>
      <c r="E192" s="52" t="s">
        <v>141</v>
      </c>
      <c r="F192" s="52" cm="1">
        <f t="array" ref="F192">MMS_Poultry_Methane_Equations.VEERG_4_6_1_1__1_TotalAnnualMethaneEmissions(D$182, E83, D$187)</f>
        <v>6.1291199923199972E-4</v>
      </c>
      <c r="G192" s="52" cm="1">
        <f t="array" ref="G192">MMS_Poultry_Methane_Equations.VEERG_4_6_1_1__1_TotalAnnualMethaneEmissions(E$182, F83, E$187)</f>
        <v>6.3419905151999964E-4</v>
      </c>
      <c r="H192" s="52" cm="1">
        <f t="array" ref="H192">MMS_Poultry_Methane_Equations.VEERG_4_6_1_1__1_TotalAnnualMethaneEmissions(F$182, G83, F$187)</f>
        <v>6.776021744639998E-4</v>
      </c>
      <c r="I192" s="52" cm="1">
        <f t="array" ref="I192">MMS_Poultry_Methane_Equations.VEERG_4_6_1_1__1_TotalAnnualMethaneEmissions(G$182, H83, G$187)</f>
        <v>6.3419905151999964E-4</v>
      </c>
      <c r="J192" s="2" t="str">
        <f>$E$173</f>
        <v>t CH4</v>
      </c>
      <c r="N192" s="52" t="str">
        <f>'Input - Poultry'!$D$30</f>
        <v>Poultry manure with bedding</v>
      </c>
      <c r="O192" s="52" t="s">
        <v>141</v>
      </c>
      <c r="P192" s="52" cm="1">
        <f t="array" ref="P192">MMS_Poultry_Methane_Equations.VEERG_4_6_1_1__1_TotalAnnualMethaneEmissions(D$182, O83, D$187)</f>
        <v>6.1291199923199972E-4</v>
      </c>
      <c r="Q192" s="52" cm="1">
        <f t="array" ref="Q192">MMS_Poultry_Methane_Equations.VEERG_4_6_1_1__1_TotalAnnualMethaneEmissions(E$182, P83, E$187)</f>
        <v>6.3419905151999964E-4</v>
      </c>
      <c r="R192" s="52" cm="1">
        <f t="array" ref="R192">MMS_Poultry_Methane_Equations.VEERG_4_6_1_1__1_TotalAnnualMethaneEmissions(F$182, Q83, F$187)</f>
        <v>6.776021744639998E-4</v>
      </c>
      <c r="S192" s="52" cm="1">
        <f t="array" ref="S192">MMS_Poultry_Methane_Equations.VEERG_4_6_1_1__1_TotalAnnualMethaneEmissions(G$182, R83, G$187)</f>
        <v>6.3419905151999964E-4</v>
      </c>
      <c r="T192" s="2" t="str">
        <f>$E$173</f>
        <v>t CH4</v>
      </c>
    </row>
    <row r="193" spans="4:20" ht="20.100000000000001" customHeight="1" x14ac:dyDescent="0.25">
      <c r="D193" s="52" t="str">
        <f>'Input - Poultry'!$D$31</f>
        <v>Belt manure removal</v>
      </c>
      <c r="E193" s="52" t="s">
        <v>141</v>
      </c>
      <c r="F193" s="52" cm="1">
        <f t="array" ref="F193">MMS_Poultry_Methane_Equations.VEERG_4_6_1_1__1_TotalAnnualMethaneEmissions(D$182, E84, D$187)</f>
        <v>6.1291199923199972E-4</v>
      </c>
      <c r="G193" s="52" cm="1">
        <f t="array" ref="G193">MMS_Poultry_Methane_Equations.VEERG_4_6_1_1__1_TotalAnnualMethaneEmissions(E$182, F84, E$187)</f>
        <v>6.3419905151999964E-4</v>
      </c>
      <c r="H193" s="52" cm="1">
        <f t="array" ref="H193">MMS_Poultry_Methane_Equations.VEERG_4_6_1_1__1_TotalAnnualMethaneEmissions(F$182, G84, F$187)</f>
        <v>6.776021744639998E-4</v>
      </c>
      <c r="I193" s="52" cm="1">
        <f t="array" ref="I193">MMS_Poultry_Methane_Equations.VEERG_4_6_1_1__1_TotalAnnualMethaneEmissions(G$182, H84, G$187)</f>
        <v>6.3419905151999964E-4</v>
      </c>
      <c r="J193" s="2" t="str">
        <f t="shared" ref="J193:J207" si="6">$E$173</f>
        <v>t CH4</v>
      </c>
      <c r="N193" s="52" t="str">
        <f>'Input - Poultry'!$D$31</f>
        <v>Belt manure removal</v>
      </c>
      <c r="O193" s="52" t="s">
        <v>141</v>
      </c>
      <c r="P193" s="52" cm="1">
        <f t="array" ref="P193">MMS_Poultry_Methane_Equations.VEERG_4_6_1_1__1_TotalAnnualMethaneEmissions(D$182, O84, D$187)</f>
        <v>6.1291199923199972E-4</v>
      </c>
      <c r="Q193" s="52" cm="1">
        <f t="array" ref="Q193">MMS_Poultry_Methane_Equations.VEERG_4_6_1_1__1_TotalAnnualMethaneEmissions(E$182, P84, E$187)</f>
        <v>6.3419905151999964E-4</v>
      </c>
      <c r="R193" s="52" cm="1">
        <f t="array" ref="R193">MMS_Poultry_Methane_Equations.VEERG_4_6_1_1__1_TotalAnnualMethaneEmissions(F$182, Q84, F$187)</f>
        <v>6.776021744639998E-4</v>
      </c>
      <c r="S193" s="52" cm="1">
        <f t="array" ref="S193">MMS_Poultry_Methane_Equations.VEERG_4_6_1_1__1_TotalAnnualMethaneEmissions(G$182, R84, G$187)</f>
        <v>6.3419905151999964E-4</v>
      </c>
      <c r="T193" s="2" t="str">
        <f t="shared" ref="T193:T207" si="7">$E$173</f>
        <v>t CH4</v>
      </c>
    </row>
    <row r="194" spans="4:20" ht="20.100000000000001" customHeight="1" x14ac:dyDescent="0.25">
      <c r="D194" s="52" t="str">
        <f>'Input - Poultry'!$D$32</f>
        <v>Manure stored in house</v>
      </c>
      <c r="E194" s="52" t="s">
        <v>141</v>
      </c>
      <c r="F194" s="52" cm="1">
        <f t="array" ref="F194">MMS_Poultry_Methane_Equations.VEERG_4_6_1_1__1_TotalAnnualMethaneEmissions(D$182, E85, D$187)</f>
        <v>6.1291199923199972E-4</v>
      </c>
      <c r="G194" s="52" cm="1">
        <f t="array" ref="G194">MMS_Poultry_Methane_Equations.VEERG_4_6_1_1__1_TotalAnnualMethaneEmissions(E$182, F85, E$187)</f>
        <v>6.3419905151999964E-4</v>
      </c>
      <c r="H194" s="52" cm="1">
        <f t="array" ref="H194">MMS_Poultry_Methane_Equations.VEERG_4_6_1_1__1_TotalAnnualMethaneEmissions(F$182, G85, F$187)</f>
        <v>6.776021744639998E-4</v>
      </c>
      <c r="I194" s="52" cm="1">
        <f t="array" ref="I194">MMS_Poultry_Methane_Equations.VEERG_4_6_1_1__1_TotalAnnualMethaneEmissions(G$182, H85, G$187)</f>
        <v>6.3419905151999964E-4</v>
      </c>
      <c r="J194" s="2" t="str">
        <f t="shared" si="6"/>
        <v>t CH4</v>
      </c>
      <c r="N194" s="52" t="str">
        <f>'Input - Poultry'!$D$32</f>
        <v>Manure stored in house</v>
      </c>
      <c r="O194" s="52" t="s">
        <v>141</v>
      </c>
      <c r="P194" s="52" cm="1">
        <f t="array" ref="P194">MMS_Poultry_Methane_Equations.VEERG_4_6_1_1__1_TotalAnnualMethaneEmissions(D$182, O85, D$187)</f>
        <v>6.1291199923199972E-4</v>
      </c>
      <c r="Q194" s="52" cm="1">
        <f t="array" ref="Q194">MMS_Poultry_Methane_Equations.VEERG_4_6_1_1__1_TotalAnnualMethaneEmissions(E$182, P85, E$187)</f>
        <v>6.3419905151999964E-4</v>
      </c>
      <c r="R194" s="52" cm="1">
        <f t="array" ref="R194">MMS_Poultry_Methane_Equations.VEERG_4_6_1_1__1_TotalAnnualMethaneEmissions(F$182, Q85, F$187)</f>
        <v>6.776021744639998E-4</v>
      </c>
      <c r="S194" s="52" cm="1">
        <f t="array" ref="S194">MMS_Poultry_Methane_Equations.VEERG_4_6_1_1__1_TotalAnnualMethaneEmissions(G$182, R85, G$187)</f>
        <v>6.3419905151999964E-4</v>
      </c>
      <c r="T194" s="2" t="str">
        <f t="shared" si="7"/>
        <v>t CH4</v>
      </c>
    </row>
    <row r="195" spans="4:20" ht="20.100000000000001" customHeight="1" x14ac:dyDescent="0.25">
      <c r="D195" s="52" t="str">
        <f>'Input - Poultry'!$D$33</f>
        <v>Pasture range and paddock</v>
      </c>
      <c r="E195" s="52" t="s">
        <v>141</v>
      </c>
      <c r="F195" s="52" cm="1">
        <f t="array" ref="F195">MMS_Poultry_Methane_Equations.VEERG_4_6_1_1__1_TotalAnnualMethaneEmissions(D$182, E86, D$187)</f>
        <v>1.3620266649599997E-4</v>
      </c>
      <c r="G195" s="52" cm="1">
        <f t="array" ref="G195">MMS_Poultry_Methane_Equations.VEERG_4_6_1_1__1_TotalAnnualMethaneEmissions(E$182, F86, E$187)</f>
        <v>1.4093312255999995E-4</v>
      </c>
      <c r="H195" s="52" cm="1">
        <f t="array" ref="H195">MMS_Poultry_Methane_Equations.VEERG_4_6_1_1__1_TotalAnnualMethaneEmissions(F$182, G86, F$187)</f>
        <v>1.5057826099199999E-4</v>
      </c>
      <c r="I195" s="52" cm="1">
        <f t="array" ref="I195">MMS_Poultry_Methane_Equations.VEERG_4_6_1_1__1_TotalAnnualMethaneEmissions(G$182, H86, G$187)</f>
        <v>1.4093312255999995E-4</v>
      </c>
      <c r="J195" s="2" t="str">
        <f t="shared" si="6"/>
        <v>t CH4</v>
      </c>
      <c r="N195" s="52" t="str">
        <f>'Input - Poultry'!$D$33</f>
        <v>Pasture range and paddock</v>
      </c>
      <c r="O195" s="52" t="s">
        <v>141</v>
      </c>
      <c r="P195" s="52" cm="1">
        <f t="array" ref="P195">MMS_Poultry_Methane_Equations.VEERG_4_6_1_1__1_TotalAnnualMethaneEmissions(D$182, O86, D$187)</f>
        <v>1.3620266649599997E-4</v>
      </c>
      <c r="Q195" s="52" cm="1">
        <f t="array" ref="Q195">MMS_Poultry_Methane_Equations.VEERG_4_6_1_1__1_TotalAnnualMethaneEmissions(E$182, P86, E$187)</f>
        <v>1.4093312255999995E-4</v>
      </c>
      <c r="R195" s="52" cm="1">
        <f t="array" ref="R195">MMS_Poultry_Methane_Equations.VEERG_4_6_1_1__1_TotalAnnualMethaneEmissions(F$182, Q86, F$187)</f>
        <v>1.5057826099199999E-4</v>
      </c>
      <c r="S195" s="52" cm="1">
        <f t="array" ref="S195">MMS_Poultry_Methane_Equations.VEERG_4_6_1_1__1_TotalAnnualMethaneEmissions(G$182, R86, G$187)</f>
        <v>1.4093312255999995E-4</v>
      </c>
      <c r="T195" s="2" t="str">
        <f t="shared" si="7"/>
        <v>t CH4</v>
      </c>
    </row>
    <row r="196" spans="4:20" ht="20.100000000000001" customHeight="1" x14ac:dyDescent="0.25">
      <c r="D196" s="52" t="str">
        <f>'Input - Poultry'!$D$30</f>
        <v>Poultry manure with bedding</v>
      </c>
      <c r="E196" s="52" t="str">
        <f>'Input - Poultry'!$D$38</f>
        <v>Solid storage</v>
      </c>
      <c r="F196" s="52" cm="1">
        <f t="array" ref="F196">MMS_Poultry_Methane_Equations.VEERG_4_6_1_1__1_TotalAnnualMethaneEmissions(D$182, F152, D$187)</f>
        <v>1.3892671982591992E-4</v>
      </c>
      <c r="G196" s="52" cm="1">
        <f t="array" ref="G196">MMS_Poultry_Methane_Equations.VEERG_4_6_1_1__1_TotalAnnualMethaneEmissions(E$182, G152, E$187)</f>
        <v>1.4375178501119996E-4</v>
      </c>
      <c r="H196" s="52" cm="1">
        <f t="array" ref="H196">MMS_Poultry_Methane_Equations.VEERG_4_6_1_1__1_TotalAnnualMethaneEmissions(F$182, H152, F$187)</f>
        <v>1.5358982621183997E-4</v>
      </c>
      <c r="I196" s="52" cm="1">
        <f t="array" ref="I196">MMS_Poultry_Methane_Equations.VEERG_4_6_1_1__1_TotalAnnualMethaneEmissions(G$182, I152, G$187)</f>
        <v>1.4375178501119996E-4</v>
      </c>
      <c r="J196" s="2" t="str">
        <f t="shared" si="6"/>
        <v>t CH4</v>
      </c>
      <c r="N196" s="52" t="str">
        <f>'Input - Poultry'!$D$30</f>
        <v>Poultry manure with bedding</v>
      </c>
      <c r="O196" s="52" t="str">
        <f>'Input - Poultry'!$D$38</f>
        <v>Solid storage</v>
      </c>
      <c r="P196" s="52" cm="1">
        <f t="array" ref="P196">MMS_Poultry_Methane_Equations.VEERG_4_6_1_1__1_TotalAnnualMethaneEmissions(D$182, P152, D$187)</f>
        <v>1.3892671982591992E-4</v>
      </c>
      <c r="Q196" s="52" cm="1">
        <f t="array" ref="Q196">MMS_Poultry_Methane_Equations.VEERG_4_6_1_1__1_TotalAnnualMethaneEmissions(E$182, Q152, E$187)</f>
        <v>1.4375178501119996E-4</v>
      </c>
      <c r="R196" s="52" cm="1">
        <f t="array" ref="R196">MMS_Poultry_Methane_Equations.VEERG_4_6_1_1__1_TotalAnnualMethaneEmissions(F$182, R152, F$187)</f>
        <v>1.5358982621183997E-4</v>
      </c>
      <c r="S196" s="52" cm="1">
        <f t="array" ref="S196">MMS_Poultry_Methane_Equations.VEERG_4_6_1_1__1_TotalAnnualMethaneEmissions(G$182, S152, G$187)</f>
        <v>1.4375178501119996E-4</v>
      </c>
      <c r="T196" s="2" t="str">
        <f t="shared" si="7"/>
        <v>t CH4</v>
      </c>
    </row>
    <row r="197" spans="4:20" ht="20.100000000000001" customHeight="1" x14ac:dyDescent="0.25">
      <c r="D197" s="52"/>
      <c r="E197" s="52" t="str">
        <f>'Input - Poultry'!$D$39</f>
        <v>Composting (passive windrow)</v>
      </c>
      <c r="F197" s="52" cm="1">
        <f t="array" ref="F197">MMS_Poultry_Methane_Equations.VEERG_4_6_1_1__1_TotalAnnualMethaneEmissions(D$182, F153, D$187)</f>
        <v>6.9463359912959959E-5</v>
      </c>
      <c r="G197" s="52" cm="1">
        <f t="array" ref="G197">MMS_Poultry_Methane_Equations.VEERG_4_6_1_1__1_TotalAnnualMethaneEmissions(E$182, G153, E$187)</f>
        <v>7.1875892505599982E-5</v>
      </c>
      <c r="H197" s="52" cm="1">
        <f t="array" ref="H197">MMS_Poultry_Methane_Equations.VEERG_4_6_1_1__1_TotalAnnualMethaneEmissions(F$182, H153, F$187)</f>
        <v>7.6794913105919987E-5</v>
      </c>
      <c r="I197" s="52" cm="1">
        <f t="array" ref="I197">MMS_Poultry_Methane_Equations.VEERG_4_6_1_1__1_TotalAnnualMethaneEmissions(G$182, I153, G$187)</f>
        <v>7.1875892505599982E-5</v>
      </c>
      <c r="J197" s="2" t="str">
        <f t="shared" si="6"/>
        <v>t CH4</v>
      </c>
      <c r="N197" s="52"/>
      <c r="O197" s="52" t="str">
        <f>'Input - Poultry'!$D$39</f>
        <v>Composting (passive windrow)</v>
      </c>
      <c r="P197" s="52" cm="1">
        <f t="array" ref="P197">MMS_Poultry_Methane_Equations.VEERG_4_6_1_1__1_TotalAnnualMethaneEmissions(D$182, P153, D$187)</f>
        <v>6.9463359912959959E-5</v>
      </c>
      <c r="Q197" s="52" cm="1">
        <f t="array" ref="Q197">MMS_Poultry_Methane_Equations.VEERG_4_6_1_1__1_TotalAnnualMethaneEmissions(E$182, Q153, E$187)</f>
        <v>7.1875892505599982E-5</v>
      </c>
      <c r="R197" s="52" cm="1">
        <f t="array" ref="R197">MMS_Poultry_Methane_Equations.VEERG_4_6_1_1__1_TotalAnnualMethaneEmissions(F$182, R153, F$187)</f>
        <v>7.6794913105919987E-5</v>
      </c>
      <c r="S197" s="52" cm="1">
        <f t="array" ref="S197">MMS_Poultry_Methane_Equations.VEERG_4_6_1_1__1_TotalAnnualMethaneEmissions(G$182, S153, G$187)</f>
        <v>7.1875892505599982E-5</v>
      </c>
      <c r="T197" s="2" t="str">
        <f t="shared" si="7"/>
        <v>t CH4</v>
      </c>
    </row>
    <row r="198" spans="4:20" ht="20.100000000000001" customHeight="1" x14ac:dyDescent="0.25">
      <c r="D198" s="52"/>
      <c r="E198" s="52" t="str">
        <f>'Input - Poultry'!$D$40</f>
        <v>Digester / covered lagoons</v>
      </c>
      <c r="F198" s="52" cm="1">
        <f t="array" ref="F198">MMS_Poultry_Methane_Equations.VEERG_4_6_1_1__1_TotalAnnualMethaneEmissions(D$182, F154, D$187)</f>
        <v>6.9463359912959983E-4</v>
      </c>
      <c r="G198" s="52" cm="1">
        <f t="array" ref="G198">MMS_Poultry_Methane_Equations.VEERG_4_6_1_1__1_TotalAnnualMethaneEmissions(E$182, G154, E$187)</f>
        <v>7.187589250559998E-4</v>
      </c>
      <c r="H198" s="52" cm="1">
        <f t="array" ref="H198">MMS_Poultry_Methane_Equations.VEERG_4_6_1_1__1_TotalAnnualMethaneEmissions(F$182, H154, F$187)</f>
        <v>7.6794913105919993E-4</v>
      </c>
      <c r="I198" s="52" cm="1">
        <f t="array" ref="I198">MMS_Poultry_Methane_Equations.VEERG_4_6_1_1__1_TotalAnnualMethaneEmissions(G$182, I154, G$187)</f>
        <v>7.187589250559998E-4</v>
      </c>
      <c r="J198" s="2" t="str">
        <f t="shared" si="6"/>
        <v>t CH4</v>
      </c>
      <c r="N198" s="52"/>
      <c r="O198" s="52" t="str">
        <f>'Input - Poultry'!$D$40</f>
        <v>Digester / covered lagoons</v>
      </c>
      <c r="P198" s="52" cm="1">
        <f t="array" ref="P198">MMS_Poultry_Methane_Equations.VEERG_4_6_1_1__1_TotalAnnualMethaneEmissions(D$182, P154, D$187)</f>
        <v>6.9463359912959983E-4</v>
      </c>
      <c r="Q198" s="52" cm="1">
        <f t="array" ref="Q198">MMS_Poultry_Methane_Equations.VEERG_4_6_1_1__1_TotalAnnualMethaneEmissions(E$182, Q154, E$187)</f>
        <v>7.187589250559998E-4</v>
      </c>
      <c r="R198" s="52" cm="1">
        <f t="array" ref="R198">MMS_Poultry_Methane_Equations.VEERG_4_6_1_1__1_TotalAnnualMethaneEmissions(F$182, R154, F$187)</f>
        <v>7.6794913105919993E-4</v>
      </c>
      <c r="S198" s="52" cm="1">
        <f t="array" ref="S198">MMS_Poultry_Methane_Equations.VEERG_4_6_1_1__1_TotalAnnualMethaneEmissions(G$182, S154, G$187)</f>
        <v>7.187589250559998E-4</v>
      </c>
      <c r="T198" s="2" t="str">
        <f t="shared" si="7"/>
        <v>t CH4</v>
      </c>
    </row>
    <row r="199" spans="4:20" ht="20.100000000000001" customHeight="1" x14ac:dyDescent="0.25">
      <c r="D199" s="52"/>
      <c r="E199" s="52" t="str">
        <f>'Input - Poultry'!$D$41</f>
        <v>Direct processing</v>
      </c>
      <c r="F199" s="52" cm="1">
        <f t="array" ref="F199">MMS_Poultry_Methane_Equations.VEERG_4_6_1_1__1_TotalAnnualMethaneEmissions(D$182, F155, D$187)</f>
        <v>0</v>
      </c>
      <c r="G199" s="52" cm="1">
        <f t="array" ref="G199">MMS_Poultry_Methane_Equations.VEERG_4_6_1_1__1_TotalAnnualMethaneEmissions(E$182, G155, E$187)</f>
        <v>0</v>
      </c>
      <c r="H199" s="52" cm="1">
        <f t="array" ref="H199">MMS_Poultry_Methane_Equations.VEERG_4_6_1_1__1_TotalAnnualMethaneEmissions(F$182, H155, F$187)</f>
        <v>0</v>
      </c>
      <c r="I199" s="52" cm="1">
        <f t="array" ref="I199">MMS_Poultry_Methane_Equations.VEERG_4_6_1_1__1_TotalAnnualMethaneEmissions(G$182, I155, G$187)</f>
        <v>0</v>
      </c>
      <c r="J199" s="2" t="str">
        <f t="shared" si="6"/>
        <v>t CH4</v>
      </c>
      <c r="N199" s="52"/>
      <c r="O199" s="52" t="str">
        <f>'Input - Poultry'!$D$41</f>
        <v>Direct processing</v>
      </c>
      <c r="P199" s="52" cm="1">
        <f t="array" ref="P199">MMS_Poultry_Methane_Equations.VEERG_4_6_1_1__1_TotalAnnualMethaneEmissions(D$182, P155, D$187)</f>
        <v>0</v>
      </c>
      <c r="Q199" s="52" cm="1">
        <f t="array" ref="Q199">MMS_Poultry_Methane_Equations.VEERG_4_6_1_1__1_TotalAnnualMethaneEmissions(E$182, Q155, E$187)</f>
        <v>0</v>
      </c>
      <c r="R199" s="52" cm="1">
        <f t="array" ref="R199">MMS_Poultry_Methane_Equations.VEERG_4_6_1_1__1_TotalAnnualMethaneEmissions(F$182, R155, F$187)</f>
        <v>0</v>
      </c>
      <c r="S199" s="52" cm="1">
        <f t="array" ref="S199">MMS_Poultry_Methane_Equations.VEERG_4_6_1_1__1_TotalAnnualMethaneEmissions(G$182, S155, G$187)</f>
        <v>0</v>
      </c>
      <c r="T199" s="2" t="str">
        <f t="shared" si="7"/>
        <v>t CH4</v>
      </c>
    </row>
    <row r="200" spans="4:20" ht="20.100000000000001" customHeight="1" x14ac:dyDescent="0.25">
      <c r="D200" s="52" t="str">
        <f>'Input - Poultry'!$D$31</f>
        <v>Belt manure removal</v>
      </c>
      <c r="E200" s="52" t="str">
        <f>'Input - Poultry'!$D$45</f>
        <v>Solid storage</v>
      </c>
      <c r="F200" s="52" cm="1">
        <f t="array" ref="F200">MMS_Poultry_Methane_Equations.VEERG_4_6_1_1__1_TotalAnnualMethaneEmissions(D$182, F156, D$187)</f>
        <v>1.6344319979519996E-4</v>
      </c>
      <c r="G200" s="52" cm="1">
        <f t="array" ref="G200">MMS_Poultry_Methane_Equations.VEERG_4_6_1_1__1_TotalAnnualMethaneEmissions(E$182, G156, E$187)</f>
        <v>1.6911974707199996E-4</v>
      </c>
      <c r="H200" s="52" cm="1">
        <f t="array" ref="H200">MMS_Poultry_Methane_Equations.VEERG_4_6_1_1__1_TotalAnnualMethaneEmissions(F$182, H156, F$187)</f>
        <v>1.8069391319039998E-4</v>
      </c>
      <c r="I200" s="52" cm="1">
        <f t="array" ref="I200">MMS_Poultry_Methane_Equations.VEERG_4_6_1_1__1_TotalAnnualMethaneEmissions(G$182, I156, G$187)</f>
        <v>1.6911974707199996E-4</v>
      </c>
      <c r="J200" s="2" t="str">
        <f t="shared" si="6"/>
        <v>t CH4</v>
      </c>
      <c r="N200" s="52" t="str">
        <f>'Input - Poultry'!$D$31</f>
        <v>Belt manure removal</v>
      </c>
      <c r="O200" s="52" t="str">
        <f>'Input - Poultry'!$D$45</f>
        <v>Solid storage</v>
      </c>
      <c r="P200" s="52" cm="1">
        <f t="array" ref="P200">MMS_Poultry_Methane_Equations.VEERG_4_6_1_1__1_TotalAnnualMethaneEmissions(D$182, P156, D$187)</f>
        <v>1.6344319979519996E-4</v>
      </c>
      <c r="Q200" s="52" cm="1">
        <f t="array" ref="Q200">MMS_Poultry_Methane_Equations.VEERG_4_6_1_1__1_TotalAnnualMethaneEmissions(E$182, Q156, E$187)</f>
        <v>1.6911974707199996E-4</v>
      </c>
      <c r="R200" s="52" cm="1">
        <f t="array" ref="R200">MMS_Poultry_Methane_Equations.VEERG_4_6_1_1__1_TotalAnnualMethaneEmissions(F$182, R156, F$187)</f>
        <v>1.8069391319039998E-4</v>
      </c>
      <c r="S200" s="52" cm="1">
        <f t="array" ref="S200">MMS_Poultry_Methane_Equations.VEERG_4_6_1_1__1_TotalAnnualMethaneEmissions(G$182, S156, G$187)</f>
        <v>1.6911974707199996E-4</v>
      </c>
      <c r="T200" s="2" t="str">
        <f t="shared" si="7"/>
        <v>t CH4</v>
      </c>
    </row>
    <row r="201" spans="4:20" ht="20.100000000000001" customHeight="1" x14ac:dyDescent="0.25">
      <c r="D201" s="52"/>
      <c r="E201" s="52" t="str">
        <f>'Input - Poultry'!$D$46</f>
        <v>Composting (passive windrow)</v>
      </c>
      <c r="F201" s="52" cm="1">
        <f t="array" ref="F201">MMS_Poultry_Methane_Equations.VEERG_4_6_1_1__1_TotalAnnualMethaneEmissions(D$182, F157, D$187)</f>
        <v>8.1721599897599978E-5</v>
      </c>
      <c r="G201" s="52" cm="1">
        <f t="array" ref="G201">MMS_Poultry_Methane_Equations.VEERG_4_6_1_1__1_TotalAnnualMethaneEmissions(E$182, G157, E$187)</f>
        <v>8.4559873535999978E-5</v>
      </c>
      <c r="H201" s="52" cm="1">
        <f t="array" ref="H201">MMS_Poultry_Methane_Equations.VEERG_4_6_1_1__1_TotalAnnualMethaneEmissions(F$182, H157, F$187)</f>
        <v>9.034695659519999E-5</v>
      </c>
      <c r="I201" s="52" cm="1">
        <f t="array" ref="I201">MMS_Poultry_Methane_Equations.VEERG_4_6_1_1__1_TotalAnnualMethaneEmissions(G$182, I157, G$187)</f>
        <v>8.4559873535999978E-5</v>
      </c>
      <c r="J201" s="2" t="str">
        <f t="shared" si="6"/>
        <v>t CH4</v>
      </c>
      <c r="N201" s="52"/>
      <c r="O201" s="52" t="str">
        <f>'Input - Poultry'!$D$46</f>
        <v>Composting (passive windrow)</v>
      </c>
      <c r="P201" s="52" cm="1">
        <f t="array" ref="P201">MMS_Poultry_Methane_Equations.VEERG_4_6_1_1__1_TotalAnnualMethaneEmissions(D$182, P157, D$187)</f>
        <v>8.1721599897599978E-5</v>
      </c>
      <c r="Q201" s="52" cm="1">
        <f t="array" ref="Q201">MMS_Poultry_Methane_Equations.VEERG_4_6_1_1__1_TotalAnnualMethaneEmissions(E$182, Q157, E$187)</f>
        <v>8.4559873535999978E-5</v>
      </c>
      <c r="R201" s="52" cm="1">
        <f t="array" ref="R201">MMS_Poultry_Methane_Equations.VEERG_4_6_1_1__1_TotalAnnualMethaneEmissions(F$182, R157, F$187)</f>
        <v>9.034695659519999E-5</v>
      </c>
      <c r="S201" s="52" cm="1">
        <f t="array" ref="S201">MMS_Poultry_Methane_Equations.VEERG_4_6_1_1__1_TotalAnnualMethaneEmissions(G$182, S157, G$187)</f>
        <v>8.4559873535999978E-5</v>
      </c>
      <c r="T201" s="2" t="str">
        <f t="shared" si="7"/>
        <v>t CH4</v>
      </c>
    </row>
    <row r="202" spans="4:20" ht="20.100000000000001" customHeight="1" x14ac:dyDescent="0.25">
      <c r="D202" s="52"/>
      <c r="E202" s="52" t="str">
        <f>'Input - Poultry'!$D$47</f>
        <v>Digester / covered lagoons</v>
      </c>
      <c r="F202" s="52" cm="1">
        <f t="array" ref="F202">MMS_Poultry_Methane_Equations.VEERG_4_6_1_1__1_TotalAnnualMethaneEmissions(D$182, F158, D$187)</f>
        <v>8.1721599897599984E-4</v>
      </c>
      <c r="G202" s="52" cm="1">
        <f t="array" ref="G202">MMS_Poultry_Methane_Equations.VEERG_4_6_1_1__1_TotalAnnualMethaneEmissions(E$182, G158, E$187)</f>
        <v>8.4559873535999992E-4</v>
      </c>
      <c r="H202" s="52" cm="1">
        <f t="array" ref="H202">MMS_Poultry_Methane_Equations.VEERG_4_6_1_1__1_TotalAnnualMethaneEmissions(F$182, H158, F$187)</f>
        <v>9.0346956595200006E-4</v>
      </c>
      <c r="I202" s="52" cm="1">
        <f t="array" ref="I202">MMS_Poultry_Methane_Equations.VEERG_4_6_1_1__1_TotalAnnualMethaneEmissions(G$182, I158, G$187)</f>
        <v>8.4559873535999992E-4</v>
      </c>
      <c r="J202" s="2" t="str">
        <f t="shared" si="6"/>
        <v>t CH4</v>
      </c>
      <c r="N202" s="52"/>
      <c r="O202" s="52" t="str">
        <f>'Input - Poultry'!$D$47</f>
        <v>Digester / covered lagoons</v>
      </c>
      <c r="P202" s="52" cm="1">
        <f t="array" ref="P202">MMS_Poultry_Methane_Equations.VEERG_4_6_1_1__1_TotalAnnualMethaneEmissions(D$182, P158, D$187)</f>
        <v>8.1721599897599984E-4</v>
      </c>
      <c r="Q202" s="52" cm="1">
        <f t="array" ref="Q202">MMS_Poultry_Methane_Equations.VEERG_4_6_1_1__1_TotalAnnualMethaneEmissions(E$182, Q158, E$187)</f>
        <v>8.4559873535999992E-4</v>
      </c>
      <c r="R202" s="52" cm="1">
        <f t="array" ref="R202">MMS_Poultry_Methane_Equations.VEERG_4_6_1_1__1_TotalAnnualMethaneEmissions(F$182, R158, F$187)</f>
        <v>9.0346956595200006E-4</v>
      </c>
      <c r="S202" s="52" cm="1">
        <f t="array" ref="S202">MMS_Poultry_Methane_Equations.VEERG_4_6_1_1__1_TotalAnnualMethaneEmissions(G$182, S158, G$187)</f>
        <v>8.4559873535999992E-4</v>
      </c>
      <c r="T202" s="2" t="str">
        <f t="shared" si="7"/>
        <v>t CH4</v>
      </c>
    </row>
    <row r="203" spans="4:20" ht="20.100000000000001" customHeight="1" x14ac:dyDescent="0.25">
      <c r="D203" s="52"/>
      <c r="E203" s="52" t="str">
        <f>'Input - Poultry'!$D$48</f>
        <v>Direct processing</v>
      </c>
      <c r="F203" s="52" cm="1">
        <f t="array" ref="F203">MMS_Poultry_Methane_Equations.VEERG_4_6_1_1__1_TotalAnnualMethaneEmissions(D$182, F159, D$187)</f>
        <v>0</v>
      </c>
      <c r="G203" s="52" cm="1">
        <f t="array" ref="G203">MMS_Poultry_Methane_Equations.VEERG_4_6_1_1__1_TotalAnnualMethaneEmissions(E$182, G159, E$187)</f>
        <v>0</v>
      </c>
      <c r="H203" s="52" cm="1">
        <f t="array" ref="H203">MMS_Poultry_Methane_Equations.VEERG_4_6_1_1__1_TotalAnnualMethaneEmissions(F$182, H159, F$187)</f>
        <v>0</v>
      </c>
      <c r="I203" s="52" cm="1">
        <f t="array" ref="I203">MMS_Poultry_Methane_Equations.VEERG_4_6_1_1__1_TotalAnnualMethaneEmissions(G$182, I159, G$187)</f>
        <v>0</v>
      </c>
      <c r="J203" s="2" t="str">
        <f t="shared" si="6"/>
        <v>t CH4</v>
      </c>
      <c r="N203" s="52"/>
      <c r="O203" s="52" t="str">
        <f>'Input - Poultry'!$D$48</f>
        <v>Direct processing</v>
      </c>
      <c r="P203" s="52" cm="1">
        <f t="array" ref="P203">MMS_Poultry_Methane_Equations.VEERG_4_6_1_1__1_TotalAnnualMethaneEmissions(D$182, P159, D$187)</f>
        <v>0</v>
      </c>
      <c r="Q203" s="52" cm="1">
        <f t="array" ref="Q203">MMS_Poultry_Methane_Equations.VEERG_4_6_1_1__1_TotalAnnualMethaneEmissions(E$182, Q159, E$187)</f>
        <v>0</v>
      </c>
      <c r="R203" s="52" cm="1">
        <f t="array" ref="R203">MMS_Poultry_Methane_Equations.VEERG_4_6_1_1__1_TotalAnnualMethaneEmissions(F$182, R159, F$187)</f>
        <v>0</v>
      </c>
      <c r="S203" s="52" cm="1">
        <f t="array" ref="S203">MMS_Poultry_Methane_Equations.VEERG_4_6_1_1__1_TotalAnnualMethaneEmissions(G$182, S159, G$187)</f>
        <v>0</v>
      </c>
      <c r="T203" s="2" t="str">
        <f t="shared" si="7"/>
        <v>t CH4</v>
      </c>
    </row>
    <row r="204" spans="4:20" ht="20.100000000000001" customHeight="1" x14ac:dyDescent="0.25">
      <c r="D204" s="52" t="str">
        <f>'Input - Poultry'!$D$32</f>
        <v>Manure stored in house</v>
      </c>
      <c r="E204" s="52" t="str">
        <f>'Input - Poultry'!$D$52</f>
        <v>Solid storage</v>
      </c>
      <c r="F204" s="52" cm="1">
        <f t="array" ref="F204">MMS_Poultry_Methane_Equations.VEERG_4_6_1_1__1_TotalAnnualMethaneEmissions(D$182, F160, D$187)</f>
        <v>1.3075455983615998E-4</v>
      </c>
      <c r="G204" s="52" cm="1">
        <f t="array" ref="G204">MMS_Poultry_Methane_Equations.VEERG_4_6_1_1__1_TotalAnnualMethaneEmissions(E$182, G160, E$187)</f>
        <v>1.3529579765759992E-4</v>
      </c>
      <c r="H204" s="52" cm="1">
        <f t="array" ref="H204">MMS_Poultry_Methane_Equations.VEERG_4_6_1_1__1_TotalAnnualMethaneEmissions(F$182, H160, F$187)</f>
        <v>1.4455513055232E-4</v>
      </c>
      <c r="I204" s="52" cm="1">
        <f t="array" ref="I204">MMS_Poultry_Methane_Equations.VEERG_4_6_1_1__1_TotalAnnualMethaneEmissions(G$182, I160, G$187)</f>
        <v>1.3529579765759992E-4</v>
      </c>
      <c r="J204" s="2" t="str">
        <f t="shared" si="6"/>
        <v>t CH4</v>
      </c>
      <c r="N204" s="52" t="str">
        <f>'Input - Poultry'!$D$32</f>
        <v>Manure stored in house</v>
      </c>
      <c r="O204" s="52" t="str">
        <f>'Input - Poultry'!$D$52</f>
        <v>Solid storage</v>
      </c>
      <c r="P204" s="52" cm="1">
        <f t="array" ref="P204">MMS_Poultry_Methane_Equations.VEERG_4_6_1_1__1_TotalAnnualMethaneEmissions(D$182, P160, D$187)</f>
        <v>1.3075455983615998E-4</v>
      </c>
      <c r="Q204" s="52" cm="1">
        <f t="array" ref="Q204">MMS_Poultry_Methane_Equations.VEERG_4_6_1_1__1_TotalAnnualMethaneEmissions(E$182, Q160, E$187)</f>
        <v>1.3529579765759992E-4</v>
      </c>
      <c r="R204" s="52" cm="1">
        <f t="array" ref="R204">MMS_Poultry_Methane_Equations.VEERG_4_6_1_1__1_TotalAnnualMethaneEmissions(F$182, R160, F$187)</f>
        <v>1.4455513055232E-4</v>
      </c>
      <c r="S204" s="52" cm="1">
        <f t="array" ref="S204">MMS_Poultry_Methane_Equations.VEERG_4_6_1_1__1_TotalAnnualMethaneEmissions(G$182, S160, G$187)</f>
        <v>1.3529579765759992E-4</v>
      </c>
      <c r="T204" s="2" t="str">
        <f t="shared" si="7"/>
        <v>t CH4</v>
      </c>
    </row>
    <row r="205" spans="4:20" ht="20.100000000000001" customHeight="1" x14ac:dyDescent="0.25">
      <c r="D205" s="52"/>
      <c r="E205" s="52" t="str">
        <f>'Input - Poultry'!$D$53</f>
        <v>Composting (passive windrow)</v>
      </c>
      <c r="F205" s="52" cm="1">
        <f t="array" ref="F205">MMS_Poultry_Methane_Equations.VEERG_4_6_1_1__1_TotalAnnualMethaneEmissions(D$182, F161, D$187)</f>
        <v>6.5377279918079988E-5</v>
      </c>
      <c r="G205" s="52" cm="1">
        <f t="array" ref="G205">MMS_Poultry_Methane_Equations.VEERG_4_6_1_1__1_TotalAnnualMethaneEmissions(E$182, G161, E$187)</f>
        <v>6.7647898828799961E-5</v>
      </c>
      <c r="H205" s="52" cm="1">
        <f t="array" ref="H205">MMS_Poultry_Methane_Equations.VEERG_4_6_1_1__1_TotalAnnualMethaneEmissions(F$182, H161, F$187)</f>
        <v>7.227756527616E-5</v>
      </c>
      <c r="I205" s="52" cm="1">
        <f t="array" ref="I205">MMS_Poultry_Methane_Equations.VEERG_4_6_1_1__1_TotalAnnualMethaneEmissions(G$182, I161, G$187)</f>
        <v>6.7647898828799961E-5</v>
      </c>
      <c r="J205" s="2" t="str">
        <f t="shared" si="6"/>
        <v>t CH4</v>
      </c>
      <c r="N205" s="52"/>
      <c r="O205" s="52" t="str">
        <f>'Input - Poultry'!$D$53</f>
        <v>Composting (passive windrow)</v>
      </c>
      <c r="P205" s="52" cm="1">
        <f t="array" ref="P205">MMS_Poultry_Methane_Equations.VEERG_4_6_1_1__1_TotalAnnualMethaneEmissions(D$182, P161, D$187)</f>
        <v>6.5377279918079988E-5</v>
      </c>
      <c r="Q205" s="52" cm="1">
        <f t="array" ref="Q205">MMS_Poultry_Methane_Equations.VEERG_4_6_1_1__1_TotalAnnualMethaneEmissions(E$182, Q161, E$187)</f>
        <v>6.7647898828799961E-5</v>
      </c>
      <c r="R205" s="52" cm="1">
        <f t="array" ref="R205">MMS_Poultry_Methane_Equations.VEERG_4_6_1_1__1_TotalAnnualMethaneEmissions(F$182, R161, F$187)</f>
        <v>7.227756527616E-5</v>
      </c>
      <c r="S205" s="52" cm="1">
        <f t="array" ref="S205">MMS_Poultry_Methane_Equations.VEERG_4_6_1_1__1_TotalAnnualMethaneEmissions(G$182, S161, G$187)</f>
        <v>6.7647898828799961E-5</v>
      </c>
      <c r="T205" s="2" t="str">
        <f t="shared" si="7"/>
        <v>t CH4</v>
      </c>
    </row>
    <row r="206" spans="4:20" ht="20.100000000000001" customHeight="1" x14ac:dyDescent="0.25">
      <c r="D206" s="52"/>
      <c r="E206" s="52" t="str">
        <f>'Input - Poultry'!$D$54</f>
        <v>Digester / covered lagoons</v>
      </c>
      <c r="F206" s="52" cm="1">
        <f t="array" ref="F206">MMS_Poultry_Methane_Equations.VEERG_4_6_1_1__1_TotalAnnualMethaneEmissions(D$182, F162, D$187)</f>
        <v>6.5377279918080004E-4</v>
      </c>
      <c r="G206" s="52" cm="1">
        <f t="array" ref="G206">MMS_Poultry_Methane_Equations.VEERG_4_6_1_1__1_TotalAnnualMethaneEmissions(E$182, G162, E$187)</f>
        <v>6.7647898828799972E-4</v>
      </c>
      <c r="H206" s="52" cm="1">
        <f t="array" ref="H206">MMS_Poultry_Methane_Equations.VEERG_4_6_1_1__1_TotalAnnualMethaneEmissions(F$182, H162, F$187)</f>
        <v>7.2277565276159992E-4</v>
      </c>
      <c r="I206" s="52" cm="1">
        <f t="array" ref="I206">MMS_Poultry_Methane_Equations.VEERG_4_6_1_1__1_TotalAnnualMethaneEmissions(G$182, I162, G$187)</f>
        <v>6.7647898828799972E-4</v>
      </c>
      <c r="J206" s="2" t="str">
        <f t="shared" si="6"/>
        <v>t CH4</v>
      </c>
      <c r="N206" s="52"/>
      <c r="O206" s="52" t="str">
        <f>'Input - Poultry'!$D$54</f>
        <v>Digester / covered lagoons</v>
      </c>
      <c r="P206" s="52" cm="1">
        <f t="array" ref="P206">MMS_Poultry_Methane_Equations.VEERG_4_6_1_1__1_TotalAnnualMethaneEmissions(D$182, P162, D$187)</f>
        <v>6.5377279918080004E-4</v>
      </c>
      <c r="Q206" s="52" cm="1">
        <f t="array" ref="Q206">MMS_Poultry_Methane_Equations.VEERG_4_6_1_1__1_TotalAnnualMethaneEmissions(E$182, Q162, E$187)</f>
        <v>6.7647898828799972E-4</v>
      </c>
      <c r="R206" s="52" cm="1">
        <f t="array" ref="R206">MMS_Poultry_Methane_Equations.VEERG_4_6_1_1__1_TotalAnnualMethaneEmissions(F$182, R162, F$187)</f>
        <v>7.2277565276159992E-4</v>
      </c>
      <c r="S206" s="52" cm="1">
        <f t="array" ref="S206">MMS_Poultry_Methane_Equations.VEERG_4_6_1_1__1_TotalAnnualMethaneEmissions(G$182, S162, G$187)</f>
        <v>6.7647898828799972E-4</v>
      </c>
      <c r="T206" s="2" t="str">
        <f t="shared" si="7"/>
        <v>t CH4</v>
      </c>
    </row>
    <row r="207" spans="4:20" ht="20.100000000000001" customHeight="1" x14ac:dyDescent="0.25">
      <c r="D207" s="52"/>
      <c r="E207" s="52" t="str">
        <f>'Input - Poultry'!$D$55</f>
        <v>Direct processing</v>
      </c>
      <c r="F207" s="52" cm="1">
        <f t="array" ref="F207">MMS_Poultry_Methane_Equations.VEERG_4_6_1_1__1_TotalAnnualMethaneEmissions(D$182, F163, D$187)</f>
        <v>0</v>
      </c>
      <c r="G207" s="52" cm="1">
        <f t="array" ref="G207">MMS_Poultry_Methane_Equations.VEERG_4_6_1_1__1_TotalAnnualMethaneEmissions(E$182, G163, E$187)</f>
        <v>0</v>
      </c>
      <c r="H207" s="52" cm="1">
        <f t="array" ref="H207">MMS_Poultry_Methane_Equations.VEERG_4_6_1_1__1_TotalAnnualMethaneEmissions(F$182, H163, F$187)</f>
        <v>0</v>
      </c>
      <c r="I207" s="52" cm="1">
        <f t="array" ref="I207">MMS_Poultry_Methane_Equations.VEERG_4_6_1_1__1_TotalAnnualMethaneEmissions(G$182, I163, G$187)</f>
        <v>0</v>
      </c>
      <c r="J207" s="2" t="str">
        <f t="shared" si="6"/>
        <v>t CH4</v>
      </c>
      <c r="N207" s="52"/>
      <c r="O207" s="52" t="str">
        <f>'Input - Poultry'!$D$55</f>
        <v>Direct processing</v>
      </c>
      <c r="P207" s="52" cm="1">
        <f t="array" ref="P207">MMS_Poultry_Methane_Equations.VEERG_4_6_1_1__1_TotalAnnualMethaneEmissions(D$182, P163, D$187)</f>
        <v>0</v>
      </c>
      <c r="Q207" s="52" cm="1">
        <f t="array" ref="Q207">MMS_Poultry_Methane_Equations.VEERG_4_6_1_1__1_TotalAnnualMethaneEmissions(E$182, Q163, E$187)</f>
        <v>0</v>
      </c>
      <c r="R207" s="52" cm="1">
        <f t="array" ref="R207">MMS_Poultry_Methane_Equations.VEERG_4_6_1_1__1_TotalAnnualMethaneEmissions(F$182, R163, F$187)</f>
        <v>0</v>
      </c>
      <c r="S207" s="52" cm="1">
        <f t="array" ref="S207">MMS_Poultry_Methane_Equations.VEERG_4_6_1_1__1_TotalAnnualMethaneEmissions(G$182, S163, G$187)</f>
        <v>0</v>
      </c>
      <c r="T207" s="2" t="str">
        <f t="shared" si="7"/>
        <v>t CH4</v>
      </c>
    </row>
    <row r="208" spans="4:20" ht="20.100000000000001" customHeight="1" x14ac:dyDescent="0.25"/>
    <row r="209" spans="4:17" ht="20.100000000000001" customHeight="1" x14ac:dyDescent="0.25">
      <c r="D209" s="101" t="s">
        <v>130</v>
      </c>
      <c r="E209" s="102">
        <f>SUM(F192:I207)</f>
        <v>1.9999321060623357E-2</v>
      </c>
      <c r="F209" s="103" t="str">
        <f>$E$173</f>
        <v>t CH4</v>
      </c>
      <c r="N209" s="101" t="s">
        <v>130</v>
      </c>
      <c r="O209" s="102">
        <f>SUM(P192:S207)</f>
        <v>1.9999321060623357E-2</v>
      </c>
      <c r="P209" s="103" t="str">
        <f>$E$173</f>
        <v>t CH4</v>
      </c>
    </row>
    <row r="210" spans="4:17" ht="20.100000000000001" customHeight="1" x14ac:dyDescent="0.25"/>
    <row r="211" spans="4:17" ht="20.100000000000001" customHeight="1" x14ac:dyDescent="0.25">
      <c r="D211" s="57" t="str" cm="1">
        <f t="array" ref="D211:E212">Common_Equations.Common_ConvertCH4ToCO2e_Arguments()</f>
        <v>ECH4</v>
      </c>
      <c r="E211" s="58" t="str">
        <v>Methane emissions (t CH4)</v>
      </c>
      <c r="F211" s="104"/>
      <c r="G211" s="52">
        <f>E209</f>
        <v>1.9999321060623357E-2</v>
      </c>
      <c r="N211" s="57" t="str" cm="1">
        <f t="array" ref="N211:O212">Common_Equations.Common_ConvertCH4ToCO2e_Arguments()</f>
        <v>ECH4</v>
      </c>
      <c r="O211" s="58" t="str">
        <v>Methane emissions (t CH4)</v>
      </c>
      <c r="P211" s="104"/>
      <c r="Q211" s="52">
        <f>O209</f>
        <v>1.9999321060623357E-2</v>
      </c>
    </row>
    <row r="212" spans="4:17" ht="20.100000000000001" customHeight="1" x14ac:dyDescent="0.25">
      <c r="D212" s="57" t="str">
        <v>GWPCH4</v>
      </c>
      <c r="E212" s="58" t="str">
        <v>Global warming potential for methane (t CO2-e / t CH4)</v>
      </c>
      <c r="F212" s="104"/>
      <c r="G212" s="52">
        <f>Common_InputFunctions.Utility_LookupValueInTableNumber("CH4",[2]!Table_GWPData[Gas],[2]!Table_GWPData[CO2-e factor])</f>
        <v>28</v>
      </c>
      <c r="N212" s="57" t="str">
        <v>GWPCH4</v>
      </c>
      <c r="O212" s="58" t="str">
        <v>Global warming potential for methane (t CO2-e / t CH4)</v>
      </c>
      <c r="P212" s="104"/>
      <c r="Q212" s="52">
        <f>Common_InputFunctions.Utility_LookupValueInTableNumber("CH4",[2]!Table_GWPData[Gas],[2]!Table_GWPData[CO2-e factor])</f>
        <v>28</v>
      </c>
    </row>
    <row r="213" spans="4:17" ht="20.100000000000001" customHeight="1" x14ac:dyDescent="0.25"/>
    <row r="214" spans="4:17" ht="20.100000000000001" customHeight="1" x14ac:dyDescent="0.25">
      <c r="D214" s="45" t="s">
        <v>100</v>
      </c>
      <c r="E214" s="45" cm="1">
        <f t="array" ref="E214">Common_Equations.Common_ConvertN2OToCO2e(G211,G212)</f>
        <v>0.55998098969745402</v>
      </c>
      <c r="F214" s="105" t="str" cm="1">
        <f t="array" ref="F214">Common_Equations.Common_ConvertN2OToCO2e_Unit()</f>
        <v>t CO2e</v>
      </c>
      <c r="N214" s="45" t="s">
        <v>100</v>
      </c>
      <c r="O214" s="45" cm="1">
        <f t="array" ref="O214">Common_Equations.Common_ConvertN2OToCO2e(Q211,Q212)</f>
        <v>0.55998098969745402</v>
      </c>
      <c r="P214" s="105" t="str" cm="1">
        <f t="array" ref="P214">Common_Equations.Common_ConvertN2OToCO2e_Unit()</f>
        <v>t CO2e</v>
      </c>
    </row>
    <row r="215" spans="4:17" ht="20.100000000000001" customHeight="1" x14ac:dyDescent="0.25"/>
    <row r="216" spans="4:17" ht="20.100000000000001" customHeight="1" x14ac:dyDescent="0.25"/>
    <row r="217" spans="4:17" ht="20.100000000000001" customHeight="1" x14ac:dyDescent="0.25"/>
    <row r="218" spans="4:17" ht="20.100000000000001" customHeight="1" x14ac:dyDescent="0.25"/>
    <row r="219" spans="4:17" ht="20.100000000000001" customHeight="1" x14ac:dyDescent="0.25"/>
    <row r="220" spans="4:17" ht="20.100000000000001" customHeight="1" x14ac:dyDescent="0.25"/>
    <row r="221" spans="4:17" ht="20.100000000000001" customHeight="1" x14ac:dyDescent="0.25"/>
    <row r="222" spans="4:17" ht="20.100000000000001" customHeight="1" x14ac:dyDescent="0.25"/>
    <row r="223" spans="4:17" ht="20.100000000000001" customHeight="1" x14ac:dyDescent="0.25"/>
    <row r="224" spans="4:17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P150:S150 E269 O166:T166 P143:T144 E228 P167:T167 G132 J128:J133 I129:I133 F134:I134 F129:F132 H128:H132 G129 F148:I148 I149:J149 F150:I150 S149:T149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zoomScale="85" zoomScaleNormal="85" workbookViewId="0">
      <selection activeCell="A12" sqref="A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261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MMS_Poultry_N2ODirect_Equations.VEERG_4_6_1_3__5_NitrogenIntake_Title()</f>
        <v>Nitrogen intake of poultry</v>
      </c>
    </row>
    <row r="6" spans="1:21" ht="20.100000000000001" customHeight="1" x14ac:dyDescent="0.25">
      <c r="A6" s="20" t="s">
        <v>3</v>
      </c>
      <c r="D6" s="5" t="str" cm="1">
        <f t="array" ref="D6">MMS_Poultry_N2ODirect_Equations.VEERG_4_6_1_3__5_NitrogenIntake_Source()</f>
        <v>VEERG 2026: 4.6.1.3,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Common_InputFunctions.Utility_DisplayFunctionName(D30)</f>
        <v>=MMS_Poultry_N2ODirect_Equations.VEERG_4_6_1_3__5_NitrogenIntake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MMS_Poultry_N2ODirect_Equations.VEERG_4_6_1_3__5_NitrogenIntake_Variable()</f>
        <v>NI_jk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MMS_Poultry_N2ODirect_Equations.VEERG_4_6_1_3__5_NitrogenIntake_Unit()</f>
        <v>kg N/bird/day</v>
      </c>
    </row>
    <row r="12" spans="1:21" ht="20.100000000000001" customHeight="1" x14ac:dyDescent="0.25">
      <c r="A12" s="138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Soil atm. deposition")</f>
        <v>4.6.1.5-6 Soil atm. deposition</v>
      </c>
      <c r="D13" s="57" t="str" cm="1">
        <f t="array" ref="D13:E15">MMS_Poultry_N2ODirect_Equations.VEERG_4_6_1_3__5_NitrogenIntake_Arguments()</f>
        <v>I_jk</v>
      </c>
      <c r="E13" s="58" t="str">
        <v>dry matter intake for each class and subclass : kg DM/bird/day</v>
      </c>
      <c r="F13" s="59"/>
      <c r="G13" s="57" t="str">
        <f>"See " &amp; D17</f>
        <v>See M1_Table_I_j_k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CP_jk</v>
      </c>
      <c r="E14" s="58" t="str">
        <v>crude protein content of feed : fraction</v>
      </c>
      <c r="F14" s="59"/>
      <c r="G14" s="57" t="str">
        <f>"See " &amp; D22</f>
        <v>See M1_Table_CP_j_k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6.25</v>
      </c>
      <c r="E15" s="58" t="str">
        <v>factor for converting crude protein into nitrogen : ratio</v>
      </c>
      <c r="F15" s="59"/>
      <c r="G15" s="57" t="str">
        <f>$D$15</f>
        <v>6.25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230</v>
      </c>
      <c r="N17" s="99" t="s">
        <v>231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233</v>
      </c>
      <c r="N18" s="98" t="s">
        <v>232</v>
      </c>
    </row>
    <row r="19" spans="1:18" ht="20.100000000000001" customHeight="1" x14ac:dyDescent="0.25">
      <c r="D19" s="51" t="s">
        <v>209</v>
      </c>
      <c r="E19" s="51" t="s">
        <v>210</v>
      </c>
      <c r="F19" s="51" t="s">
        <v>224</v>
      </c>
      <c r="G19" s="51" t="s">
        <v>225</v>
      </c>
      <c r="N19" s="51" t="s">
        <v>209</v>
      </c>
      <c r="O19" s="51" t="s">
        <v>210</v>
      </c>
      <c r="P19" s="51" t="s">
        <v>224</v>
      </c>
      <c r="Q19" s="51" t="s">
        <v>225</v>
      </c>
    </row>
    <row r="20" spans="1:18" ht="20.100000000000001" customHeight="1" x14ac:dyDescent="0.25">
      <c r="A20" s="18" t="s">
        <v>4</v>
      </c>
      <c r="D20" s="52">
        <f>'Input - Poultry'!E16</f>
        <v>8.5999999999999993E-2</v>
      </c>
      <c r="E20" s="52">
        <f>'Input - Poultry'!F16</f>
        <v>9.2999999999999999E-2</v>
      </c>
      <c r="F20" s="52">
        <f>'Input - Poultry'!G16</f>
        <v>0.10299999999999999</v>
      </c>
      <c r="G20" s="52">
        <f>'Input - Poultry'!H16</f>
        <v>9.2999999999999999E-2</v>
      </c>
      <c r="H20" s="2" t="s">
        <v>229</v>
      </c>
      <c r="N20" s="52">
        <f>'Input - Poultry'!E21</f>
        <v>8.5999999999999993E-2</v>
      </c>
      <c r="O20" s="52">
        <f>'Input - Poultry'!F21</f>
        <v>9.2999999999999999E-2</v>
      </c>
      <c r="P20" s="52">
        <f>'Input - Poultry'!G21</f>
        <v>0.10299999999999999</v>
      </c>
      <c r="Q20" s="52">
        <f>'Input - Poultry'!H21</f>
        <v>9.2999999999999999E-2</v>
      </c>
      <c r="R20" s="2" t="s">
        <v>229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262</v>
      </c>
      <c r="N22" s="99" t="s">
        <v>264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263</v>
      </c>
      <c r="E23" s="98"/>
      <c r="N23" s="98" t="s">
        <v>265</v>
      </c>
      <c r="O23" s="98"/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209</v>
      </c>
      <c r="E24" s="51" t="s">
        <v>210</v>
      </c>
      <c r="F24" s="51" t="s">
        <v>224</v>
      </c>
      <c r="G24" s="51" t="s">
        <v>225</v>
      </c>
      <c r="N24" s="51" t="s">
        <v>209</v>
      </c>
      <c r="O24" s="51" t="s">
        <v>210</v>
      </c>
      <c r="P24" s="51" t="s">
        <v>224</v>
      </c>
      <c r="Q24" s="51" t="s">
        <v>225</v>
      </c>
    </row>
    <row r="25" spans="1:18" ht="20.100000000000001" customHeight="1" x14ac:dyDescent="0.25">
      <c r="D25" s="52">
        <f>'Input - Poultry'!E18</f>
        <v>0.19</v>
      </c>
      <c r="E25" s="52">
        <f>'Input - Poultry'!F18</f>
        <v>0.23</v>
      </c>
      <c r="F25" s="52">
        <f>'Input - Poultry'!G18</f>
        <v>0.19</v>
      </c>
      <c r="G25" s="52">
        <f>'Input - Poultry'!H18</f>
        <v>0.23</v>
      </c>
      <c r="H25" s="2" t="s">
        <v>118</v>
      </c>
      <c r="N25" s="52">
        <f>'Input - Poultry'!E23</f>
        <v>0.19</v>
      </c>
      <c r="O25" s="52">
        <f>'Input - Poultry'!F23</f>
        <v>0.23</v>
      </c>
      <c r="P25" s="52">
        <f>'Input - Poultry'!G23</f>
        <v>0.19</v>
      </c>
      <c r="Q25" s="52">
        <f>'Input - Poultry'!H23</f>
        <v>0.23</v>
      </c>
      <c r="R25" s="2" t="s">
        <v>118</v>
      </c>
    </row>
    <row r="26" spans="1:18" ht="20.100000000000001" customHeight="1" x14ac:dyDescent="0.25"/>
    <row r="27" spans="1:18" ht="20.100000000000001" customHeight="1" x14ac:dyDescent="0.25">
      <c r="D27" s="99" t="s">
        <v>266</v>
      </c>
      <c r="N27" s="99" t="s">
        <v>266</v>
      </c>
    </row>
    <row r="28" spans="1:18" ht="20.100000000000001" customHeight="1" x14ac:dyDescent="0.25">
      <c r="D28" s="98" t="s">
        <v>267</v>
      </c>
      <c r="E28" s="98"/>
      <c r="N28" s="98" t="s">
        <v>267</v>
      </c>
      <c r="O28" s="98"/>
    </row>
    <row r="29" spans="1:18" ht="20.100000000000001" customHeight="1" x14ac:dyDescent="0.25">
      <c r="D29" s="51" t="s">
        <v>209</v>
      </c>
      <c r="E29" s="51" t="s">
        <v>210</v>
      </c>
      <c r="F29" s="51" t="s">
        <v>224</v>
      </c>
      <c r="G29" s="51" t="s">
        <v>225</v>
      </c>
      <c r="N29" s="51" t="s">
        <v>209</v>
      </c>
      <c r="O29" s="51" t="s">
        <v>210</v>
      </c>
      <c r="P29" s="51" t="s">
        <v>224</v>
      </c>
      <c r="Q29" s="51" t="s">
        <v>225</v>
      </c>
    </row>
    <row r="30" spans="1:18" ht="20.100000000000001" customHeight="1" x14ac:dyDescent="0.25">
      <c r="D30" s="52" cm="1">
        <f t="array" ref="D30">MMS_Poultry_N2ODirect_Equations.VEERG_4_6_1_3__5_NitrogenIntake(D20,D25)</f>
        <v>2.6144000000000002E-3</v>
      </c>
      <c r="E30" s="52" cm="1">
        <f t="array" ref="E30">MMS_Poultry_N2ODirect_Equations.VEERG_4_6_1_3__5_NitrogenIntake(E20,E25)</f>
        <v>3.4223999999999999E-3</v>
      </c>
      <c r="F30" s="52" cm="1">
        <f t="array" ref="F30">MMS_Poultry_N2ODirect_Equations.VEERG_4_6_1_3__5_NitrogenIntake(F20,F25)</f>
        <v>3.1312000000000002E-3</v>
      </c>
      <c r="G30" s="52" cm="1">
        <f t="array" ref="G30">MMS_Poultry_N2ODirect_Equations.VEERG_4_6_1_3__5_NitrogenIntake(G20,G25)</f>
        <v>3.4223999999999999E-3</v>
      </c>
      <c r="H30" s="2" t="str">
        <f>$E$11</f>
        <v>kg N/bird/day</v>
      </c>
      <c r="N30" s="52" cm="1">
        <f t="array" ref="N30">MMS_Poultry_N2ODirect_Equations.VEERG_4_6_1_3__5_NitrogenIntake(N20,N25)</f>
        <v>2.6144000000000002E-3</v>
      </c>
      <c r="O30" s="52" cm="1">
        <f t="array" ref="O30">MMS_Poultry_N2ODirect_Equations.VEERG_4_6_1_3__5_NitrogenIntake(O20,O25)</f>
        <v>3.4223999999999999E-3</v>
      </c>
      <c r="P30" s="52" cm="1">
        <f t="array" ref="P30">MMS_Poultry_N2ODirect_Equations.VEERG_4_6_1_3__5_NitrogenIntake(P20,P25)</f>
        <v>3.1312000000000002E-3</v>
      </c>
      <c r="Q30" s="52" cm="1">
        <f t="array" ref="Q30">MMS_Poultry_N2ODirect_Equations.VEERG_4_6_1_3__5_NitrogenIntake(Q20,Q25)</f>
        <v>3.4223999999999999E-3</v>
      </c>
      <c r="R30" s="2" t="str">
        <f>$E$11</f>
        <v>kg N/bird/day</v>
      </c>
    </row>
    <row r="31" spans="1:18" ht="20.100000000000001" customHeight="1" x14ac:dyDescent="0.25"/>
    <row r="32" spans="1:18" ht="20.100000000000001" customHeight="1" x14ac:dyDescent="0.25"/>
    <row r="33" spans="3:21" ht="20.100000000000001" customHeight="1" x14ac:dyDescent="0.25">
      <c r="C33" s="45"/>
      <c r="D33" s="45"/>
      <c r="E33" s="45"/>
      <c r="F33" s="45"/>
      <c r="G33" s="45"/>
      <c r="H33" s="45"/>
      <c r="I33" s="45"/>
      <c r="J33" s="45"/>
      <c r="K33" s="45"/>
      <c r="M33" s="45"/>
      <c r="N33" s="45"/>
      <c r="O33" s="45"/>
      <c r="P33" s="45"/>
      <c r="Q33" s="45"/>
      <c r="R33" s="45"/>
      <c r="S33" s="45"/>
      <c r="T33" s="45"/>
      <c r="U33" s="45"/>
    </row>
    <row r="34" spans="3:21" ht="20.100000000000001" customHeight="1" x14ac:dyDescent="0.25">
      <c r="D34" s="6" t="str" cm="1">
        <f t="array" ref="D34">MMS_Poultry_N2ODirect_Equations.VEERG_4_6_1_3__4_NitrogenExcretionPerBird_Title()</f>
        <v>Nitrogen excretion per bird per day</v>
      </c>
    </row>
    <row r="35" spans="3:21" ht="20.100000000000001" customHeight="1" x14ac:dyDescent="0.25">
      <c r="D35" s="5" t="str" cm="1">
        <f t="array" ref="D35">MMS_Poultry_N2ODirect_Equations.VEERG_4_6_1_3__4_NitrogenExcretionPerBird_Source()</f>
        <v>VEERG 2026: 4.6.1.3, Equation (4)</v>
      </c>
    </row>
    <row r="36" spans="3:21" ht="20.100000000000001" customHeight="1" x14ac:dyDescent="0.25">
      <c r="D36" s="13" t="s">
        <v>26</v>
      </c>
      <c r="E36" s="13" t="str" cm="1">
        <f t="array" aca="1" ref="E36" ca="1">Common_InputFunctions.Utility_DisplayFunctionName(D53)</f>
        <v>=MMS_Poultry_N2ODirect_Equations.VEERG_4_6_1_3__4_NitrogenExcretionPerBird</v>
      </c>
    </row>
    <row r="37" spans="3:21" ht="20.100000000000001" customHeight="1" x14ac:dyDescent="0.25"/>
    <row r="38" spans="3:21" ht="20.100000000000001" customHeight="1" x14ac:dyDescent="0.25"/>
    <row r="39" spans="3:21" ht="20.100000000000001" customHeight="1" x14ac:dyDescent="0.25">
      <c r="D39" s="53" t="s">
        <v>29</v>
      </c>
      <c r="E39" s="1" t="str" cm="1">
        <f t="array" ref="E39">MMS_Poultry_N2ODirect_Equations.VEERG_4_6_1_3__4_NitrogenExcretionPerBird_Variable()</f>
        <v>NE_jk</v>
      </c>
    </row>
    <row r="40" spans="3:21" ht="20.100000000000001" customHeight="1" x14ac:dyDescent="0.25">
      <c r="D40" s="53" t="s">
        <v>19</v>
      </c>
      <c r="E40" s="54" t="str" cm="1">
        <f t="array" ref="E40">MMS_Poultry_N2ODirect_Equations.VEERG_4_6_1_3__4_NitrogenExcretionPerBird_Unit()</f>
        <v>kg N/bird/day</v>
      </c>
    </row>
    <row r="41" spans="3:21" ht="20.100000000000001" customHeight="1" x14ac:dyDescent="0.25"/>
    <row r="42" spans="3:21" ht="20.100000000000001" customHeight="1" x14ac:dyDescent="0.25">
      <c r="D42" s="57" t="str" cm="1">
        <f t="array" ref="D42:E43">MMS_Poultry_N2ODirect_Equations.VEERG_4_6_1_3__4_NitrogenExcretionPerBird_Arguments()</f>
        <v>NI_jk</v>
      </c>
      <c r="E42" s="58" t="str">
        <v>nitrogen intake : kg N/bird/day</v>
      </c>
      <c r="F42" s="59"/>
      <c r="G42" s="57" t="str">
        <f>"See " &amp; D27</f>
        <v>See M1_Table_NI_j_k</v>
      </c>
    </row>
    <row r="43" spans="3:21" ht="20.100000000000001" customHeight="1" x14ac:dyDescent="0.25">
      <c r="D43" s="57" t="str">
        <v>NR_jk</v>
      </c>
      <c r="E43" s="58" t="str">
        <v>nitrogen retention expressed as a fraction of intake : fraction</v>
      </c>
      <c r="F43" s="59"/>
      <c r="G43" s="57"/>
    </row>
    <row r="44" spans="3:21" ht="20.100000000000001" customHeight="1" x14ac:dyDescent="0.25"/>
    <row r="45" spans="3:21" ht="20.100000000000001" customHeight="1" x14ac:dyDescent="0.25">
      <c r="D45" s="99" t="s">
        <v>268</v>
      </c>
    </row>
    <row r="46" spans="3:21" ht="20.100000000000001" customHeight="1" x14ac:dyDescent="0.25">
      <c r="D46" s="98" t="s">
        <v>269</v>
      </c>
      <c r="E46" s="98"/>
    </row>
    <row r="47" spans="3:21" ht="20.100000000000001" customHeight="1" x14ac:dyDescent="0.25">
      <c r="D47" s="51" t="s">
        <v>209</v>
      </c>
      <c r="E47" s="51" t="s">
        <v>210</v>
      </c>
      <c r="F47" s="51" t="s">
        <v>224</v>
      </c>
      <c r="G47" s="51" t="s">
        <v>225</v>
      </c>
    </row>
    <row r="48" spans="3:21" ht="20.100000000000001" customHeight="1" x14ac:dyDescent="0.25">
      <c r="D48" s="52">
        <f>'Constants - Poultry'!E12</f>
        <v>0.35</v>
      </c>
      <c r="E48" s="52">
        <f>'Constants - Poultry'!F12</f>
        <v>0.47</v>
      </c>
      <c r="F48" s="52">
        <f>'Constants - Poultry'!G12</f>
        <v>0.32</v>
      </c>
      <c r="G48" s="52">
        <f>'Constants - Poultry'!H12</f>
        <v>0.47</v>
      </c>
      <c r="H48" s="2" t="s">
        <v>118</v>
      </c>
    </row>
    <row r="49" spans="3:21" ht="20.100000000000001" customHeight="1" x14ac:dyDescent="0.25"/>
    <row r="50" spans="3:21" ht="20.100000000000001" customHeight="1" x14ac:dyDescent="0.25">
      <c r="D50" s="99" t="s">
        <v>270</v>
      </c>
      <c r="N50" s="99" t="s">
        <v>270</v>
      </c>
    </row>
    <row r="51" spans="3:21" ht="20.100000000000001" customHeight="1" x14ac:dyDescent="0.25">
      <c r="D51" s="98" t="s">
        <v>271</v>
      </c>
      <c r="E51" s="98"/>
      <c r="N51" s="98" t="s">
        <v>271</v>
      </c>
      <c r="O51" s="98"/>
    </row>
    <row r="52" spans="3:21" ht="20.100000000000001" customHeight="1" x14ac:dyDescent="0.25">
      <c r="D52" s="51" t="s">
        <v>209</v>
      </c>
      <c r="E52" s="51" t="s">
        <v>210</v>
      </c>
      <c r="F52" s="51" t="s">
        <v>224</v>
      </c>
      <c r="G52" s="51" t="s">
        <v>225</v>
      </c>
      <c r="N52" s="51" t="s">
        <v>209</v>
      </c>
      <c r="O52" s="51" t="s">
        <v>210</v>
      </c>
      <c r="P52" s="51" t="s">
        <v>224</v>
      </c>
      <c r="Q52" s="51" t="s">
        <v>225</v>
      </c>
    </row>
    <row r="53" spans="3:21" ht="20.100000000000001" customHeight="1" x14ac:dyDescent="0.25">
      <c r="D53" s="52" cm="1">
        <f t="array" ref="D53">MMS_Poultry_N2ODirect_Equations.VEERG_4_6_1_3__4_NitrogenExcretionPerBird(D30,D48)</f>
        <v>1.6993600000000002E-3</v>
      </c>
      <c r="E53" s="52" cm="1">
        <f t="array" ref="E53">MMS_Poultry_N2ODirect_Equations.VEERG_4_6_1_3__4_NitrogenExcretionPerBird(E30,E48)</f>
        <v>1.813872E-3</v>
      </c>
      <c r="F53" s="52" cm="1">
        <f t="array" ref="F53">MMS_Poultry_N2ODirect_Equations.VEERG_4_6_1_3__4_NitrogenExcretionPerBird(F30,F48)</f>
        <v>2.1292159999999997E-3</v>
      </c>
      <c r="G53" s="52" cm="1">
        <f t="array" ref="G53">MMS_Poultry_N2ODirect_Equations.VEERG_4_6_1_3__4_NitrogenExcretionPerBird(G30,G48)</f>
        <v>1.813872E-3</v>
      </c>
      <c r="H53" s="2" t="s">
        <v>118</v>
      </c>
      <c r="N53" s="52" cm="1">
        <f t="array" ref="N53">MMS_Poultry_N2ODirect_Equations.VEERG_4_6_1_3__4_NitrogenExcretionPerBird(N30,D48)</f>
        <v>1.6993600000000002E-3</v>
      </c>
      <c r="O53" s="52" cm="1">
        <f t="array" ref="O53">MMS_Poultry_N2ODirect_Equations.VEERG_4_6_1_3__4_NitrogenExcretionPerBird(O30,E48)</f>
        <v>1.813872E-3</v>
      </c>
      <c r="P53" s="52" cm="1">
        <f t="array" ref="P53">MMS_Poultry_N2ODirect_Equations.VEERG_4_6_1_3__4_NitrogenExcretionPerBird(P30,F48)</f>
        <v>2.1292159999999997E-3</v>
      </c>
      <c r="Q53" s="52" cm="1">
        <f t="array" ref="Q53">MMS_Poultry_N2ODirect_Equations.VEERG_4_6_1_3__4_NitrogenExcretionPerBird(Q30,G48)</f>
        <v>1.813872E-3</v>
      </c>
      <c r="R53" s="2" t="s">
        <v>118</v>
      </c>
    </row>
    <row r="54" spans="3:21" ht="20.100000000000001" customHeight="1" x14ac:dyDescent="0.25"/>
    <row r="55" spans="3:21" ht="20.100000000000001" customHeight="1" x14ac:dyDescent="0.25"/>
    <row r="56" spans="3:21" ht="20.100000000000001" customHeight="1" x14ac:dyDescent="0.25">
      <c r="C56" s="45"/>
      <c r="D56" s="45"/>
      <c r="E56" s="45"/>
      <c r="F56" s="45"/>
      <c r="G56" s="45"/>
      <c r="H56" s="45"/>
      <c r="I56" s="45"/>
      <c r="J56" s="45"/>
      <c r="K56" s="45"/>
      <c r="M56" s="45"/>
      <c r="N56" s="45"/>
      <c r="O56" s="45"/>
      <c r="P56" s="45"/>
      <c r="Q56" s="45"/>
      <c r="R56" s="45"/>
      <c r="S56" s="45"/>
      <c r="T56" s="45"/>
      <c r="U56" s="45"/>
    </row>
    <row r="57" spans="3:21" ht="20.100000000000001" customHeight="1" x14ac:dyDescent="0.25">
      <c r="D57" s="6" t="str" cm="1">
        <f t="array" ref="D57">MMS_Poultry_N2ODirect_Equations.VEERG_4_6_1_3__3_AnnualNitrogenExcretion_Title()</f>
        <v>Annual nitrogen excretion for each poultry class and subclass</v>
      </c>
    </row>
    <row r="58" spans="3:21" ht="20.100000000000001" customHeight="1" x14ac:dyDescent="0.25">
      <c r="D58" s="5" t="str" cm="1">
        <f t="array" ref="D58">MMS_Poultry_N2ODirect_Equations.VEERG_4_6_1_3__3_AnnualNitrogenExcretion_Source()</f>
        <v>VEERG 2026: 4.6.1.3, Equation (3)</v>
      </c>
    </row>
    <row r="59" spans="3:21" ht="20.100000000000001" customHeight="1" x14ac:dyDescent="0.25">
      <c r="D59" s="13" t="s">
        <v>26</v>
      </c>
      <c r="E59" s="13" t="str" cm="1">
        <f t="array" aca="1" ref="E59" ca="1">Common_InputFunctions.Utility_DisplayFunctionName(D82)</f>
        <v>=MMS_Poultry_N2ODirect_Equations.VEERG_4_6_1_3__3_AnnualNitrogenExcretion</v>
      </c>
    </row>
    <row r="60" spans="3:21" ht="20.100000000000001" customHeight="1" x14ac:dyDescent="0.25"/>
    <row r="61" spans="3:21" ht="20.100000000000001" customHeight="1" x14ac:dyDescent="0.25"/>
    <row r="62" spans="3:21" ht="20.100000000000001" customHeight="1" x14ac:dyDescent="0.25">
      <c r="D62" s="53" t="s">
        <v>29</v>
      </c>
      <c r="E62" s="1" t="str" cm="1">
        <f t="array" ref="E62">MMS_Poultry_N2ODirect_Equations.VEERG_4_6_1_3__3_AnnualNitrogenExcretion_Variable()</f>
        <v>AE_jk</v>
      </c>
    </row>
    <row r="63" spans="3:21" ht="20.100000000000001" customHeight="1" x14ac:dyDescent="0.25">
      <c r="D63" s="53" t="s">
        <v>19</v>
      </c>
      <c r="E63" s="54" t="str" cm="1">
        <f t="array" ref="E63">MMS_Poultry_N2ODirect_Equations.VEERG_4_6_1_3__3_AnnualNitrogenExcretion_Unit()</f>
        <v>kg N</v>
      </c>
    </row>
    <row r="64" spans="3:21" ht="20.100000000000001" customHeight="1" x14ac:dyDescent="0.25"/>
    <row r="65" spans="4:15" ht="20.100000000000001" customHeight="1" x14ac:dyDescent="0.25">
      <c r="D65" s="57" t="str" cm="1">
        <f t="array" ref="D65:E67">MMS_Poultry_N2ODirect_Equations.VEERG_4_6_1_3__3_AnnualNitrogenExcretion_Arguments()</f>
        <v>N_jk</v>
      </c>
      <c r="E65" s="58" t="str">
        <v>number of poultry in each class and subclass : bird</v>
      </c>
      <c r="F65" s="59"/>
      <c r="G65" s="57" t="str">
        <f>"See " &amp; D69</f>
        <v>See Table_N_j_k</v>
      </c>
    </row>
    <row r="66" spans="4:15" ht="20.100000000000001" customHeight="1" x14ac:dyDescent="0.25">
      <c r="D66" s="57" t="str">
        <v>NE_jk</v>
      </c>
      <c r="E66" s="58" t="str">
        <v>nitrogen excretion : kg N/bird/day</v>
      </c>
      <c r="F66" s="59"/>
      <c r="G66" s="57" t="str">
        <f>"See " &amp; D50</f>
        <v>See M1_Table_NE_j_k</v>
      </c>
    </row>
    <row r="67" spans="4:15" ht="20.100000000000001" customHeight="1" x14ac:dyDescent="0.25">
      <c r="D67" s="57" t="str">
        <v>D_jk</v>
      </c>
      <c r="E67" s="58" t="str">
        <v>duration of stay of each class and subclass : days</v>
      </c>
      <c r="F67" s="59"/>
      <c r="G67" s="57" t="str">
        <f>"See " &amp; D74</f>
        <v>See Table_D_j_k</v>
      </c>
    </row>
    <row r="68" spans="4:15" ht="20.100000000000001" customHeight="1" x14ac:dyDescent="0.25"/>
    <row r="69" spans="4:15" ht="20.100000000000001" customHeight="1" x14ac:dyDescent="0.25">
      <c r="D69" s="99" t="s">
        <v>255</v>
      </c>
    </row>
    <row r="70" spans="4:15" ht="20.100000000000001" customHeight="1" x14ac:dyDescent="0.25">
      <c r="D70" s="98" t="s">
        <v>256</v>
      </c>
      <c r="E70" s="98"/>
    </row>
    <row r="71" spans="4:15" ht="20.100000000000001" customHeight="1" x14ac:dyDescent="0.25">
      <c r="D71" s="51" t="s">
        <v>209</v>
      </c>
      <c r="E71" s="51" t="s">
        <v>210</v>
      </c>
      <c r="F71" s="51" t="s">
        <v>224</v>
      </c>
      <c r="G71" s="51" t="s">
        <v>225</v>
      </c>
    </row>
    <row r="72" spans="4:15" ht="20.100000000000001" customHeight="1" x14ac:dyDescent="0.25">
      <c r="D72" s="52">
        <f>'Input - Poultry'!E11</f>
        <v>100</v>
      </c>
      <c r="E72" s="52">
        <f>'Input - Poultry'!F11</f>
        <v>100</v>
      </c>
      <c r="F72" s="52">
        <f>'Input - Poultry'!G11</f>
        <v>100</v>
      </c>
      <c r="G72" s="52">
        <f>'Input - Poultry'!H11</f>
        <v>100</v>
      </c>
      <c r="H72" s="2" t="s">
        <v>257</v>
      </c>
    </row>
    <row r="73" spans="4:15" ht="20.100000000000001" customHeight="1" x14ac:dyDescent="0.25"/>
    <row r="74" spans="4:15" ht="20.100000000000001" customHeight="1" x14ac:dyDescent="0.25">
      <c r="D74" s="99" t="s">
        <v>254</v>
      </c>
    </row>
    <row r="75" spans="4:15" ht="20.100000000000001" customHeight="1" x14ac:dyDescent="0.25">
      <c r="D75" s="98" t="s">
        <v>153</v>
      </c>
      <c r="E75" s="98"/>
    </row>
    <row r="76" spans="4:15" ht="20.100000000000001" customHeight="1" x14ac:dyDescent="0.25">
      <c r="D76" s="51" t="s">
        <v>209</v>
      </c>
      <c r="E76" s="51" t="s">
        <v>210</v>
      </c>
      <c r="F76" s="51" t="s">
        <v>224</v>
      </c>
      <c r="G76" s="51" t="s">
        <v>225</v>
      </c>
    </row>
    <row r="77" spans="4:15" ht="20.100000000000001" customHeight="1" x14ac:dyDescent="0.25">
      <c r="D77" s="52">
        <f>'Input - Poultry'!E11</f>
        <v>100</v>
      </c>
      <c r="E77" s="52">
        <f>'Input - Poultry'!F11</f>
        <v>100</v>
      </c>
      <c r="F77" s="52">
        <f>'Input - Poultry'!G11</f>
        <v>100</v>
      </c>
      <c r="G77" s="52">
        <f>'Input - Poultry'!H11</f>
        <v>100</v>
      </c>
      <c r="H77" s="2" t="s">
        <v>129</v>
      </c>
    </row>
    <row r="78" spans="4:15" ht="20.100000000000001" customHeight="1" x14ac:dyDescent="0.25"/>
    <row r="79" spans="4:15" ht="20.100000000000001" customHeight="1" x14ac:dyDescent="0.25">
      <c r="D79" s="99" t="s">
        <v>272</v>
      </c>
      <c r="N79" s="99" t="s">
        <v>274</v>
      </c>
    </row>
    <row r="80" spans="4:15" ht="20.100000000000001" customHeight="1" x14ac:dyDescent="0.25">
      <c r="D80" s="98" t="s">
        <v>273</v>
      </c>
      <c r="E80" s="98"/>
      <c r="N80" s="98" t="s">
        <v>275</v>
      </c>
      <c r="O80" s="98"/>
    </row>
    <row r="81" spans="3:21" ht="20.100000000000001" customHeight="1" x14ac:dyDescent="0.25">
      <c r="D81" s="51" t="s">
        <v>209</v>
      </c>
      <c r="E81" s="51" t="s">
        <v>210</v>
      </c>
      <c r="F81" s="51" t="s">
        <v>224</v>
      </c>
      <c r="G81" s="51" t="s">
        <v>225</v>
      </c>
      <c r="N81" s="51" t="s">
        <v>209</v>
      </c>
      <c r="O81" s="51" t="s">
        <v>210</v>
      </c>
      <c r="P81" s="51" t="s">
        <v>224</v>
      </c>
      <c r="Q81" s="51" t="s">
        <v>225</v>
      </c>
    </row>
    <row r="82" spans="3:21" ht="20.100000000000001" customHeight="1" x14ac:dyDescent="0.25">
      <c r="D82" s="52" cm="1">
        <f t="array" ref="D82">MMS_Poultry_N2ODirect_Equations.VEERG_4_6_1_3__3_AnnualNitrogenExcretion(D72,D53,D77)</f>
        <v>16.993600000000004</v>
      </c>
      <c r="E82" s="52" cm="1">
        <f t="array" ref="E82">MMS_Poultry_N2ODirect_Equations.VEERG_4_6_1_3__3_AnnualNitrogenExcretion(E72,E53,E77)</f>
        <v>18.138719999999999</v>
      </c>
      <c r="F82" s="52" cm="1">
        <f t="array" ref="F82">MMS_Poultry_N2ODirect_Equations.VEERG_4_6_1_3__3_AnnualNitrogenExcretion(F72,F53,F77)</f>
        <v>21.292159999999999</v>
      </c>
      <c r="G82" s="52" cm="1">
        <f t="array" ref="G82">MMS_Poultry_N2ODirect_Equations.VEERG_4_6_1_3__3_AnnualNitrogenExcretion(G72,G53,G77)</f>
        <v>18.138719999999999</v>
      </c>
      <c r="H82" s="2" t="str">
        <f>$E$63</f>
        <v>kg N</v>
      </c>
      <c r="N82" s="52" cm="1">
        <f t="array" ref="N82">MMS_Poultry_N2ODirect_Equations.VEERG_4_6_1_3__3_AnnualNitrogenExcretion(D72,N53,D77)</f>
        <v>16.993600000000004</v>
      </c>
      <c r="O82" s="52" cm="1">
        <f t="array" ref="O82">MMS_Poultry_N2ODirect_Equations.VEERG_4_6_1_3__3_AnnualNitrogenExcretion(E72,O53,E77)</f>
        <v>18.138719999999999</v>
      </c>
      <c r="P82" s="52" cm="1">
        <f t="array" ref="P82">MMS_Poultry_N2ODirect_Equations.VEERG_4_6_1_3__3_AnnualNitrogenExcretion(F72,P53,F77)</f>
        <v>21.292159999999999</v>
      </c>
      <c r="Q82" s="52" cm="1">
        <f t="array" ref="Q82">MMS_Poultry_N2ODirect_Equations.VEERG_4_6_1_3__3_AnnualNitrogenExcretion(G72,Q53,G77)</f>
        <v>18.138719999999999</v>
      </c>
      <c r="R82" s="2" t="str">
        <f>$E$63</f>
        <v>kg N</v>
      </c>
    </row>
    <row r="83" spans="3:21" ht="20.100000000000001" customHeight="1" x14ac:dyDescent="0.25"/>
    <row r="84" spans="3:21" ht="20.100000000000001" customHeight="1" x14ac:dyDescent="0.25"/>
    <row r="85" spans="3:21" ht="20.100000000000001" customHeight="1" x14ac:dyDescent="0.25">
      <c r="C85" s="45"/>
      <c r="D85" s="45"/>
      <c r="E85" s="45"/>
      <c r="F85" s="45"/>
      <c r="G85" s="45"/>
      <c r="H85" s="45"/>
      <c r="I85" s="45"/>
      <c r="J85" s="45"/>
      <c r="K85" s="45"/>
      <c r="M85" s="45"/>
      <c r="N85" s="45"/>
      <c r="O85" s="45"/>
      <c r="P85" s="45"/>
      <c r="Q85" s="45"/>
      <c r="R85" s="45"/>
      <c r="S85" s="45"/>
      <c r="T85" s="45"/>
      <c r="U85" s="45"/>
    </row>
    <row r="86" spans="3:21" ht="20.100000000000001" customHeight="1" x14ac:dyDescent="0.25">
      <c r="D86" s="6" t="str" cm="1">
        <f t="array" ref="D86">MMS_Poultry_N2ODirect_Equations.VEERG_4_6_1_3__2_Stage1NitrogenInMMS_Title()</f>
        <v>Nitrogen in treatment stage 1 MMS</v>
      </c>
    </row>
    <row r="87" spans="3:21" ht="20.100000000000001" customHeight="1" x14ac:dyDescent="0.25">
      <c r="D87" s="5" t="str" cm="1">
        <f t="array" ref="D87">MMS_Poultry_N2ODirect_Equations.VEERG_4_6_1_3__2_Stage1NitrogenInMMS_Source()</f>
        <v>VEERG 2026: 4.6.1.3, Equation (2)</v>
      </c>
    </row>
    <row r="88" spans="3:21" ht="20.100000000000001" customHeight="1" x14ac:dyDescent="0.25">
      <c r="D88" s="13" t="s">
        <v>26</v>
      </c>
      <c r="E88" s="13" t="str" cm="1">
        <f t="array" aca="1" ref="E88" ca="1">Common_InputFunctions.Utility_DisplayFunctionName(E108)</f>
        <v>=MMS_Poultry_N2ODirect_Equations.VEERG_4_6_1_3__2_Stage1NitrogenInMMS</v>
      </c>
    </row>
    <row r="89" spans="3:21" ht="20.100000000000001" customHeight="1" x14ac:dyDescent="0.25"/>
    <row r="90" spans="3:21" ht="20.100000000000001" customHeight="1" x14ac:dyDescent="0.25"/>
    <row r="91" spans="3:21" ht="20.100000000000001" customHeight="1" x14ac:dyDescent="0.25">
      <c r="D91" s="53" t="s">
        <v>29</v>
      </c>
      <c r="E91" s="1" t="str" cm="1">
        <f t="array" ref="E91">MMS_Poultry_N2ODirect_Equations.VEERG_4_6_1_3__2_Stage1NitrogenInMMS_Variable()</f>
        <v>MN_jkmT1</v>
      </c>
    </row>
    <row r="92" spans="3:21" ht="20.100000000000001" customHeight="1" x14ac:dyDescent="0.25">
      <c r="D92" s="53" t="s">
        <v>19</v>
      </c>
      <c r="E92" s="54" t="str" cm="1">
        <f t="array" ref="E92">MMS_Poultry_N2ODirect_Equations.VEERG_4_6_1_3__2_Stage1NitrogenInMMS_Unit()</f>
        <v>kg N</v>
      </c>
    </row>
    <row r="93" spans="3:21" ht="20.100000000000001" customHeight="1" x14ac:dyDescent="0.25"/>
    <row r="94" spans="3:21" ht="20.100000000000001" customHeight="1" x14ac:dyDescent="0.25">
      <c r="D94" s="57" t="str" cm="1">
        <f t="array" ref="D94:E95">MMS_Poultry_N2ODirect_Equations.VEERG_4_6_1_3__2_Stage1NitrogenInMMS_Arguments()</f>
        <v>AE_jk</v>
      </c>
      <c r="E94" s="58" t="str">
        <v>total nitrogen excreted by each poultry class and subclass : kg N</v>
      </c>
      <c r="F94" s="59"/>
      <c r="G94" s="57" t="str">
        <f>"See " &amp; D79</f>
        <v>See M1_Table_AE_j_k</v>
      </c>
    </row>
    <row r="95" spans="3:21" ht="20.100000000000001" customHeight="1" x14ac:dyDescent="0.25">
      <c r="D95" s="57" t="str">
        <v>MMS_jmT1</v>
      </c>
      <c r="E95" s="58" t="str">
        <v>fraction of manure in each primary system : fraction</v>
      </c>
      <c r="F95" s="59"/>
      <c r="G95" s="57" t="str">
        <f>"See " &amp;D97</f>
        <v>See Table_MMS_j_m_T-1</v>
      </c>
    </row>
    <row r="96" spans="3:21" ht="20.100000000000001" customHeight="1" x14ac:dyDescent="0.25"/>
    <row r="97" spans="4:19" ht="20.100000000000001" customHeight="1" x14ac:dyDescent="0.25">
      <c r="D97" s="99" t="s">
        <v>161</v>
      </c>
    </row>
    <row r="98" spans="4:19" ht="20.100000000000001" customHeight="1" x14ac:dyDescent="0.25">
      <c r="D98" s="98" t="s">
        <v>244</v>
      </c>
    </row>
    <row r="99" spans="4:19" ht="20.100000000000001" customHeight="1" x14ac:dyDescent="0.25">
      <c r="D99" s="51" t="s">
        <v>143</v>
      </c>
      <c r="E99" s="51" t="s">
        <v>209</v>
      </c>
      <c r="F99" s="51" t="s">
        <v>210</v>
      </c>
      <c r="G99" s="51" t="s">
        <v>224</v>
      </c>
      <c r="H99" s="51" t="s">
        <v>225</v>
      </c>
    </row>
    <row r="100" spans="4:19" ht="20.100000000000001" customHeight="1" x14ac:dyDescent="0.25">
      <c r="D100" s="52" t="str">
        <f>'Input - Poultry'!$D$30</f>
        <v>Poultry manure with bedding</v>
      </c>
      <c r="E100" s="52">
        <f>'Input - Poultry'!E30</f>
        <v>0.3</v>
      </c>
      <c r="F100" s="52">
        <f>'Input - Poultry'!F30</f>
        <v>0.3</v>
      </c>
      <c r="G100" s="52">
        <f>'Input - Poultry'!G30</f>
        <v>0.3</v>
      </c>
      <c r="H100" s="52">
        <f>'Input - Poultry'!H30</f>
        <v>0.3</v>
      </c>
      <c r="I100" s="2" t="s">
        <v>118</v>
      </c>
    </row>
    <row r="101" spans="4:19" ht="20.100000000000001" customHeight="1" x14ac:dyDescent="0.25">
      <c r="D101" s="52" t="str">
        <f>'Input - Poultry'!$D$31</f>
        <v>Belt manure removal</v>
      </c>
      <c r="E101" s="52">
        <f>'Input - Poultry'!E31</f>
        <v>0.3</v>
      </c>
      <c r="F101" s="52">
        <f>'Input - Poultry'!F31</f>
        <v>0.3</v>
      </c>
      <c r="G101" s="52">
        <f>'Input - Poultry'!G31</f>
        <v>0.3</v>
      </c>
      <c r="H101" s="52">
        <f>'Input - Poultry'!H31</f>
        <v>0.3</v>
      </c>
      <c r="I101" s="2" t="s">
        <v>118</v>
      </c>
    </row>
    <row r="102" spans="4:19" ht="20.100000000000001" customHeight="1" x14ac:dyDescent="0.25">
      <c r="D102" s="52" t="str">
        <f>'Input - Poultry'!$D$32</f>
        <v>Manure stored in house</v>
      </c>
      <c r="E102" s="52">
        <f>'Input - Poultry'!E32</f>
        <v>0.3</v>
      </c>
      <c r="F102" s="52">
        <f>'Input - Poultry'!F32</f>
        <v>0.3</v>
      </c>
      <c r="G102" s="52">
        <f>'Input - Poultry'!G32</f>
        <v>0.3</v>
      </c>
      <c r="H102" s="52">
        <f>'Input - Poultry'!H32</f>
        <v>0.3</v>
      </c>
      <c r="I102" s="2" t="s">
        <v>118</v>
      </c>
    </row>
    <row r="103" spans="4:19" ht="20.100000000000001" customHeight="1" x14ac:dyDescent="0.25">
      <c r="D103" s="52" t="str">
        <f>'Input - Poultry'!$D$33</f>
        <v>Pasture range and paddock</v>
      </c>
      <c r="E103" s="52">
        <f>'Input - Poultry'!E33</f>
        <v>0.1</v>
      </c>
      <c r="F103" s="52">
        <f>'Input - Poultry'!F33</f>
        <v>0.1</v>
      </c>
      <c r="G103" s="52">
        <f>'Input - Poultry'!G33</f>
        <v>0.1</v>
      </c>
      <c r="H103" s="52">
        <f>'Input - Poultry'!H33</f>
        <v>0.1</v>
      </c>
      <c r="I103" s="2" t="s">
        <v>118</v>
      </c>
    </row>
    <row r="104" spans="4:19" ht="20.100000000000001" customHeight="1" x14ac:dyDescent="0.25"/>
    <row r="105" spans="4:19" ht="20.100000000000001" customHeight="1" x14ac:dyDescent="0.25">
      <c r="D105" s="99" t="s">
        <v>276</v>
      </c>
      <c r="N105" s="99" t="s">
        <v>278</v>
      </c>
    </row>
    <row r="106" spans="4:19" ht="20.100000000000001" customHeight="1" x14ac:dyDescent="0.25">
      <c r="D106" s="98" t="s">
        <v>277</v>
      </c>
      <c r="N106" s="98" t="s">
        <v>279</v>
      </c>
    </row>
    <row r="107" spans="4:19" ht="20.100000000000001" customHeight="1" x14ac:dyDescent="0.25">
      <c r="D107" s="51" t="s">
        <v>143</v>
      </c>
      <c r="E107" s="51" t="s">
        <v>209</v>
      </c>
      <c r="F107" s="51" t="s">
        <v>210</v>
      </c>
      <c r="G107" s="51" t="s">
        <v>224</v>
      </c>
      <c r="H107" s="51" t="s">
        <v>225</v>
      </c>
      <c r="N107" s="51" t="s">
        <v>143</v>
      </c>
      <c r="O107" s="51" t="s">
        <v>209</v>
      </c>
      <c r="P107" s="51" t="s">
        <v>210</v>
      </c>
      <c r="Q107" s="51" t="s">
        <v>224</v>
      </c>
      <c r="R107" s="51" t="s">
        <v>225</v>
      </c>
    </row>
    <row r="108" spans="4:19" ht="20.100000000000001" customHeight="1" x14ac:dyDescent="0.25">
      <c r="D108" s="52" t="str">
        <f>'Input - Poultry'!$D$30</f>
        <v>Poultry manure with bedding</v>
      </c>
      <c r="E108" s="52" cm="1">
        <f t="array" ref="E108">MMS_Poultry_N2ODirect_Equations.VEERG_4_6_1_3__2_Stage1NitrogenInMMS(D$82,E100)</f>
        <v>5.0980800000000013</v>
      </c>
      <c r="F108" s="52" cm="1">
        <f t="array" ref="F108">MMS_Poultry_N2ODirect_Equations.VEERG_4_6_1_3__2_Stage1NitrogenInMMS(E$82,F100)</f>
        <v>5.4416159999999998</v>
      </c>
      <c r="G108" s="52" cm="1">
        <f t="array" ref="G108">MMS_Poultry_N2ODirect_Equations.VEERG_4_6_1_3__2_Stage1NitrogenInMMS(F$82,G100)</f>
        <v>6.3876479999999995</v>
      </c>
      <c r="H108" s="52" cm="1">
        <f t="array" ref="H108">MMS_Poultry_N2ODirect_Equations.VEERG_4_6_1_3__2_Stage1NitrogenInMMS(G$82,H100)</f>
        <v>5.4416159999999998</v>
      </c>
      <c r="I108" s="2" t="str">
        <f>$E$92</f>
        <v>kg N</v>
      </c>
      <c r="N108" s="52" t="str">
        <f>'Input - Poultry'!$D$30</f>
        <v>Poultry manure with bedding</v>
      </c>
      <c r="O108" s="52" cm="1">
        <f t="array" ref="O108">MMS_Poultry_N2ODirect_Equations.VEERG_4_6_1_3__2_Stage1NitrogenInMMS(N$82,E100)</f>
        <v>5.0980800000000013</v>
      </c>
      <c r="P108" s="52" cm="1">
        <f t="array" ref="P108">MMS_Poultry_N2ODirect_Equations.VEERG_4_6_1_3__2_Stage1NitrogenInMMS(O$82,F100)</f>
        <v>5.4416159999999998</v>
      </c>
      <c r="Q108" s="52" cm="1">
        <f t="array" ref="Q108">MMS_Poultry_N2ODirect_Equations.VEERG_4_6_1_3__2_Stage1NitrogenInMMS(P$82,G100)</f>
        <v>6.3876479999999995</v>
      </c>
      <c r="R108" s="52" cm="1">
        <f t="array" ref="R108">MMS_Poultry_N2ODirect_Equations.VEERG_4_6_1_3__2_Stage1NitrogenInMMS(Q$82,H100)</f>
        <v>5.4416159999999998</v>
      </c>
      <c r="S108" s="2" t="str">
        <f>$E$92</f>
        <v>kg N</v>
      </c>
    </row>
    <row r="109" spans="4:19" ht="20.100000000000001" customHeight="1" x14ac:dyDescent="0.25">
      <c r="D109" s="52" t="str">
        <f>'Input - Poultry'!$D$31</f>
        <v>Belt manure removal</v>
      </c>
      <c r="E109" s="52" cm="1">
        <f t="array" ref="E109">MMS_Poultry_N2ODirect_Equations.VEERG_4_6_1_3__2_Stage1NitrogenInMMS(D$82,E101)</f>
        <v>5.0980800000000013</v>
      </c>
      <c r="F109" s="52" cm="1">
        <f t="array" ref="F109">MMS_Poultry_N2ODirect_Equations.VEERG_4_6_1_3__2_Stage1NitrogenInMMS(E$82,F101)</f>
        <v>5.4416159999999998</v>
      </c>
      <c r="G109" s="52" cm="1">
        <f t="array" ref="G109">MMS_Poultry_N2ODirect_Equations.VEERG_4_6_1_3__2_Stage1NitrogenInMMS(F$82,G101)</f>
        <v>6.3876479999999995</v>
      </c>
      <c r="H109" s="52" cm="1">
        <f t="array" ref="H109">MMS_Poultry_N2ODirect_Equations.VEERG_4_6_1_3__2_Stage1NitrogenInMMS(G$82,H101)</f>
        <v>5.4416159999999998</v>
      </c>
      <c r="I109" s="2" t="str">
        <f t="shared" ref="I109:I111" si="0">$E$92</f>
        <v>kg N</v>
      </c>
      <c r="N109" s="52" t="str">
        <f>'Input - Poultry'!$D$31</f>
        <v>Belt manure removal</v>
      </c>
      <c r="O109" s="52" cm="1">
        <f t="array" ref="O109">MMS_Poultry_N2ODirect_Equations.VEERG_4_6_1_3__2_Stage1NitrogenInMMS(N$82,E101)</f>
        <v>5.0980800000000013</v>
      </c>
      <c r="P109" s="52" cm="1">
        <f t="array" ref="P109">MMS_Poultry_N2ODirect_Equations.VEERG_4_6_1_3__2_Stage1NitrogenInMMS(O$82,F101)</f>
        <v>5.4416159999999998</v>
      </c>
      <c r="Q109" s="52" cm="1">
        <f t="array" ref="Q109">MMS_Poultry_N2ODirect_Equations.VEERG_4_6_1_3__2_Stage1NitrogenInMMS(P$82,G101)</f>
        <v>6.3876479999999995</v>
      </c>
      <c r="R109" s="52" cm="1">
        <f t="array" ref="R109">MMS_Poultry_N2ODirect_Equations.VEERG_4_6_1_3__2_Stage1NitrogenInMMS(Q$82,H101)</f>
        <v>5.4416159999999998</v>
      </c>
      <c r="S109" s="2" t="str">
        <f t="shared" ref="S109:S111" si="1">$E$92</f>
        <v>kg N</v>
      </c>
    </row>
    <row r="110" spans="4:19" ht="20.100000000000001" customHeight="1" x14ac:dyDescent="0.25">
      <c r="D110" s="52" t="str">
        <f>'Input - Poultry'!$D$32</f>
        <v>Manure stored in house</v>
      </c>
      <c r="E110" s="52" cm="1">
        <f t="array" ref="E110">MMS_Poultry_N2ODirect_Equations.VEERG_4_6_1_3__2_Stage1NitrogenInMMS(D$82,E102)</f>
        <v>5.0980800000000013</v>
      </c>
      <c r="F110" s="52" cm="1">
        <f t="array" ref="F110">MMS_Poultry_N2ODirect_Equations.VEERG_4_6_1_3__2_Stage1NitrogenInMMS(E$82,F102)</f>
        <v>5.4416159999999998</v>
      </c>
      <c r="G110" s="52" cm="1">
        <f t="array" ref="G110">MMS_Poultry_N2ODirect_Equations.VEERG_4_6_1_3__2_Stage1NitrogenInMMS(F$82,G102)</f>
        <v>6.3876479999999995</v>
      </c>
      <c r="H110" s="52" cm="1">
        <f t="array" ref="H110">MMS_Poultry_N2ODirect_Equations.VEERG_4_6_1_3__2_Stage1NitrogenInMMS(G$82,H102)</f>
        <v>5.4416159999999998</v>
      </c>
      <c r="I110" s="2" t="str">
        <f t="shared" si="0"/>
        <v>kg N</v>
      </c>
      <c r="N110" s="52" t="str">
        <f>'Input - Poultry'!$D$32</f>
        <v>Manure stored in house</v>
      </c>
      <c r="O110" s="52" cm="1">
        <f t="array" ref="O110">MMS_Poultry_N2ODirect_Equations.VEERG_4_6_1_3__2_Stage1NitrogenInMMS(N$82,E102)</f>
        <v>5.0980800000000013</v>
      </c>
      <c r="P110" s="52" cm="1">
        <f t="array" ref="P110">MMS_Poultry_N2ODirect_Equations.VEERG_4_6_1_3__2_Stage1NitrogenInMMS(O$82,F102)</f>
        <v>5.4416159999999998</v>
      </c>
      <c r="Q110" s="52" cm="1">
        <f t="array" ref="Q110">MMS_Poultry_N2ODirect_Equations.VEERG_4_6_1_3__2_Stage1NitrogenInMMS(P$82,G102)</f>
        <v>6.3876479999999995</v>
      </c>
      <c r="R110" s="52" cm="1">
        <f t="array" ref="R110">MMS_Poultry_N2ODirect_Equations.VEERG_4_6_1_3__2_Stage1NitrogenInMMS(Q$82,H102)</f>
        <v>5.4416159999999998</v>
      </c>
      <c r="S110" s="2" t="str">
        <f t="shared" si="1"/>
        <v>kg N</v>
      </c>
    </row>
    <row r="111" spans="4:19" ht="20.100000000000001" customHeight="1" x14ac:dyDescent="0.25">
      <c r="D111" s="52" t="str">
        <f>'Input - Poultry'!$D$33</f>
        <v>Pasture range and paddock</v>
      </c>
      <c r="E111" s="52" cm="1">
        <f t="array" ref="E111">MMS_Poultry_N2ODirect_Equations.VEERG_4_6_1_3__2_Stage1NitrogenInMMS(D$82,E103)</f>
        <v>1.6993600000000004</v>
      </c>
      <c r="F111" s="52" cm="1">
        <f t="array" ref="F111">MMS_Poultry_N2ODirect_Equations.VEERG_4_6_1_3__2_Stage1NitrogenInMMS(E$82,F103)</f>
        <v>1.8138719999999999</v>
      </c>
      <c r="G111" s="52" cm="1">
        <f t="array" ref="G111">MMS_Poultry_N2ODirect_Equations.VEERG_4_6_1_3__2_Stage1NitrogenInMMS(F$82,G103)</f>
        <v>2.129216</v>
      </c>
      <c r="H111" s="52" cm="1">
        <f t="array" ref="H111">MMS_Poultry_N2ODirect_Equations.VEERG_4_6_1_3__2_Stage1NitrogenInMMS(G$82,H103)</f>
        <v>1.8138719999999999</v>
      </c>
      <c r="I111" s="2" t="str">
        <f t="shared" si="0"/>
        <v>kg N</v>
      </c>
      <c r="N111" s="52" t="str">
        <f>'Input - Poultry'!$D$33</f>
        <v>Pasture range and paddock</v>
      </c>
      <c r="O111" s="52" cm="1">
        <f t="array" ref="O111">MMS_Poultry_N2ODirect_Equations.VEERG_4_6_1_3__2_Stage1NitrogenInMMS(N$82,E103)</f>
        <v>1.6993600000000004</v>
      </c>
      <c r="P111" s="52" cm="1">
        <f t="array" ref="P111">MMS_Poultry_N2ODirect_Equations.VEERG_4_6_1_3__2_Stage1NitrogenInMMS(O$82,F103)</f>
        <v>1.8138719999999999</v>
      </c>
      <c r="Q111" s="52" cm="1">
        <f t="array" ref="Q111">MMS_Poultry_N2ODirect_Equations.VEERG_4_6_1_3__2_Stage1NitrogenInMMS(P$82,G103)</f>
        <v>2.129216</v>
      </c>
      <c r="R111" s="52" cm="1">
        <f t="array" ref="R111">MMS_Poultry_N2ODirect_Equations.VEERG_4_6_1_3__2_Stage1NitrogenInMMS(Q$82,H103)</f>
        <v>1.8138719999999999</v>
      </c>
      <c r="S111" s="2" t="str">
        <f t="shared" si="1"/>
        <v>kg N</v>
      </c>
    </row>
    <row r="112" spans="4:19" ht="20.100000000000001" customHeight="1" x14ac:dyDescent="0.25"/>
    <row r="113" spans="3:21" ht="20.100000000000001" customHeight="1" x14ac:dyDescent="0.25"/>
    <row r="114" spans="3:21" ht="20.100000000000001" customHeight="1" x14ac:dyDescent="0.25">
      <c r="C114" s="45"/>
      <c r="D114" s="45"/>
      <c r="E114" s="45"/>
      <c r="F114" s="45"/>
      <c r="G114" s="45"/>
      <c r="H114" s="45"/>
      <c r="I114" s="45"/>
      <c r="J114" s="45"/>
      <c r="K114" s="45"/>
      <c r="M114" s="45"/>
      <c r="N114" s="45"/>
      <c r="O114" s="45"/>
      <c r="P114" s="45"/>
      <c r="Q114" s="45"/>
      <c r="R114" s="45"/>
      <c r="S114" s="45"/>
      <c r="T114" s="45"/>
      <c r="U114" s="45"/>
    </row>
    <row r="115" spans="3:21" ht="20.100000000000001" customHeight="1" x14ac:dyDescent="0.25">
      <c r="D115" s="6" t="str" cm="1">
        <f t="array" ref="D115">MMS_Poultry_N2ODirect_Equations.VEERG_4_6_1_3__7_NitrogenTransferredToStage2MMS_Title()</f>
        <v>Nitrogen transferred to treatment stage 2 MMS</v>
      </c>
    </row>
    <row r="116" spans="3:21" ht="20.100000000000001" customHeight="1" x14ac:dyDescent="0.25">
      <c r="D116" s="5" t="str" cm="1">
        <f t="array" ref="D116">MMS_Poultry_N2ODirect_Equations.VEERG_4_6_1_3__7_NitrogenTransferredToStage2MMS_Source()</f>
        <v>VEERG 2026: 4.6.1.3, Equation (7)</v>
      </c>
    </row>
    <row r="117" spans="3:21" ht="20.100000000000001" customHeight="1" x14ac:dyDescent="0.25">
      <c r="D117" s="13" t="s">
        <v>26</v>
      </c>
      <c r="E117" s="13" t="str" cm="1">
        <f t="array" aca="1" ref="E117" ca="1">Common_InputFunctions.Utility_DisplayFunctionName(E150)</f>
        <v>=MMS_Poultry_N2ODirect_Equations.VEERG_4_6_1_3__7_NitrogenTransferredToStage2MMS</v>
      </c>
    </row>
    <row r="118" spans="3:21" ht="20.100000000000001" customHeight="1" x14ac:dyDescent="0.25"/>
    <row r="119" spans="3:21" ht="20.100000000000001" customHeight="1" x14ac:dyDescent="0.25"/>
    <row r="120" spans="3:21" ht="20.100000000000001" customHeight="1" x14ac:dyDescent="0.25">
      <c r="D120" s="53" t="s">
        <v>29</v>
      </c>
      <c r="E120" s="1" t="str" cm="1">
        <f t="array" ref="E120">MMS_Poultry_N2ODirect_Equations.VEERG_4_6_1_3__7_NitrogenTransferredToStage2MMS_Variable()</f>
        <v>NT_jkmT2</v>
      </c>
    </row>
    <row r="121" spans="3:21" ht="20.100000000000001" customHeight="1" x14ac:dyDescent="0.25">
      <c r="D121" s="53" t="s">
        <v>19</v>
      </c>
      <c r="E121" s="54" t="str" cm="1">
        <f t="array" ref="E121">MMS_Poultry_N2ODirect_Equations.VEERG_4_6_1_3__7_NitrogenTransferredToStage2MMS_Unit()</f>
        <v>kg N</v>
      </c>
    </row>
    <row r="122" spans="3:21" ht="20.100000000000001" customHeight="1" x14ac:dyDescent="0.25"/>
    <row r="123" spans="3:21" ht="20.100000000000001" customHeight="1" x14ac:dyDescent="0.25">
      <c r="D123" s="108" t="str" cm="1">
        <f t="array" ref="D123:E125">MMS_Poultry_N2ODirect_Equations.VEERG_4_6_1_3__7_NitrogenTransferredToStage2MMS_Arguments()</f>
        <v>MN_jkmT1</v>
      </c>
      <c r="E123" s="108" t="str">
        <v>nitrogen in MMS treatment stage 1 : kg N</v>
      </c>
      <c r="F123" s="110"/>
      <c r="G123" s="109"/>
      <c r="H123" s="108" t="str">
        <f>"See " &amp; D105</f>
        <v>See M1_Table_MN_j_k_m_T-1</v>
      </c>
    </row>
    <row r="124" spans="3:21" ht="20.100000000000001" customHeight="1" x14ac:dyDescent="0.25">
      <c r="D124" s="108" t="str">
        <v>FracGASM_mT1</v>
      </c>
      <c r="E124" s="108" t="str">
        <v>fraction of N volatilised from MMS treatment at stage 1 : fraction</v>
      </c>
      <c r="F124" s="110"/>
      <c r="G124" s="109"/>
      <c r="H124" s="108" t="str">
        <f>"See " &amp; D127</f>
        <v>See Table_FracGASM_m_T-1</v>
      </c>
    </row>
    <row r="125" spans="3:21" ht="20.100000000000001" customHeight="1" x14ac:dyDescent="0.25">
      <c r="D125" s="108" t="str">
        <v>EF_mT1</v>
      </c>
      <c r="E125" s="108" t="str">
        <v>nitrous oxide emission factor for MMS treatment at stage 1 : kg N2O-N/kg N</v>
      </c>
      <c r="F125" s="110"/>
      <c r="G125" s="109"/>
      <c r="H125" s="108" t="str">
        <f>"See " &amp; D135</f>
        <v>See Table_EF_m</v>
      </c>
    </row>
    <row r="126" spans="3:21" ht="20.100000000000001" customHeight="1" x14ac:dyDescent="0.25"/>
    <row r="127" spans="3:21" ht="20.100000000000001" customHeight="1" x14ac:dyDescent="0.25">
      <c r="D127" s="99" t="s">
        <v>280</v>
      </c>
    </row>
    <row r="128" spans="3:21" ht="20.100000000000001" customHeight="1" x14ac:dyDescent="0.25">
      <c r="D128" s="98" t="s">
        <v>281</v>
      </c>
    </row>
    <row r="129" spans="4:5" ht="20.100000000000001" customHeight="1" x14ac:dyDescent="0.25">
      <c r="D129" s="51" t="s">
        <v>143</v>
      </c>
      <c r="E129" s="51" t="s">
        <v>282</v>
      </c>
    </row>
    <row r="130" spans="4:5" ht="20.100000000000001" customHeight="1" x14ac:dyDescent="0.25">
      <c r="D130" s="52" t="str">
        <f>'Input - Poultry'!$D$30</f>
        <v>Poultry manure with bedding</v>
      </c>
      <c r="E130" s="52" cm="1">
        <f t="array" ref="E130">Common_InputFunctions.Utility_LookupValueInTableNumber(D130, Table_SourceData_Poultry_FracGASM[NIR reference],Table_SourceData_Poultry_FracGASM[FracGASMmT])</f>
        <v>0.3</v>
      </c>
    </row>
    <row r="131" spans="4:5" ht="20.100000000000001" customHeight="1" x14ac:dyDescent="0.25">
      <c r="D131" s="52" t="str">
        <f>'Input - Poultry'!$D$31</f>
        <v>Belt manure removal</v>
      </c>
      <c r="E131" s="52" cm="1">
        <f t="array" ref="E131">Common_InputFunctions.Utility_LookupValueInTableNumber(D131, Table_SourceData_Poultry_FracGASM[NIR reference],Table_SourceData_Poultry_FracGASM[FracGASMmT])</f>
        <v>0.05</v>
      </c>
    </row>
    <row r="132" spans="4:5" ht="20.100000000000001" customHeight="1" x14ac:dyDescent="0.25">
      <c r="D132" s="52" t="str">
        <f>'Input - Poultry'!$D$32</f>
        <v>Manure stored in house</v>
      </c>
      <c r="E132" s="52" cm="1">
        <f t="array" ref="E132">Common_InputFunctions.Utility_LookupValueInTableNumber(D132, Table_SourceData_Poultry_FracGASM[NIR reference],Table_SourceData_Poultry_FracGASM[FracGASMmT])</f>
        <v>0.4</v>
      </c>
    </row>
    <row r="133" spans="4:5" ht="20.100000000000001" customHeight="1" x14ac:dyDescent="0.25">
      <c r="D133" s="52" t="str">
        <f>'Input - Poultry'!$D$33</f>
        <v>Pasture range and paddock</v>
      </c>
      <c r="E133" s="52" cm="1">
        <f t="array" ref="E133">Common_InputFunctions.Utility_LookupValueInTableNumber(D133, Table_SourceData_Poultry_FracGASM[NIR reference],Table_SourceData_Poultry_FracGASM[FracGASMmT])</f>
        <v>0</v>
      </c>
    </row>
    <row r="134" spans="4:5" ht="20.100000000000001" customHeight="1" x14ac:dyDescent="0.25"/>
    <row r="135" spans="4:5" ht="20.100000000000001" customHeight="1" x14ac:dyDescent="0.25">
      <c r="D135" s="99" t="s">
        <v>290</v>
      </c>
    </row>
    <row r="136" spans="4:5" ht="20.100000000000001" customHeight="1" x14ac:dyDescent="0.25">
      <c r="D136" s="98" t="s">
        <v>283</v>
      </c>
    </row>
    <row r="137" spans="4:5" ht="20.100000000000001" customHeight="1" x14ac:dyDescent="0.25">
      <c r="D137" s="51" t="s">
        <v>67</v>
      </c>
      <c r="E137" s="51" t="s">
        <v>309</v>
      </c>
    </row>
    <row r="138" spans="4:5" ht="20.100000000000001" customHeight="1" x14ac:dyDescent="0.25">
      <c r="D138" s="52" t="str">
        <f>'Constants - Poultry'!$D$29</f>
        <v>Poultry manure with bedding</v>
      </c>
      <c r="E138" s="52" cm="1">
        <f t="array" ref="E138">Common_InputFunctions.Utility_LookupValueInTableNumber(D138, Table_SourceData_Poultry_EFmT[NIR reference],Table_SourceData_Poultry_EFmT[EFmT])</f>
        <v>1E-3</v>
      </c>
    </row>
    <row r="139" spans="4:5" ht="20.100000000000001" customHeight="1" x14ac:dyDescent="0.25">
      <c r="D139" s="52" t="str">
        <f>'Constants - Poultry'!$D$30</f>
        <v>Belt manure removal</v>
      </c>
      <c r="E139" s="52" cm="1">
        <f t="array" ref="E139">Common_InputFunctions.Utility_LookupValueInTableNumber(D139, Table_SourceData_Poultry_EFmT[NIR reference],Table_SourceData_Poultry_EFmT[EFmT])</f>
        <v>1E-3</v>
      </c>
    </row>
    <row r="140" spans="4:5" ht="20.100000000000001" customHeight="1" x14ac:dyDescent="0.25">
      <c r="D140" s="52" t="str">
        <f>'Constants - Poultry'!$D$31</f>
        <v>Manure stored in house</v>
      </c>
      <c r="E140" s="52" cm="1">
        <f t="array" ref="E140">Common_InputFunctions.Utility_LookupValueInTableNumber(D140, Table_SourceData_Poultry_EFmT[NIR reference],Table_SourceData_Poultry_EFmT[EFmT])</f>
        <v>1E-3</v>
      </c>
    </row>
    <row r="141" spans="4:5" ht="20.100000000000001" customHeight="1" x14ac:dyDescent="0.25">
      <c r="D141" s="52" t="str">
        <f>'Constants - Poultry'!$D$32</f>
        <v>Pasture range and paddock</v>
      </c>
      <c r="E141" s="52" cm="1">
        <f t="array" ref="E141">Common_InputFunctions.Utility_LookupValueInTableNumber(D141, Table_SourceData_Poultry_EFmT[NIR reference],Table_SourceData_Poultry_EFmT[EFmT])</f>
        <v>0.02</v>
      </c>
    </row>
    <row r="142" spans="4:5" ht="20.100000000000001" customHeight="1" x14ac:dyDescent="0.25">
      <c r="D142" s="52" t="str">
        <f>'Constants - Poultry'!$D$33</f>
        <v>Solid storage</v>
      </c>
      <c r="E142" s="52" cm="1">
        <f t="array" ref="E142">Common_InputFunctions.Utility_LookupValueInTableNumber(D142, Table_SourceData_Poultry_EFmT[NIR reference],Table_SourceData_Poultry_EFmT[EFmT])</f>
        <v>5.0000000000000001E-3</v>
      </c>
    </row>
    <row r="143" spans="4:5" ht="20.100000000000001" customHeight="1" x14ac:dyDescent="0.25">
      <c r="D143" s="52" t="str">
        <f>'Constants - Poultry'!$D$34</f>
        <v>Composting (passive windrow)</v>
      </c>
      <c r="E143" s="52" cm="1">
        <f t="array" ref="E143">Common_InputFunctions.Utility_LookupValueInTableNumber(D143, Table_SourceData_Poultry_EFmT[NIR reference],Table_SourceData_Poultry_EFmT[EFmT])</f>
        <v>0.01</v>
      </c>
    </row>
    <row r="144" spans="4:5" ht="20.100000000000001" customHeight="1" x14ac:dyDescent="0.25">
      <c r="D144" s="52" t="str">
        <f>'Constants - Poultry'!$D$35</f>
        <v>Digester / covered lagoons</v>
      </c>
      <c r="E144" s="52" cm="1">
        <f t="array" ref="E144">Common_InputFunctions.Utility_LookupValueInTableNumber(D144, Table_SourceData_Poultry_EFmT[NIR reference],Table_SourceData_Poultry_EFmT[EFmT])</f>
        <v>0</v>
      </c>
    </row>
    <row r="145" spans="3:21" ht="20.100000000000001" customHeight="1" x14ac:dyDescent="0.25">
      <c r="D145" s="52" t="str">
        <f>'Constants - Poultry'!$D$36</f>
        <v>Direct processing</v>
      </c>
      <c r="E145" s="52" cm="1">
        <f t="array" ref="E145">Common_InputFunctions.Utility_LookupValueInTableNumber(D145, Table_SourceData_Poultry_EFmT[NIR reference],Table_SourceData_Poultry_EFmT[EFmT])</f>
        <v>0</v>
      </c>
    </row>
    <row r="146" spans="3:21" ht="20.100000000000001" customHeight="1" x14ac:dyDescent="0.25"/>
    <row r="147" spans="3:21" ht="20.100000000000001" customHeight="1" x14ac:dyDescent="0.25">
      <c r="D147" s="99" t="s">
        <v>284</v>
      </c>
      <c r="N147" s="99" t="s">
        <v>286</v>
      </c>
    </row>
    <row r="148" spans="3:21" ht="20.100000000000001" customHeight="1" x14ac:dyDescent="0.25">
      <c r="D148" s="98" t="s">
        <v>285</v>
      </c>
      <c r="N148" s="98" t="s">
        <v>287</v>
      </c>
    </row>
    <row r="149" spans="3:21" ht="20.100000000000001" customHeight="1" x14ac:dyDescent="0.25">
      <c r="D149" s="51" t="s">
        <v>143</v>
      </c>
      <c r="E149" s="51" t="s">
        <v>209</v>
      </c>
      <c r="F149" s="51" t="s">
        <v>210</v>
      </c>
      <c r="G149" s="51" t="s">
        <v>224</v>
      </c>
      <c r="H149" s="51" t="s">
        <v>225</v>
      </c>
      <c r="N149" s="51" t="s">
        <v>143</v>
      </c>
      <c r="O149" s="51" t="s">
        <v>209</v>
      </c>
      <c r="P149" s="51" t="s">
        <v>210</v>
      </c>
      <c r="Q149" s="51" t="s">
        <v>224</v>
      </c>
      <c r="R149" s="51" t="s">
        <v>225</v>
      </c>
    </row>
    <row r="150" spans="3:21" ht="20.100000000000001" customHeight="1" x14ac:dyDescent="0.25">
      <c r="D150" s="52" t="str">
        <f>'Input - Poultry'!$D$30</f>
        <v>Poultry manure with bedding</v>
      </c>
      <c r="E150" s="52" cm="1">
        <f t="array" ref="E150">MMS_Poultry_N2ODirect_Equations.VEERG_4_6_1_3__7_NitrogenTransferredToStage2MMS(E108, _xlfn.XLOOKUP($D150, $D$130:$D$133,$E$130:$E$133), _xlfn.XLOOKUP($D150, $D$138:$D$141,$E$138:$E$141))</f>
        <v>3.5635579200000005</v>
      </c>
      <c r="F150" s="52" cm="1">
        <f t="array" ref="F150">MMS_Poultry_N2ODirect_Equations.VEERG_4_6_1_3__7_NitrogenTransferredToStage2MMS(F108, _xlfn.XLOOKUP($D150, $D$130:$D$133,$E$130:$E$133), _xlfn.XLOOKUP($D150, $D$138:$D$141,$E$138:$E$141))</f>
        <v>3.8036895839999998</v>
      </c>
      <c r="G150" s="52" cm="1">
        <f t="array" ref="G150">MMS_Poultry_N2ODirect_Equations.VEERG_4_6_1_3__7_NitrogenTransferredToStage2MMS(G108, _xlfn.XLOOKUP($D150, $D$130:$D$133,$E$130:$E$133), _xlfn.XLOOKUP($D150, $D$138:$D$141,$E$138:$E$141))</f>
        <v>4.4649659519999991</v>
      </c>
      <c r="H150" s="52" cm="1">
        <f t="array" ref="H150">MMS_Poultry_N2ODirect_Equations.VEERG_4_6_1_3__7_NitrogenTransferredToStage2MMS(H108, _xlfn.XLOOKUP($D150, $D$130:$D$133,$E$130:$E$133), _xlfn.XLOOKUP($D150, $D$138:$D$141,$E$138:$E$141))</f>
        <v>3.8036895839999998</v>
      </c>
      <c r="I150" s="2" t="str">
        <f>$E$121</f>
        <v>kg N</v>
      </c>
      <c r="N150" s="52" t="str">
        <f>'Input - Poultry'!$D$30</f>
        <v>Poultry manure with bedding</v>
      </c>
      <c r="O150" s="52" cm="1">
        <f t="array" ref="O150">MMS_Poultry_N2ODirect_Equations.VEERG_4_6_1_3__7_NitrogenTransferredToStage2MMS(O108, _xlfn.XLOOKUP($N150, $D$130:$D$133,$E$130:$E$133), _xlfn.XLOOKUP($N150, $D$138:$D$141,$E$138:$E$141))</f>
        <v>3.5635579200000005</v>
      </c>
      <c r="P150" s="52" cm="1">
        <f t="array" ref="P150">MMS_Poultry_N2ODirect_Equations.VEERG_4_6_1_3__7_NitrogenTransferredToStage2MMS(P108, _xlfn.XLOOKUP($N150, $D$130:$D$133,$E$130:$E$133), _xlfn.XLOOKUP($N150, $D$138:$D$141,$E$138:$E$141))</f>
        <v>3.8036895839999998</v>
      </c>
      <c r="Q150" s="52" cm="1">
        <f t="array" ref="Q150">MMS_Poultry_N2ODirect_Equations.VEERG_4_6_1_3__7_NitrogenTransferredToStage2MMS(Q108, _xlfn.XLOOKUP($N150, $D$130:$D$133,$E$130:$E$133), _xlfn.XLOOKUP($N150, $D$138:$D$141,$E$138:$E$141))</f>
        <v>4.4649659519999991</v>
      </c>
      <c r="R150" s="52" cm="1">
        <f t="array" ref="R150">MMS_Poultry_N2ODirect_Equations.VEERG_4_6_1_3__7_NitrogenTransferredToStage2MMS(R108, _xlfn.XLOOKUP($N150, $D$130:$D$133,$E$130:$E$133), _xlfn.XLOOKUP($N150, $D$138:$D$141,$E$138:$E$141))</f>
        <v>3.8036895839999998</v>
      </c>
      <c r="S150" s="2" t="str">
        <f t="shared" ref="S150:S153" si="2">$E$121</f>
        <v>kg N</v>
      </c>
    </row>
    <row r="151" spans="3:21" ht="20.100000000000001" customHeight="1" x14ac:dyDescent="0.25">
      <c r="D151" s="52" t="str">
        <f>'Input - Poultry'!$D$31</f>
        <v>Belt manure removal</v>
      </c>
      <c r="E151" s="52" cm="1">
        <f t="array" ref="E151">MMS_Poultry_N2ODirect_Equations.VEERG_4_6_1_3__7_NitrogenTransferredToStage2MMS(E109, _xlfn.XLOOKUP($D151, $D$130:$D$133,$E$130:$E$133), _xlfn.XLOOKUP($D151, $D$138:$D$141,$E$138:$E$141))</f>
        <v>4.8380779200000008</v>
      </c>
      <c r="F151" s="52" cm="1">
        <f t="array" ref="F151">MMS_Poultry_N2ODirect_Equations.VEERG_4_6_1_3__7_NitrogenTransferredToStage2MMS(F109, _xlfn.XLOOKUP($D151, $D$130:$D$133,$E$130:$E$133), _xlfn.XLOOKUP($D151, $D$138:$D$141,$E$138:$E$141))</f>
        <v>5.1640935839999997</v>
      </c>
      <c r="G151" s="52" cm="1">
        <f t="array" ref="G151">MMS_Poultry_N2ODirect_Equations.VEERG_4_6_1_3__7_NitrogenTransferredToStage2MMS(G109, _xlfn.XLOOKUP($D151, $D$130:$D$133,$E$130:$E$133), _xlfn.XLOOKUP($D151, $D$138:$D$141,$E$138:$E$141))</f>
        <v>6.0618779519999997</v>
      </c>
      <c r="H151" s="52" cm="1">
        <f t="array" ref="H151">MMS_Poultry_N2ODirect_Equations.VEERG_4_6_1_3__7_NitrogenTransferredToStage2MMS(H109, _xlfn.XLOOKUP($D151, $D$130:$D$133,$E$130:$E$133), _xlfn.XLOOKUP($D151, $D$138:$D$141,$E$138:$E$141))</f>
        <v>5.1640935839999997</v>
      </c>
      <c r="I151" s="2" t="str">
        <f t="shared" ref="I151:I153" si="3">$E$121</f>
        <v>kg N</v>
      </c>
      <c r="N151" s="52" t="str">
        <f>'Input - Poultry'!$D$31</f>
        <v>Belt manure removal</v>
      </c>
      <c r="O151" s="52" cm="1">
        <f t="array" ref="O151">MMS_Poultry_N2ODirect_Equations.VEERG_4_6_1_3__7_NitrogenTransferredToStage2MMS(O109, _xlfn.XLOOKUP($N151, $D$130:$D$133,$E$130:$E$133), _xlfn.XLOOKUP($N151, $D$138:$D$141,$E$138:$E$141))</f>
        <v>4.8380779200000008</v>
      </c>
      <c r="P151" s="52" cm="1">
        <f t="array" ref="P151">MMS_Poultry_N2ODirect_Equations.VEERG_4_6_1_3__7_NitrogenTransferredToStage2MMS(P109, _xlfn.XLOOKUP($N151, $D$130:$D$133,$E$130:$E$133), _xlfn.XLOOKUP($N151, $D$138:$D$141,$E$138:$E$141))</f>
        <v>5.1640935839999997</v>
      </c>
      <c r="Q151" s="52" cm="1">
        <f t="array" ref="Q151">MMS_Poultry_N2ODirect_Equations.VEERG_4_6_1_3__7_NitrogenTransferredToStage2MMS(Q109, _xlfn.XLOOKUP($N151, $D$130:$D$133,$E$130:$E$133), _xlfn.XLOOKUP($N151, $D$138:$D$141,$E$138:$E$141))</f>
        <v>6.0618779519999997</v>
      </c>
      <c r="R151" s="52" cm="1">
        <f t="array" ref="R151">MMS_Poultry_N2ODirect_Equations.VEERG_4_6_1_3__7_NitrogenTransferredToStage2MMS(R109, _xlfn.XLOOKUP($N151, $D$130:$D$133,$E$130:$E$133), _xlfn.XLOOKUP($N151, $D$138:$D$141,$E$138:$E$141))</f>
        <v>5.1640935839999997</v>
      </c>
      <c r="S151" s="2" t="str">
        <f t="shared" si="2"/>
        <v>kg N</v>
      </c>
    </row>
    <row r="152" spans="3:21" ht="20.100000000000001" customHeight="1" x14ac:dyDescent="0.25">
      <c r="D152" s="52" t="str">
        <f>'Input - Poultry'!$D$32</f>
        <v>Manure stored in house</v>
      </c>
      <c r="E152" s="52" cm="1">
        <f t="array" ref="E152">MMS_Poultry_N2ODirect_Equations.VEERG_4_6_1_3__7_NitrogenTransferredToStage2MMS(E110, _xlfn.XLOOKUP($D152, $D$130:$D$133,$E$130:$E$133), _xlfn.XLOOKUP($D152, $D$138:$D$141,$E$138:$E$141))</f>
        <v>3.0537499200000005</v>
      </c>
      <c r="F152" s="52" cm="1">
        <f t="array" ref="F152">MMS_Poultry_N2ODirect_Equations.VEERG_4_6_1_3__7_NitrogenTransferredToStage2MMS(F110, _xlfn.XLOOKUP($D152, $D$130:$D$133,$E$130:$E$133), _xlfn.XLOOKUP($D152, $D$138:$D$141,$E$138:$E$141))</f>
        <v>3.2595279839999995</v>
      </c>
      <c r="G152" s="52" cm="1">
        <f t="array" ref="G152">MMS_Poultry_N2ODirect_Equations.VEERG_4_6_1_3__7_NitrogenTransferredToStage2MMS(G110, _xlfn.XLOOKUP($D152, $D$130:$D$133,$E$130:$E$133), _xlfn.XLOOKUP($D152, $D$138:$D$141,$E$138:$E$141))</f>
        <v>3.8262011519999994</v>
      </c>
      <c r="H152" s="52" cm="1">
        <f t="array" ref="H152">MMS_Poultry_N2ODirect_Equations.VEERG_4_6_1_3__7_NitrogenTransferredToStage2MMS(H110, _xlfn.XLOOKUP($D152, $D$130:$D$133,$E$130:$E$133), _xlfn.XLOOKUP($D152, $D$138:$D$141,$E$138:$E$141))</f>
        <v>3.2595279839999995</v>
      </c>
      <c r="I152" s="2" t="str">
        <f t="shared" si="3"/>
        <v>kg N</v>
      </c>
      <c r="N152" s="52" t="str">
        <f>'Input - Poultry'!$D$32</f>
        <v>Manure stored in house</v>
      </c>
      <c r="O152" s="52" cm="1">
        <f t="array" ref="O152">MMS_Poultry_N2ODirect_Equations.VEERG_4_6_1_3__7_NitrogenTransferredToStage2MMS(O110, _xlfn.XLOOKUP($N152, $D$130:$D$133,$E$130:$E$133), _xlfn.XLOOKUP($N152, $D$138:$D$141,$E$138:$E$141))</f>
        <v>3.0537499200000005</v>
      </c>
      <c r="P152" s="52" cm="1">
        <f t="array" ref="P152">MMS_Poultry_N2ODirect_Equations.VEERG_4_6_1_3__7_NitrogenTransferredToStage2MMS(P110, _xlfn.XLOOKUP($N152, $D$130:$D$133,$E$130:$E$133), _xlfn.XLOOKUP($N152, $D$138:$D$141,$E$138:$E$141))</f>
        <v>3.2595279839999995</v>
      </c>
      <c r="Q152" s="52" cm="1">
        <f t="array" ref="Q152">MMS_Poultry_N2ODirect_Equations.VEERG_4_6_1_3__7_NitrogenTransferredToStage2MMS(Q110, _xlfn.XLOOKUP($N152, $D$130:$D$133,$E$130:$E$133), _xlfn.XLOOKUP($N152, $D$138:$D$141,$E$138:$E$141))</f>
        <v>3.8262011519999994</v>
      </c>
      <c r="R152" s="52" cm="1">
        <f t="array" ref="R152">MMS_Poultry_N2ODirect_Equations.VEERG_4_6_1_3__7_NitrogenTransferredToStage2MMS(R110, _xlfn.XLOOKUP($N152, $D$130:$D$133,$E$130:$E$133), _xlfn.XLOOKUP($N152, $D$138:$D$141,$E$138:$E$141))</f>
        <v>3.2595279839999995</v>
      </c>
      <c r="S152" s="2" t="str">
        <f t="shared" si="2"/>
        <v>kg N</v>
      </c>
    </row>
    <row r="153" spans="3:21" ht="20.100000000000001" customHeight="1" x14ac:dyDescent="0.25"/>
    <row r="154" spans="3:21" ht="20.100000000000001" customHeight="1" x14ac:dyDescent="0.25"/>
    <row r="155" spans="3:21" ht="20.100000000000001" customHeight="1" x14ac:dyDescent="0.25">
      <c r="C155" s="45"/>
      <c r="D155" s="45"/>
      <c r="E155" s="45"/>
      <c r="F155" s="45"/>
      <c r="G155" s="45"/>
      <c r="H155" s="45"/>
      <c r="I155" s="45"/>
      <c r="J155" s="45"/>
      <c r="K155" s="45"/>
      <c r="M155" s="45"/>
      <c r="N155" s="45"/>
      <c r="O155" s="45"/>
      <c r="P155" s="45"/>
      <c r="Q155" s="45"/>
      <c r="R155" s="45"/>
      <c r="S155" s="45"/>
      <c r="T155" s="45"/>
      <c r="U155" s="45"/>
    </row>
    <row r="156" spans="3:21" ht="20.100000000000001" customHeight="1" x14ac:dyDescent="0.25">
      <c r="D156" s="6" t="str" cm="1">
        <f t="array" ref="D156">MMS_Poultry_N2ODirect_Equations.VEERG_4_6_1_3__6_Stage2NitrogenInMMS_Title()</f>
        <v>Nitrogen in treatment stage 2 MMS</v>
      </c>
    </row>
    <row r="157" spans="3:21" ht="20.100000000000001" customHeight="1" x14ac:dyDescent="0.25">
      <c r="D157" s="5" t="str" cm="1">
        <f t="array" ref="D157">MMS_Poultry_N2ODirect_Equations.VEERG_4_6_1_3__6_Stage2NitrogenInMMS_Source()</f>
        <v>VEERG 2026: 4.6.1.3, Equation (6)</v>
      </c>
    </row>
    <row r="158" spans="3:21" ht="20.100000000000001" customHeight="1" x14ac:dyDescent="0.25">
      <c r="D158" s="13" t="s">
        <v>26</v>
      </c>
      <c r="E158" s="13" t="str" cm="1">
        <f t="array" aca="1" ref="E158" ca="1">Common_InputFunctions.Utility_DisplayFunctionName(F186)</f>
        <v>=MMS_Poultry_N2ODirect_Equations.VEERG_4_6_1_3__6_Stage2NitrogenInMMS</v>
      </c>
    </row>
    <row r="159" spans="3:21" ht="20.100000000000001" customHeight="1" x14ac:dyDescent="0.25"/>
    <row r="160" spans="3:21" ht="20.100000000000001" customHeight="1" x14ac:dyDescent="0.25"/>
    <row r="161" spans="4:10" ht="20.100000000000001" customHeight="1" x14ac:dyDescent="0.25">
      <c r="D161" s="53" t="s">
        <v>29</v>
      </c>
      <c r="E161" s="1" t="str" cm="1">
        <f t="array" ref="E161">MMS_Poultry_N2ODirect_Equations.VEERG_4_6_1_3__6_Stage2NitrogenInMMS_Variable()</f>
        <v>MN_jkmT2</v>
      </c>
    </row>
    <row r="162" spans="4:10" ht="20.100000000000001" customHeight="1" x14ac:dyDescent="0.25">
      <c r="D162" s="53" t="s">
        <v>19</v>
      </c>
      <c r="E162" s="54" t="str" cm="1">
        <f t="array" ref="E162">MMS_Poultry_N2ODirect_Equations.VEERG_4_6_1_3__6_Stage2NitrogenInMMS_Unit()</f>
        <v>kg N</v>
      </c>
    </row>
    <row r="163" spans="4:10" ht="20.100000000000001" customHeight="1" x14ac:dyDescent="0.25"/>
    <row r="164" spans="4:10" ht="20.100000000000001" customHeight="1" x14ac:dyDescent="0.25">
      <c r="D164" s="108" t="str" cm="1">
        <f t="array" ref="D164:E165">MMS_Poultry_N2ODirect_Equations.VEERG_4_6_1_3__6_Stage2NitrogenInMMS_Arguments()</f>
        <v>NT_jkmT2</v>
      </c>
      <c r="E164" s="110" t="str">
        <v>nitrogen transferred to secondary treatment MMS : kg N</v>
      </c>
      <c r="F164" s="109"/>
      <c r="G164" s="108" t="str">
        <f>"See " &amp; D147</f>
        <v>See M1_Table_NT_j_k_m_T-1</v>
      </c>
    </row>
    <row r="165" spans="4:10" ht="20.100000000000001" customHeight="1" x14ac:dyDescent="0.25">
      <c r="D165" s="108" t="str">
        <v>MMS_mT2</v>
      </c>
      <c r="E165" s="110" t="str">
        <v>fraction of manure in each secondary system : fraction</v>
      </c>
      <c r="F165" s="109"/>
      <c r="G165" s="108" t="str">
        <f>"See " &amp; D167</f>
        <v>See Table_MMS_j_m_T-2</v>
      </c>
    </row>
    <row r="166" spans="4:10" ht="20.100000000000001" customHeight="1" x14ac:dyDescent="0.25"/>
    <row r="167" spans="4:10" ht="20.100000000000001" customHeight="1" x14ac:dyDescent="0.25">
      <c r="D167" s="99" t="s">
        <v>138</v>
      </c>
    </row>
    <row r="168" spans="4:10" ht="20.100000000000001" customHeight="1" x14ac:dyDescent="0.25">
      <c r="D168" s="98" t="s">
        <v>251</v>
      </c>
    </row>
    <row r="169" spans="4:10" ht="20.100000000000001" customHeight="1" x14ac:dyDescent="0.25">
      <c r="D169" s="51" t="s">
        <v>143</v>
      </c>
      <c r="E169" s="51" t="s">
        <v>145</v>
      </c>
      <c r="F169" s="51" t="s">
        <v>209</v>
      </c>
      <c r="G169" s="51" t="s">
        <v>210</v>
      </c>
      <c r="H169" s="51" t="s">
        <v>224</v>
      </c>
      <c r="I169" s="51" t="s">
        <v>225</v>
      </c>
    </row>
    <row r="170" spans="4:10" ht="20.100000000000001" customHeight="1" x14ac:dyDescent="0.25">
      <c r="D170" s="52" t="str">
        <f>'Input - Poultry'!$D$30</f>
        <v>Poultry manure with bedding</v>
      </c>
      <c r="E170" s="52" t="str">
        <f>'Input - Poultry'!$D$38</f>
        <v>Solid storage</v>
      </c>
      <c r="F170" s="52">
        <f>'Input - Poultry'!E38</f>
        <v>0.2</v>
      </c>
      <c r="G170" s="52">
        <f>'Input - Poultry'!F38</f>
        <v>0.2</v>
      </c>
      <c r="H170" s="52">
        <f>'Input - Poultry'!G38</f>
        <v>0.2</v>
      </c>
      <c r="I170" s="52">
        <f>'Input - Poultry'!H38</f>
        <v>0.2</v>
      </c>
      <c r="J170" s="2" t="s">
        <v>118</v>
      </c>
    </row>
    <row r="171" spans="4:10" ht="20.100000000000001" customHeight="1" x14ac:dyDescent="0.25">
      <c r="D171" s="52"/>
      <c r="E171" s="52" t="str">
        <f>'Input - Poultry'!$D$39</f>
        <v>Composting (passive windrow)</v>
      </c>
      <c r="F171" s="52">
        <f>'Input - Poultry'!E39</f>
        <v>0.2</v>
      </c>
      <c r="G171" s="52">
        <f>'Input - Poultry'!F39</f>
        <v>0.2</v>
      </c>
      <c r="H171" s="52">
        <f>'Input - Poultry'!G39</f>
        <v>0.2</v>
      </c>
      <c r="I171" s="52">
        <f>'Input - Poultry'!H39</f>
        <v>0.2</v>
      </c>
      <c r="J171" s="2" t="s">
        <v>118</v>
      </c>
    </row>
    <row r="172" spans="4:10" ht="20.100000000000001" customHeight="1" x14ac:dyDescent="0.25">
      <c r="D172" s="52"/>
      <c r="E172" s="52" t="str">
        <f>'Input - Poultry'!$D$40</f>
        <v>Digester / covered lagoons</v>
      </c>
      <c r="F172" s="52">
        <f>'Input - Poultry'!E40</f>
        <v>0.2</v>
      </c>
      <c r="G172" s="52">
        <f>'Input - Poultry'!F40</f>
        <v>0.2</v>
      </c>
      <c r="H172" s="52">
        <f>'Input - Poultry'!G40</f>
        <v>0.2</v>
      </c>
      <c r="I172" s="52">
        <f>'Input - Poultry'!H40</f>
        <v>0.2</v>
      </c>
      <c r="J172" s="2" t="s">
        <v>118</v>
      </c>
    </row>
    <row r="173" spans="4:10" ht="20.100000000000001" customHeight="1" x14ac:dyDescent="0.25">
      <c r="D173" s="52"/>
      <c r="E173" s="52" t="str">
        <f>'Input - Poultry'!$D$41</f>
        <v>Direct processing</v>
      </c>
      <c r="F173" s="52">
        <f>'Input - Poultry'!E41</f>
        <v>0.2</v>
      </c>
      <c r="G173" s="52">
        <f>'Input - Poultry'!F41</f>
        <v>0.2</v>
      </c>
      <c r="H173" s="52">
        <f>'Input - Poultry'!G41</f>
        <v>0.2</v>
      </c>
      <c r="I173" s="52">
        <f>'Input - Poultry'!H41</f>
        <v>0.2</v>
      </c>
      <c r="J173" s="2" t="s">
        <v>118</v>
      </c>
    </row>
    <row r="174" spans="4:10" ht="20.100000000000001" customHeight="1" x14ac:dyDescent="0.25">
      <c r="D174" s="52" t="str">
        <f>'Input - Poultry'!$D$31</f>
        <v>Belt manure removal</v>
      </c>
      <c r="E174" s="52" t="str">
        <f>'Input - Poultry'!$D$45</f>
        <v>Solid storage</v>
      </c>
      <c r="F174" s="52">
        <f>'Input - Poultry'!E45</f>
        <v>0.2</v>
      </c>
      <c r="G174" s="52">
        <f>'Input - Poultry'!F45</f>
        <v>0.2</v>
      </c>
      <c r="H174" s="52">
        <f>'Input - Poultry'!G45</f>
        <v>0.2</v>
      </c>
      <c r="I174" s="52">
        <f>'Input - Poultry'!H45</f>
        <v>0.2</v>
      </c>
      <c r="J174" s="2" t="s">
        <v>118</v>
      </c>
    </row>
    <row r="175" spans="4:10" ht="20.100000000000001" customHeight="1" x14ac:dyDescent="0.25">
      <c r="D175" s="52"/>
      <c r="E175" s="52" t="str">
        <f>'Input - Poultry'!$D$46</f>
        <v>Composting (passive windrow)</v>
      </c>
      <c r="F175" s="52">
        <f>'Input - Poultry'!E46</f>
        <v>0.2</v>
      </c>
      <c r="G175" s="52">
        <f>'Input - Poultry'!F46</f>
        <v>0.2</v>
      </c>
      <c r="H175" s="52">
        <f>'Input - Poultry'!G46</f>
        <v>0.2</v>
      </c>
      <c r="I175" s="52">
        <f>'Input - Poultry'!H46</f>
        <v>0.2</v>
      </c>
      <c r="J175" s="2" t="s">
        <v>118</v>
      </c>
    </row>
    <row r="176" spans="4:10" ht="20.100000000000001" customHeight="1" x14ac:dyDescent="0.25">
      <c r="D176" s="52"/>
      <c r="E176" s="52" t="str">
        <f>'Input - Poultry'!$D$47</f>
        <v>Digester / covered lagoons</v>
      </c>
      <c r="F176" s="52">
        <f>'Input - Poultry'!E47</f>
        <v>0.2</v>
      </c>
      <c r="G176" s="52">
        <f>'Input - Poultry'!F47</f>
        <v>0.2</v>
      </c>
      <c r="H176" s="52">
        <f>'Input - Poultry'!G47</f>
        <v>0.2</v>
      </c>
      <c r="I176" s="52">
        <f>'Input - Poultry'!H47</f>
        <v>0.2</v>
      </c>
      <c r="J176" s="2" t="s">
        <v>118</v>
      </c>
    </row>
    <row r="177" spans="4:20" ht="20.100000000000001" customHeight="1" x14ac:dyDescent="0.25">
      <c r="D177" s="52"/>
      <c r="E177" s="52" t="str">
        <f>'Input - Poultry'!$D$48</f>
        <v>Direct processing</v>
      </c>
      <c r="F177" s="52">
        <f>'Input - Poultry'!E48</f>
        <v>0.2</v>
      </c>
      <c r="G177" s="52">
        <f>'Input - Poultry'!F48</f>
        <v>0.2</v>
      </c>
      <c r="H177" s="52">
        <f>'Input - Poultry'!G48</f>
        <v>0.2</v>
      </c>
      <c r="I177" s="52">
        <f>'Input - Poultry'!H48</f>
        <v>0.2</v>
      </c>
      <c r="J177" s="2" t="s">
        <v>118</v>
      </c>
    </row>
    <row r="178" spans="4:20" ht="20.100000000000001" customHeight="1" x14ac:dyDescent="0.25">
      <c r="D178" s="52" t="str">
        <f>'Input - Poultry'!$D$32</f>
        <v>Manure stored in house</v>
      </c>
      <c r="E178" s="52" t="str">
        <f>'Input - Poultry'!$D$52</f>
        <v>Solid storage</v>
      </c>
      <c r="F178" s="52">
        <f>'Input - Poultry'!E52</f>
        <v>0.2</v>
      </c>
      <c r="G178" s="52">
        <f>'Input - Poultry'!F52</f>
        <v>0.2</v>
      </c>
      <c r="H178" s="52">
        <f>'Input - Poultry'!G52</f>
        <v>0.2</v>
      </c>
      <c r="I178" s="52">
        <f>'Input - Poultry'!H52</f>
        <v>0.2</v>
      </c>
      <c r="J178" s="2" t="s">
        <v>118</v>
      </c>
    </row>
    <row r="179" spans="4:20" ht="20.100000000000001" customHeight="1" x14ac:dyDescent="0.25">
      <c r="D179" s="52"/>
      <c r="E179" s="52" t="str">
        <f>'Input - Poultry'!$D$53</f>
        <v>Composting (passive windrow)</v>
      </c>
      <c r="F179" s="52">
        <f>'Input - Poultry'!E53</f>
        <v>0.2</v>
      </c>
      <c r="G179" s="52">
        <f>'Input - Poultry'!F53</f>
        <v>0.2</v>
      </c>
      <c r="H179" s="52">
        <f>'Input - Poultry'!G53</f>
        <v>0.2</v>
      </c>
      <c r="I179" s="52">
        <f>'Input - Poultry'!H53</f>
        <v>0.2</v>
      </c>
      <c r="J179" s="2" t="s">
        <v>118</v>
      </c>
    </row>
    <row r="180" spans="4:20" ht="20.100000000000001" customHeight="1" x14ac:dyDescent="0.25">
      <c r="D180" s="52"/>
      <c r="E180" s="52" t="str">
        <f>'Input - Poultry'!$D$54</f>
        <v>Digester / covered lagoons</v>
      </c>
      <c r="F180" s="52">
        <f>'Input - Poultry'!E54</f>
        <v>0.2</v>
      </c>
      <c r="G180" s="52">
        <f>'Input - Poultry'!F54</f>
        <v>0.2</v>
      </c>
      <c r="H180" s="52">
        <f>'Input - Poultry'!G54</f>
        <v>0.2</v>
      </c>
      <c r="I180" s="52">
        <f>'Input - Poultry'!H54</f>
        <v>0.2</v>
      </c>
      <c r="J180" s="2" t="s">
        <v>118</v>
      </c>
    </row>
    <row r="181" spans="4:20" ht="20.100000000000001" customHeight="1" x14ac:dyDescent="0.25">
      <c r="D181" s="52"/>
      <c r="E181" s="52" t="str">
        <f>'Input - Poultry'!$D$55</f>
        <v>Direct processing</v>
      </c>
      <c r="F181" s="52">
        <f>'Input - Poultry'!E55</f>
        <v>0.2</v>
      </c>
      <c r="G181" s="52">
        <f>'Input - Poultry'!F55</f>
        <v>0.2</v>
      </c>
      <c r="H181" s="52">
        <f>'Input - Poultry'!G55</f>
        <v>0.2</v>
      </c>
      <c r="I181" s="52">
        <f>'Input - Poultry'!H55</f>
        <v>0.2</v>
      </c>
      <c r="J181" s="2" t="s">
        <v>118</v>
      </c>
    </row>
    <row r="182" spans="4:20" ht="20.100000000000001" customHeight="1" x14ac:dyDescent="0.25"/>
    <row r="183" spans="4:20" ht="20.100000000000001" customHeight="1" x14ac:dyDescent="0.25">
      <c r="D183" s="99" t="s">
        <v>288</v>
      </c>
      <c r="N183" s="99" t="s">
        <v>289</v>
      </c>
    </row>
    <row r="184" spans="4:20" ht="20.100000000000001" customHeight="1" x14ac:dyDescent="0.25">
      <c r="D184" s="98" t="s">
        <v>163</v>
      </c>
      <c r="N184" s="98" t="s">
        <v>176</v>
      </c>
    </row>
    <row r="185" spans="4:20" ht="20.100000000000001" customHeight="1" x14ac:dyDescent="0.25">
      <c r="D185" s="51" t="s">
        <v>143</v>
      </c>
      <c r="E185" s="51" t="s">
        <v>145</v>
      </c>
      <c r="F185" s="51" t="s">
        <v>209</v>
      </c>
      <c r="G185" s="51" t="s">
        <v>210</v>
      </c>
      <c r="H185" s="51" t="s">
        <v>224</v>
      </c>
      <c r="I185" s="51" t="s">
        <v>225</v>
      </c>
      <c r="N185" s="51" t="s">
        <v>143</v>
      </c>
      <c r="O185" s="51" t="s">
        <v>145</v>
      </c>
      <c r="P185" s="51" t="s">
        <v>209</v>
      </c>
      <c r="Q185" s="51" t="s">
        <v>210</v>
      </c>
      <c r="R185" s="51" t="s">
        <v>224</v>
      </c>
      <c r="S185" s="51" t="s">
        <v>225</v>
      </c>
    </row>
    <row r="186" spans="4:20" ht="20.100000000000001" customHeight="1" x14ac:dyDescent="0.25">
      <c r="D186" s="52" t="str">
        <f>'Input - Poultry'!$D$30</f>
        <v>Poultry manure with bedding</v>
      </c>
      <c r="E186" s="52" t="str">
        <f>'Input - Poultry'!$D$38</f>
        <v>Solid storage</v>
      </c>
      <c r="F186" s="52" cm="1">
        <f t="array" ref="F186">MMS_Poultry_N2ODirect_Equations.VEERG_4_6_1_3__6_Stage2NitrogenInMMS(E$150,F170)</f>
        <v>0.71271158400000012</v>
      </c>
      <c r="G186" s="52" cm="1">
        <f t="array" ref="G186">MMS_Poultry_N2ODirect_Equations.VEERG_4_6_1_3__6_Stage2NitrogenInMMS(F$150,G170)</f>
        <v>0.76073791680000002</v>
      </c>
      <c r="H186" s="52" cm="1">
        <f t="array" ref="H186">MMS_Poultry_N2ODirect_Equations.VEERG_4_6_1_3__6_Stage2NitrogenInMMS(G$150,H170)</f>
        <v>0.89299319039999991</v>
      </c>
      <c r="I186" s="52" cm="1">
        <f t="array" ref="I186">MMS_Poultry_N2ODirect_Equations.VEERG_4_6_1_3__6_Stage2NitrogenInMMS(H$150,I170)</f>
        <v>0.76073791680000002</v>
      </c>
      <c r="J186" s="2" t="str">
        <f>$E$162</f>
        <v>kg N</v>
      </c>
      <c r="N186" s="52" t="str">
        <f>'Input - Poultry'!$D$30</f>
        <v>Poultry manure with bedding</v>
      </c>
      <c r="O186" s="52" t="str">
        <f>'Input - Poultry'!$D$38</f>
        <v>Solid storage</v>
      </c>
      <c r="P186" s="52" cm="1">
        <f t="array" ref="P186">MMS_Poultry_N2ODirect_Equations.VEERG_4_6_1_3__6_Stage2NitrogenInMMS(E$150,F170)</f>
        <v>0.71271158400000012</v>
      </c>
      <c r="Q186" s="52" cm="1">
        <f t="array" ref="Q186">MMS_Poultry_N2ODirect_Equations.VEERG_4_6_1_3__6_Stage2NitrogenInMMS(F$150,G170)</f>
        <v>0.76073791680000002</v>
      </c>
      <c r="R186" s="52" cm="1">
        <f t="array" ref="R186">MMS_Poultry_N2ODirect_Equations.VEERG_4_6_1_3__6_Stage2NitrogenInMMS(G$150,H170)</f>
        <v>0.89299319039999991</v>
      </c>
      <c r="S186" s="52" cm="1">
        <f t="array" ref="S186">MMS_Poultry_N2ODirect_Equations.VEERG_4_6_1_3__6_Stage2NitrogenInMMS(H$150,I170)</f>
        <v>0.76073791680000002</v>
      </c>
      <c r="T186" s="2" t="str">
        <f>$E$162</f>
        <v>kg N</v>
      </c>
    </row>
    <row r="187" spans="4:20" ht="20.100000000000001" customHeight="1" x14ac:dyDescent="0.25">
      <c r="D187" s="52"/>
      <c r="E187" s="52" t="str">
        <f>'Input - Poultry'!$D$39</f>
        <v>Composting (passive windrow)</v>
      </c>
      <c r="F187" s="52" cm="1">
        <f t="array" ref="F187">MMS_Poultry_N2ODirect_Equations.VEERG_4_6_1_3__6_Stage2NitrogenInMMS(E$150,F171)</f>
        <v>0.71271158400000012</v>
      </c>
      <c r="G187" s="52" cm="1">
        <f t="array" ref="G187">MMS_Poultry_N2ODirect_Equations.VEERG_4_6_1_3__6_Stage2NitrogenInMMS(F$150,G171)</f>
        <v>0.76073791680000002</v>
      </c>
      <c r="H187" s="52" cm="1">
        <f t="array" ref="H187">MMS_Poultry_N2ODirect_Equations.VEERG_4_6_1_3__6_Stage2NitrogenInMMS(G$150,H171)</f>
        <v>0.89299319039999991</v>
      </c>
      <c r="I187" s="52" cm="1">
        <f t="array" ref="I187">MMS_Poultry_N2ODirect_Equations.VEERG_4_6_1_3__6_Stage2NitrogenInMMS(H$150,I171)</f>
        <v>0.76073791680000002</v>
      </c>
      <c r="J187" s="2" t="str">
        <f>$E$162</f>
        <v>kg N</v>
      </c>
      <c r="N187" s="52"/>
      <c r="O187" s="52" t="str">
        <f>'Input - Poultry'!$D$39</f>
        <v>Composting (passive windrow)</v>
      </c>
      <c r="P187" s="52" cm="1">
        <f t="array" ref="P187">MMS_Poultry_N2ODirect_Equations.VEERG_4_6_1_3__6_Stage2NitrogenInMMS(E$150,F171)</f>
        <v>0.71271158400000012</v>
      </c>
      <c r="Q187" s="52" cm="1">
        <f t="array" ref="Q187">MMS_Poultry_N2ODirect_Equations.VEERG_4_6_1_3__6_Stage2NitrogenInMMS(F$150,G171)</f>
        <v>0.76073791680000002</v>
      </c>
      <c r="R187" s="52" cm="1">
        <f t="array" ref="R187">MMS_Poultry_N2ODirect_Equations.VEERG_4_6_1_3__6_Stage2NitrogenInMMS(G$150,H171)</f>
        <v>0.89299319039999991</v>
      </c>
      <c r="S187" s="52" cm="1">
        <f t="array" ref="S187">MMS_Poultry_N2ODirect_Equations.VEERG_4_6_1_3__6_Stage2NitrogenInMMS(H$150,I171)</f>
        <v>0.76073791680000002</v>
      </c>
      <c r="T187" s="2" t="str">
        <f>$E$162</f>
        <v>kg N</v>
      </c>
    </row>
    <row r="188" spans="4:20" ht="20.100000000000001" customHeight="1" x14ac:dyDescent="0.25">
      <c r="D188" s="52"/>
      <c r="E188" s="52" t="str">
        <f>'Input - Poultry'!$D$40</f>
        <v>Digester / covered lagoons</v>
      </c>
      <c r="F188" s="52" cm="1">
        <f t="array" ref="F188">MMS_Poultry_N2ODirect_Equations.VEERG_4_6_1_3__6_Stage2NitrogenInMMS(E$150,F172)</f>
        <v>0.71271158400000012</v>
      </c>
      <c r="G188" s="52" cm="1">
        <f t="array" ref="G188">MMS_Poultry_N2ODirect_Equations.VEERG_4_6_1_3__6_Stage2NitrogenInMMS(F$150,G172)</f>
        <v>0.76073791680000002</v>
      </c>
      <c r="H188" s="52" cm="1">
        <f t="array" ref="H188">MMS_Poultry_N2ODirect_Equations.VEERG_4_6_1_3__6_Stage2NitrogenInMMS(G$150,H172)</f>
        <v>0.89299319039999991</v>
      </c>
      <c r="I188" s="52" cm="1">
        <f t="array" ref="I188">MMS_Poultry_N2ODirect_Equations.VEERG_4_6_1_3__6_Stage2NitrogenInMMS(H$150,I172)</f>
        <v>0.76073791680000002</v>
      </c>
      <c r="J188" s="2" t="str">
        <f>$E$162</f>
        <v>kg N</v>
      </c>
      <c r="N188" s="52"/>
      <c r="O188" s="52" t="str">
        <f>'Input - Poultry'!$D$40</f>
        <v>Digester / covered lagoons</v>
      </c>
      <c r="P188" s="52" cm="1">
        <f t="array" ref="P188">MMS_Poultry_N2ODirect_Equations.VEERG_4_6_1_3__6_Stage2NitrogenInMMS(E$150,F172)</f>
        <v>0.71271158400000012</v>
      </c>
      <c r="Q188" s="52" cm="1">
        <f t="array" ref="Q188">MMS_Poultry_N2ODirect_Equations.VEERG_4_6_1_3__6_Stage2NitrogenInMMS(F$150,G172)</f>
        <v>0.76073791680000002</v>
      </c>
      <c r="R188" s="52" cm="1">
        <f t="array" ref="R188">MMS_Poultry_N2ODirect_Equations.VEERG_4_6_1_3__6_Stage2NitrogenInMMS(G$150,H172)</f>
        <v>0.89299319039999991</v>
      </c>
      <c r="S188" s="52" cm="1">
        <f t="array" ref="S188">MMS_Poultry_N2ODirect_Equations.VEERG_4_6_1_3__6_Stage2NitrogenInMMS(H$150,I172)</f>
        <v>0.76073791680000002</v>
      </c>
      <c r="T188" s="2" t="str">
        <f>$E$162</f>
        <v>kg N</v>
      </c>
    </row>
    <row r="189" spans="4:20" ht="20.100000000000001" customHeight="1" x14ac:dyDescent="0.25">
      <c r="D189" s="52"/>
      <c r="E189" s="52" t="str">
        <f>'Input - Poultry'!$D$41</f>
        <v>Direct processing</v>
      </c>
      <c r="F189" s="52" cm="1">
        <f t="array" ref="F189">MMS_Poultry_N2ODirect_Equations.VEERG_4_6_1_3__6_Stage2NitrogenInMMS(E$150,F173)</f>
        <v>0.71271158400000012</v>
      </c>
      <c r="G189" s="52" cm="1">
        <f t="array" ref="G189">MMS_Poultry_N2ODirect_Equations.VEERG_4_6_1_3__6_Stage2NitrogenInMMS(F$150,G173)</f>
        <v>0.76073791680000002</v>
      </c>
      <c r="H189" s="52" cm="1">
        <f t="array" ref="H189">MMS_Poultry_N2ODirect_Equations.VEERG_4_6_1_3__6_Stage2NitrogenInMMS(G$150,H173)</f>
        <v>0.89299319039999991</v>
      </c>
      <c r="I189" s="52" cm="1">
        <f t="array" ref="I189">MMS_Poultry_N2ODirect_Equations.VEERG_4_6_1_3__6_Stage2NitrogenInMMS(H$150,I173)</f>
        <v>0.76073791680000002</v>
      </c>
      <c r="J189" s="2" t="str">
        <f>$E$162</f>
        <v>kg N</v>
      </c>
      <c r="N189" s="52"/>
      <c r="O189" s="52" t="str">
        <f>'Input - Poultry'!$D$41</f>
        <v>Direct processing</v>
      </c>
      <c r="P189" s="52" cm="1">
        <f t="array" ref="P189">MMS_Poultry_N2ODirect_Equations.VEERG_4_6_1_3__6_Stage2NitrogenInMMS(E$150,F173)</f>
        <v>0.71271158400000012</v>
      </c>
      <c r="Q189" s="52" cm="1">
        <f t="array" ref="Q189">MMS_Poultry_N2ODirect_Equations.VEERG_4_6_1_3__6_Stage2NitrogenInMMS(F$150,G173)</f>
        <v>0.76073791680000002</v>
      </c>
      <c r="R189" s="52" cm="1">
        <f t="array" ref="R189">MMS_Poultry_N2ODirect_Equations.VEERG_4_6_1_3__6_Stage2NitrogenInMMS(G$150,H173)</f>
        <v>0.89299319039999991</v>
      </c>
      <c r="S189" s="52" cm="1">
        <f t="array" ref="S189">MMS_Poultry_N2ODirect_Equations.VEERG_4_6_1_3__6_Stage2NitrogenInMMS(H$150,I173)</f>
        <v>0.76073791680000002</v>
      </c>
      <c r="T189" s="2" t="str">
        <f>$E$162</f>
        <v>kg N</v>
      </c>
    </row>
    <row r="190" spans="4:20" ht="20.100000000000001" customHeight="1" x14ac:dyDescent="0.25">
      <c r="D190" s="52" t="str">
        <f>'Input - Poultry'!$D$31</f>
        <v>Belt manure removal</v>
      </c>
      <c r="E190" s="52" t="str">
        <f>'Input - Poultry'!$D$45</f>
        <v>Solid storage</v>
      </c>
      <c r="F190" s="52" cm="1">
        <f t="array" ref="F190">MMS_Poultry_N2ODirect_Equations.VEERG_4_6_1_3__6_Stage2NitrogenInMMS(E$151,F174)</f>
        <v>0.96761558400000025</v>
      </c>
      <c r="G190" s="52" cm="1">
        <f t="array" ref="G190">MMS_Poultry_N2ODirect_Equations.VEERG_4_6_1_3__6_Stage2NitrogenInMMS(F$151,G174)</f>
        <v>1.0328187168</v>
      </c>
      <c r="H190" s="52" cm="1">
        <f t="array" ref="H190">MMS_Poultry_N2ODirect_Equations.VEERG_4_6_1_3__6_Stage2NitrogenInMMS(G$151,H174)</f>
        <v>1.2123755904</v>
      </c>
      <c r="I190" s="52" cm="1">
        <f t="array" ref="I190">MMS_Poultry_N2ODirect_Equations.VEERG_4_6_1_3__6_Stage2NitrogenInMMS(H$151,I174)</f>
        <v>1.0328187168</v>
      </c>
      <c r="J190" s="2" t="str">
        <f>$E$162</f>
        <v>kg N</v>
      </c>
      <c r="N190" s="52" t="str">
        <f>'Input - Poultry'!$D$31</f>
        <v>Belt manure removal</v>
      </c>
      <c r="O190" s="52" t="str">
        <f>'Input - Poultry'!$D$45</f>
        <v>Solid storage</v>
      </c>
      <c r="P190" s="52" cm="1">
        <f t="array" ref="P190">MMS_Poultry_N2ODirect_Equations.VEERG_4_6_1_3__6_Stage2NitrogenInMMS(E$151,F174)</f>
        <v>0.96761558400000025</v>
      </c>
      <c r="Q190" s="52" cm="1">
        <f t="array" ref="Q190">MMS_Poultry_N2ODirect_Equations.VEERG_4_6_1_3__6_Stage2NitrogenInMMS(F$151,G174)</f>
        <v>1.0328187168</v>
      </c>
      <c r="R190" s="52" cm="1">
        <f t="array" ref="R190">MMS_Poultry_N2ODirect_Equations.VEERG_4_6_1_3__6_Stage2NitrogenInMMS(G$151,H174)</f>
        <v>1.2123755904</v>
      </c>
      <c r="S190" s="52" cm="1">
        <f t="array" ref="S190">MMS_Poultry_N2ODirect_Equations.VEERG_4_6_1_3__6_Stage2NitrogenInMMS(H$151,I174)</f>
        <v>1.0328187168</v>
      </c>
      <c r="T190" s="2" t="str">
        <f>$E$162</f>
        <v>kg N</v>
      </c>
    </row>
    <row r="191" spans="4:20" ht="20.100000000000001" customHeight="1" x14ac:dyDescent="0.25">
      <c r="D191" s="52"/>
      <c r="E191" s="52" t="str">
        <f>'Input - Poultry'!$D$46</f>
        <v>Composting (passive windrow)</v>
      </c>
      <c r="F191" s="52" cm="1">
        <f t="array" ref="F191">MMS_Poultry_N2ODirect_Equations.VEERG_4_6_1_3__6_Stage2NitrogenInMMS(E$151,F175)</f>
        <v>0.96761558400000025</v>
      </c>
      <c r="G191" s="52" cm="1">
        <f t="array" ref="G191">MMS_Poultry_N2ODirect_Equations.VEERG_4_6_1_3__6_Stage2NitrogenInMMS(F$151,G175)</f>
        <v>1.0328187168</v>
      </c>
      <c r="H191" s="52" cm="1">
        <f t="array" ref="H191">MMS_Poultry_N2ODirect_Equations.VEERG_4_6_1_3__6_Stage2NitrogenInMMS(G$151,H175)</f>
        <v>1.2123755904</v>
      </c>
      <c r="I191" s="52" cm="1">
        <f t="array" ref="I191">MMS_Poultry_N2ODirect_Equations.VEERG_4_6_1_3__6_Stage2NitrogenInMMS(H$151,I175)</f>
        <v>1.0328187168</v>
      </c>
      <c r="J191" s="2" t="str">
        <f>$E$162</f>
        <v>kg N</v>
      </c>
      <c r="N191" s="52"/>
      <c r="O191" s="52" t="str">
        <f>'Input - Poultry'!$D$46</f>
        <v>Composting (passive windrow)</v>
      </c>
      <c r="P191" s="52" cm="1">
        <f t="array" ref="P191">MMS_Poultry_N2ODirect_Equations.VEERG_4_6_1_3__6_Stage2NitrogenInMMS(E$151,F175)</f>
        <v>0.96761558400000025</v>
      </c>
      <c r="Q191" s="52" cm="1">
        <f t="array" ref="Q191">MMS_Poultry_N2ODirect_Equations.VEERG_4_6_1_3__6_Stage2NitrogenInMMS(F$151,G175)</f>
        <v>1.0328187168</v>
      </c>
      <c r="R191" s="52" cm="1">
        <f t="array" ref="R191">MMS_Poultry_N2ODirect_Equations.VEERG_4_6_1_3__6_Stage2NitrogenInMMS(G$151,H175)</f>
        <v>1.2123755904</v>
      </c>
      <c r="S191" s="52" cm="1">
        <f t="array" ref="S191">MMS_Poultry_N2ODirect_Equations.VEERG_4_6_1_3__6_Stage2NitrogenInMMS(H$151,I175)</f>
        <v>1.0328187168</v>
      </c>
      <c r="T191" s="2" t="str">
        <f>$E$162</f>
        <v>kg N</v>
      </c>
    </row>
    <row r="192" spans="4:20" ht="20.100000000000001" customHeight="1" x14ac:dyDescent="0.25">
      <c r="D192" s="52"/>
      <c r="E192" s="52" t="str">
        <f>'Input - Poultry'!$D$47</f>
        <v>Digester / covered lagoons</v>
      </c>
      <c r="F192" s="52" cm="1">
        <f t="array" ref="F192">MMS_Poultry_N2ODirect_Equations.VEERG_4_6_1_3__6_Stage2NitrogenInMMS(E$151,F176)</f>
        <v>0.96761558400000025</v>
      </c>
      <c r="G192" s="52" cm="1">
        <f t="array" ref="G192">MMS_Poultry_N2ODirect_Equations.VEERG_4_6_1_3__6_Stage2NitrogenInMMS(F$151,G176)</f>
        <v>1.0328187168</v>
      </c>
      <c r="H192" s="52" cm="1">
        <f t="array" ref="H192">MMS_Poultry_N2ODirect_Equations.VEERG_4_6_1_3__6_Stage2NitrogenInMMS(G$151,H176)</f>
        <v>1.2123755904</v>
      </c>
      <c r="I192" s="52" cm="1">
        <f t="array" ref="I192">MMS_Poultry_N2ODirect_Equations.VEERG_4_6_1_3__6_Stage2NitrogenInMMS(H$151,I176)</f>
        <v>1.0328187168</v>
      </c>
      <c r="J192" s="2" t="str">
        <f>$E$162</f>
        <v>kg N</v>
      </c>
      <c r="N192" s="52"/>
      <c r="O192" s="52" t="str">
        <f>'Input - Poultry'!$D$47</f>
        <v>Digester / covered lagoons</v>
      </c>
      <c r="P192" s="52" cm="1">
        <f t="array" ref="P192">MMS_Poultry_N2ODirect_Equations.VEERG_4_6_1_3__6_Stage2NitrogenInMMS(E$151,F176)</f>
        <v>0.96761558400000025</v>
      </c>
      <c r="Q192" s="52" cm="1">
        <f t="array" ref="Q192">MMS_Poultry_N2ODirect_Equations.VEERG_4_6_1_3__6_Stage2NitrogenInMMS(F$151,G176)</f>
        <v>1.0328187168</v>
      </c>
      <c r="R192" s="52" cm="1">
        <f t="array" ref="R192">MMS_Poultry_N2ODirect_Equations.VEERG_4_6_1_3__6_Stage2NitrogenInMMS(G$151,H176)</f>
        <v>1.2123755904</v>
      </c>
      <c r="S192" s="52" cm="1">
        <f t="array" ref="S192">MMS_Poultry_N2ODirect_Equations.VEERG_4_6_1_3__6_Stage2NitrogenInMMS(H$151,I176)</f>
        <v>1.0328187168</v>
      </c>
      <c r="T192" s="2" t="str">
        <f>$E$162</f>
        <v>kg N</v>
      </c>
    </row>
    <row r="193" spans="3:21" ht="20.100000000000001" customHeight="1" x14ac:dyDescent="0.25">
      <c r="D193" s="52"/>
      <c r="E193" s="52" t="str">
        <f>'Input - Poultry'!$D$48</f>
        <v>Direct processing</v>
      </c>
      <c r="F193" s="52" cm="1">
        <f t="array" ref="F193">MMS_Poultry_N2ODirect_Equations.VEERG_4_6_1_3__6_Stage2NitrogenInMMS(E$151,F177)</f>
        <v>0.96761558400000025</v>
      </c>
      <c r="G193" s="52" cm="1">
        <f t="array" ref="G193">MMS_Poultry_N2ODirect_Equations.VEERG_4_6_1_3__6_Stage2NitrogenInMMS(F$151,G177)</f>
        <v>1.0328187168</v>
      </c>
      <c r="H193" s="52" cm="1">
        <f t="array" ref="H193">MMS_Poultry_N2ODirect_Equations.VEERG_4_6_1_3__6_Stage2NitrogenInMMS(G$151,H177)</f>
        <v>1.2123755904</v>
      </c>
      <c r="I193" s="52" cm="1">
        <f t="array" ref="I193">MMS_Poultry_N2ODirect_Equations.VEERG_4_6_1_3__6_Stage2NitrogenInMMS(H$151,I177)</f>
        <v>1.0328187168</v>
      </c>
      <c r="J193" s="2" t="str">
        <f>$E$162</f>
        <v>kg N</v>
      </c>
      <c r="N193" s="52"/>
      <c r="O193" s="52" t="str">
        <f>'Input - Poultry'!$D$48</f>
        <v>Direct processing</v>
      </c>
      <c r="P193" s="52" cm="1">
        <f t="array" ref="P193">MMS_Poultry_N2ODirect_Equations.VEERG_4_6_1_3__6_Stage2NitrogenInMMS(E$151,F177)</f>
        <v>0.96761558400000025</v>
      </c>
      <c r="Q193" s="52" cm="1">
        <f t="array" ref="Q193">MMS_Poultry_N2ODirect_Equations.VEERG_4_6_1_3__6_Stage2NitrogenInMMS(F$151,G177)</f>
        <v>1.0328187168</v>
      </c>
      <c r="R193" s="52" cm="1">
        <f t="array" ref="R193">MMS_Poultry_N2ODirect_Equations.VEERG_4_6_1_3__6_Stage2NitrogenInMMS(G$151,H177)</f>
        <v>1.2123755904</v>
      </c>
      <c r="S193" s="52" cm="1">
        <f t="array" ref="S193">MMS_Poultry_N2ODirect_Equations.VEERG_4_6_1_3__6_Stage2NitrogenInMMS(H$151,I177)</f>
        <v>1.0328187168</v>
      </c>
      <c r="T193" s="2" t="str">
        <f>$E$162</f>
        <v>kg N</v>
      </c>
    </row>
    <row r="194" spans="3:21" ht="20.100000000000001" customHeight="1" x14ac:dyDescent="0.25">
      <c r="D194" s="52" t="str">
        <f>'Input - Poultry'!$D$32</f>
        <v>Manure stored in house</v>
      </c>
      <c r="E194" s="52" t="str">
        <f>'Input - Poultry'!$D$52</f>
        <v>Solid storage</v>
      </c>
      <c r="F194" s="52" cm="1">
        <f t="array" ref="F194">MMS_Poultry_N2ODirect_Equations.VEERG_4_6_1_3__6_Stage2NitrogenInMMS(E$152,F178)</f>
        <v>0.61074998400000013</v>
      </c>
      <c r="G194" s="52" cm="1">
        <f t="array" ref="G194">MMS_Poultry_N2ODirect_Equations.VEERG_4_6_1_3__6_Stage2NitrogenInMMS(F$152,G178)</f>
        <v>0.65190559679999993</v>
      </c>
      <c r="H194" s="52" cm="1">
        <f t="array" ref="H194">MMS_Poultry_N2ODirect_Equations.VEERG_4_6_1_3__6_Stage2NitrogenInMMS(G$152,H178)</f>
        <v>0.76524023039999989</v>
      </c>
      <c r="I194" s="52" cm="1">
        <f t="array" ref="I194">MMS_Poultry_N2ODirect_Equations.VEERG_4_6_1_3__6_Stage2NitrogenInMMS(H$152,I178)</f>
        <v>0.65190559679999993</v>
      </c>
      <c r="J194" s="2" t="str">
        <f>$E$162</f>
        <v>kg N</v>
      </c>
      <c r="N194" s="52" t="str">
        <f>'Input - Poultry'!$D$32</f>
        <v>Manure stored in house</v>
      </c>
      <c r="O194" s="52" t="str">
        <f>'Input - Poultry'!$D$52</f>
        <v>Solid storage</v>
      </c>
      <c r="P194" s="52" cm="1">
        <f t="array" ref="P194">MMS_Poultry_N2ODirect_Equations.VEERG_4_6_1_3__6_Stage2NitrogenInMMS(E$152,F178)</f>
        <v>0.61074998400000013</v>
      </c>
      <c r="Q194" s="52" cm="1">
        <f t="array" ref="Q194">MMS_Poultry_N2ODirect_Equations.VEERG_4_6_1_3__6_Stage2NitrogenInMMS(F$152,G178)</f>
        <v>0.65190559679999993</v>
      </c>
      <c r="R194" s="52" cm="1">
        <f t="array" ref="R194">MMS_Poultry_N2ODirect_Equations.VEERG_4_6_1_3__6_Stage2NitrogenInMMS(G$152,H178)</f>
        <v>0.76524023039999989</v>
      </c>
      <c r="S194" s="52" cm="1">
        <f t="array" ref="S194">MMS_Poultry_N2ODirect_Equations.VEERG_4_6_1_3__6_Stage2NitrogenInMMS(H$152,I178)</f>
        <v>0.65190559679999993</v>
      </c>
      <c r="T194" s="2" t="str">
        <f>$E$162</f>
        <v>kg N</v>
      </c>
    </row>
    <row r="195" spans="3:21" ht="20.100000000000001" customHeight="1" x14ac:dyDescent="0.25">
      <c r="D195" s="52"/>
      <c r="E195" s="52" t="str">
        <f>'Input - Poultry'!$D$53</f>
        <v>Composting (passive windrow)</v>
      </c>
      <c r="F195" s="52" cm="1">
        <f t="array" ref="F195">MMS_Poultry_N2ODirect_Equations.VEERG_4_6_1_3__6_Stage2NitrogenInMMS(E$152,F179)</f>
        <v>0.61074998400000013</v>
      </c>
      <c r="G195" s="52" cm="1">
        <f t="array" ref="G195">MMS_Poultry_N2ODirect_Equations.VEERG_4_6_1_3__6_Stage2NitrogenInMMS(F$152,G179)</f>
        <v>0.65190559679999993</v>
      </c>
      <c r="H195" s="52" cm="1">
        <f t="array" ref="H195">MMS_Poultry_N2ODirect_Equations.VEERG_4_6_1_3__6_Stage2NitrogenInMMS(G$152,H179)</f>
        <v>0.76524023039999989</v>
      </c>
      <c r="I195" s="52" cm="1">
        <f t="array" ref="I195">MMS_Poultry_N2ODirect_Equations.VEERG_4_6_1_3__6_Stage2NitrogenInMMS(H$152,I179)</f>
        <v>0.65190559679999993</v>
      </c>
      <c r="J195" s="2" t="str">
        <f>$E$162</f>
        <v>kg N</v>
      </c>
      <c r="N195" s="52"/>
      <c r="O195" s="52" t="str">
        <f>'Input - Poultry'!$D$53</f>
        <v>Composting (passive windrow)</v>
      </c>
      <c r="P195" s="52" cm="1">
        <f t="array" ref="P195">MMS_Poultry_N2ODirect_Equations.VEERG_4_6_1_3__6_Stage2NitrogenInMMS(E$152,F179)</f>
        <v>0.61074998400000013</v>
      </c>
      <c r="Q195" s="52" cm="1">
        <f t="array" ref="Q195">MMS_Poultry_N2ODirect_Equations.VEERG_4_6_1_3__6_Stage2NitrogenInMMS(F$152,G179)</f>
        <v>0.65190559679999993</v>
      </c>
      <c r="R195" s="52" cm="1">
        <f t="array" ref="R195">MMS_Poultry_N2ODirect_Equations.VEERG_4_6_1_3__6_Stage2NitrogenInMMS(G$152,H179)</f>
        <v>0.76524023039999989</v>
      </c>
      <c r="S195" s="52" cm="1">
        <f t="array" ref="S195">MMS_Poultry_N2ODirect_Equations.VEERG_4_6_1_3__6_Stage2NitrogenInMMS(H$152,I179)</f>
        <v>0.65190559679999993</v>
      </c>
      <c r="T195" s="2" t="str">
        <f>$E$162</f>
        <v>kg N</v>
      </c>
    </row>
    <row r="196" spans="3:21" ht="20.100000000000001" customHeight="1" x14ac:dyDescent="0.25">
      <c r="D196" s="52"/>
      <c r="E196" s="52" t="str">
        <f>'Input - Poultry'!$D$54</f>
        <v>Digester / covered lagoons</v>
      </c>
      <c r="F196" s="52" cm="1">
        <f t="array" ref="F196">MMS_Poultry_N2ODirect_Equations.VEERG_4_6_1_3__6_Stage2NitrogenInMMS(E$152,F180)</f>
        <v>0.61074998400000013</v>
      </c>
      <c r="G196" s="52" cm="1">
        <f t="array" ref="G196">MMS_Poultry_N2ODirect_Equations.VEERG_4_6_1_3__6_Stage2NitrogenInMMS(F$152,G180)</f>
        <v>0.65190559679999993</v>
      </c>
      <c r="H196" s="52" cm="1">
        <f t="array" ref="H196">MMS_Poultry_N2ODirect_Equations.VEERG_4_6_1_3__6_Stage2NitrogenInMMS(G$152,H180)</f>
        <v>0.76524023039999989</v>
      </c>
      <c r="I196" s="52" cm="1">
        <f t="array" ref="I196">MMS_Poultry_N2ODirect_Equations.VEERG_4_6_1_3__6_Stage2NitrogenInMMS(H$152,I180)</f>
        <v>0.65190559679999993</v>
      </c>
      <c r="J196" s="2" t="str">
        <f>$E$162</f>
        <v>kg N</v>
      </c>
      <c r="N196" s="52"/>
      <c r="O196" s="52" t="str">
        <f>'Input - Poultry'!$D$54</f>
        <v>Digester / covered lagoons</v>
      </c>
      <c r="P196" s="52" cm="1">
        <f t="array" ref="P196">MMS_Poultry_N2ODirect_Equations.VEERG_4_6_1_3__6_Stage2NitrogenInMMS(E$152,F180)</f>
        <v>0.61074998400000013</v>
      </c>
      <c r="Q196" s="52" cm="1">
        <f t="array" ref="Q196">MMS_Poultry_N2ODirect_Equations.VEERG_4_6_1_3__6_Stage2NitrogenInMMS(F$152,G180)</f>
        <v>0.65190559679999993</v>
      </c>
      <c r="R196" s="52" cm="1">
        <f t="array" ref="R196">MMS_Poultry_N2ODirect_Equations.VEERG_4_6_1_3__6_Stage2NitrogenInMMS(G$152,H180)</f>
        <v>0.76524023039999989</v>
      </c>
      <c r="S196" s="52" cm="1">
        <f t="array" ref="S196">MMS_Poultry_N2ODirect_Equations.VEERG_4_6_1_3__6_Stage2NitrogenInMMS(H$152,I180)</f>
        <v>0.65190559679999993</v>
      </c>
      <c r="T196" s="2" t="str">
        <f>$E$162</f>
        <v>kg N</v>
      </c>
    </row>
    <row r="197" spans="3:21" ht="20.100000000000001" customHeight="1" x14ac:dyDescent="0.25">
      <c r="D197" s="52"/>
      <c r="E197" s="52" t="str">
        <f>'Input - Poultry'!$D$55</f>
        <v>Direct processing</v>
      </c>
      <c r="F197" s="52" cm="1">
        <f t="array" ref="F197">MMS_Poultry_N2ODirect_Equations.VEERG_4_6_1_3__6_Stage2NitrogenInMMS(E$152,F181)</f>
        <v>0.61074998400000013</v>
      </c>
      <c r="G197" s="52" cm="1">
        <f t="array" ref="G197">MMS_Poultry_N2ODirect_Equations.VEERG_4_6_1_3__6_Stage2NitrogenInMMS(F$152,G181)</f>
        <v>0.65190559679999993</v>
      </c>
      <c r="H197" s="52" cm="1">
        <f t="array" ref="H197">MMS_Poultry_N2ODirect_Equations.VEERG_4_6_1_3__6_Stage2NitrogenInMMS(G$152,H181)</f>
        <v>0.76524023039999989</v>
      </c>
      <c r="I197" s="52" cm="1">
        <f t="array" ref="I197">MMS_Poultry_N2ODirect_Equations.VEERG_4_6_1_3__6_Stage2NitrogenInMMS(H$152,I181)</f>
        <v>0.65190559679999993</v>
      </c>
      <c r="J197" s="2" t="str">
        <f>$E$162</f>
        <v>kg N</v>
      </c>
      <c r="N197" s="52"/>
      <c r="O197" s="52" t="str">
        <f>'Input - Poultry'!$D$55</f>
        <v>Direct processing</v>
      </c>
      <c r="P197" s="52" cm="1">
        <f t="array" ref="P197">MMS_Poultry_N2ODirect_Equations.VEERG_4_6_1_3__6_Stage2NitrogenInMMS(E$152,F181)</f>
        <v>0.61074998400000013</v>
      </c>
      <c r="Q197" s="52" cm="1">
        <f t="array" ref="Q197">MMS_Poultry_N2ODirect_Equations.VEERG_4_6_1_3__6_Stage2NitrogenInMMS(F$152,G181)</f>
        <v>0.65190559679999993</v>
      </c>
      <c r="R197" s="52" cm="1">
        <f t="array" ref="R197">MMS_Poultry_N2ODirect_Equations.VEERG_4_6_1_3__6_Stage2NitrogenInMMS(G$152,H181)</f>
        <v>0.76524023039999989</v>
      </c>
      <c r="S197" s="52" cm="1">
        <f t="array" ref="S197">MMS_Poultry_N2ODirect_Equations.VEERG_4_6_1_3__6_Stage2NitrogenInMMS(H$152,I181)</f>
        <v>0.65190559679999993</v>
      </c>
      <c r="T197" s="2" t="str">
        <f>$E$162</f>
        <v>kg N</v>
      </c>
    </row>
    <row r="198" spans="3:21" ht="20.100000000000001" customHeight="1" x14ac:dyDescent="0.25"/>
    <row r="199" spans="3:21" ht="20.100000000000001" customHeight="1" x14ac:dyDescent="0.25"/>
    <row r="200" spans="3:21" ht="20.100000000000001" customHeight="1" x14ac:dyDescent="0.25">
      <c r="C200" s="45"/>
      <c r="D200" s="45"/>
      <c r="E200" s="45"/>
      <c r="F200" s="45"/>
      <c r="G200" s="45"/>
      <c r="H200" s="45"/>
      <c r="I200" s="45"/>
      <c r="J200" s="45"/>
      <c r="K200" s="45"/>
      <c r="M200" s="45"/>
      <c r="N200" s="45"/>
      <c r="O200" s="45"/>
      <c r="P200" s="45"/>
      <c r="Q200" s="45"/>
      <c r="R200" s="45"/>
      <c r="S200" s="45"/>
      <c r="T200" s="45"/>
      <c r="U200" s="45"/>
    </row>
    <row r="201" spans="3:21" ht="20.100000000000001" customHeight="1" x14ac:dyDescent="0.25">
      <c r="D201" s="6" t="str" cm="1">
        <f t="array" ref="D201">MMS_Poultry_N2ODirect_Equations.VEERG_4_6_1_3__1_TotalAnnualDirectNitrousOxideEmissionsFromMMS_Title()</f>
        <v>Total annual direct nitrous oxide emissions from manure management systems</v>
      </c>
    </row>
    <row r="202" spans="3:21" ht="20.100000000000001" customHeight="1" x14ac:dyDescent="0.25">
      <c r="D202" s="5" t="str" cm="1">
        <f t="array" ref="D202">MMS_Poultry_N2ODirect_Equations.VEERG_4_6_1_3__1_TotalAnnualDirectNitrousOxideEmissionsFromMMS_Source()</f>
        <v>VEERG 2026: 4.6.1.3, Equation (1)</v>
      </c>
    </row>
    <row r="203" spans="3:21" ht="20.100000000000001" customHeight="1" x14ac:dyDescent="0.25">
      <c r="D203" s="13" t="s">
        <v>26</v>
      </c>
      <c r="E203" s="13" t="str" cm="1">
        <f t="array" aca="1" ref="E203" ca="1">Common_InputFunctions.Utility_DisplayFunctionName(F216)</f>
        <v>=MMS_Poultry_N2ODirect_Equations.VEERG_4_6_1_3__1_TotalAnnualDirectNitrousOxideEmissionsFromMMS</v>
      </c>
    </row>
    <row r="204" spans="3:21" ht="20.100000000000001" customHeight="1" x14ac:dyDescent="0.25"/>
    <row r="205" spans="3:21" ht="20.100000000000001" customHeight="1" x14ac:dyDescent="0.25"/>
    <row r="206" spans="3:21" ht="20.100000000000001" customHeight="1" x14ac:dyDescent="0.25">
      <c r="D206" s="53" t="s">
        <v>29</v>
      </c>
      <c r="E206" s="1" t="str" cm="1">
        <f t="array" ref="E206">MMS_Poultry_N2ODirect_Equations.VEERG_4_6_1_3__1_TotalAnnualDirectNitrousOxideEmissionsFromMMS_Variable()</f>
        <v>E_N2Odir</v>
      </c>
    </row>
    <row r="207" spans="3:21" ht="20.100000000000001" customHeight="1" x14ac:dyDescent="0.25">
      <c r="D207" s="53" t="s">
        <v>19</v>
      </c>
      <c r="E207" s="54" t="str" cm="1">
        <f t="array" ref="E207">MMS_Poultry_N2ODirect_Equations.VEERG_4_6_1_3__1_TotalAnnualDirectNitrousOxideEmissionsFromMMS_Unit()</f>
        <v>t N2O</v>
      </c>
    </row>
    <row r="208" spans="3:21" ht="20.100000000000001" customHeight="1" x14ac:dyDescent="0.25"/>
    <row r="209" spans="4:20" ht="20.100000000000001" customHeight="1" x14ac:dyDescent="0.25">
      <c r="D209" s="57" t="str" cm="1">
        <f t="array" ref="D209:E211">MMS_Poultry_N2ODirect_Equations.VEERG_4_6_1_3__1_TotalAnnualDirectNitrousOxideEmissionsFromMMS_Arguments()</f>
        <v>MN_jkmT</v>
      </c>
      <c r="E209" s="58" t="str">
        <v>nitrogen per poultry class, subclass, MMS and treatment stage : kg N</v>
      </c>
      <c r="F209" s="59"/>
      <c r="G209" s="58" t="str">
        <f>"See " &amp; D105 &amp; " and " &amp; D183</f>
        <v>See M1_Table_MN_j_k_m_T-1 and M1_Table_MN_j_k_m_T-2</v>
      </c>
      <c r="H209" s="59"/>
    </row>
    <row r="210" spans="4:20" ht="20.100000000000001" customHeight="1" x14ac:dyDescent="0.25">
      <c r="D210" s="57" t="str">
        <v>EF_jm</v>
      </c>
      <c r="E210" s="58" t="str">
        <v>nitrous oxide emission factor for MMS : kg N2O-N/kg N</v>
      </c>
      <c r="F210" s="59"/>
      <c r="G210" s="58" t="str">
        <f>"See " &amp; D135</f>
        <v>See Table_EF_m</v>
      </c>
      <c r="H210" s="59"/>
    </row>
    <row r="211" spans="4:20" ht="20.100000000000001" customHeight="1" x14ac:dyDescent="0.25">
      <c r="D211" s="57" t="str">
        <v>C_N2O</v>
      </c>
      <c r="E211" s="58" t="str">
        <v>factor to convert elemental mass of nitrous oxide to molecular mass : ratio</v>
      </c>
      <c r="F211" s="59"/>
      <c r="G211" s="58">
        <f>Common_InputFunctions.Utility_LookupValueInTableNumber("N2O",Table_GasToMolecularConversionFactor[Gas],Table_GasToMolecularConversionFactor[Conversion factor combined])</f>
        <v>1.5714285714285714</v>
      </c>
      <c r="H211" s="59"/>
    </row>
    <row r="212" spans="4:20" ht="20.100000000000001" customHeight="1" x14ac:dyDescent="0.25"/>
    <row r="213" spans="4:20" ht="20.100000000000001" customHeight="1" x14ac:dyDescent="0.25">
      <c r="D213" s="99" t="s">
        <v>164</v>
      </c>
      <c r="N213" s="99" t="s">
        <v>164</v>
      </c>
    </row>
    <row r="214" spans="4:20" ht="20.100000000000001" customHeight="1" x14ac:dyDescent="0.25">
      <c r="D214" s="98" t="s">
        <v>291</v>
      </c>
      <c r="N214" s="98" t="s">
        <v>292</v>
      </c>
    </row>
    <row r="215" spans="4:20" ht="20.100000000000001" customHeight="1" x14ac:dyDescent="0.25">
      <c r="D215" s="51" t="s">
        <v>143</v>
      </c>
      <c r="E215" s="51" t="s">
        <v>145</v>
      </c>
      <c r="F215" s="51" t="s">
        <v>209</v>
      </c>
      <c r="G215" s="51" t="s">
        <v>210</v>
      </c>
      <c r="H215" s="51" t="s">
        <v>224</v>
      </c>
      <c r="I215" s="51" t="s">
        <v>225</v>
      </c>
      <c r="N215" s="51" t="s">
        <v>143</v>
      </c>
      <c r="O215" s="51" t="s">
        <v>145</v>
      </c>
      <c r="P215" s="51" t="s">
        <v>209</v>
      </c>
      <c r="Q215" s="51" t="s">
        <v>210</v>
      </c>
      <c r="R215" s="51" t="s">
        <v>224</v>
      </c>
      <c r="S215" s="51" t="s">
        <v>225</v>
      </c>
    </row>
    <row r="216" spans="4:20" ht="20.100000000000001" customHeight="1" x14ac:dyDescent="0.25">
      <c r="D216" s="52" t="str">
        <f>'Input - Poultry'!$D$30</f>
        <v>Poultry manure with bedding</v>
      </c>
      <c r="E216" s="52" t="s">
        <v>141</v>
      </c>
      <c r="F216" s="52" cm="1">
        <f t="array" ref="F216">MMS_Poultry_N2ODirect_Equations.VEERG_4_6_1_3__1_TotalAnnualDirectNitrousOxideEmissionsFromMMS(E108, _xlfn.XLOOKUP($D216, $D$138:$D$145,$E$138:$E$145), $G$211)</f>
        <v>8.0112685714285736E-6</v>
      </c>
      <c r="G216" s="52" cm="1">
        <f t="array" ref="G216">MMS_Poultry_N2ODirect_Equations.VEERG_4_6_1_3__1_TotalAnnualDirectNitrousOxideEmissionsFromMMS(F108, _xlfn.XLOOKUP($D216, $D$138:$D$145,$E$138:$E$145), $G$211)</f>
        <v>8.5511108571428573E-6</v>
      </c>
      <c r="H216" s="52" cm="1">
        <f t="array" ref="H216">MMS_Poultry_N2ODirect_Equations.VEERG_4_6_1_3__1_TotalAnnualDirectNitrousOxideEmissionsFromMMS(G108, _xlfn.XLOOKUP($D216, $D$138:$D$145,$E$138:$E$145), $G$211)</f>
        <v>1.0037732571428572E-5</v>
      </c>
      <c r="I216" s="52" cm="1">
        <f t="array" ref="I216">MMS_Poultry_N2ODirect_Equations.VEERG_4_6_1_3__1_TotalAnnualDirectNitrousOxideEmissionsFromMMS(H108, _xlfn.XLOOKUP($D216, $D$138:$D$145,$E$138:$E$145), $G$211)</f>
        <v>8.5511108571428573E-6</v>
      </c>
      <c r="J216" s="2" t="str">
        <f>$E$207</f>
        <v>t N2O</v>
      </c>
      <c r="N216" s="52" t="str">
        <f>'Input - Poultry'!$D$30</f>
        <v>Poultry manure with bedding</v>
      </c>
      <c r="O216" s="52" t="s">
        <v>141</v>
      </c>
      <c r="P216" s="52" cm="1">
        <f t="array" ref="P216">MMS_Poultry_N2ODirect_Equations.VEERG_4_6_1_3__1_TotalAnnualDirectNitrousOxideEmissionsFromMMS(O108, _xlfn.XLOOKUP($N216, $D$138:$D$145,$E$138:$E$145), $G$211)</f>
        <v>8.0112685714285736E-6</v>
      </c>
      <c r="Q216" s="52" cm="1">
        <f t="array" ref="Q216">MMS_Poultry_N2ODirect_Equations.VEERG_4_6_1_3__1_TotalAnnualDirectNitrousOxideEmissionsFromMMS(P108, _xlfn.XLOOKUP($N216, $D$138:$D$145,$E$138:$E$145), $G$211)</f>
        <v>8.5511108571428573E-6</v>
      </c>
      <c r="R216" s="52" cm="1">
        <f t="array" ref="R216">MMS_Poultry_N2ODirect_Equations.VEERG_4_6_1_3__1_TotalAnnualDirectNitrousOxideEmissionsFromMMS(Q108, _xlfn.XLOOKUP($N216, $D$138:$D$145,$E$138:$E$145), $G$211)</f>
        <v>1.0037732571428572E-5</v>
      </c>
      <c r="S216" s="52" cm="1">
        <f t="array" ref="S216">MMS_Poultry_N2ODirect_Equations.VEERG_4_6_1_3__1_TotalAnnualDirectNitrousOxideEmissionsFromMMS(R108, _xlfn.XLOOKUP($N216, $D$138:$D$145,$E$138:$E$145), $G$211)</f>
        <v>8.5511108571428573E-6</v>
      </c>
      <c r="T216" s="2" t="str">
        <f>$E$207</f>
        <v>t N2O</v>
      </c>
    </row>
    <row r="217" spans="4:20" ht="20.100000000000001" customHeight="1" x14ac:dyDescent="0.25">
      <c r="D217" s="52" t="str">
        <f>'Input - Poultry'!$D$31</f>
        <v>Belt manure removal</v>
      </c>
      <c r="E217" s="52" t="s">
        <v>141</v>
      </c>
      <c r="F217" s="52" cm="1">
        <f t="array" ref="F217">MMS_Poultry_N2ODirect_Equations.VEERG_4_6_1_3__1_TotalAnnualDirectNitrousOxideEmissionsFromMMS(E109, _xlfn.XLOOKUP($D217, $D$138:$D$145,$E$138:$E$145), $G$211)</f>
        <v>8.0112685714285736E-6</v>
      </c>
      <c r="G217" s="52" cm="1">
        <f t="array" ref="G217">MMS_Poultry_N2ODirect_Equations.VEERG_4_6_1_3__1_TotalAnnualDirectNitrousOxideEmissionsFromMMS(F109, _xlfn.XLOOKUP($D217, $D$138:$D$145,$E$138:$E$145), $G$211)</f>
        <v>8.5511108571428573E-6</v>
      </c>
      <c r="H217" s="52" cm="1">
        <f t="array" ref="H217">MMS_Poultry_N2ODirect_Equations.VEERG_4_6_1_3__1_TotalAnnualDirectNitrousOxideEmissionsFromMMS(G109, _xlfn.XLOOKUP($D217, $D$138:$D$145,$E$138:$E$145), $G$211)</f>
        <v>1.0037732571428572E-5</v>
      </c>
      <c r="I217" s="52" cm="1">
        <f t="array" ref="I217">MMS_Poultry_N2ODirect_Equations.VEERG_4_6_1_3__1_TotalAnnualDirectNitrousOxideEmissionsFromMMS(H109, _xlfn.XLOOKUP($D217, $D$138:$D$145,$E$138:$E$145), $G$211)</f>
        <v>8.5511108571428573E-6</v>
      </c>
      <c r="J217" s="2" t="str">
        <f t="shared" ref="J217:J231" si="4">$E$207</f>
        <v>t N2O</v>
      </c>
      <c r="N217" s="52" t="str">
        <f>'Input - Poultry'!$D$31</f>
        <v>Belt manure removal</v>
      </c>
      <c r="O217" s="52" t="s">
        <v>141</v>
      </c>
      <c r="P217" s="52" cm="1">
        <f t="array" ref="P217">MMS_Poultry_N2ODirect_Equations.VEERG_4_6_1_3__1_TotalAnnualDirectNitrousOxideEmissionsFromMMS(O109, _xlfn.XLOOKUP($N217, $D$138:$D$145,$E$138:$E$145), $G$211)</f>
        <v>8.0112685714285736E-6</v>
      </c>
      <c r="Q217" s="52" cm="1">
        <f t="array" ref="Q217">MMS_Poultry_N2ODirect_Equations.VEERG_4_6_1_3__1_TotalAnnualDirectNitrousOxideEmissionsFromMMS(P109, _xlfn.XLOOKUP($N217, $D$138:$D$145,$E$138:$E$145), $G$211)</f>
        <v>8.5511108571428573E-6</v>
      </c>
      <c r="R217" s="52" cm="1">
        <f t="array" ref="R217">MMS_Poultry_N2ODirect_Equations.VEERG_4_6_1_3__1_TotalAnnualDirectNitrousOxideEmissionsFromMMS(Q109, _xlfn.XLOOKUP($N217, $D$138:$D$145,$E$138:$E$145), $G$211)</f>
        <v>1.0037732571428572E-5</v>
      </c>
      <c r="S217" s="52" cm="1">
        <f t="array" ref="S217">MMS_Poultry_N2ODirect_Equations.VEERG_4_6_1_3__1_TotalAnnualDirectNitrousOxideEmissionsFromMMS(R109, _xlfn.XLOOKUP($N217, $D$138:$D$145,$E$138:$E$145), $G$211)</f>
        <v>8.5511108571428573E-6</v>
      </c>
      <c r="T217" s="2" t="str">
        <f t="shared" ref="T217:T231" si="5">$E$207</f>
        <v>t N2O</v>
      </c>
    </row>
    <row r="218" spans="4:20" ht="20.100000000000001" customHeight="1" x14ac:dyDescent="0.25">
      <c r="D218" s="52" t="str">
        <f>'Input - Poultry'!$D$32</f>
        <v>Manure stored in house</v>
      </c>
      <c r="E218" s="52" t="s">
        <v>141</v>
      </c>
      <c r="F218" s="52" cm="1">
        <f t="array" ref="F218">MMS_Poultry_N2ODirect_Equations.VEERG_4_6_1_3__1_TotalAnnualDirectNitrousOxideEmissionsFromMMS(E110, _xlfn.XLOOKUP($D218, $D$138:$D$145,$E$138:$E$145), $G$211)</f>
        <v>8.0112685714285736E-6</v>
      </c>
      <c r="G218" s="52" cm="1">
        <f t="array" ref="G218">MMS_Poultry_N2ODirect_Equations.VEERG_4_6_1_3__1_TotalAnnualDirectNitrousOxideEmissionsFromMMS(F110, _xlfn.XLOOKUP($D218, $D$138:$D$145,$E$138:$E$145), $G$211)</f>
        <v>8.5511108571428573E-6</v>
      </c>
      <c r="H218" s="52" cm="1">
        <f t="array" ref="H218">MMS_Poultry_N2ODirect_Equations.VEERG_4_6_1_3__1_TotalAnnualDirectNitrousOxideEmissionsFromMMS(G110, _xlfn.XLOOKUP($D218, $D$138:$D$145,$E$138:$E$145), $G$211)</f>
        <v>1.0037732571428572E-5</v>
      </c>
      <c r="I218" s="52" cm="1">
        <f t="array" ref="I218">MMS_Poultry_N2ODirect_Equations.VEERG_4_6_1_3__1_TotalAnnualDirectNitrousOxideEmissionsFromMMS(H110, _xlfn.XLOOKUP($D218, $D$138:$D$145,$E$138:$E$145), $G$211)</f>
        <v>8.5511108571428573E-6</v>
      </c>
      <c r="J218" s="2" t="str">
        <f t="shared" si="4"/>
        <v>t N2O</v>
      </c>
      <c r="N218" s="52" t="str">
        <f>'Input - Poultry'!$D$32</f>
        <v>Manure stored in house</v>
      </c>
      <c r="O218" s="52" t="s">
        <v>141</v>
      </c>
      <c r="P218" s="52" cm="1">
        <f t="array" ref="P218">MMS_Poultry_N2ODirect_Equations.VEERG_4_6_1_3__1_TotalAnnualDirectNitrousOxideEmissionsFromMMS(O110, _xlfn.XLOOKUP($N218, $D$138:$D$145,$E$138:$E$145), $G$211)</f>
        <v>8.0112685714285736E-6</v>
      </c>
      <c r="Q218" s="52" cm="1">
        <f t="array" ref="Q218">MMS_Poultry_N2ODirect_Equations.VEERG_4_6_1_3__1_TotalAnnualDirectNitrousOxideEmissionsFromMMS(P110, _xlfn.XLOOKUP($N218, $D$138:$D$145,$E$138:$E$145), $G$211)</f>
        <v>8.5511108571428573E-6</v>
      </c>
      <c r="R218" s="52" cm="1">
        <f t="array" ref="R218">MMS_Poultry_N2ODirect_Equations.VEERG_4_6_1_3__1_TotalAnnualDirectNitrousOxideEmissionsFromMMS(Q110, _xlfn.XLOOKUP($N218, $D$138:$D$145,$E$138:$E$145), $G$211)</f>
        <v>1.0037732571428572E-5</v>
      </c>
      <c r="S218" s="52" cm="1">
        <f t="array" ref="S218">MMS_Poultry_N2ODirect_Equations.VEERG_4_6_1_3__1_TotalAnnualDirectNitrousOxideEmissionsFromMMS(R110, _xlfn.XLOOKUP($N218, $D$138:$D$145,$E$138:$E$145), $G$211)</f>
        <v>8.5511108571428573E-6</v>
      </c>
      <c r="T218" s="2" t="str">
        <f t="shared" si="5"/>
        <v>t N2O</v>
      </c>
    </row>
    <row r="219" spans="4:20" ht="20.100000000000001" customHeight="1" x14ac:dyDescent="0.25">
      <c r="D219" s="52" t="str">
        <f>'Input - Poultry'!$D$33</f>
        <v>Pasture range and paddock</v>
      </c>
      <c r="E219" s="52" t="s">
        <v>141</v>
      </c>
      <c r="F219" s="52" cm="1">
        <f t="array" ref="F219">MMS_Poultry_N2ODirect_Equations.VEERG_4_6_1_3__1_TotalAnnualDirectNitrousOxideEmissionsFromMMS(E111, _xlfn.XLOOKUP($D219, $D$138:$D$145,$E$138:$E$145), $G$211)</f>
        <v>5.3408457142857159E-5</v>
      </c>
      <c r="G219" s="52" cm="1">
        <f t="array" ref="G219">MMS_Poultry_N2ODirect_Equations.VEERG_4_6_1_3__1_TotalAnnualDirectNitrousOxideEmissionsFromMMS(F111, _xlfn.XLOOKUP($D219, $D$138:$D$145,$E$138:$E$145), $G$211)</f>
        <v>5.700740571428572E-5</v>
      </c>
      <c r="H219" s="52" cm="1">
        <f t="array" ref="H219">MMS_Poultry_N2ODirect_Equations.VEERG_4_6_1_3__1_TotalAnnualDirectNitrousOxideEmissionsFromMMS(G111, _xlfn.XLOOKUP($D219, $D$138:$D$145,$E$138:$E$145), $G$211)</f>
        <v>6.6918217142857147E-5</v>
      </c>
      <c r="I219" s="52" cm="1">
        <f t="array" ref="I219">MMS_Poultry_N2ODirect_Equations.VEERG_4_6_1_3__1_TotalAnnualDirectNitrousOxideEmissionsFromMMS(H111, _xlfn.XLOOKUP($D219, $D$138:$D$145,$E$138:$E$145), $G$211)</f>
        <v>5.700740571428572E-5</v>
      </c>
      <c r="J219" s="2" t="str">
        <f t="shared" si="4"/>
        <v>t N2O</v>
      </c>
      <c r="N219" s="52" t="str">
        <f>'Input - Poultry'!$D$33</f>
        <v>Pasture range and paddock</v>
      </c>
      <c r="O219" s="52" t="s">
        <v>141</v>
      </c>
      <c r="P219" s="52" cm="1">
        <f t="array" ref="P219">MMS_Poultry_N2ODirect_Equations.VEERG_4_6_1_3__1_TotalAnnualDirectNitrousOxideEmissionsFromMMS(O111, _xlfn.XLOOKUP($N219, $D$138:$D$145,$E$138:$E$145), $G$211)</f>
        <v>5.3408457142857159E-5</v>
      </c>
      <c r="Q219" s="52" cm="1">
        <f t="array" ref="Q219">MMS_Poultry_N2ODirect_Equations.VEERG_4_6_1_3__1_TotalAnnualDirectNitrousOxideEmissionsFromMMS(P111, _xlfn.XLOOKUP($N219, $D$138:$D$145,$E$138:$E$145), $G$211)</f>
        <v>5.700740571428572E-5</v>
      </c>
      <c r="R219" s="52" cm="1">
        <f t="array" ref="R219">MMS_Poultry_N2ODirect_Equations.VEERG_4_6_1_3__1_TotalAnnualDirectNitrousOxideEmissionsFromMMS(Q111, _xlfn.XLOOKUP($N219, $D$138:$D$145,$E$138:$E$145), $G$211)</f>
        <v>6.6918217142857147E-5</v>
      </c>
      <c r="S219" s="52" cm="1">
        <f t="array" ref="S219">MMS_Poultry_N2ODirect_Equations.VEERG_4_6_1_3__1_TotalAnnualDirectNitrousOxideEmissionsFromMMS(R111, _xlfn.XLOOKUP($N219, $D$138:$D$145,$E$138:$E$145), $G$211)</f>
        <v>5.700740571428572E-5</v>
      </c>
      <c r="T219" s="2" t="str">
        <f t="shared" si="5"/>
        <v>t N2O</v>
      </c>
    </row>
    <row r="220" spans="4:20" ht="20.100000000000001" customHeight="1" x14ac:dyDescent="0.25">
      <c r="D220" s="52" t="str">
        <f>'Input - Poultry'!$D$30</f>
        <v>Poultry manure with bedding</v>
      </c>
      <c r="E220" s="52" t="str">
        <f>'Input - Poultry'!$D$38</f>
        <v>Solid storage</v>
      </c>
      <c r="F220" s="52" cm="1">
        <f t="array" ref="F220">MMS_Poultry_N2ODirect_Equations.VEERG_4_6_1_3__1_TotalAnnualDirectNitrousOxideEmissionsFromMMS(F186, _xlfn.XLOOKUP($E220, $D$138:$D$145,$E$138:$E$145), $G$211)</f>
        <v>5.5998767314285723E-6</v>
      </c>
      <c r="G220" s="52" cm="1">
        <f t="array" ref="G220">MMS_Poultry_N2ODirect_Equations.VEERG_4_6_1_3__1_TotalAnnualDirectNitrousOxideEmissionsFromMMS(G186, _xlfn.XLOOKUP($E220, $D$138:$D$145,$E$138:$E$145), $G$211)</f>
        <v>5.9772264891428572E-6</v>
      </c>
      <c r="H220" s="52" cm="1">
        <f t="array" ref="H220">MMS_Poultry_N2ODirect_Equations.VEERG_4_6_1_3__1_TotalAnnualDirectNitrousOxideEmissionsFromMMS(H186, _xlfn.XLOOKUP($E220, $D$138:$D$145,$E$138:$E$145), $G$211)</f>
        <v>7.0163750674285713E-6</v>
      </c>
      <c r="I220" s="52" cm="1">
        <f t="array" ref="I220">MMS_Poultry_N2ODirect_Equations.VEERG_4_6_1_3__1_TotalAnnualDirectNitrousOxideEmissionsFromMMS(I186, _xlfn.XLOOKUP($E220, $D$138:$D$145,$E$138:$E$145), $G$211)</f>
        <v>5.9772264891428572E-6</v>
      </c>
      <c r="J220" s="2" t="str">
        <f t="shared" si="4"/>
        <v>t N2O</v>
      </c>
      <c r="N220" s="52" t="str">
        <f>'Input - Poultry'!$D$30</f>
        <v>Poultry manure with bedding</v>
      </c>
      <c r="O220" s="52" t="str">
        <f>'Input - Poultry'!$D$38</f>
        <v>Solid storage</v>
      </c>
      <c r="P220" s="52" cm="1">
        <f t="array" ref="P220">MMS_Poultry_N2ODirect_Equations.VEERG_4_6_1_3__1_TotalAnnualDirectNitrousOxideEmissionsFromMMS(P186, _xlfn.XLOOKUP($O220, $D$138:$D$145,$E$138:$E$145), $G$211)</f>
        <v>5.5998767314285723E-6</v>
      </c>
      <c r="Q220" s="52" cm="1">
        <f t="array" ref="Q220">MMS_Poultry_N2ODirect_Equations.VEERG_4_6_1_3__1_TotalAnnualDirectNitrousOxideEmissionsFromMMS(Q186, _xlfn.XLOOKUP($O220, $D$138:$D$145,$E$138:$E$145), $G$211)</f>
        <v>5.9772264891428572E-6</v>
      </c>
      <c r="R220" s="52" cm="1">
        <f t="array" ref="R220">MMS_Poultry_N2ODirect_Equations.VEERG_4_6_1_3__1_TotalAnnualDirectNitrousOxideEmissionsFromMMS(R186, _xlfn.XLOOKUP($O220, $D$138:$D$145,$E$138:$E$145), $G$211)</f>
        <v>7.0163750674285713E-6</v>
      </c>
      <c r="S220" s="52" cm="1">
        <f t="array" ref="S220">MMS_Poultry_N2ODirect_Equations.VEERG_4_6_1_3__1_TotalAnnualDirectNitrousOxideEmissionsFromMMS(S186, _xlfn.XLOOKUP($O220, $D$138:$D$145,$E$138:$E$145), $G$211)</f>
        <v>5.9772264891428572E-6</v>
      </c>
      <c r="T220" s="2" t="str">
        <f t="shared" si="5"/>
        <v>t N2O</v>
      </c>
    </row>
    <row r="221" spans="4:20" ht="20.100000000000001" customHeight="1" x14ac:dyDescent="0.25">
      <c r="D221" s="52"/>
      <c r="E221" s="52" t="str">
        <f>'Input - Poultry'!$D$39</f>
        <v>Composting (passive windrow)</v>
      </c>
      <c r="F221" s="52" cm="1">
        <f t="array" ref="F221">MMS_Poultry_N2ODirect_Equations.VEERG_4_6_1_3__1_TotalAnnualDirectNitrousOxideEmissionsFromMMS(F187, _xlfn.XLOOKUP($E221, $D$138:$D$145,$E$138:$E$145), $G$211)</f>
        <v>1.1199753462857145E-5</v>
      </c>
      <c r="G221" s="52" cm="1">
        <f t="array" ref="G221">MMS_Poultry_N2ODirect_Equations.VEERG_4_6_1_3__1_TotalAnnualDirectNitrousOxideEmissionsFromMMS(G187, _xlfn.XLOOKUP($E221, $D$138:$D$145,$E$138:$E$145), $G$211)</f>
        <v>1.1954452978285714E-5</v>
      </c>
      <c r="H221" s="52" cm="1">
        <f t="array" ref="H221">MMS_Poultry_N2ODirect_Equations.VEERG_4_6_1_3__1_TotalAnnualDirectNitrousOxideEmissionsFromMMS(H187, _xlfn.XLOOKUP($E221, $D$138:$D$145,$E$138:$E$145), $G$211)</f>
        <v>1.4032750134857143E-5</v>
      </c>
      <c r="I221" s="52" cm="1">
        <f t="array" ref="I221">MMS_Poultry_N2ODirect_Equations.VEERG_4_6_1_3__1_TotalAnnualDirectNitrousOxideEmissionsFromMMS(I187, _xlfn.XLOOKUP($E221, $D$138:$D$145,$E$138:$E$145), $G$211)</f>
        <v>1.1954452978285714E-5</v>
      </c>
      <c r="J221" s="2" t="str">
        <f t="shared" si="4"/>
        <v>t N2O</v>
      </c>
      <c r="N221" s="52"/>
      <c r="O221" s="52" t="str">
        <f>'Input - Poultry'!$D$39</f>
        <v>Composting (passive windrow)</v>
      </c>
      <c r="P221" s="52" cm="1">
        <f t="array" ref="P221">MMS_Poultry_N2ODirect_Equations.VEERG_4_6_1_3__1_TotalAnnualDirectNitrousOxideEmissionsFromMMS(P187, _xlfn.XLOOKUP($O221, $D$138:$D$145,$E$138:$E$145), $G$211)</f>
        <v>1.1199753462857145E-5</v>
      </c>
      <c r="Q221" s="52" cm="1">
        <f t="array" ref="Q221">MMS_Poultry_N2ODirect_Equations.VEERG_4_6_1_3__1_TotalAnnualDirectNitrousOxideEmissionsFromMMS(Q187, _xlfn.XLOOKUP($O221, $D$138:$D$145,$E$138:$E$145), $G$211)</f>
        <v>1.1954452978285714E-5</v>
      </c>
      <c r="R221" s="52" cm="1">
        <f t="array" ref="R221">MMS_Poultry_N2ODirect_Equations.VEERG_4_6_1_3__1_TotalAnnualDirectNitrousOxideEmissionsFromMMS(R187, _xlfn.XLOOKUP($O221, $D$138:$D$145,$E$138:$E$145), $G$211)</f>
        <v>1.4032750134857143E-5</v>
      </c>
      <c r="S221" s="52" cm="1">
        <f t="array" ref="S221">MMS_Poultry_N2ODirect_Equations.VEERG_4_6_1_3__1_TotalAnnualDirectNitrousOxideEmissionsFromMMS(S187, _xlfn.XLOOKUP($O221, $D$138:$D$145,$E$138:$E$145), $G$211)</f>
        <v>1.1954452978285714E-5</v>
      </c>
      <c r="T221" s="2" t="str">
        <f t="shared" si="5"/>
        <v>t N2O</v>
      </c>
    </row>
    <row r="222" spans="4:20" ht="20.100000000000001" customHeight="1" x14ac:dyDescent="0.25">
      <c r="D222" s="52"/>
      <c r="E222" s="52" t="str">
        <f>'Input - Poultry'!$D$40</f>
        <v>Digester / covered lagoons</v>
      </c>
      <c r="F222" s="52" cm="1">
        <f t="array" ref="F222">MMS_Poultry_N2ODirect_Equations.VEERG_4_6_1_3__1_TotalAnnualDirectNitrousOxideEmissionsFromMMS(F188, _xlfn.XLOOKUP($E222, $D$138:$D$145,$E$138:$E$145), $G$211)</f>
        <v>0</v>
      </c>
      <c r="G222" s="52" cm="1">
        <f t="array" ref="G222">MMS_Poultry_N2ODirect_Equations.VEERG_4_6_1_3__1_TotalAnnualDirectNitrousOxideEmissionsFromMMS(G188, _xlfn.XLOOKUP($E222, $D$138:$D$145,$E$138:$E$145), $G$211)</f>
        <v>0</v>
      </c>
      <c r="H222" s="52" cm="1">
        <f t="array" ref="H222">MMS_Poultry_N2ODirect_Equations.VEERG_4_6_1_3__1_TotalAnnualDirectNitrousOxideEmissionsFromMMS(H188, _xlfn.XLOOKUP($E222, $D$138:$D$145,$E$138:$E$145), $G$211)</f>
        <v>0</v>
      </c>
      <c r="I222" s="52" cm="1">
        <f t="array" ref="I222">MMS_Poultry_N2ODirect_Equations.VEERG_4_6_1_3__1_TotalAnnualDirectNitrousOxideEmissionsFromMMS(I188, _xlfn.XLOOKUP($E222, $D$138:$D$145,$E$138:$E$145), $G$211)</f>
        <v>0</v>
      </c>
      <c r="J222" s="2" t="str">
        <f t="shared" si="4"/>
        <v>t N2O</v>
      </c>
      <c r="N222" s="52"/>
      <c r="O222" s="52" t="str">
        <f>'Input - Poultry'!$D$40</f>
        <v>Digester / covered lagoons</v>
      </c>
      <c r="P222" s="52" cm="1">
        <f t="array" ref="P222">MMS_Poultry_N2ODirect_Equations.VEERG_4_6_1_3__1_TotalAnnualDirectNitrousOxideEmissionsFromMMS(P188, _xlfn.XLOOKUP($O222, $D$138:$D$145,$E$138:$E$145), $G$211)</f>
        <v>0</v>
      </c>
      <c r="Q222" s="52" cm="1">
        <f t="array" ref="Q222">MMS_Poultry_N2ODirect_Equations.VEERG_4_6_1_3__1_TotalAnnualDirectNitrousOxideEmissionsFromMMS(Q188, _xlfn.XLOOKUP($O222, $D$138:$D$145,$E$138:$E$145), $G$211)</f>
        <v>0</v>
      </c>
      <c r="R222" s="52" cm="1">
        <f t="array" ref="R222">MMS_Poultry_N2ODirect_Equations.VEERG_4_6_1_3__1_TotalAnnualDirectNitrousOxideEmissionsFromMMS(R188, _xlfn.XLOOKUP($O222, $D$138:$D$145,$E$138:$E$145), $G$211)</f>
        <v>0</v>
      </c>
      <c r="S222" s="52" cm="1">
        <f t="array" ref="S222">MMS_Poultry_N2ODirect_Equations.VEERG_4_6_1_3__1_TotalAnnualDirectNitrousOxideEmissionsFromMMS(S188, _xlfn.XLOOKUP($O222, $D$138:$D$145,$E$138:$E$145), $G$211)</f>
        <v>0</v>
      </c>
      <c r="T222" s="2" t="str">
        <f t="shared" si="5"/>
        <v>t N2O</v>
      </c>
    </row>
    <row r="223" spans="4:20" ht="20.100000000000001" customHeight="1" x14ac:dyDescent="0.25">
      <c r="D223" s="52"/>
      <c r="E223" s="52" t="str">
        <f>'Input - Poultry'!$D$41</f>
        <v>Direct processing</v>
      </c>
      <c r="F223" s="52" cm="1">
        <f t="array" ref="F223">MMS_Poultry_N2ODirect_Equations.VEERG_4_6_1_3__1_TotalAnnualDirectNitrousOxideEmissionsFromMMS(F189, _xlfn.XLOOKUP($E223, $D$138:$D$145,$E$138:$E$145), $G$211)</f>
        <v>0</v>
      </c>
      <c r="G223" s="52" cm="1">
        <f t="array" ref="G223">MMS_Poultry_N2ODirect_Equations.VEERG_4_6_1_3__1_TotalAnnualDirectNitrousOxideEmissionsFromMMS(G189, _xlfn.XLOOKUP($E223, $D$138:$D$145,$E$138:$E$145), $G$211)</f>
        <v>0</v>
      </c>
      <c r="H223" s="52" cm="1">
        <f t="array" ref="H223">MMS_Poultry_N2ODirect_Equations.VEERG_4_6_1_3__1_TotalAnnualDirectNitrousOxideEmissionsFromMMS(H189, _xlfn.XLOOKUP($E223, $D$138:$D$145,$E$138:$E$145), $G$211)</f>
        <v>0</v>
      </c>
      <c r="I223" s="52" cm="1">
        <f t="array" ref="I223">MMS_Poultry_N2ODirect_Equations.VEERG_4_6_1_3__1_TotalAnnualDirectNitrousOxideEmissionsFromMMS(I189, _xlfn.XLOOKUP($E223, $D$138:$D$145,$E$138:$E$145), $G$211)</f>
        <v>0</v>
      </c>
      <c r="J223" s="2" t="str">
        <f t="shared" si="4"/>
        <v>t N2O</v>
      </c>
      <c r="N223" s="52"/>
      <c r="O223" s="52" t="str">
        <f>'Input - Poultry'!$D$41</f>
        <v>Direct processing</v>
      </c>
      <c r="P223" s="52" cm="1">
        <f t="array" ref="P223">MMS_Poultry_N2ODirect_Equations.VEERG_4_6_1_3__1_TotalAnnualDirectNitrousOxideEmissionsFromMMS(P189, _xlfn.XLOOKUP($O223, $D$138:$D$145,$E$138:$E$145), $G$211)</f>
        <v>0</v>
      </c>
      <c r="Q223" s="52" cm="1">
        <f t="array" ref="Q223">MMS_Poultry_N2ODirect_Equations.VEERG_4_6_1_3__1_TotalAnnualDirectNitrousOxideEmissionsFromMMS(Q189, _xlfn.XLOOKUP($O223, $D$138:$D$145,$E$138:$E$145), $G$211)</f>
        <v>0</v>
      </c>
      <c r="R223" s="52" cm="1">
        <f t="array" ref="R223">MMS_Poultry_N2ODirect_Equations.VEERG_4_6_1_3__1_TotalAnnualDirectNitrousOxideEmissionsFromMMS(R189, _xlfn.XLOOKUP($O223, $D$138:$D$145,$E$138:$E$145), $G$211)</f>
        <v>0</v>
      </c>
      <c r="S223" s="52" cm="1">
        <f t="array" ref="S223">MMS_Poultry_N2ODirect_Equations.VEERG_4_6_1_3__1_TotalAnnualDirectNitrousOxideEmissionsFromMMS(S189, _xlfn.XLOOKUP($O223, $D$138:$D$145,$E$138:$E$145), $G$211)</f>
        <v>0</v>
      </c>
      <c r="T223" s="2" t="str">
        <f t="shared" si="5"/>
        <v>t N2O</v>
      </c>
    </row>
    <row r="224" spans="4:20" ht="20.100000000000001" customHeight="1" x14ac:dyDescent="0.25">
      <c r="D224" s="52" t="str">
        <f>'Input - Poultry'!$D$31</f>
        <v>Belt manure removal</v>
      </c>
      <c r="E224" s="52" t="str">
        <f>'Input - Poultry'!$D$45</f>
        <v>Solid storage</v>
      </c>
      <c r="F224" s="52" cm="1">
        <f t="array" ref="F224">MMS_Poultry_N2ODirect_Equations.VEERG_4_6_1_3__1_TotalAnnualDirectNitrousOxideEmissionsFromMMS(F190, _xlfn.XLOOKUP($E224, $D$138:$D$145,$E$138:$E$145), $G$211)</f>
        <v>7.6026938742857157E-6</v>
      </c>
      <c r="G224" s="52" cm="1">
        <f t="array" ref="G224">MMS_Poultry_N2ODirect_Equations.VEERG_4_6_1_3__1_TotalAnnualDirectNitrousOxideEmissionsFromMMS(G190, _xlfn.XLOOKUP($E224, $D$138:$D$145,$E$138:$E$145), $G$211)</f>
        <v>8.1150042034285711E-6</v>
      </c>
      <c r="H224" s="52" cm="1">
        <f t="array" ref="H224">MMS_Poultry_N2ODirect_Equations.VEERG_4_6_1_3__1_TotalAnnualDirectNitrousOxideEmissionsFromMMS(H190, _xlfn.XLOOKUP($E224, $D$138:$D$145,$E$138:$E$145), $G$211)</f>
        <v>9.5258082102857138E-6</v>
      </c>
      <c r="I224" s="52" cm="1">
        <f t="array" ref="I224">MMS_Poultry_N2ODirect_Equations.VEERG_4_6_1_3__1_TotalAnnualDirectNitrousOxideEmissionsFromMMS(I190, _xlfn.XLOOKUP($E224, $D$138:$D$145,$E$138:$E$145), $G$211)</f>
        <v>8.1150042034285711E-6</v>
      </c>
      <c r="J224" s="2" t="str">
        <f t="shared" si="4"/>
        <v>t N2O</v>
      </c>
      <c r="N224" s="52" t="str">
        <f>'Input - Poultry'!$D$31</f>
        <v>Belt manure removal</v>
      </c>
      <c r="O224" s="52" t="str">
        <f>'Input - Poultry'!$D$45</f>
        <v>Solid storage</v>
      </c>
      <c r="P224" s="52" cm="1">
        <f t="array" ref="P224">MMS_Poultry_N2ODirect_Equations.VEERG_4_6_1_3__1_TotalAnnualDirectNitrousOxideEmissionsFromMMS(P190, _xlfn.XLOOKUP($O224, $D$138:$D$145,$E$138:$E$145), $G$211)</f>
        <v>7.6026938742857157E-6</v>
      </c>
      <c r="Q224" s="52" cm="1">
        <f t="array" ref="Q224">MMS_Poultry_N2ODirect_Equations.VEERG_4_6_1_3__1_TotalAnnualDirectNitrousOxideEmissionsFromMMS(Q190, _xlfn.XLOOKUP($O224, $D$138:$D$145,$E$138:$E$145), $G$211)</f>
        <v>8.1150042034285711E-6</v>
      </c>
      <c r="R224" s="52" cm="1">
        <f t="array" ref="R224">MMS_Poultry_N2ODirect_Equations.VEERG_4_6_1_3__1_TotalAnnualDirectNitrousOxideEmissionsFromMMS(R190, _xlfn.XLOOKUP($O224, $D$138:$D$145,$E$138:$E$145), $G$211)</f>
        <v>9.5258082102857138E-6</v>
      </c>
      <c r="S224" s="52" cm="1">
        <f t="array" ref="S224">MMS_Poultry_N2ODirect_Equations.VEERG_4_6_1_3__1_TotalAnnualDirectNitrousOxideEmissionsFromMMS(S190, _xlfn.XLOOKUP($O224, $D$138:$D$145,$E$138:$E$145), $G$211)</f>
        <v>8.1150042034285711E-6</v>
      </c>
      <c r="T224" s="2" t="str">
        <f t="shared" si="5"/>
        <v>t N2O</v>
      </c>
    </row>
    <row r="225" spans="4:20" ht="20.100000000000001" customHeight="1" x14ac:dyDescent="0.25">
      <c r="D225" s="52"/>
      <c r="E225" s="52" t="str">
        <f>'Input - Poultry'!$D$46</f>
        <v>Composting (passive windrow)</v>
      </c>
      <c r="F225" s="52" cm="1">
        <f t="array" ref="F225">MMS_Poultry_N2ODirect_Equations.VEERG_4_6_1_3__1_TotalAnnualDirectNitrousOxideEmissionsFromMMS(F191, _xlfn.XLOOKUP($E225, $D$138:$D$145,$E$138:$E$145), $G$211)</f>
        <v>1.5205387748571431E-5</v>
      </c>
      <c r="G225" s="52" cm="1">
        <f t="array" ref="G225">MMS_Poultry_N2ODirect_Equations.VEERG_4_6_1_3__1_TotalAnnualDirectNitrousOxideEmissionsFromMMS(G191, _xlfn.XLOOKUP($E225, $D$138:$D$145,$E$138:$E$145), $G$211)</f>
        <v>1.6230008406857142E-5</v>
      </c>
      <c r="H225" s="52" cm="1">
        <f t="array" ref="H225">MMS_Poultry_N2ODirect_Equations.VEERG_4_6_1_3__1_TotalAnnualDirectNitrousOxideEmissionsFromMMS(H191, _xlfn.XLOOKUP($E225, $D$138:$D$145,$E$138:$E$145), $G$211)</f>
        <v>1.9051616420571428E-5</v>
      </c>
      <c r="I225" s="52" cm="1">
        <f t="array" ref="I225">MMS_Poultry_N2ODirect_Equations.VEERG_4_6_1_3__1_TotalAnnualDirectNitrousOxideEmissionsFromMMS(I191, _xlfn.XLOOKUP($E225, $D$138:$D$145,$E$138:$E$145), $G$211)</f>
        <v>1.6230008406857142E-5</v>
      </c>
      <c r="J225" s="2" t="str">
        <f t="shared" si="4"/>
        <v>t N2O</v>
      </c>
      <c r="N225" s="52"/>
      <c r="O225" s="52" t="str">
        <f>'Input - Poultry'!$D$46</f>
        <v>Composting (passive windrow)</v>
      </c>
      <c r="P225" s="52" cm="1">
        <f t="array" ref="P225">MMS_Poultry_N2ODirect_Equations.VEERG_4_6_1_3__1_TotalAnnualDirectNitrousOxideEmissionsFromMMS(P191, _xlfn.XLOOKUP($O225, $D$138:$D$145,$E$138:$E$145), $G$211)</f>
        <v>1.5205387748571431E-5</v>
      </c>
      <c r="Q225" s="52" cm="1">
        <f t="array" ref="Q225">MMS_Poultry_N2ODirect_Equations.VEERG_4_6_1_3__1_TotalAnnualDirectNitrousOxideEmissionsFromMMS(Q191, _xlfn.XLOOKUP($O225, $D$138:$D$145,$E$138:$E$145), $G$211)</f>
        <v>1.6230008406857142E-5</v>
      </c>
      <c r="R225" s="52" cm="1">
        <f t="array" ref="R225">MMS_Poultry_N2ODirect_Equations.VEERG_4_6_1_3__1_TotalAnnualDirectNitrousOxideEmissionsFromMMS(R191, _xlfn.XLOOKUP($O225, $D$138:$D$145,$E$138:$E$145), $G$211)</f>
        <v>1.9051616420571428E-5</v>
      </c>
      <c r="S225" s="52" cm="1">
        <f t="array" ref="S225">MMS_Poultry_N2ODirect_Equations.VEERG_4_6_1_3__1_TotalAnnualDirectNitrousOxideEmissionsFromMMS(S191, _xlfn.XLOOKUP($O225, $D$138:$D$145,$E$138:$E$145), $G$211)</f>
        <v>1.6230008406857142E-5</v>
      </c>
      <c r="T225" s="2" t="str">
        <f t="shared" si="5"/>
        <v>t N2O</v>
      </c>
    </row>
    <row r="226" spans="4:20" ht="20.100000000000001" customHeight="1" x14ac:dyDescent="0.25">
      <c r="D226" s="52"/>
      <c r="E226" s="52" t="str">
        <f>'Input - Poultry'!$D$47</f>
        <v>Digester / covered lagoons</v>
      </c>
      <c r="F226" s="52" cm="1">
        <f t="array" ref="F226">MMS_Poultry_N2ODirect_Equations.VEERG_4_6_1_3__1_TotalAnnualDirectNitrousOxideEmissionsFromMMS(F192, _xlfn.XLOOKUP($E226, $D$138:$D$145,$E$138:$E$145), $G$211)</f>
        <v>0</v>
      </c>
      <c r="G226" s="52" cm="1">
        <f t="array" ref="G226">MMS_Poultry_N2ODirect_Equations.VEERG_4_6_1_3__1_TotalAnnualDirectNitrousOxideEmissionsFromMMS(G192, _xlfn.XLOOKUP($E226, $D$138:$D$145,$E$138:$E$145), $G$211)</f>
        <v>0</v>
      </c>
      <c r="H226" s="52" cm="1">
        <f t="array" ref="H226">MMS_Poultry_N2ODirect_Equations.VEERG_4_6_1_3__1_TotalAnnualDirectNitrousOxideEmissionsFromMMS(H192, _xlfn.XLOOKUP($E226, $D$138:$D$145,$E$138:$E$145), $G$211)</f>
        <v>0</v>
      </c>
      <c r="I226" s="52" cm="1">
        <f t="array" ref="I226">MMS_Poultry_N2ODirect_Equations.VEERG_4_6_1_3__1_TotalAnnualDirectNitrousOxideEmissionsFromMMS(I192, _xlfn.XLOOKUP($E226, $D$138:$D$145,$E$138:$E$145), $G$211)</f>
        <v>0</v>
      </c>
      <c r="J226" s="2" t="str">
        <f t="shared" si="4"/>
        <v>t N2O</v>
      </c>
      <c r="N226" s="52"/>
      <c r="O226" s="52" t="str">
        <f>'Input - Poultry'!$D$47</f>
        <v>Digester / covered lagoons</v>
      </c>
      <c r="P226" s="52" cm="1">
        <f t="array" ref="P226">MMS_Poultry_N2ODirect_Equations.VEERG_4_6_1_3__1_TotalAnnualDirectNitrousOxideEmissionsFromMMS(P192, _xlfn.XLOOKUP($O226, $D$138:$D$145,$E$138:$E$145), $G$211)</f>
        <v>0</v>
      </c>
      <c r="Q226" s="52" cm="1">
        <f t="array" ref="Q226">MMS_Poultry_N2ODirect_Equations.VEERG_4_6_1_3__1_TotalAnnualDirectNitrousOxideEmissionsFromMMS(Q192, _xlfn.XLOOKUP($O226, $D$138:$D$145,$E$138:$E$145), $G$211)</f>
        <v>0</v>
      </c>
      <c r="R226" s="52" cm="1">
        <f t="array" ref="R226">MMS_Poultry_N2ODirect_Equations.VEERG_4_6_1_3__1_TotalAnnualDirectNitrousOxideEmissionsFromMMS(R192, _xlfn.XLOOKUP($O226, $D$138:$D$145,$E$138:$E$145), $G$211)</f>
        <v>0</v>
      </c>
      <c r="S226" s="52" cm="1">
        <f t="array" ref="S226">MMS_Poultry_N2ODirect_Equations.VEERG_4_6_1_3__1_TotalAnnualDirectNitrousOxideEmissionsFromMMS(S192, _xlfn.XLOOKUP($O226, $D$138:$D$145,$E$138:$E$145), $G$211)</f>
        <v>0</v>
      </c>
      <c r="T226" s="2" t="str">
        <f t="shared" si="5"/>
        <v>t N2O</v>
      </c>
    </row>
    <row r="227" spans="4:20" ht="20.100000000000001" customHeight="1" x14ac:dyDescent="0.25">
      <c r="D227" s="52"/>
      <c r="E227" s="52" t="str">
        <f>'Input - Poultry'!$D$48</f>
        <v>Direct processing</v>
      </c>
      <c r="F227" s="52" cm="1">
        <f t="array" ref="F227">MMS_Poultry_N2ODirect_Equations.VEERG_4_6_1_3__1_TotalAnnualDirectNitrousOxideEmissionsFromMMS(F193, _xlfn.XLOOKUP($E227, $D$138:$D$145,$E$138:$E$145), $G$211)</f>
        <v>0</v>
      </c>
      <c r="G227" s="52" cm="1">
        <f t="array" ref="G227">MMS_Poultry_N2ODirect_Equations.VEERG_4_6_1_3__1_TotalAnnualDirectNitrousOxideEmissionsFromMMS(G193, _xlfn.XLOOKUP($E227, $D$138:$D$145,$E$138:$E$145), $G$211)</f>
        <v>0</v>
      </c>
      <c r="H227" s="52" cm="1">
        <f t="array" ref="H227">MMS_Poultry_N2ODirect_Equations.VEERG_4_6_1_3__1_TotalAnnualDirectNitrousOxideEmissionsFromMMS(H193, _xlfn.XLOOKUP($E227, $D$138:$D$145,$E$138:$E$145), $G$211)</f>
        <v>0</v>
      </c>
      <c r="I227" s="52" cm="1">
        <f t="array" ref="I227">MMS_Poultry_N2ODirect_Equations.VEERG_4_6_1_3__1_TotalAnnualDirectNitrousOxideEmissionsFromMMS(I193, _xlfn.XLOOKUP($E227, $D$138:$D$145,$E$138:$E$145), $G$211)</f>
        <v>0</v>
      </c>
      <c r="J227" s="2" t="str">
        <f t="shared" si="4"/>
        <v>t N2O</v>
      </c>
      <c r="N227" s="52"/>
      <c r="O227" s="52" t="str">
        <f>'Input - Poultry'!$D$48</f>
        <v>Direct processing</v>
      </c>
      <c r="P227" s="52" cm="1">
        <f t="array" ref="P227">MMS_Poultry_N2ODirect_Equations.VEERG_4_6_1_3__1_TotalAnnualDirectNitrousOxideEmissionsFromMMS(P193, _xlfn.XLOOKUP($O227, $D$138:$D$145,$E$138:$E$145), $G$211)</f>
        <v>0</v>
      </c>
      <c r="Q227" s="52" cm="1">
        <f t="array" ref="Q227">MMS_Poultry_N2ODirect_Equations.VEERG_4_6_1_3__1_TotalAnnualDirectNitrousOxideEmissionsFromMMS(Q193, _xlfn.XLOOKUP($O227, $D$138:$D$145,$E$138:$E$145), $G$211)</f>
        <v>0</v>
      </c>
      <c r="R227" s="52" cm="1">
        <f t="array" ref="R227">MMS_Poultry_N2ODirect_Equations.VEERG_4_6_1_3__1_TotalAnnualDirectNitrousOxideEmissionsFromMMS(R193, _xlfn.XLOOKUP($O227, $D$138:$D$145,$E$138:$E$145), $G$211)</f>
        <v>0</v>
      </c>
      <c r="S227" s="52" cm="1">
        <f t="array" ref="S227">MMS_Poultry_N2ODirect_Equations.VEERG_4_6_1_3__1_TotalAnnualDirectNitrousOxideEmissionsFromMMS(S193, _xlfn.XLOOKUP($O227, $D$138:$D$145,$E$138:$E$145), $G$211)</f>
        <v>0</v>
      </c>
      <c r="T227" s="2" t="str">
        <f t="shared" si="5"/>
        <v>t N2O</v>
      </c>
    </row>
    <row r="228" spans="4:20" ht="20.100000000000001" customHeight="1" x14ac:dyDescent="0.25">
      <c r="D228" s="52" t="str">
        <f>'Input - Poultry'!$D$32</f>
        <v>Manure stored in house</v>
      </c>
      <c r="E228" s="52" t="str">
        <f>'Input - Poultry'!$D$52</f>
        <v>Solid storage</v>
      </c>
      <c r="F228" s="52" cm="1">
        <f t="array" ref="F228">MMS_Poultry_N2ODirect_Equations.VEERG_4_6_1_3__1_TotalAnnualDirectNitrousOxideEmissionsFromMMS(F194, _xlfn.XLOOKUP($E228, $D$138:$D$145,$E$138:$E$145), $G$211)</f>
        <v>4.7987498742857158E-6</v>
      </c>
      <c r="G228" s="52" cm="1">
        <f t="array" ref="G228">MMS_Poultry_N2ODirect_Equations.VEERG_4_6_1_3__1_TotalAnnualDirectNitrousOxideEmissionsFromMMS(G194, _xlfn.XLOOKUP($E228, $D$138:$D$145,$E$138:$E$145), $G$211)</f>
        <v>5.1221154034285713E-6</v>
      </c>
      <c r="H228" s="52" cm="1">
        <f t="array" ref="H228">MMS_Poultry_N2ODirect_Equations.VEERG_4_6_1_3__1_TotalAnnualDirectNitrousOxideEmissionsFromMMS(H194, _xlfn.XLOOKUP($E228, $D$138:$D$145,$E$138:$E$145), $G$211)</f>
        <v>6.0126018102857129E-6</v>
      </c>
      <c r="I228" s="52" cm="1">
        <f t="array" ref="I228">MMS_Poultry_N2ODirect_Equations.VEERG_4_6_1_3__1_TotalAnnualDirectNitrousOxideEmissionsFromMMS(I194, _xlfn.XLOOKUP($E228, $D$138:$D$145,$E$138:$E$145), $G$211)</f>
        <v>5.1221154034285713E-6</v>
      </c>
      <c r="J228" s="2" t="str">
        <f t="shared" si="4"/>
        <v>t N2O</v>
      </c>
      <c r="N228" s="52" t="str">
        <f>'Input - Poultry'!$D$32</f>
        <v>Manure stored in house</v>
      </c>
      <c r="O228" s="52" t="str">
        <f>'Input - Poultry'!$D$52</f>
        <v>Solid storage</v>
      </c>
      <c r="P228" s="52" cm="1">
        <f t="array" ref="P228">MMS_Poultry_N2ODirect_Equations.VEERG_4_6_1_3__1_TotalAnnualDirectNitrousOxideEmissionsFromMMS(P194, _xlfn.XLOOKUP($O228, $D$138:$D$145,$E$138:$E$145), $G$211)</f>
        <v>4.7987498742857158E-6</v>
      </c>
      <c r="Q228" s="52" cm="1">
        <f t="array" ref="Q228">MMS_Poultry_N2ODirect_Equations.VEERG_4_6_1_3__1_TotalAnnualDirectNitrousOxideEmissionsFromMMS(Q194, _xlfn.XLOOKUP($O228, $D$138:$D$145,$E$138:$E$145), $G$211)</f>
        <v>5.1221154034285713E-6</v>
      </c>
      <c r="R228" s="52" cm="1">
        <f t="array" ref="R228">MMS_Poultry_N2ODirect_Equations.VEERG_4_6_1_3__1_TotalAnnualDirectNitrousOxideEmissionsFromMMS(R194, _xlfn.XLOOKUP($O228, $D$138:$D$145,$E$138:$E$145), $G$211)</f>
        <v>6.0126018102857129E-6</v>
      </c>
      <c r="S228" s="52" cm="1">
        <f t="array" ref="S228">MMS_Poultry_N2ODirect_Equations.VEERG_4_6_1_3__1_TotalAnnualDirectNitrousOxideEmissionsFromMMS(S194, _xlfn.XLOOKUP($O228, $D$138:$D$145,$E$138:$E$145), $G$211)</f>
        <v>5.1221154034285713E-6</v>
      </c>
      <c r="T228" s="2" t="str">
        <f t="shared" si="5"/>
        <v>t N2O</v>
      </c>
    </row>
    <row r="229" spans="4:20" ht="20.100000000000001" customHeight="1" x14ac:dyDescent="0.25">
      <c r="D229" s="52"/>
      <c r="E229" s="52" t="str">
        <f>'Input - Poultry'!$D$53</f>
        <v>Composting (passive windrow)</v>
      </c>
      <c r="F229" s="52" cm="1">
        <f t="array" ref="F229">MMS_Poultry_N2ODirect_Equations.VEERG_4_6_1_3__1_TotalAnnualDirectNitrousOxideEmissionsFromMMS(F195, _xlfn.XLOOKUP($E229, $D$138:$D$145,$E$138:$E$145), $G$211)</f>
        <v>9.5974997485714317E-6</v>
      </c>
      <c r="G229" s="52" cm="1">
        <f t="array" ref="G229">MMS_Poultry_N2ODirect_Equations.VEERG_4_6_1_3__1_TotalAnnualDirectNitrousOxideEmissionsFromMMS(G195, _xlfn.XLOOKUP($E229, $D$138:$D$145,$E$138:$E$145), $G$211)</f>
        <v>1.0244230806857143E-5</v>
      </c>
      <c r="H229" s="52" cm="1">
        <f t="array" ref="H229">MMS_Poultry_N2ODirect_Equations.VEERG_4_6_1_3__1_TotalAnnualDirectNitrousOxideEmissionsFromMMS(H195, _xlfn.XLOOKUP($E229, $D$138:$D$145,$E$138:$E$145), $G$211)</f>
        <v>1.2025203620571426E-5</v>
      </c>
      <c r="I229" s="52" cm="1">
        <f t="array" ref="I229">MMS_Poultry_N2ODirect_Equations.VEERG_4_6_1_3__1_TotalAnnualDirectNitrousOxideEmissionsFromMMS(I195, _xlfn.XLOOKUP($E229, $D$138:$D$145,$E$138:$E$145), $G$211)</f>
        <v>1.0244230806857143E-5</v>
      </c>
      <c r="J229" s="2" t="str">
        <f t="shared" si="4"/>
        <v>t N2O</v>
      </c>
      <c r="N229" s="52"/>
      <c r="O229" s="52" t="str">
        <f>'Input - Poultry'!$D$53</f>
        <v>Composting (passive windrow)</v>
      </c>
      <c r="P229" s="52" cm="1">
        <f t="array" ref="P229">MMS_Poultry_N2ODirect_Equations.VEERG_4_6_1_3__1_TotalAnnualDirectNitrousOxideEmissionsFromMMS(P195, _xlfn.XLOOKUP($O229, $D$138:$D$145,$E$138:$E$145), $G$211)</f>
        <v>9.5974997485714317E-6</v>
      </c>
      <c r="Q229" s="52" cm="1">
        <f t="array" ref="Q229">MMS_Poultry_N2ODirect_Equations.VEERG_4_6_1_3__1_TotalAnnualDirectNitrousOxideEmissionsFromMMS(Q195, _xlfn.XLOOKUP($O229, $D$138:$D$145,$E$138:$E$145), $G$211)</f>
        <v>1.0244230806857143E-5</v>
      </c>
      <c r="R229" s="52" cm="1">
        <f t="array" ref="R229">MMS_Poultry_N2ODirect_Equations.VEERG_4_6_1_3__1_TotalAnnualDirectNitrousOxideEmissionsFromMMS(R195, _xlfn.XLOOKUP($O229, $D$138:$D$145,$E$138:$E$145), $G$211)</f>
        <v>1.2025203620571426E-5</v>
      </c>
      <c r="S229" s="52" cm="1">
        <f t="array" ref="S229">MMS_Poultry_N2ODirect_Equations.VEERG_4_6_1_3__1_TotalAnnualDirectNitrousOxideEmissionsFromMMS(S195, _xlfn.XLOOKUP($O229, $D$138:$D$145,$E$138:$E$145), $G$211)</f>
        <v>1.0244230806857143E-5</v>
      </c>
      <c r="T229" s="2" t="str">
        <f t="shared" si="5"/>
        <v>t N2O</v>
      </c>
    </row>
    <row r="230" spans="4:20" ht="20.100000000000001" customHeight="1" x14ac:dyDescent="0.25">
      <c r="D230" s="52"/>
      <c r="E230" s="52" t="str">
        <f>'Input - Poultry'!$D$54</f>
        <v>Digester / covered lagoons</v>
      </c>
      <c r="F230" s="52" cm="1">
        <f t="array" ref="F230">MMS_Poultry_N2ODirect_Equations.VEERG_4_6_1_3__1_TotalAnnualDirectNitrousOxideEmissionsFromMMS(F196, _xlfn.XLOOKUP($E230, $D$138:$D$145,$E$138:$E$145), $G$211)</f>
        <v>0</v>
      </c>
      <c r="G230" s="52" cm="1">
        <f t="array" ref="G230">MMS_Poultry_N2ODirect_Equations.VEERG_4_6_1_3__1_TotalAnnualDirectNitrousOxideEmissionsFromMMS(G196, _xlfn.XLOOKUP($E230, $D$138:$D$145,$E$138:$E$145), $G$211)</f>
        <v>0</v>
      </c>
      <c r="H230" s="52" cm="1">
        <f t="array" ref="H230">MMS_Poultry_N2ODirect_Equations.VEERG_4_6_1_3__1_TotalAnnualDirectNitrousOxideEmissionsFromMMS(H196, _xlfn.XLOOKUP($E230, $D$138:$D$145,$E$138:$E$145), $G$211)</f>
        <v>0</v>
      </c>
      <c r="I230" s="52" cm="1">
        <f t="array" ref="I230">MMS_Poultry_N2ODirect_Equations.VEERG_4_6_1_3__1_TotalAnnualDirectNitrousOxideEmissionsFromMMS(I196, _xlfn.XLOOKUP($E230, $D$138:$D$145,$E$138:$E$145), $G$211)</f>
        <v>0</v>
      </c>
      <c r="J230" s="2" t="str">
        <f t="shared" si="4"/>
        <v>t N2O</v>
      </c>
      <c r="N230" s="52"/>
      <c r="O230" s="52" t="str">
        <f>'Input - Poultry'!$D$54</f>
        <v>Digester / covered lagoons</v>
      </c>
      <c r="P230" s="52" cm="1">
        <f t="array" ref="P230">MMS_Poultry_N2ODirect_Equations.VEERG_4_6_1_3__1_TotalAnnualDirectNitrousOxideEmissionsFromMMS(P196, _xlfn.XLOOKUP($O230, $D$138:$D$145,$E$138:$E$145), $G$211)</f>
        <v>0</v>
      </c>
      <c r="Q230" s="52" cm="1">
        <f t="array" ref="Q230">MMS_Poultry_N2ODirect_Equations.VEERG_4_6_1_3__1_TotalAnnualDirectNitrousOxideEmissionsFromMMS(Q196, _xlfn.XLOOKUP($O230, $D$138:$D$145,$E$138:$E$145), $G$211)</f>
        <v>0</v>
      </c>
      <c r="R230" s="52" cm="1">
        <f t="array" ref="R230">MMS_Poultry_N2ODirect_Equations.VEERG_4_6_1_3__1_TotalAnnualDirectNitrousOxideEmissionsFromMMS(R196, _xlfn.XLOOKUP($O230, $D$138:$D$145,$E$138:$E$145), $G$211)</f>
        <v>0</v>
      </c>
      <c r="S230" s="52" cm="1">
        <f t="array" ref="S230">MMS_Poultry_N2ODirect_Equations.VEERG_4_6_1_3__1_TotalAnnualDirectNitrousOxideEmissionsFromMMS(S196, _xlfn.XLOOKUP($O230, $D$138:$D$145,$E$138:$E$145), $G$211)</f>
        <v>0</v>
      </c>
      <c r="T230" s="2" t="str">
        <f t="shared" si="5"/>
        <v>t N2O</v>
      </c>
    </row>
    <row r="231" spans="4:20" ht="20.100000000000001" customHeight="1" x14ac:dyDescent="0.25">
      <c r="D231" s="52"/>
      <c r="E231" s="52" t="str">
        <f>'Input - Poultry'!$D$55</f>
        <v>Direct processing</v>
      </c>
      <c r="F231" s="52" cm="1">
        <f t="array" ref="F231">MMS_Poultry_N2ODirect_Equations.VEERG_4_6_1_3__1_TotalAnnualDirectNitrousOxideEmissionsFromMMS(F197, _xlfn.XLOOKUP($E231, $D$138:$D$145,$E$138:$E$145), $G$211)</f>
        <v>0</v>
      </c>
      <c r="G231" s="52" cm="1">
        <f t="array" ref="G231">MMS_Poultry_N2ODirect_Equations.VEERG_4_6_1_3__1_TotalAnnualDirectNitrousOxideEmissionsFromMMS(G197, _xlfn.XLOOKUP($E231, $D$138:$D$145,$E$138:$E$145), $G$211)</f>
        <v>0</v>
      </c>
      <c r="H231" s="52" cm="1">
        <f t="array" ref="H231">MMS_Poultry_N2ODirect_Equations.VEERG_4_6_1_3__1_TotalAnnualDirectNitrousOxideEmissionsFromMMS(H197, _xlfn.XLOOKUP($E231, $D$138:$D$145,$E$138:$E$145), $G$211)</f>
        <v>0</v>
      </c>
      <c r="I231" s="52" cm="1">
        <f t="array" ref="I231">MMS_Poultry_N2ODirect_Equations.VEERG_4_6_1_3__1_TotalAnnualDirectNitrousOxideEmissionsFromMMS(I197, _xlfn.XLOOKUP($E231, $D$138:$D$145,$E$138:$E$145), $G$211)</f>
        <v>0</v>
      </c>
      <c r="J231" s="2" t="str">
        <f t="shared" si="4"/>
        <v>t N2O</v>
      </c>
      <c r="N231" s="52"/>
      <c r="O231" s="52" t="str">
        <f>'Input - Poultry'!$D$55</f>
        <v>Direct processing</v>
      </c>
      <c r="P231" s="52" cm="1">
        <f t="array" ref="P231">MMS_Poultry_N2ODirect_Equations.VEERG_4_6_1_3__1_TotalAnnualDirectNitrousOxideEmissionsFromMMS(P197, _xlfn.XLOOKUP($O231, $D$138:$D$145,$E$138:$E$145), $G$211)</f>
        <v>0</v>
      </c>
      <c r="Q231" s="52" cm="1">
        <f t="array" ref="Q231">MMS_Poultry_N2ODirect_Equations.VEERG_4_6_1_3__1_TotalAnnualDirectNitrousOxideEmissionsFromMMS(Q197, _xlfn.XLOOKUP($O231, $D$138:$D$145,$E$138:$E$145), $G$211)</f>
        <v>0</v>
      </c>
      <c r="R231" s="52" cm="1">
        <f t="array" ref="R231">MMS_Poultry_N2ODirect_Equations.VEERG_4_6_1_3__1_TotalAnnualDirectNitrousOxideEmissionsFromMMS(R197, _xlfn.XLOOKUP($O231, $D$138:$D$145,$E$138:$E$145), $G$211)</f>
        <v>0</v>
      </c>
      <c r="S231" s="52" cm="1">
        <f t="array" ref="S231">MMS_Poultry_N2ODirect_Equations.VEERG_4_6_1_3__1_TotalAnnualDirectNitrousOxideEmissionsFromMMS(S197, _xlfn.XLOOKUP($O231, $D$138:$D$145,$E$138:$E$145), $G$211)</f>
        <v>0</v>
      </c>
      <c r="T231" s="2" t="str">
        <f t="shared" si="5"/>
        <v>t N2O</v>
      </c>
    </row>
    <row r="232" spans="4:20" ht="20.100000000000001" customHeight="1" x14ac:dyDescent="0.25"/>
    <row r="233" spans="4:20" ht="20.100000000000001" customHeight="1" x14ac:dyDescent="0.25">
      <c r="D233" s="101" t="s">
        <v>103</v>
      </c>
      <c r="E233" s="102">
        <f>SUM(F216:I231)</f>
        <v>5.7674954756571411E-4</v>
      </c>
      <c r="F233" s="103" t="str">
        <f>$E$207</f>
        <v>t N2O</v>
      </c>
      <c r="N233" s="101" t="s">
        <v>103</v>
      </c>
      <c r="O233" s="102">
        <f>SUM(P216:S231)</f>
        <v>5.7674954756571411E-4</v>
      </c>
      <c r="P233" s="103" t="str">
        <f>$E$207</f>
        <v>t N2O</v>
      </c>
    </row>
    <row r="234" spans="4:20" ht="20.100000000000001" customHeight="1" x14ac:dyDescent="0.25"/>
    <row r="235" spans="4:20" ht="20.100000000000001" customHeight="1" x14ac:dyDescent="0.25">
      <c r="D235" s="57" t="str" cm="1">
        <f t="array" ref="D235:E236">Common_Equations.Common_ConvertN2OToCO2e_Arguments()</f>
        <v>EN2O</v>
      </c>
      <c r="E235" s="58" t="str">
        <v>Nitrous oxide emissions (t N2O)</v>
      </c>
      <c r="F235" s="104"/>
      <c r="G235" s="52">
        <f>E233</f>
        <v>5.7674954756571411E-4</v>
      </c>
      <c r="N235" s="57" t="str" cm="1">
        <f t="array" ref="N235:O236">Common_Equations.Common_ConvertN2OToCO2e_Arguments()</f>
        <v>EN2O</v>
      </c>
      <c r="O235" s="58" t="str">
        <v>Nitrous oxide emissions (t N2O)</v>
      </c>
      <c r="P235" s="104"/>
      <c r="Q235" s="52">
        <f>O233</f>
        <v>5.7674954756571411E-4</v>
      </c>
    </row>
    <row r="236" spans="4:20" ht="20.100000000000001" customHeight="1" x14ac:dyDescent="0.25">
      <c r="D236" s="57" t="str">
        <v>GWPN2O</v>
      </c>
      <c r="E236" s="58" t="str">
        <v>Global warming potential for nitrous oxide (t CO2-e / t N2O)</v>
      </c>
      <c r="F236" s="104"/>
      <c r="G236" s="52">
        <f>Common_InputFunctions.Utility_LookupValueInTableNumber("N2O", Table_GWPData[Gas],Table_GWPData[CO2-e factor])</f>
        <v>265</v>
      </c>
      <c r="N236" s="57" t="str">
        <v>GWPN2O</v>
      </c>
      <c r="O236" s="58" t="str">
        <v>Global warming potential for nitrous oxide (t CO2-e / t N2O)</v>
      </c>
      <c r="P236" s="104"/>
      <c r="Q236" s="52">
        <f>Common_InputFunctions.Utility_LookupValueInTableNumber("N2O", Table_GWPData[Gas],Table_GWPData[CO2-e factor])</f>
        <v>265</v>
      </c>
    </row>
    <row r="237" spans="4:20" ht="20.100000000000001" customHeight="1" x14ac:dyDescent="0.25"/>
    <row r="238" spans="4:20" ht="20.100000000000001" customHeight="1" x14ac:dyDescent="0.25">
      <c r="D238" s="45" t="s">
        <v>100</v>
      </c>
      <c r="E238" s="45" cm="1">
        <f t="array" ref="E238">Common_Equations.Common_ConvertN2OToCO2e(G235,G236)</f>
        <v>0.15283863010491425</v>
      </c>
      <c r="F238" s="105" t="str" cm="1">
        <f t="array" ref="F238">Common_Equations.Common_ConvertN2OToCO2e_Unit()</f>
        <v>t CO2e</v>
      </c>
      <c r="N238" s="45" t="s">
        <v>100</v>
      </c>
      <c r="O238" s="45" cm="1">
        <f t="array" ref="O238">Common_Equations.Common_ConvertN2OToCO2e(Q235,Q236)</f>
        <v>0.15283863010491425</v>
      </c>
      <c r="P238" s="105" t="str" cm="1">
        <f t="array" ref="P238">Common_Equations.Common_ConvertN2OToCO2e_Unit()</f>
        <v>t CO2e</v>
      </c>
    </row>
    <row r="239" spans="4:20" ht="20.100000000000001" customHeight="1" x14ac:dyDescent="0.25"/>
    <row r="240" spans="4:2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18 O23 E33 J101 J106 F168:I168 U126 O85 U103 E23 O33 O18 E28 O28 E46 E51 O51 E56 O56 E70 E75 E80 O80 E85 O114 E114 O155 E155 I167:J167 F184:I184 I183:J183 P184:S184 S183:T183 O200 E200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293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MMS_Poultry_AtmosphericDeposition_Equations.VEERG_4_6_1_5__2_TotalNitrogenVolatilisedFromMMS_Title()</f>
        <v>Total nitrogen volatilised from manure management systems</v>
      </c>
    </row>
    <row r="6" spans="1:21" ht="20.100000000000001" customHeight="1" x14ac:dyDescent="0.25">
      <c r="A6" s="20" t="s">
        <v>3</v>
      </c>
      <c r="D6" s="5" t="str" cm="1">
        <f t="array" ref="D6">MMS_Poultry_AtmosphericDeposition_Equations.VEERG_4_6_1_5__2_TotalNitrogenVolatilisedFromMMS_Source()</f>
        <v>VEERG 2026: 4.6.1.5,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Common_InputFunctions.Utility_DisplayFunctionName(F51)</f>
        <v>=MMS_Poultry_AtmosphericDeposition_Equations.VEERG_4_6_1_5__2_TotalNitrogenVolatilisedFromMMS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MMS_Poultry_AtmosphericDeposition_Equations.VEERG_4_6_1_5__2_TotalNitrogenVolatilisedFromMMS_Variable()</f>
        <v>MMS_ATMOS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MMS_Poultry_AtmosphericDeposition_Equations.VEERG_4_6_1_5__2_TotalNitrogenVolatilisedFromMMS_Unit()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38" t="str">
        <f>HYPERLINK("#'4.6.1.5-6 Atmos Dep'!A1", "4.6.1.5-6 Soil atm. deposition")</f>
        <v>4.6.1.5-6 Soil atm. deposition</v>
      </c>
      <c r="D13" s="57" t="str" cm="1">
        <f t="array" ref="D13:E14">MMS_Poultry_AtmosphericDeposition_Equations.VEERG_4_6_1_5__2_TotalNitrogenVolatilisedFromMMS_Arguments()</f>
        <v>MN_jkmT</v>
      </c>
      <c r="E13" s="58" t="str">
        <v>nitrogen in each treatment stage MMS (excluding MN_jkm13T2) : kg N</v>
      </c>
      <c r="F13" s="59"/>
      <c r="G13" s="57" t="str">
        <f>"See " &amp; D16</f>
        <v>See M1_Table_MN_j_k_m_T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FracGASM_mT</v>
      </c>
      <c r="E14" s="58" t="str">
        <v>fraction of N volatilised in each MMS : (kg NH3-N + NOx-N)/kg N</v>
      </c>
      <c r="F14" s="59"/>
      <c r="G14" s="57" t="str">
        <f>"See " &amp; D36</f>
        <v>See Table_FracGASM_m_T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99" t="s">
        <v>294</v>
      </c>
      <c r="N16" s="99" t="s">
        <v>300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98" t="s">
        <v>295</v>
      </c>
      <c r="N17" s="98" t="s">
        <v>301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1" t="s">
        <v>143</v>
      </c>
      <c r="E18" s="51" t="s">
        <v>145</v>
      </c>
      <c r="F18" s="51" t="s">
        <v>209</v>
      </c>
      <c r="G18" s="51" t="s">
        <v>210</v>
      </c>
      <c r="H18" s="51" t="s">
        <v>224</v>
      </c>
      <c r="I18" s="51" t="s">
        <v>225</v>
      </c>
      <c r="N18" s="51" t="s">
        <v>143</v>
      </c>
      <c r="O18" s="51" t="s">
        <v>145</v>
      </c>
      <c r="P18" s="51" t="s">
        <v>209</v>
      </c>
      <c r="Q18" s="51" t="s">
        <v>210</v>
      </c>
      <c r="R18" s="51" t="s">
        <v>224</v>
      </c>
      <c r="S18" s="51" t="s">
        <v>225</v>
      </c>
    </row>
    <row r="19" spans="1:20" ht="20.100000000000001" customHeight="1" x14ac:dyDescent="0.25">
      <c r="D19" s="52" t="str">
        <f>'Input - Poultry'!$D$30</f>
        <v>Poultry manure with bedding</v>
      </c>
      <c r="E19" s="52" t="s">
        <v>141</v>
      </c>
      <c r="F19" s="52">
        <f>'4.6.1.3-4 Direct N20'!E108</f>
        <v>5.0980800000000013</v>
      </c>
      <c r="G19" s="52">
        <f>'4.6.1.3-4 Direct N20'!F108</f>
        <v>5.4416159999999998</v>
      </c>
      <c r="H19" s="52">
        <f>'4.6.1.3-4 Direct N20'!G108</f>
        <v>6.3876479999999995</v>
      </c>
      <c r="I19" s="52">
        <f>'4.6.1.3-4 Direct N20'!H108</f>
        <v>5.4416159999999998</v>
      </c>
      <c r="J19" s="2" t="s">
        <v>168</v>
      </c>
      <c r="N19" s="52" t="str">
        <f>'Input - Poultry'!$D$30</f>
        <v>Poultry manure with bedding</v>
      </c>
      <c r="O19" s="52" t="s">
        <v>141</v>
      </c>
      <c r="P19" s="52">
        <f>'4.6.1.3-4 Direct N20'!O108</f>
        <v>5.0980800000000013</v>
      </c>
      <c r="Q19" s="52">
        <f>'4.6.1.3-4 Direct N20'!P108</f>
        <v>5.4416159999999998</v>
      </c>
      <c r="R19" s="52">
        <f>'4.6.1.3-4 Direct N20'!Q108</f>
        <v>6.3876479999999995</v>
      </c>
      <c r="S19" s="52">
        <f>'4.6.1.3-4 Direct N20'!R108</f>
        <v>5.4416159999999998</v>
      </c>
      <c r="T19" s="2" t="s">
        <v>168</v>
      </c>
    </row>
    <row r="20" spans="1:20" ht="20.100000000000001" customHeight="1" x14ac:dyDescent="0.25">
      <c r="A20" s="18" t="s">
        <v>4</v>
      </c>
      <c r="D20" s="52" t="str">
        <f>'Input - Poultry'!$D$31</f>
        <v>Belt manure removal</v>
      </c>
      <c r="E20" s="52" t="s">
        <v>141</v>
      </c>
      <c r="F20" s="52">
        <f>'4.6.1.3-4 Direct N20'!E109</f>
        <v>5.0980800000000013</v>
      </c>
      <c r="G20" s="52">
        <f>'4.6.1.3-4 Direct N20'!F109</f>
        <v>5.4416159999999998</v>
      </c>
      <c r="H20" s="52">
        <f>'4.6.1.3-4 Direct N20'!G109</f>
        <v>6.3876479999999995</v>
      </c>
      <c r="I20" s="52">
        <f>'4.6.1.3-4 Direct N20'!H109</f>
        <v>5.4416159999999998</v>
      </c>
      <c r="J20" s="2" t="s">
        <v>168</v>
      </c>
      <c r="N20" s="52" t="str">
        <f>'Input - Poultry'!$D$31</f>
        <v>Belt manure removal</v>
      </c>
      <c r="O20" s="52" t="s">
        <v>141</v>
      </c>
      <c r="P20" s="52">
        <f>'4.6.1.3-4 Direct N20'!O109</f>
        <v>5.0980800000000013</v>
      </c>
      <c r="Q20" s="52">
        <f>'4.6.1.3-4 Direct N20'!P109</f>
        <v>5.4416159999999998</v>
      </c>
      <c r="R20" s="52">
        <f>'4.6.1.3-4 Direct N20'!Q109</f>
        <v>6.3876479999999995</v>
      </c>
      <c r="S20" s="52">
        <f>'4.6.1.3-4 Direct N20'!R109</f>
        <v>5.4416159999999998</v>
      </c>
      <c r="T20" s="2" t="s">
        <v>168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52" t="str">
        <f>'Input - Poultry'!$D$32</f>
        <v>Manure stored in house</v>
      </c>
      <c r="E21" s="52" t="s">
        <v>141</v>
      </c>
      <c r="F21" s="52">
        <f>'4.6.1.3-4 Direct N20'!E110</f>
        <v>5.0980800000000013</v>
      </c>
      <c r="G21" s="52">
        <f>'4.6.1.3-4 Direct N20'!F110</f>
        <v>5.4416159999999998</v>
      </c>
      <c r="H21" s="52">
        <f>'4.6.1.3-4 Direct N20'!G110</f>
        <v>6.3876479999999995</v>
      </c>
      <c r="I21" s="52">
        <f>'4.6.1.3-4 Direct N20'!H110</f>
        <v>5.4416159999999998</v>
      </c>
      <c r="J21" s="2" t="s">
        <v>168</v>
      </c>
      <c r="N21" s="52" t="str">
        <f>'Input - Poultry'!$D$32</f>
        <v>Manure stored in house</v>
      </c>
      <c r="O21" s="52" t="s">
        <v>141</v>
      </c>
      <c r="P21" s="52">
        <f>'4.6.1.3-4 Direct N20'!O110</f>
        <v>5.0980800000000013</v>
      </c>
      <c r="Q21" s="52">
        <f>'4.6.1.3-4 Direct N20'!P110</f>
        <v>5.4416159999999998</v>
      </c>
      <c r="R21" s="52">
        <f>'4.6.1.3-4 Direct N20'!Q110</f>
        <v>6.3876479999999995</v>
      </c>
      <c r="S21" s="52">
        <f>'4.6.1.3-4 Direct N20'!R110</f>
        <v>5.4416159999999998</v>
      </c>
      <c r="T21" s="2" t="s">
        <v>168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2" t="str">
        <f>'Input - Poultry'!$D$33</f>
        <v>Pasture range and paddock</v>
      </c>
      <c r="E22" s="52" t="s">
        <v>141</v>
      </c>
      <c r="F22" s="52">
        <f>'4.6.1.3-4 Direct N20'!E111</f>
        <v>1.6993600000000004</v>
      </c>
      <c r="G22" s="52">
        <f>'4.6.1.3-4 Direct N20'!F111</f>
        <v>1.8138719999999999</v>
      </c>
      <c r="H22" s="52">
        <f>'4.6.1.3-4 Direct N20'!G111</f>
        <v>2.129216</v>
      </c>
      <c r="I22" s="52">
        <f>'4.6.1.3-4 Direct N20'!H111</f>
        <v>1.8138719999999999</v>
      </c>
      <c r="J22" s="2" t="s">
        <v>168</v>
      </c>
      <c r="N22" s="52" t="str">
        <f>'Input - Poultry'!$D$33</f>
        <v>Pasture range and paddock</v>
      </c>
      <c r="O22" s="52" t="s">
        <v>141</v>
      </c>
      <c r="P22" s="52">
        <f>'4.6.1.3-4 Direct N20'!O111</f>
        <v>1.6993600000000004</v>
      </c>
      <c r="Q22" s="52">
        <f>'4.6.1.3-4 Direct N20'!P111</f>
        <v>1.8138719999999999</v>
      </c>
      <c r="R22" s="52">
        <f>'4.6.1.3-4 Direct N20'!Q111</f>
        <v>2.129216</v>
      </c>
      <c r="S22" s="52">
        <f>'4.6.1.3-4 Direct N20'!R111</f>
        <v>1.8138719999999999</v>
      </c>
      <c r="T22" s="2" t="s">
        <v>168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Poultry'!$D$30</f>
        <v>Poultry manure with bedding</v>
      </c>
      <c r="E23" s="52" t="str">
        <f>'Input - Poultry'!$D$38</f>
        <v>Solid storage</v>
      </c>
      <c r="F23" s="52">
        <f>'4.6.1.3-4 Direct N20'!F186</f>
        <v>0.71271158400000012</v>
      </c>
      <c r="G23" s="52">
        <f>'4.6.1.3-4 Direct N20'!G186</f>
        <v>0.76073791680000002</v>
      </c>
      <c r="H23" s="52">
        <f>'4.6.1.3-4 Direct N20'!H186</f>
        <v>0.89299319039999991</v>
      </c>
      <c r="I23" s="52">
        <f>'4.6.1.3-4 Direct N20'!I186</f>
        <v>0.76073791680000002</v>
      </c>
      <c r="J23" s="2" t="s">
        <v>168</v>
      </c>
      <c r="N23" s="52" t="str">
        <f>'Input - Poultry'!$D$30</f>
        <v>Poultry manure with bedding</v>
      </c>
      <c r="O23" s="52" t="str">
        <f>'Input - Poultry'!$D$38</f>
        <v>Solid storage</v>
      </c>
      <c r="P23" s="52">
        <f>'4.6.1.3-4 Direct N20'!P186</f>
        <v>0.71271158400000012</v>
      </c>
      <c r="Q23" s="52">
        <f>'4.6.1.3-4 Direct N20'!Q186</f>
        <v>0.76073791680000002</v>
      </c>
      <c r="R23" s="52">
        <f>'4.6.1.3-4 Direct N20'!R186</f>
        <v>0.89299319039999991</v>
      </c>
      <c r="S23" s="52">
        <f>'4.6.1.3-4 Direct N20'!S186</f>
        <v>0.76073791680000002</v>
      </c>
      <c r="T23" s="2" t="s">
        <v>168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/>
      <c r="E24" s="52" t="str">
        <f>'Input - Poultry'!$D$39</f>
        <v>Composting (passive windrow)</v>
      </c>
      <c r="F24" s="52">
        <f>'4.6.1.3-4 Direct N20'!F187</f>
        <v>0.71271158400000012</v>
      </c>
      <c r="G24" s="52">
        <f>'4.6.1.3-4 Direct N20'!G187</f>
        <v>0.76073791680000002</v>
      </c>
      <c r="H24" s="52">
        <f>'4.6.1.3-4 Direct N20'!H187</f>
        <v>0.89299319039999991</v>
      </c>
      <c r="I24" s="52">
        <f>'4.6.1.3-4 Direct N20'!I187</f>
        <v>0.76073791680000002</v>
      </c>
      <c r="J24" s="2" t="s">
        <v>168</v>
      </c>
      <c r="N24" s="52"/>
      <c r="O24" s="52" t="str">
        <f>'Input - Poultry'!$D$39</f>
        <v>Composting (passive windrow)</v>
      </c>
      <c r="P24" s="52">
        <f>'4.6.1.3-4 Direct N20'!P187</f>
        <v>0.71271158400000012</v>
      </c>
      <c r="Q24" s="52">
        <f>'4.6.1.3-4 Direct N20'!Q187</f>
        <v>0.76073791680000002</v>
      </c>
      <c r="R24" s="52">
        <f>'4.6.1.3-4 Direct N20'!R187</f>
        <v>0.89299319039999991</v>
      </c>
      <c r="S24" s="52">
        <f>'4.6.1.3-4 Direct N20'!S187</f>
        <v>0.76073791680000002</v>
      </c>
      <c r="T24" s="2" t="s">
        <v>168</v>
      </c>
    </row>
    <row r="25" spans="1:20" ht="20.100000000000001" customHeight="1" x14ac:dyDescent="0.25">
      <c r="D25" s="52"/>
      <c r="E25" s="52" t="str">
        <f>'Input - Poultry'!$D$40</f>
        <v>Digester / covered lagoons</v>
      </c>
      <c r="F25" s="52">
        <f>'4.6.1.3-4 Direct N20'!F188</f>
        <v>0.71271158400000012</v>
      </c>
      <c r="G25" s="52">
        <f>'4.6.1.3-4 Direct N20'!G188</f>
        <v>0.76073791680000002</v>
      </c>
      <c r="H25" s="52">
        <f>'4.6.1.3-4 Direct N20'!H188</f>
        <v>0.89299319039999991</v>
      </c>
      <c r="I25" s="52">
        <f>'4.6.1.3-4 Direct N20'!I188</f>
        <v>0.76073791680000002</v>
      </c>
      <c r="J25" s="2" t="s">
        <v>168</v>
      </c>
      <c r="N25" s="52"/>
      <c r="O25" s="52" t="str">
        <f>'Input - Poultry'!$D$40</f>
        <v>Digester / covered lagoons</v>
      </c>
      <c r="P25" s="52">
        <f>'4.6.1.3-4 Direct N20'!P188</f>
        <v>0.71271158400000012</v>
      </c>
      <c r="Q25" s="52">
        <f>'4.6.1.3-4 Direct N20'!Q188</f>
        <v>0.76073791680000002</v>
      </c>
      <c r="R25" s="52">
        <f>'4.6.1.3-4 Direct N20'!R188</f>
        <v>0.89299319039999991</v>
      </c>
      <c r="S25" s="52">
        <f>'4.6.1.3-4 Direct N20'!S188</f>
        <v>0.76073791680000002</v>
      </c>
      <c r="T25" s="2" t="s">
        <v>168</v>
      </c>
    </row>
    <row r="26" spans="1:20" ht="20.100000000000001" customHeight="1" x14ac:dyDescent="0.25">
      <c r="D26" s="52"/>
      <c r="E26" s="52" t="str">
        <f>'Input - Poultry'!$D$41</f>
        <v>Direct processing</v>
      </c>
      <c r="F26" s="52">
        <f>'4.6.1.3-4 Direct N20'!F189</f>
        <v>0.71271158400000012</v>
      </c>
      <c r="G26" s="52">
        <f>'4.6.1.3-4 Direct N20'!G189</f>
        <v>0.76073791680000002</v>
      </c>
      <c r="H26" s="52">
        <f>'4.6.1.3-4 Direct N20'!H189</f>
        <v>0.89299319039999991</v>
      </c>
      <c r="I26" s="52">
        <f>'4.6.1.3-4 Direct N20'!I189</f>
        <v>0.76073791680000002</v>
      </c>
      <c r="J26" s="2" t="s">
        <v>168</v>
      </c>
      <c r="N26" s="52"/>
      <c r="O26" s="52" t="str">
        <f>'Input - Poultry'!$D$41</f>
        <v>Direct processing</v>
      </c>
      <c r="P26" s="52">
        <f>'4.6.1.3-4 Direct N20'!P189</f>
        <v>0.71271158400000012</v>
      </c>
      <c r="Q26" s="52">
        <f>'4.6.1.3-4 Direct N20'!Q189</f>
        <v>0.76073791680000002</v>
      </c>
      <c r="R26" s="52">
        <f>'4.6.1.3-4 Direct N20'!R189</f>
        <v>0.89299319039999991</v>
      </c>
      <c r="S26" s="52">
        <f>'4.6.1.3-4 Direct N20'!S189</f>
        <v>0.76073791680000002</v>
      </c>
      <c r="T26" s="2" t="s">
        <v>168</v>
      </c>
    </row>
    <row r="27" spans="1:20" ht="20.100000000000001" customHeight="1" x14ac:dyDescent="0.25">
      <c r="D27" s="52" t="str">
        <f>'Input - Poultry'!$D$31</f>
        <v>Belt manure removal</v>
      </c>
      <c r="E27" s="52" t="str">
        <f>'Input - Poultry'!$D$45</f>
        <v>Solid storage</v>
      </c>
      <c r="F27" s="52">
        <f>'4.6.1.3-4 Direct N20'!F190</f>
        <v>0.96761558400000025</v>
      </c>
      <c r="G27" s="52">
        <f>'4.6.1.3-4 Direct N20'!G190</f>
        <v>1.0328187168</v>
      </c>
      <c r="H27" s="52">
        <f>'4.6.1.3-4 Direct N20'!H190</f>
        <v>1.2123755904</v>
      </c>
      <c r="I27" s="52">
        <f>'4.6.1.3-4 Direct N20'!I190</f>
        <v>1.0328187168</v>
      </c>
      <c r="J27" s="2" t="s">
        <v>168</v>
      </c>
      <c r="N27" s="52" t="str">
        <f>'Input - Poultry'!$D$31</f>
        <v>Belt manure removal</v>
      </c>
      <c r="O27" s="52" t="str">
        <f>'Input - Poultry'!$D$45</f>
        <v>Solid storage</v>
      </c>
      <c r="P27" s="52">
        <f>'4.6.1.3-4 Direct N20'!P190</f>
        <v>0.96761558400000025</v>
      </c>
      <c r="Q27" s="52">
        <f>'4.6.1.3-4 Direct N20'!Q190</f>
        <v>1.0328187168</v>
      </c>
      <c r="R27" s="52">
        <f>'4.6.1.3-4 Direct N20'!R190</f>
        <v>1.2123755904</v>
      </c>
      <c r="S27" s="52">
        <f>'4.6.1.3-4 Direct N20'!S190</f>
        <v>1.0328187168</v>
      </c>
      <c r="T27" s="2" t="s">
        <v>168</v>
      </c>
    </row>
    <row r="28" spans="1:20" ht="20.100000000000001" customHeight="1" x14ac:dyDescent="0.25">
      <c r="D28" s="52"/>
      <c r="E28" s="52" t="str">
        <f>'Input - Poultry'!$D$46</f>
        <v>Composting (passive windrow)</v>
      </c>
      <c r="F28" s="52">
        <f>'4.6.1.3-4 Direct N20'!F191</f>
        <v>0.96761558400000025</v>
      </c>
      <c r="G28" s="52">
        <f>'4.6.1.3-4 Direct N20'!G191</f>
        <v>1.0328187168</v>
      </c>
      <c r="H28" s="52">
        <f>'4.6.1.3-4 Direct N20'!H191</f>
        <v>1.2123755904</v>
      </c>
      <c r="I28" s="52">
        <f>'4.6.1.3-4 Direct N20'!I191</f>
        <v>1.0328187168</v>
      </c>
      <c r="J28" s="2" t="s">
        <v>168</v>
      </c>
      <c r="N28" s="52"/>
      <c r="O28" s="52" t="str">
        <f>'Input - Poultry'!$D$46</f>
        <v>Composting (passive windrow)</v>
      </c>
      <c r="P28" s="52">
        <f>'4.6.1.3-4 Direct N20'!P191</f>
        <v>0.96761558400000025</v>
      </c>
      <c r="Q28" s="52">
        <f>'4.6.1.3-4 Direct N20'!Q191</f>
        <v>1.0328187168</v>
      </c>
      <c r="R28" s="52">
        <f>'4.6.1.3-4 Direct N20'!R191</f>
        <v>1.2123755904</v>
      </c>
      <c r="S28" s="52">
        <f>'4.6.1.3-4 Direct N20'!S191</f>
        <v>1.0328187168</v>
      </c>
      <c r="T28" s="2" t="s">
        <v>168</v>
      </c>
    </row>
    <row r="29" spans="1:20" ht="20.100000000000001" customHeight="1" x14ac:dyDescent="0.25">
      <c r="D29" s="52"/>
      <c r="E29" s="52" t="str">
        <f>'Input - Poultry'!$D$47</f>
        <v>Digester / covered lagoons</v>
      </c>
      <c r="F29" s="52">
        <f>'4.6.1.3-4 Direct N20'!F192</f>
        <v>0.96761558400000025</v>
      </c>
      <c r="G29" s="52">
        <f>'4.6.1.3-4 Direct N20'!G192</f>
        <v>1.0328187168</v>
      </c>
      <c r="H29" s="52">
        <f>'4.6.1.3-4 Direct N20'!H192</f>
        <v>1.2123755904</v>
      </c>
      <c r="I29" s="52">
        <f>'4.6.1.3-4 Direct N20'!I192</f>
        <v>1.0328187168</v>
      </c>
      <c r="J29" s="2" t="s">
        <v>168</v>
      </c>
      <c r="N29" s="52"/>
      <c r="O29" s="52" t="str">
        <f>'Input - Poultry'!$D$47</f>
        <v>Digester / covered lagoons</v>
      </c>
      <c r="P29" s="52">
        <f>'4.6.1.3-4 Direct N20'!P192</f>
        <v>0.96761558400000025</v>
      </c>
      <c r="Q29" s="52">
        <f>'4.6.1.3-4 Direct N20'!Q192</f>
        <v>1.0328187168</v>
      </c>
      <c r="R29" s="52">
        <f>'4.6.1.3-4 Direct N20'!R192</f>
        <v>1.2123755904</v>
      </c>
      <c r="S29" s="52">
        <f>'4.6.1.3-4 Direct N20'!S192</f>
        <v>1.0328187168</v>
      </c>
      <c r="T29" s="2" t="s">
        <v>168</v>
      </c>
    </row>
    <row r="30" spans="1:20" ht="20.100000000000001" customHeight="1" x14ac:dyDescent="0.25">
      <c r="D30" s="52"/>
      <c r="E30" s="52" t="str">
        <f>'Input - Poultry'!$D$48</f>
        <v>Direct processing</v>
      </c>
      <c r="F30" s="52">
        <f>'4.6.1.3-4 Direct N20'!F193</f>
        <v>0.96761558400000025</v>
      </c>
      <c r="G30" s="52">
        <f>'4.6.1.3-4 Direct N20'!G193</f>
        <v>1.0328187168</v>
      </c>
      <c r="H30" s="52">
        <f>'4.6.1.3-4 Direct N20'!H193</f>
        <v>1.2123755904</v>
      </c>
      <c r="I30" s="52">
        <f>'4.6.1.3-4 Direct N20'!I193</f>
        <v>1.0328187168</v>
      </c>
      <c r="J30" s="2" t="s">
        <v>168</v>
      </c>
      <c r="N30" s="52"/>
      <c r="O30" s="52" t="str">
        <f>'Input - Poultry'!$D$48</f>
        <v>Direct processing</v>
      </c>
      <c r="P30" s="52">
        <f>'4.6.1.3-4 Direct N20'!P193</f>
        <v>0.96761558400000025</v>
      </c>
      <c r="Q30" s="52">
        <f>'4.6.1.3-4 Direct N20'!Q193</f>
        <v>1.0328187168</v>
      </c>
      <c r="R30" s="52">
        <f>'4.6.1.3-4 Direct N20'!R193</f>
        <v>1.2123755904</v>
      </c>
      <c r="S30" s="52">
        <f>'4.6.1.3-4 Direct N20'!S193</f>
        <v>1.0328187168</v>
      </c>
      <c r="T30" s="2" t="s">
        <v>168</v>
      </c>
    </row>
    <row r="31" spans="1:20" ht="20.100000000000001" customHeight="1" x14ac:dyDescent="0.25">
      <c r="D31" s="52" t="str">
        <f>'Input - Poultry'!$D$32</f>
        <v>Manure stored in house</v>
      </c>
      <c r="E31" s="52" t="str">
        <f>'Input - Poultry'!$D$52</f>
        <v>Solid storage</v>
      </c>
      <c r="F31" s="52">
        <f>'4.6.1.3-4 Direct N20'!F194</f>
        <v>0.61074998400000013</v>
      </c>
      <c r="G31" s="52">
        <f>'4.6.1.3-4 Direct N20'!G194</f>
        <v>0.65190559679999993</v>
      </c>
      <c r="H31" s="52">
        <f>'4.6.1.3-4 Direct N20'!H194</f>
        <v>0.76524023039999989</v>
      </c>
      <c r="I31" s="52">
        <f>'4.6.1.3-4 Direct N20'!I194</f>
        <v>0.65190559679999993</v>
      </c>
      <c r="J31" s="2" t="s">
        <v>168</v>
      </c>
      <c r="N31" s="52" t="str">
        <f>'Input - Poultry'!$D$32</f>
        <v>Manure stored in house</v>
      </c>
      <c r="O31" s="52" t="str">
        <f>'Input - Poultry'!$D$52</f>
        <v>Solid storage</v>
      </c>
      <c r="P31" s="52">
        <f>'4.6.1.3-4 Direct N20'!P194</f>
        <v>0.61074998400000013</v>
      </c>
      <c r="Q31" s="52">
        <f>'4.6.1.3-4 Direct N20'!Q194</f>
        <v>0.65190559679999993</v>
      </c>
      <c r="R31" s="52">
        <f>'4.6.1.3-4 Direct N20'!R194</f>
        <v>0.76524023039999989</v>
      </c>
      <c r="S31" s="52">
        <f>'4.6.1.3-4 Direct N20'!S194</f>
        <v>0.65190559679999993</v>
      </c>
      <c r="T31" s="2" t="s">
        <v>168</v>
      </c>
    </row>
    <row r="32" spans="1:20" ht="20.100000000000001" customHeight="1" x14ac:dyDescent="0.25">
      <c r="D32" s="52"/>
      <c r="E32" s="52" t="str">
        <f>'Input - Poultry'!$D$53</f>
        <v>Composting (passive windrow)</v>
      </c>
      <c r="F32" s="52">
        <f>'4.6.1.3-4 Direct N20'!F195</f>
        <v>0.61074998400000013</v>
      </c>
      <c r="G32" s="52">
        <f>'4.6.1.3-4 Direct N20'!G195</f>
        <v>0.65190559679999993</v>
      </c>
      <c r="H32" s="52">
        <f>'4.6.1.3-4 Direct N20'!H195</f>
        <v>0.76524023039999989</v>
      </c>
      <c r="I32" s="52">
        <f>'4.6.1.3-4 Direct N20'!I195</f>
        <v>0.65190559679999993</v>
      </c>
      <c r="J32" s="2" t="s">
        <v>168</v>
      </c>
      <c r="N32" s="52"/>
      <c r="O32" s="52" t="str">
        <f>'Input - Poultry'!$D$53</f>
        <v>Composting (passive windrow)</v>
      </c>
      <c r="P32" s="52">
        <f>'4.6.1.3-4 Direct N20'!P195</f>
        <v>0.61074998400000013</v>
      </c>
      <c r="Q32" s="52">
        <f>'4.6.1.3-4 Direct N20'!Q195</f>
        <v>0.65190559679999993</v>
      </c>
      <c r="R32" s="52">
        <f>'4.6.1.3-4 Direct N20'!R195</f>
        <v>0.76524023039999989</v>
      </c>
      <c r="S32" s="52">
        <f>'4.6.1.3-4 Direct N20'!S195</f>
        <v>0.65190559679999993</v>
      </c>
      <c r="T32" s="2" t="s">
        <v>168</v>
      </c>
    </row>
    <row r="33" spans="4:20" ht="20.100000000000001" customHeight="1" x14ac:dyDescent="0.25">
      <c r="D33" s="52"/>
      <c r="E33" s="52" t="str">
        <f>'Input - Poultry'!$D$54</f>
        <v>Digester / covered lagoons</v>
      </c>
      <c r="F33" s="52">
        <f>'4.6.1.3-4 Direct N20'!F196</f>
        <v>0.61074998400000013</v>
      </c>
      <c r="G33" s="52">
        <f>'4.6.1.3-4 Direct N20'!G196</f>
        <v>0.65190559679999993</v>
      </c>
      <c r="H33" s="52">
        <f>'4.6.1.3-4 Direct N20'!H196</f>
        <v>0.76524023039999989</v>
      </c>
      <c r="I33" s="52">
        <f>'4.6.1.3-4 Direct N20'!I196</f>
        <v>0.65190559679999993</v>
      </c>
      <c r="J33" s="2" t="s">
        <v>168</v>
      </c>
      <c r="N33" s="52"/>
      <c r="O33" s="52" t="str">
        <f>'Input - Poultry'!$D$54</f>
        <v>Digester / covered lagoons</v>
      </c>
      <c r="P33" s="52">
        <f>'4.6.1.3-4 Direct N20'!P196</f>
        <v>0.61074998400000013</v>
      </c>
      <c r="Q33" s="52">
        <f>'4.6.1.3-4 Direct N20'!Q196</f>
        <v>0.65190559679999993</v>
      </c>
      <c r="R33" s="52">
        <f>'4.6.1.3-4 Direct N20'!R196</f>
        <v>0.76524023039999989</v>
      </c>
      <c r="S33" s="52">
        <f>'4.6.1.3-4 Direct N20'!S196</f>
        <v>0.65190559679999993</v>
      </c>
      <c r="T33" s="2" t="s">
        <v>168</v>
      </c>
    </row>
    <row r="34" spans="4:20" ht="20.100000000000001" customHeight="1" x14ac:dyDescent="0.25">
      <c r="D34" s="52"/>
      <c r="E34" s="52" t="str">
        <f>'Input - Poultry'!$D$55</f>
        <v>Direct processing</v>
      </c>
      <c r="F34" s="52">
        <f>'4.6.1.3-4 Direct N20'!F197</f>
        <v>0.61074998400000013</v>
      </c>
      <c r="G34" s="52">
        <f>'4.6.1.3-4 Direct N20'!G197</f>
        <v>0.65190559679999993</v>
      </c>
      <c r="H34" s="52">
        <f>'4.6.1.3-4 Direct N20'!H197</f>
        <v>0.76524023039999989</v>
      </c>
      <c r="I34" s="52">
        <f>'4.6.1.3-4 Direct N20'!I197</f>
        <v>0.65190559679999993</v>
      </c>
      <c r="J34" s="2" t="s">
        <v>168</v>
      </c>
      <c r="N34" s="52"/>
      <c r="O34" s="52" t="str">
        <f>'Input - Poultry'!$D$55</f>
        <v>Direct processing</v>
      </c>
      <c r="P34" s="52">
        <f>'4.6.1.3-4 Direct N20'!P197</f>
        <v>0.61074998400000013</v>
      </c>
      <c r="Q34" s="52">
        <f>'4.6.1.3-4 Direct N20'!Q197</f>
        <v>0.65190559679999993</v>
      </c>
      <c r="R34" s="52">
        <f>'4.6.1.3-4 Direct N20'!R197</f>
        <v>0.76524023039999989</v>
      </c>
      <c r="S34" s="52">
        <f>'4.6.1.3-4 Direct N20'!S197</f>
        <v>0.65190559679999993</v>
      </c>
      <c r="T34" s="2" t="s">
        <v>168</v>
      </c>
    </row>
    <row r="35" spans="4:20" ht="20.100000000000001" customHeight="1" x14ac:dyDescent="0.25"/>
    <row r="36" spans="4:20" ht="20.100000000000001" customHeight="1" x14ac:dyDescent="0.25">
      <c r="D36" s="99" t="s">
        <v>296</v>
      </c>
    </row>
    <row r="37" spans="4:20" ht="20.100000000000001" customHeight="1" x14ac:dyDescent="0.25">
      <c r="D37" s="98" t="s">
        <v>310</v>
      </c>
    </row>
    <row r="38" spans="4:20" ht="20.100000000000001" customHeight="1" x14ac:dyDescent="0.25">
      <c r="D38" s="51" t="s">
        <v>143</v>
      </c>
      <c r="E38" s="51" t="s">
        <v>282</v>
      </c>
    </row>
    <row r="39" spans="4:20" ht="20.100000000000001" customHeight="1" x14ac:dyDescent="0.25">
      <c r="D39" s="52" t="str">
        <f>'Constants - Poultry'!$D$29</f>
        <v>Poultry manure with bedding</v>
      </c>
      <c r="E39" s="52" cm="1">
        <f t="array" ref="E39">Common_InputFunctions.Utility_LookupValueInTableNumber(D39, Table_SourceData_Poultry_FracGASM[NIR reference],Table_SourceData_Poultry_FracGASM[FracGASMmT])</f>
        <v>0.3</v>
      </c>
    </row>
    <row r="40" spans="4:20" ht="20.100000000000001" customHeight="1" x14ac:dyDescent="0.25">
      <c r="D40" s="52" t="str">
        <f>'Constants - Poultry'!$D$30</f>
        <v>Belt manure removal</v>
      </c>
      <c r="E40" s="52" cm="1">
        <f t="array" ref="E40">Common_InputFunctions.Utility_LookupValueInTableNumber(D40, Table_SourceData_Poultry_FracGASM[NIR reference],Table_SourceData_Poultry_FracGASM[FracGASMmT])</f>
        <v>0.05</v>
      </c>
    </row>
    <row r="41" spans="4:20" ht="20.100000000000001" customHeight="1" x14ac:dyDescent="0.25">
      <c r="D41" s="52" t="str">
        <f>'Constants - Poultry'!$D$31</f>
        <v>Manure stored in house</v>
      </c>
      <c r="E41" s="52" cm="1">
        <f t="array" ref="E41">Common_InputFunctions.Utility_LookupValueInTableNumber(D41, Table_SourceData_Poultry_FracGASM[NIR reference],Table_SourceData_Poultry_FracGASM[FracGASMmT])</f>
        <v>0.4</v>
      </c>
    </row>
    <row r="42" spans="4:20" ht="20.100000000000001" customHeight="1" x14ac:dyDescent="0.25">
      <c r="D42" s="52" t="str">
        <f>'Constants - Poultry'!$D$32</f>
        <v>Pasture range and paddock</v>
      </c>
      <c r="E42" s="52" cm="1">
        <f t="array" ref="E42">Common_InputFunctions.Utility_LookupValueInTableNumber(D42, Table_SourceData_Poultry_FracGASM[NIR reference],Table_SourceData_Poultry_FracGASM[FracGASMmT])</f>
        <v>0</v>
      </c>
    </row>
    <row r="43" spans="4:20" ht="20.100000000000001" customHeight="1" x14ac:dyDescent="0.25">
      <c r="D43" s="52" t="str">
        <f>'Constants - Poultry'!$D$33</f>
        <v>Solid storage</v>
      </c>
      <c r="E43" s="52" cm="1">
        <f t="array" ref="E43">Common_InputFunctions.Utility_LookupValueInTableNumber(D43, Table_SourceData_Poultry_FracGASM[NIR reference],Table_SourceData_Poultry_FracGASM[FracGASMmT])</f>
        <v>0.2</v>
      </c>
    </row>
    <row r="44" spans="4:20" ht="20.100000000000001" customHeight="1" x14ac:dyDescent="0.25">
      <c r="D44" s="52" t="str">
        <f>'Constants - Poultry'!$D$34</f>
        <v>Composting (passive windrow)</v>
      </c>
      <c r="E44" s="52" cm="1">
        <f t="array" ref="E44">Common_InputFunctions.Utility_LookupValueInTableNumber(D44, Table_SourceData_Poultry_FracGASM[NIR reference],Table_SourceData_Poultry_FracGASM[FracGASMmT])</f>
        <v>0.2</v>
      </c>
    </row>
    <row r="45" spans="4:20" ht="20.100000000000001" customHeight="1" x14ac:dyDescent="0.25">
      <c r="D45" s="52" t="str">
        <f>'Constants - Poultry'!$D$35</f>
        <v>Digester / covered lagoons</v>
      </c>
      <c r="E45" s="52" cm="1">
        <f t="array" ref="E45">Common_InputFunctions.Utility_LookupValueInTableNumber(D45, Table_SourceData_Poultry_FracGASM[NIR reference],Table_SourceData_Poultry_FracGASM[FracGASMmT])</f>
        <v>0</v>
      </c>
    </row>
    <row r="46" spans="4:20" ht="20.100000000000001" customHeight="1" x14ac:dyDescent="0.25">
      <c r="D46" s="52" t="str">
        <f>'Constants - Poultry'!$D$36</f>
        <v>Direct processing</v>
      </c>
      <c r="E46" s="52" cm="1">
        <f t="array" ref="E46">Common_InputFunctions.Utility_LookupValueInTableNumber(D46, Table_SourceData_Poultry_FracGASM[NIR reference],Table_SourceData_Poultry_FracGASM[FracGASMmT])</f>
        <v>0</v>
      </c>
    </row>
    <row r="47" spans="4:20" ht="20.100000000000001" customHeight="1" x14ac:dyDescent="0.25"/>
    <row r="48" spans="4:20" ht="20.100000000000001" customHeight="1" x14ac:dyDescent="0.25">
      <c r="D48" s="99" t="s">
        <v>297</v>
      </c>
      <c r="N48" s="99" t="s">
        <v>298</v>
      </c>
    </row>
    <row r="49" spans="4:20" ht="20.100000000000001" customHeight="1" x14ac:dyDescent="0.25">
      <c r="D49" s="98" t="s">
        <v>302</v>
      </c>
      <c r="N49" s="98" t="s">
        <v>299</v>
      </c>
    </row>
    <row r="50" spans="4:20" ht="20.100000000000001" customHeight="1" x14ac:dyDescent="0.25">
      <c r="D50" s="51" t="s">
        <v>143</v>
      </c>
      <c r="E50" s="51" t="s">
        <v>145</v>
      </c>
      <c r="F50" s="51" t="s">
        <v>209</v>
      </c>
      <c r="G50" s="51" t="s">
        <v>210</v>
      </c>
      <c r="H50" s="51" t="s">
        <v>224</v>
      </c>
      <c r="I50" s="51" t="s">
        <v>225</v>
      </c>
      <c r="N50" s="51" t="s">
        <v>143</v>
      </c>
      <c r="O50" s="51" t="s">
        <v>145</v>
      </c>
      <c r="P50" s="51" t="s">
        <v>209</v>
      </c>
      <c r="Q50" s="51" t="s">
        <v>210</v>
      </c>
      <c r="R50" s="51" t="s">
        <v>224</v>
      </c>
      <c r="S50" s="51" t="s">
        <v>225</v>
      </c>
    </row>
    <row r="51" spans="4:20" ht="20.100000000000001" customHeight="1" x14ac:dyDescent="0.25">
      <c r="D51" s="52" t="str">
        <f>'Input - Poultry'!$D$30</f>
        <v>Poultry manure with bedding</v>
      </c>
      <c r="E51" s="52" t="s">
        <v>141</v>
      </c>
      <c r="F51" s="52" cm="1">
        <f t="array" ref="F51">MMS_Poultry_AtmosphericDeposition_Equations.VEERG_4_6_1_5__2_TotalNitrogenVolatilisedFromMMS(F19, _xlfn.XLOOKUP($D51, $D$39:$D$46, $E$39:$E$46))</f>
        <v>1.5294240000000003</v>
      </c>
      <c r="G51" s="52" cm="1">
        <f t="array" ref="G51">MMS_Poultry_AtmosphericDeposition_Equations.VEERG_4_6_1_5__2_TotalNitrogenVolatilisedFromMMS(G19, _xlfn.XLOOKUP($D51, $D$39:$D$46, $E$39:$E$46))</f>
        <v>1.6324847999999998</v>
      </c>
      <c r="H51" s="52" cm="1">
        <f t="array" ref="H51">MMS_Poultry_AtmosphericDeposition_Equations.VEERG_4_6_1_5__2_TotalNitrogenVolatilisedFromMMS(H19, _xlfn.XLOOKUP($D51, $D$39:$D$46, $E$39:$E$46))</f>
        <v>1.9162943999999997</v>
      </c>
      <c r="I51" s="52" cm="1">
        <f t="array" ref="I51">MMS_Poultry_AtmosphericDeposition_Equations.VEERG_4_6_1_5__2_TotalNitrogenVolatilisedFromMMS(I19, _xlfn.XLOOKUP($D51, $D$39:$D$46, $E$39:$E$46))</f>
        <v>1.6324847999999998</v>
      </c>
      <c r="J51" s="2" t="str">
        <f>$E$11</f>
        <v>kg N</v>
      </c>
      <c r="N51" s="52" t="str">
        <f>'Input - Poultry'!$D$30</f>
        <v>Poultry manure with bedding</v>
      </c>
      <c r="O51" s="52" t="s">
        <v>141</v>
      </c>
      <c r="P51" s="52" cm="1">
        <f t="array" ref="P51">MMS_Poultry_AtmosphericDeposition_Equations.VEERG_4_6_1_5__2_TotalNitrogenVolatilisedFromMMS(P19, _xlfn.XLOOKUP($N51, $D$39:$D$46, $E$39:$E$46))</f>
        <v>1.5294240000000003</v>
      </c>
      <c r="Q51" s="52" cm="1">
        <f t="array" ref="Q51">MMS_Poultry_AtmosphericDeposition_Equations.VEERG_4_6_1_5__2_TotalNitrogenVolatilisedFromMMS(Q19, _xlfn.XLOOKUP($N51, $D$39:$D$46, $E$39:$E$46))</f>
        <v>1.6324847999999998</v>
      </c>
      <c r="R51" s="52" cm="1">
        <f t="array" ref="R51">MMS_Poultry_AtmosphericDeposition_Equations.VEERG_4_6_1_5__2_TotalNitrogenVolatilisedFromMMS(R19, _xlfn.XLOOKUP($N51, $D$39:$D$46, $E$39:$E$46))</f>
        <v>1.9162943999999997</v>
      </c>
      <c r="S51" s="52" cm="1">
        <f t="array" ref="S51">MMS_Poultry_AtmosphericDeposition_Equations.VEERG_4_6_1_5__2_TotalNitrogenVolatilisedFromMMS(S19, _xlfn.XLOOKUP($N51, $D$39:$D$46, $E$39:$E$46))</f>
        <v>1.6324847999999998</v>
      </c>
      <c r="T51" s="2" t="str">
        <f>$E$11</f>
        <v>kg N</v>
      </c>
    </row>
    <row r="52" spans="4:20" ht="20.100000000000001" customHeight="1" x14ac:dyDescent="0.25">
      <c r="D52" s="52" t="str">
        <f>'Input - Poultry'!$D$31</f>
        <v>Belt manure removal</v>
      </c>
      <c r="E52" s="52" t="s">
        <v>141</v>
      </c>
      <c r="F52" s="52" cm="1">
        <f t="array" ref="F52">MMS_Poultry_AtmosphericDeposition_Equations.VEERG_4_6_1_5__2_TotalNitrogenVolatilisedFromMMS(F20, _xlfn.XLOOKUP($D52, $D$39:$D$46, $E$39:$E$46))</f>
        <v>0.25490400000000007</v>
      </c>
      <c r="G52" s="52" cm="1">
        <f t="array" ref="G52">MMS_Poultry_AtmosphericDeposition_Equations.VEERG_4_6_1_5__2_TotalNitrogenVolatilisedFromMMS(G20, _xlfn.XLOOKUP($D52, $D$39:$D$46, $E$39:$E$46))</f>
        <v>0.27208080000000001</v>
      </c>
      <c r="H52" s="52" cm="1">
        <f t="array" ref="H52">MMS_Poultry_AtmosphericDeposition_Equations.VEERG_4_6_1_5__2_TotalNitrogenVolatilisedFromMMS(H20, _xlfn.XLOOKUP($D52, $D$39:$D$46, $E$39:$E$46))</f>
        <v>0.31938240000000001</v>
      </c>
      <c r="I52" s="52" cm="1">
        <f t="array" ref="I52">MMS_Poultry_AtmosphericDeposition_Equations.VEERG_4_6_1_5__2_TotalNitrogenVolatilisedFromMMS(I20, _xlfn.XLOOKUP($D52, $D$39:$D$46, $E$39:$E$46))</f>
        <v>0.27208080000000001</v>
      </c>
      <c r="J52" s="2" t="str">
        <f t="shared" ref="J52:J66" si="0">$E$11</f>
        <v>kg N</v>
      </c>
      <c r="N52" s="52" t="str">
        <f>'Input - Poultry'!$D$31</f>
        <v>Belt manure removal</v>
      </c>
      <c r="O52" s="52" t="s">
        <v>141</v>
      </c>
      <c r="P52" s="52" cm="1">
        <f t="array" ref="P52">MMS_Poultry_AtmosphericDeposition_Equations.VEERG_4_6_1_5__2_TotalNitrogenVolatilisedFromMMS(P20, _xlfn.XLOOKUP($N52, $D$39:$D$46, $E$39:$E$46))</f>
        <v>0.25490400000000007</v>
      </c>
      <c r="Q52" s="52" cm="1">
        <f t="array" ref="Q52">MMS_Poultry_AtmosphericDeposition_Equations.VEERG_4_6_1_5__2_TotalNitrogenVolatilisedFromMMS(Q20, _xlfn.XLOOKUP($N52, $D$39:$D$46, $E$39:$E$46))</f>
        <v>0.27208080000000001</v>
      </c>
      <c r="R52" s="52" cm="1">
        <f t="array" ref="R52">MMS_Poultry_AtmosphericDeposition_Equations.VEERG_4_6_1_5__2_TotalNitrogenVolatilisedFromMMS(R20, _xlfn.XLOOKUP($N52, $D$39:$D$46, $E$39:$E$46))</f>
        <v>0.31938240000000001</v>
      </c>
      <c r="S52" s="52" cm="1">
        <f t="array" ref="S52">MMS_Poultry_AtmosphericDeposition_Equations.VEERG_4_6_1_5__2_TotalNitrogenVolatilisedFromMMS(S20, _xlfn.XLOOKUP($N52, $D$39:$D$46, $E$39:$E$46))</f>
        <v>0.27208080000000001</v>
      </c>
      <c r="T52" s="2" t="str">
        <f t="shared" ref="T52:T66" si="1">$E$11</f>
        <v>kg N</v>
      </c>
    </row>
    <row r="53" spans="4:20" ht="20.100000000000001" customHeight="1" x14ac:dyDescent="0.25">
      <c r="D53" s="52" t="str">
        <f>'Input - Poultry'!$D$32</f>
        <v>Manure stored in house</v>
      </c>
      <c r="E53" s="52" t="s">
        <v>141</v>
      </c>
      <c r="F53" s="52" cm="1">
        <f t="array" ref="F53">MMS_Poultry_AtmosphericDeposition_Equations.VEERG_4_6_1_5__2_TotalNitrogenVolatilisedFromMMS(F21, _xlfn.XLOOKUP($D53, $D$39:$D$46, $E$39:$E$46))</f>
        <v>2.0392320000000006</v>
      </c>
      <c r="G53" s="52" cm="1">
        <f t="array" ref="G53">MMS_Poultry_AtmosphericDeposition_Equations.VEERG_4_6_1_5__2_TotalNitrogenVolatilisedFromMMS(G21, _xlfn.XLOOKUP($D53, $D$39:$D$46, $E$39:$E$46))</f>
        <v>2.1766464000000001</v>
      </c>
      <c r="H53" s="52" cm="1">
        <f t="array" ref="H53">MMS_Poultry_AtmosphericDeposition_Equations.VEERG_4_6_1_5__2_TotalNitrogenVolatilisedFromMMS(H21, _xlfn.XLOOKUP($D53, $D$39:$D$46, $E$39:$E$46))</f>
        <v>2.5550592000000001</v>
      </c>
      <c r="I53" s="52" cm="1">
        <f t="array" ref="I53">MMS_Poultry_AtmosphericDeposition_Equations.VEERG_4_6_1_5__2_TotalNitrogenVolatilisedFromMMS(I21, _xlfn.XLOOKUP($D53, $D$39:$D$46, $E$39:$E$46))</f>
        <v>2.1766464000000001</v>
      </c>
      <c r="J53" s="2" t="str">
        <f t="shared" si="0"/>
        <v>kg N</v>
      </c>
      <c r="N53" s="52" t="str">
        <f>'Input - Poultry'!$D$32</f>
        <v>Manure stored in house</v>
      </c>
      <c r="O53" s="52" t="s">
        <v>141</v>
      </c>
      <c r="P53" s="52" cm="1">
        <f t="array" ref="P53">MMS_Poultry_AtmosphericDeposition_Equations.VEERG_4_6_1_5__2_TotalNitrogenVolatilisedFromMMS(P21, _xlfn.XLOOKUP($N53, $D$39:$D$46, $E$39:$E$46))</f>
        <v>2.0392320000000006</v>
      </c>
      <c r="Q53" s="52" cm="1">
        <f t="array" ref="Q53">MMS_Poultry_AtmosphericDeposition_Equations.VEERG_4_6_1_5__2_TotalNitrogenVolatilisedFromMMS(Q21, _xlfn.XLOOKUP($N53, $D$39:$D$46, $E$39:$E$46))</f>
        <v>2.1766464000000001</v>
      </c>
      <c r="R53" s="52" cm="1">
        <f t="array" ref="R53">MMS_Poultry_AtmosphericDeposition_Equations.VEERG_4_6_1_5__2_TotalNitrogenVolatilisedFromMMS(R21, _xlfn.XLOOKUP($N53, $D$39:$D$46, $E$39:$E$46))</f>
        <v>2.5550592000000001</v>
      </c>
      <c r="S53" s="52" cm="1">
        <f t="array" ref="S53">MMS_Poultry_AtmosphericDeposition_Equations.VEERG_4_6_1_5__2_TotalNitrogenVolatilisedFromMMS(S21, _xlfn.XLOOKUP($N53, $D$39:$D$46, $E$39:$E$46))</f>
        <v>2.1766464000000001</v>
      </c>
      <c r="T53" s="2" t="str">
        <f t="shared" si="1"/>
        <v>kg N</v>
      </c>
    </row>
    <row r="54" spans="4:20" ht="20.100000000000001" customHeight="1" x14ac:dyDescent="0.25">
      <c r="D54" s="52" t="str">
        <f>'Input - Poultry'!$D$33</f>
        <v>Pasture range and paddock</v>
      </c>
      <c r="E54" s="52" t="s">
        <v>141</v>
      </c>
      <c r="F54" s="52" cm="1">
        <f t="array" ref="F54">MMS_Poultry_AtmosphericDeposition_Equations.VEERG_4_6_1_5__2_TotalNitrogenVolatilisedFromMMS(F22, _xlfn.XLOOKUP($D54, $D$39:$D$46, $E$39:$E$46))</f>
        <v>0</v>
      </c>
      <c r="G54" s="52" cm="1">
        <f t="array" ref="G54">MMS_Poultry_AtmosphericDeposition_Equations.VEERG_4_6_1_5__2_TotalNitrogenVolatilisedFromMMS(G22, _xlfn.XLOOKUP($D54, $D$39:$D$46, $E$39:$E$46))</f>
        <v>0</v>
      </c>
      <c r="H54" s="52" cm="1">
        <f t="array" ref="H54">MMS_Poultry_AtmosphericDeposition_Equations.VEERG_4_6_1_5__2_TotalNitrogenVolatilisedFromMMS(H22, _xlfn.XLOOKUP($D54, $D$39:$D$46, $E$39:$E$46))</f>
        <v>0</v>
      </c>
      <c r="I54" s="52" cm="1">
        <f t="array" ref="I54">MMS_Poultry_AtmosphericDeposition_Equations.VEERG_4_6_1_5__2_TotalNitrogenVolatilisedFromMMS(I22, _xlfn.XLOOKUP($D54, $D$39:$D$46, $E$39:$E$46))</f>
        <v>0</v>
      </c>
      <c r="J54" s="2" t="str">
        <f t="shared" si="0"/>
        <v>kg N</v>
      </c>
      <c r="N54" s="52" t="str">
        <f>'Input - Poultry'!$D$33</f>
        <v>Pasture range and paddock</v>
      </c>
      <c r="O54" s="52" t="s">
        <v>141</v>
      </c>
      <c r="P54" s="52" cm="1">
        <f t="array" ref="P54">MMS_Poultry_AtmosphericDeposition_Equations.VEERG_4_6_1_5__2_TotalNitrogenVolatilisedFromMMS(P22, _xlfn.XLOOKUP($N54, $D$39:$D$46, $E$39:$E$46))</f>
        <v>0</v>
      </c>
      <c r="Q54" s="52" cm="1">
        <f t="array" ref="Q54">MMS_Poultry_AtmosphericDeposition_Equations.VEERG_4_6_1_5__2_TotalNitrogenVolatilisedFromMMS(Q22, _xlfn.XLOOKUP($N54, $D$39:$D$46, $E$39:$E$46))</f>
        <v>0</v>
      </c>
      <c r="R54" s="52" cm="1">
        <f t="array" ref="R54">MMS_Poultry_AtmosphericDeposition_Equations.VEERG_4_6_1_5__2_TotalNitrogenVolatilisedFromMMS(R22, _xlfn.XLOOKUP($N54, $D$39:$D$46, $E$39:$E$46))</f>
        <v>0</v>
      </c>
      <c r="S54" s="52" cm="1">
        <f t="array" ref="S54">MMS_Poultry_AtmosphericDeposition_Equations.VEERG_4_6_1_5__2_TotalNitrogenVolatilisedFromMMS(S22, _xlfn.XLOOKUP($N54, $D$39:$D$46, $E$39:$E$46))</f>
        <v>0</v>
      </c>
      <c r="T54" s="2" t="str">
        <f t="shared" si="1"/>
        <v>kg N</v>
      </c>
    </row>
    <row r="55" spans="4:20" ht="20.100000000000001" customHeight="1" x14ac:dyDescent="0.25">
      <c r="D55" s="52" t="str">
        <f>'Input - Poultry'!$D$30</f>
        <v>Poultry manure with bedding</v>
      </c>
      <c r="E55" s="52" t="str">
        <f>'Input - Poultry'!$D$38</f>
        <v>Solid storage</v>
      </c>
      <c r="F55" s="52" cm="1">
        <f t="array" ref="F55">MMS_Poultry_AtmosphericDeposition_Equations.VEERG_4_6_1_5__2_TotalNitrogenVolatilisedFromMMS(F23, _xlfn.XLOOKUP($E55, $D$39:$D$46, $E$39:$E$46))</f>
        <v>0.14254231680000004</v>
      </c>
      <c r="G55" s="52" cm="1">
        <f t="array" ref="G55">MMS_Poultry_AtmosphericDeposition_Equations.VEERG_4_6_1_5__2_TotalNitrogenVolatilisedFromMMS(G23, _xlfn.XLOOKUP($E55, $D$39:$D$46, $E$39:$E$46))</f>
        <v>0.15214758336</v>
      </c>
      <c r="H55" s="52" cm="1">
        <f t="array" ref="H55">MMS_Poultry_AtmosphericDeposition_Equations.VEERG_4_6_1_5__2_TotalNitrogenVolatilisedFromMMS(H23, _xlfn.XLOOKUP($E55, $D$39:$D$46, $E$39:$E$46))</f>
        <v>0.17859863807999998</v>
      </c>
      <c r="I55" s="52" cm="1">
        <f t="array" ref="I55">MMS_Poultry_AtmosphericDeposition_Equations.VEERG_4_6_1_5__2_TotalNitrogenVolatilisedFromMMS(I23, _xlfn.XLOOKUP($E55, $D$39:$D$46, $E$39:$E$46))</f>
        <v>0.15214758336</v>
      </c>
      <c r="J55" s="2" t="str">
        <f t="shared" si="0"/>
        <v>kg N</v>
      </c>
      <c r="N55" s="52" t="str">
        <f>'Input - Poultry'!$D$30</f>
        <v>Poultry manure with bedding</v>
      </c>
      <c r="O55" s="52" t="str">
        <f>'Input - Poultry'!$D$38</f>
        <v>Solid storage</v>
      </c>
      <c r="P55" s="52" cm="1">
        <f t="array" ref="P55">MMS_Poultry_AtmosphericDeposition_Equations.VEERG_4_6_1_5__2_TotalNitrogenVolatilisedFromMMS(P23, _xlfn.XLOOKUP($O55, $D$39:$D$46, $E$39:$E$46))</f>
        <v>0.14254231680000004</v>
      </c>
      <c r="Q55" s="52" cm="1">
        <f t="array" ref="Q55">MMS_Poultry_AtmosphericDeposition_Equations.VEERG_4_6_1_5__2_TotalNitrogenVolatilisedFromMMS(Q23, _xlfn.XLOOKUP($O55, $D$39:$D$46, $E$39:$E$46))</f>
        <v>0.15214758336</v>
      </c>
      <c r="R55" s="52" cm="1">
        <f t="array" ref="R55">MMS_Poultry_AtmosphericDeposition_Equations.VEERG_4_6_1_5__2_TotalNitrogenVolatilisedFromMMS(R23, _xlfn.XLOOKUP($O55, $D$39:$D$46, $E$39:$E$46))</f>
        <v>0.17859863807999998</v>
      </c>
      <c r="S55" s="52" cm="1">
        <f t="array" ref="S55">MMS_Poultry_AtmosphericDeposition_Equations.VEERG_4_6_1_5__2_TotalNitrogenVolatilisedFromMMS(S23, _xlfn.XLOOKUP($O55, $D$39:$D$46, $E$39:$E$46))</f>
        <v>0.15214758336</v>
      </c>
      <c r="T55" s="2" t="str">
        <f t="shared" si="1"/>
        <v>kg N</v>
      </c>
    </row>
    <row r="56" spans="4:20" ht="20.100000000000001" customHeight="1" x14ac:dyDescent="0.25">
      <c r="D56" s="52"/>
      <c r="E56" s="52" t="str">
        <f>'Input - Poultry'!$D$39</f>
        <v>Composting (passive windrow)</v>
      </c>
      <c r="F56" s="52" cm="1">
        <f t="array" ref="F56">MMS_Poultry_AtmosphericDeposition_Equations.VEERG_4_6_1_5__2_TotalNitrogenVolatilisedFromMMS(F24, _xlfn.XLOOKUP($E56, $D$39:$D$46, $E$39:$E$46))</f>
        <v>0.14254231680000004</v>
      </c>
      <c r="G56" s="52" cm="1">
        <f t="array" ref="G56">MMS_Poultry_AtmosphericDeposition_Equations.VEERG_4_6_1_5__2_TotalNitrogenVolatilisedFromMMS(G24, _xlfn.XLOOKUP($E56, $D$39:$D$46, $E$39:$E$46))</f>
        <v>0.15214758336</v>
      </c>
      <c r="H56" s="52" cm="1">
        <f t="array" ref="H56">MMS_Poultry_AtmosphericDeposition_Equations.VEERG_4_6_1_5__2_TotalNitrogenVolatilisedFromMMS(H24, _xlfn.XLOOKUP($E56, $D$39:$D$46, $E$39:$E$46))</f>
        <v>0.17859863807999998</v>
      </c>
      <c r="I56" s="52" cm="1">
        <f t="array" ref="I56">MMS_Poultry_AtmosphericDeposition_Equations.VEERG_4_6_1_5__2_TotalNitrogenVolatilisedFromMMS(I24, _xlfn.XLOOKUP($E56, $D$39:$D$46, $E$39:$E$46))</f>
        <v>0.15214758336</v>
      </c>
      <c r="J56" s="2" t="str">
        <f t="shared" si="0"/>
        <v>kg N</v>
      </c>
      <c r="N56" s="52"/>
      <c r="O56" s="52" t="str">
        <f>'Input - Poultry'!$D$39</f>
        <v>Composting (passive windrow)</v>
      </c>
      <c r="P56" s="52" cm="1">
        <f t="array" ref="P56">MMS_Poultry_AtmosphericDeposition_Equations.VEERG_4_6_1_5__2_TotalNitrogenVolatilisedFromMMS(P24, _xlfn.XLOOKUP($O56, $D$39:$D$46, $E$39:$E$46))</f>
        <v>0.14254231680000004</v>
      </c>
      <c r="Q56" s="52" cm="1">
        <f t="array" ref="Q56">MMS_Poultry_AtmosphericDeposition_Equations.VEERG_4_6_1_5__2_TotalNitrogenVolatilisedFromMMS(Q24, _xlfn.XLOOKUP($O56, $D$39:$D$46, $E$39:$E$46))</f>
        <v>0.15214758336</v>
      </c>
      <c r="R56" s="52" cm="1">
        <f t="array" ref="R56">MMS_Poultry_AtmosphericDeposition_Equations.VEERG_4_6_1_5__2_TotalNitrogenVolatilisedFromMMS(R24, _xlfn.XLOOKUP($O56, $D$39:$D$46, $E$39:$E$46))</f>
        <v>0.17859863807999998</v>
      </c>
      <c r="S56" s="52" cm="1">
        <f t="array" ref="S56">MMS_Poultry_AtmosphericDeposition_Equations.VEERG_4_6_1_5__2_TotalNitrogenVolatilisedFromMMS(S24, _xlfn.XLOOKUP($O56, $D$39:$D$46, $E$39:$E$46))</f>
        <v>0.15214758336</v>
      </c>
      <c r="T56" s="2" t="str">
        <f t="shared" si="1"/>
        <v>kg N</v>
      </c>
    </row>
    <row r="57" spans="4:20" ht="20.100000000000001" customHeight="1" x14ac:dyDescent="0.25">
      <c r="D57" s="52"/>
      <c r="E57" s="52" t="str">
        <f>'Input - Poultry'!$D$40</f>
        <v>Digester / covered lagoons</v>
      </c>
      <c r="F57" s="52" cm="1">
        <f t="array" ref="F57">MMS_Poultry_AtmosphericDeposition_Equations.VEERG_4_6_1_5__2_TotalNitrogenVolatilisedFromMMS(F25, _xlfn.XLOOKUP($E57, $D$39:$D$46, $E$39:$E$46))</f>
        <v>0</v>
      </c>
      <c r="G57" s="52" cm="1">
        <f t="array" ref="G57">MMS_Poultry_AtmosphericDeposition_Equations.VEERG_4_6_1_5__2_TotalNitrogenVolatilisedFromMMS(G25, _xlfn.XLOOKUP($E57, $D$39:$D$46, $E$39:$E$46))</f>
        <v>0</v>
      </c>
      <c r="H57" s="52" cm="1">
        <f t="array" ref="H57">MMS_Poultry_AtmosphericDeposition_Equations.VEERG_4_6_1_5__2_TotalNitrogenVolatilisedFromMMS(H25, _xlfn.XLOOKUP($E57, $D$39:$D$46, $E$39:$E$46))</f>
        <v>0</v>
      </c>
      <c r="I57" s="52" cm="1">
        <f t="array" ref="I57">MMS_Poultry_AtmosphericDeposition_Equations.VEERG_4_6_1_5__2_TotalNitrogenVolatilisedFromMMS(I25, _xlfn.XLOOKUP($E57, $D$39:$D$46, $E$39:$E$46))</f>
        <v>0</v>
      </c>
      <c r="J57" s="2" t="str">
        <f t="shared" si="0"/>
        <v>kg N</v>
      </c>
      <c r="N57" s="52"/>
      <c r="O57" s="52" t="str">
        <f>'Input - Poultry'!$D$40</f>
        <v>Digester / covered lagoons</v>
      </c>
      <c r="P57" s="52" cm="1">
        <f t="array" ref="P57">MMS_Poultry_AtmosphericDeposition_Equations.VEERG_4_6_1_5__2_TotalNitrogenVolatilisedFromMMS(P25, _xlfn.XLOOKUP($O57, $D$39:$D$46, $E$39:$E$46))</f>
        <v>0</v>
      </c>
      <c r="Q57" s="52" cm="1">
        <f t="array" ref="Q57">MMS_Poultry_AtmosphericDeposition_Equations.VEERG_4_6_1_5__2_TotalNitrogenVolatilisedFromMMS(Q25, _xlfn.XLOOKUP($O57, $D$39:$D$46, $E$39:$E$46))</f>
        <v>0</v>
      </c>
      <c r="R57" s="52" cm="1">
        <f t="array" ref="R57">MMS_Poultry_AtmosphericDeposition_Equations.VEERG_4_6_1_5__2_TotalNitrogenVolatilisedFromMMS(R25, _xlfn.XLOOKUP($O57, $D$39:$D$46, $E$39:$E$46))</f>
        <v>0</v>
      </c>
      <c r="S57" s="52" cm="1">
        <f t="array" ref="S57">MMS_Poultry_AtmosphericDeposition_Equations.VEERG_4_6_1_5__2_TotalNitrogenVolatilisedFromMMS(S25, _xlfn.XLOOKUP($O57, $D$39:$D$46, $E$39:$E$46))</f>
        <v>0</v>
      </c>
      <c r="T57" s="2" t="str">
        <f t="shared" si="1"/>
        <v>kg N</v>
      </c>
    </row>
    <row r="58" spans="4:20" ht="20.100000000000001" customHeight="1" x14ac:dyDescent="0.25">
      <c r="D58" s="52"/>
      <c r="E58" s="52" t="str">
        <f>'Input - Poultry'!$D$41</f>
        <v>Direct processing</v>
      </c>
      <c r="F58" s="52" cm="1">
        <f t="array" ref="F58">MMS_Poultry_AtmosphericDeposition_Equations.VEERG_4_6_1_5__2_TotalNitrogenVolatilisedFromMMS(F26, _xlfn.XLOOKUP($E58, $D$39:$D$46, $E$39:$E$46))</f>
        <v>0</v>
      </c>
      <c r="G58" s="52" cm="1">
        <f t="array" ref="G58">MMS_Poultry_AtmosphericDeposition_Equations.VEERG_4_6_1_5__2_TotalNitrogenVolatilisedFromMMS(G26, _xlfn.XLOOKUP($E58, $D$39:$D$46, $E$39:$E$46))</f>
        <v>0</v>
      </c>
      <c r="H58" s="52" cm="1">
        <f t="array" ref="H58">MMS_Poultry_AtmosphericDeposition_Equations.VEERG_4_6_1_5__2_TotalNitrogenVolatilisedFromMMS(H26, _xlfn.XLOOKUP($E58, $D$39:$D$46, $E$39:$E$46))</f>
        <v>0</v>
      </c>
      <c r="I58" s="52" cm="1">
        <f t="array" ref="I58">MMS_Poultry_AtmosphericDeposition_Equations.VEERG_4_6_1_5__2_TotalNitrogenVolatilisedFromMMS(I26, _xlfn.XLOOKUP($E58, $D$39:$D$46, $E$39:$E$46))</f>
        <v>0</v>
      </c>
      <c r="J58" s="2" t="str">
        <f t="shared" si="0"/>
        <v>kg N</v>
      </c>
      <c r="N58" s="52"/>
      <c r="O58" s="52" t="str">
        <f>'Input - Poultry'!$D$41</f>
        <v>Direct processing</v>
      </c>
      <c r="P58" s="52" cm="1">
        <f t="array" ref="P58">MMS_Poultry_AtmosphericDeposition_Equations.VEERG_4_6_1_5__2_TotalNitrogenVolatilisedFromMMS(P26, _xlfn.XLOOKUP($O58, $D$39:$D$46, $E$39:$E$46))</f>
        <v>0</v>
      </c>
      <c r="Q58" s="52" cm="1">
        <f t="array" ref="Q58">MMS_Poultry_AtmosphericDeposition_Equations.VEERG_4_6_1_5__2_TotalNitrogenVolatilisedFromMMS(Q26, _xlfn.XLOOKUP($O58, $D$39:$D$46, $E$39:$E$46))</f>
        <v>0</v>
      </c>
      <c r="R58" s="52" cm="1">
        <f t="array" ref="R58">MMS_Poultry_AtmosphericDeposition_Equations.VEERG_4_6_1_5__2_TotalNitrogenVolatilisedFromMMS(R26, _xlfn.XLOOKUP($O58, $D$39:$D$46, $E$39:$E$46))</f>
        <v>0</v>
      </c>
      <c r="S58" s="52" cm="1">
        <f t="array" ref="S58">MMS_Poultry_AtmosphericDeposition_Equations.VEERG_4_6_1_5__2_TotalNitrogenVolatilisedFromMMS(S26, _xlfn.XLOOKUP($O58, $D$39:$D$46, $E$39:$E$46))</f>
        <v>0</v>
      </c>
      <c r="T58" s="2" t="str">
        <f t="shared" si="1"/>
        <v>kg N</v>
      </c>
    </row>
    <row r="59" spans="4:20" ht="20.100000000000001" customHeight="1" x14ac:dyDescent="0.25">
      <c r="D59" s="52" t="str">
        <f>'Input - Poultry'!$D$31</f>
        <v>Belt manure removal</v>
      </c>
      <c r="E59" s="52" t="str">
        <f>'Input - Poultry'!$D$45</f>
        <v>Solid storage</v>
      </c>
      <c r="F59" s="52" cm="1">
        <f t="array" ref="F59">MMS_Poultry_AtmosphericDeposition_Equations.VEERG_4_6_1_5__2_TotalNitrogenVolatilisedFromMMS(F27, _xlfn.XLOOKUP($E59, $D$39:$D$46, $E$39:$E$46))</f>
        <v>0.19352311680000006</v>
      </c>
      <c r="G59" s="52" cm="1">
        <f t="array" ref="G59">MMS_Poultry_AtmosphericDeposition_Equations.VEERG_4_6_1_5__2_TotalNitrogenVolatilisedFromMMS(G27, _xlfn.XLOOKUP($E59, $D$39:$D$46, $E$39:$E$46))</f>
        <v>0.20656374336000002</v>
      </c>
      <c r="H59" s="52" cm="1">
        <f t="array" ref="H59">MMS_Poultry_AtmosphericDeposition_Equations.VEERG_4_6_1_5__2_TotalNitrogenVolatilisedFromMMS(H27, _xlfn.XLOOKUP($E59, $D$39:$D$46, $E$39:$E$46))</f>
        <v>0.24247511808</v>
      </c>
      <c r="I59" s="52" cm="1">
        <f t="array" ref="I59">MMS_Poultry_AtmosphericDeposition_Equations.VEERG_4_6_1_5__2_TotalNitrogenVolatilisedFromMMS(I27, _xlfn.XLOOKUP($E59, $D$39:$D$46, $E$39:$E$46))</f>
        <v>0.20656374336000002</v>
      </c>
      <c r="J59" s="2" t="str">
        <f t="shared" si="0"/>
        <v>kg N</v>
      </c>
      <c r="N59" s="52" t="str">
        <f>'Input - Poultry'!$D$31</f>
        <v>Belt manure removal</v>
      </c>
      <c r="O59" s="52" t="str">
        <f>'Input - Poultry'!$D$45</f>
        <v>Solid storage</v>
      </c>
      <c r="P59" s="52" cm="1">
        <f t="array" ref="P59">MMS_Poultry_AtmosphericDeposition_Equations.VEERG_4_6_1_5__2_TotalNitrogenVolatilisedFromMMS(P27, _xlfn.XLOOKUP($O59, $D$39:$D$46, $E$39:$E$46))</f>
        <v>0.19352311680000006</v>
      </c>
      <c r="Q59" s="52" cm="1">
        <f t="array" ref="Q59">MMS_Poultry_AtmosphericDeposition_Equations.VEERG_4_6_1_5__2_TotalNitrogenVolatilisedFromMMS(Q27, _xlfn.XLOOKUP($O59, $D$39:$D$46, $E$39:$E$46))</f>
        <v>0.20656374336000002</v>
      </c>
      <c r="R59" s="52" cm="1">
        <f t="array" ref="R59">MMS_Poultry_AtmosphericDeposition_Equations.VEERG_4_6_1_5__2_TotalNitrogenVolatilisedFromMMS(R27, _xlfn.XLOOKUP($O59, $D$39:$D$46, $E$39:$E$46))</f>
        <v>0.24247511808</v>
      </c>
      <c r="S59" s="52" cm="1">
        <f t="array" ref="S59">MMS_Poultry_AtmosphericDeposition_Equations.VEERG_4_6_1_5__2_TotalNitrogenVolatilisedFromMMS(S27, _xlfn.XLOOKUP($O59, $D$39:$D$46, $E$39:$E$46))</f>
        <v>0.20656374336000002</v>
      </c>
      <c r="T59" s="2" t="str">
        <f t="shared" si="1"/>
        <v>kg N</v>
      </c>
    </row>
    <row r="60" spans="4:20" ht="20.100000000000001" customHeight="1" x14ac:dyDescent="0.25">
      <c r="D60" s="52"/>
      <c r="E60" s="52" t="str">
        <f>'Input - Poultry'!$D$46</f>
        <v>Composting (passive windrow)</v>
      </c>
      <c r="F60" s="52" cm="1">
        <f t="array" ref="F60">MMS_Poultry_AtmosphericDeposition_Equations.VEERG_4_6_1_5__2_TotalNitrogenVolatilisedFromMMS(F28, _xlfn.XLOOKUP($E60, $D$39:$D$46, $E$39:$E$46))</f>
        <v>0.19352311680000006</v>
      </c>
      <c r="G60" s="52" cm="1">
        <f t="array" ref="G60">MMS_Poultry_AtmosphericDeposition_Equations.VEERG_4_6_1_5__2_TotalNitrogenVolatilisedFromMMS(G28, _xlfn.XLOOKUP($E60, $D$39:$D$46, $E$39:$E$46))</f>
        <v>0.20656374336000002</v>
      </c>
      <c r="H60" s="52" cm="1">
        <f t="array" ref="H60">MMS_Poultry_AtmosphericDeposition_Equations.VEERG_4_6_1_5__2_TotalNitrogenVolatilisedFromMMS(H28, _xlfn.XLOOKUP($E60, $D$39:$D$46, $E$39:$E$46))</f>
        <v>0.24247511808</v>
      </c>
      <c r="I60" s="52" cm="1">
        <f t="array" ref="I60">MMS_Poultry_AtmosphericDeposition_Equations.VEERG_4_6_1_5__2_TotalNitrogenVolatilisedFromMMS(I28, _xlfn.XLOOKUP($E60, $D$39:$D$46, $E$39:$E$46))</f>
        <v>0.20656374336000002</v>
      </c>
      <c r="J60" s="2" t="str">
        <f t="shared" si="0"/>
        <v>kg N</v>
      </c>
      <c r="N60" s="52"/>
      <c r="O60" s="52" t="str">
        <f>'Input - Poultry'!$D$46</f>
        <v>Composting (passive windrow)</v>
      </c>
      <c r="P60" s="52" cm="1">
        <f t="array" ref="P60">MMS_Poultry_AtmosphericDeposition_Equations.VEERG_4_6_1_5__2_TotalNitrogenVolatilisedFromMMS(P28, _xlfn.XLOOKUP($O60, $D$39:$D$46, $E$39:$E$46))</f>
        <v>0.19352311680000006</v>
      </c>
      <c r="Q60" s="52" cm="1">
        <f t="array" ref="Q60">MMS_Poultry_AtmosphericDeposition_Equations.VEERG_4_6_1_5__2_TotalNitrogenVolatilisedFromMMS(Q28, _xlfn.XLOOKUP($O60, $D$39:$D$46, $E$39:$E$46))</f>
        <v>0.20656374336000002</v>
      </c>
      <c r="R60" s="52" cm="1">
        <f t="array" ref="R60">MMS_Poultry_AtmosphericDeposition_Equations.VEERG_4_6_1_5__2_TotalNitrogenVolatilisedFromMMS(R28, _xlfn.XLOOKUP($O60, $D$39:$D$46, $E$39:$E$46))</f>
        <v>0.24247511808</v>
      </c>
      <c r="S60" s="52" cm="1">
        <f t="array" ref="S60">MMS_Poultry_AtmosphericDeposition_Equations.VEERG_4_6_1_5__2_TotalNitrogenVolatilisedFromMMS(S28, _xlfn.XLOOKUP($O60, $D$39:$D$46, $E$39:$E$46))</f>
        <v>0.20656374336000002</v>
      </c>
      <c r="T60" s="2" t="str">
        <f t="shared" si="1"/>
        <v>kg N</v>
      </c>
    </row>
    <row r="61" spans="4:20" ht="20.100000000000001" customHeight="1" x14ac:dyDescent="0.25">
      <c r="D61" s="52"/>
      <c r="E61" s="52" t="str">
        <f>'Input - Poultry'!$D$47</f>
        <v>Digester / covered lagoons</v>
      </c>
      <c r="F61" s="52" cm="1">
        <f t="array" ref="F61">MMS_Poultry_AtmosphericDeposition_Equations.VEERG_4_6_1_5__2_TotalNitrogenVolatilisedFromMMS(F29, _xlfn.XLOOKUP($E61, $D$39:$D$46, $E$39:$E$46))</f>
        <v>0</v>
      </c>
      <c r="G61" s="52" cm="1">
        <f t="array" ref="G61">MMS_Poultry_AtmosphericDeposition_Equations.VEERG_4_6_1_5__2_TotalNitrogenVolatilisedFromMMS(G29, _xlfn.XLOOKUP($E61, $D$39:$D$46, $E$39:$E$46))</f>
        <v>0</v>
      </c>
      <c r="H61" s="52" cm="1">
        <f t="array" ref="H61">MMS_Poultry_AtmosphericDeposition_Equations.VEERG_4_6_1_5__2_TotalNitrogenVolatilisedFromMMS(H29, _xlfn.XLOOKUP($E61, $D$39:$D$46, $E$39:$E$46))</f>
        <v>0</v>
      </c>
      <c r="I61" s="52" cm="1">
        <f t="array" ref="I61">MMS_Poultry_AtmosphericDeposition_Equations.VEERG_4_6_1_5__2_TotalNitrogenVolatilisedFromMMS(I29, _xlfn.XLOOKUP($E61, $D$39:$D$46, $E$39:$E$46))</f>
        <v>0</v>
      </c>
      <c r="J61" s="2" t="str">
        <f t="shared" si="0"/>
        <v>kg N</v>
      </c>
      <c r="N61" s="52"/>
      <c r="O61" s="52" t="str">
        <f>'Input - Poultry'!$D$47</f>
        <v>Digester / covered lagoons</v>
      </c>
      <c r="P61" s="52" cm="1">
        <f t="array" ref="P61">MMS_Poultry_AtmosphericDeposition_Equations.VEERG_4_6_1_5__2_TotalNitrogenVolatilisedFromMMS(P29, _xlfn.XLOOKUP($O61, $D$39:$D$46, $E$39:$E$46))</f>
        <v>0</v>
      </c>
      <c r="Q61" s="52" cm="1">
        <f t="array" ref="Q61">MMS_Poultry_AtmosphericDeposition_Equations.VEERG_4_6_1_5__2_TotalNitrogenVolatilisedFromMMS(Q29, _xlfn.XLOOKUP($O61, $D$39:$D$46, $E$39:$E$46))</f>
        <v>0</v>
      </c>
      <c r="R61" s="52" cm="1">
        <f t="array" ref="R61">MMS_Poultry_AtmosphericDeposition_Equations.VEERG_4_6_1_5__2_TotalNitrogenVolatilisedFromMMS(R29, _xlfn.XLOOKUP($O61, $D$39:$D$46, $E$39:$E$46))</f>
        <v>0</v>
      </c>
      <c r="S61" s="52" cm="1">
        <f t="array" ref="S61">MMS_Poultry_AtmosphericDeposition_Equations.VEERG_4_6_1_5__2_TotalNitrogenVolatilisedFromMMS(S29, _xlfn.XLOOKUP($O61, $D$39:$D$46, $E$39:$E$46))</f>
        <v>0</v>
      </c>
      <c r="T61" s="2" t="str">
        <f t="shared" si="1"/>
        <v>kg N</v>
      </c>
    </row>
    <row r="62" spans="4:20" ht="20.100000000000001" customHeight="1" x14ac:dyDescent="0.25">
      <c r="D62" s="52"/>
      <c r="E62" s="52" t="str">
        <f>'Input - Poultry'!$D$48</f>
        <v>Direct processing</v>
      </c>
      <c r="F62" s="52" cm="1">
        <f t="array" ref="F62">MMS_Poultry_AtmosphericDeposition_Equations.VEERG_4_6_1_5__2_TotalNitrogenVolatilisedFromMMS(F30, _xlfn.XLOOKUP($E62, $D$39:$D$46, $E$39:$E$46))</f>
        <v>0</v>
      </c>
      <c r="G62" s="52" cm="1">
        <f t="array" ref="G62">MMS_Poultry_AtmosphericDeposition_Equations.VEERG_4_6_1_5__2_TotalNitrogenVolatilisedFromMMS(G30, _xlfn.XLOOKUP($E62, $D$39:$D$46, $E$39:$E$46))</f>
        <v>0</v>
      </c>
      <c r="H62" s="52" cm="1">
        <f t="array" ref="H62">MMS_Poultry_AtmosphericDeposition_Equations.VEERG_4_6_1_5__2_TotalNitrogenVolatilisedFromMMS(H30, _xlfn.XLOOKUP($E62, $D$39:$D$46, $E$39:$E$46))</f>
        <v>0</v>
      </c>
      <c r="I62" s="52" cm="1">
        <f t="array" ref="I62">MMS_Poultry_AtmosphericDeposition_Equations.VEERG_4_6_1_5__2_TotalNitrogenVolatilisedFromMMS(I30, _xlfn.XLOOKUP($E62, $D$39:$D$46, $E$39:$E$46))</f>
        <v>0</v>
      </c>
      <c r="J62" s="2" t="str">
        <f t="shared" si="0"/>
        <v>kg N</v>
      </c>
      <c r="N62" s="52"/>
      <c r="O62" s="52" t="str">
        <f>'Input - Poultry'!$D$48</f>
        <v>Direct processing</v>
      </c>
      <c r="P62" s="52" cm="1">
        <f t="array" ref="P62">MMS_Poultry_AtmosphericDeposition_Equations.VEERG_4_6_1_5__2_TotalNitrogenVolatilisedFromMMS(P30, _xlfn.XLOOKUP($O62, $D$39:$D$46, $E$39:$E$46))</f>
        <v>0</v>
      </c>
      <c r="Q62" s="52" cm="1">
        <f t="array" ref="Q62">MMS_Poultry_AtmosphericDeposition_Equations.VEERG_4_6_1_5__2_TotalNitrogenVolatilisedFromMMS(Q30, _xlfn.XLOOKUP($O62, $D$39:$D$46, $E$39:$E$46))</f>
        <v>0</v>
      </c>
      <c r="R62" s="52" cm="1">
        <f t="array" ref="R62">MMS_Poultry_AtmosphericDeposition_Equations.VEERG_4_6_1_5__2_TotalNitrogenVolatilisedFromMMS(R30, _xlfn.XLOOKUP($O62, $D$39:$D$46, $E$39:$E$46))</f>
        <v>0</v>
      </c>
      <c r="S62" s="52" cm="1">
        <f t="array" ref="S62">MMS_Poultry_AtmosphericDeposition_Equations.VEERG_4_6_1_5__2_TotalNitrogenVolatilisedFromMMS(S30, _xlfn.XLOOKUP($O62, $D$39:$D$46, $E$39:$E$46))</f>
        <v>0</v>
      </c>
      <c r="T62" s="2" t="str">
        <f t="shared" si="1"/>
        <v>kg N</v>
      </c>
    </row>
    <row r="63" spans="4:20" ht="20.100000000000001" customHeight="1" x14ac:dyDescent="0.25">
      <c r="D63" s="52" t="str">
        <f>'Input - Poultry'!$D$32</f>
        <v>Manure stored in house</v>
      </c>
      <c r="E63" s="52" t="str">
        <f>'Input - Poultry'!$D$52</f>
        <v>Solid storage</v>
      </c>
      <c r="F63" s="52" cm="1">
        <f t="array" ref="F63">MMS_Poultry_AtmosphericDeposition_Equations.VEERG_4_6_1_5__2_TotalNitrogenVolatilisedFromMMS(F31, _xlfn.XLOOKUP($E63, $D$39:$D$46, $E$39:$E$46))</f>
        <v>0.12214999680000004</v>
      </c>
      <c r="G63" s="52" cm="1">
        <f t="array" ref="G63">MMS_Poultry_AtmosphericDeposition_Equations.VEERG_4_6_1_5__2_TotalNitrogenVolatilisedFromMMS(G31, _xlfn.XLOOKUP($E63, $D$39:$D$46, $E$39:$E$46))</f>
        <v>0.13038111935999999</v>
      </c>
      <c r="H63" s="52" cm="1">
        <f t="array" ref="H63">MMS_Poultry_AtmosphericDeposition_Equations.VEERG_4_6_1_5__2_TotalNitrogenVolatilisedFromMMS(H31, _xlfn.XLOOKUP($E63, $D$39:$D$46, $E$39:$E$46))</f>
        <v>0.15304804608</v>
      </c>
      <c r="I63" s="52" cm="1">
        <f t="array" ref="I63">MMS_Poultry_AtmosphericDeposition_Equations.VEERG_4_6_1_5__2_TotalNitrogenVolatilisedFromMMS(I31, _xlfn.XLOOKUP($E63, $D$39:$D$46, $E$39:$E$46))</f>
        <v>0.13038111935999999</v>
      </c>
      <c r="J63" s="2" t="str">
        <f t="shared" si="0"/>
        <v>kg N</v>
      </c>
      <c r="N63" s="52" t="str">
        <f>'Input - Poultry'!$D$32</f>
        <v>Manure stored in house</v>
      </c>
      <c r="O63" s="52" t="str">
        <f>'Input - Poultry'!$D$52</f>
        <v>Solid storage</v>
      </c>
      <c r="P63" s="52" cm="1">
        <f t="array" ref="P63">MMS_Poultry_AtmosphericDeposition_Equations.VEERG_4_6_1_5__2_TotalNitrogenVolatilisedFromMMS(P31, _xlfn.XLOOKUP($O63, $D$39:$D$46, $E$39:$E$46))</f>
        <v>0.12214999680000004</v>
      </c>
      <c r="Q63" s="52" cm="1">
        <f t="array" ref="Q63">MMS_Poultry_AtmosphericDeposition_Equations.VEERG_4_6_1_5__2_TotalNitrogenVolatilisedFromMMS(Q31, _xlfn.XLOOKUP($O63, $D$39:$D$46, $E$39:$E$46))</f>
        <v>0.13038111935999999</v>
      </c>
      <c r="R63" s="52" cm="1">
        <f t="array" ref="R63">MMS_Poultry_AtmosphericDeposition_Equations.VEERG_4_6_1_5__2_TotalNitrogenVolatilisedFromMMS(R31, _xlfn.XLOOKUP($O63, $D$39:$D$46, $E$39:$E$46))</f>
        <v>0.15304804608</v>
      </c>
      <c r="S63" s="52" cm="1">
        <f t="array" ref="S63">MMS_Poultry_AtmosphericDeposition_Equations.VEERG_4_6_1_5__2_TotalNitrogenVolatilisedFromMMS(S31, _xlfn.XLOOKUP($O63, $D$39:$D$46, $E$39:$E$46))</f>
        <v>0.13038111935999999</v>
      </c>
      <c r="T63" s="2" t="str">
        <f t="shared" si="1"/>
        <v>kg N</v>
      </c>
    </row>
    <row r="64" spans="4:20" ht="20.100000000000001" customHeight="1" x14ac:dyDescent="0.25">
      <c r="D64" s="52"/>
      <c r="E64" s="52" t="str">
        <f>'Input - Poultry'!$D$53</f>
        <v>Composting (passive windrow)</v>
      </c>
      <c r="F64" s="52" cm="1">
        <f t="array" ref="F64">MMS_Poultry_AtmosphericDeposition_Equations.VEERG_4_6_1_5__2_TotalNitrogenVolatilisedFromMMS(F32, _xlfn.XLOOKUP($E64, $D$39:$D$46, $E$39:$E$46))</f>
        <v>0.12214999680000004</v>
      </c>
      <c r="G64" s="52" cm="1">
        <f t="array" ref="G64">MMS_Poultry_AtmosphericDeposition_Equations.VEERG_4_6_1_5__2_TotalNitrogenVolatilisedFromMMS(G32, _xlfn.XLOOKUP($E64, $D$39:$D$46, $E$39:$E$46))</f>
        <v>0.13038111935999999</v>
      </c>
      <c r="H64" s="52" cm="1">
        <f t="array" ref="H64">MMS_Poultry_AtmosphericDeposition_Equations.VEERG_4_6_1_5__2_TotalNitrogenVolatilisedFromMMS(H32, _xlfn.XLOOKUP($E64, $D$39:$D$46, $E$39:$E$46))</f>
        <v>0.15304804608</v>
      </c>
      <c r="I64" s="52" cm="1">
        <f t="array" ref="I64">MMS_Poultry_AtmosphericDeposition_Equations.VEERG_4_6_1_5__2_TotalNitrogenVolatilisedFromMMS(I32, _xlfn.XLOOKUP($E64, $D$39:$D$46, $E$39:$E$46))</f>
        <v>0.13038111935999999</v>
      </c>
      <c r="J64" s="2" t="str">
        <f t="shared" si="0"/>
        <v>kg N</v>
      </c>
      <c r="N64" s="52"/>
      <c r="O64" s="52" t="str">
        <f>'Input - Poultry'!$D$53</f>
        <v>Composting (passive windrow)</v>
      </c>
      <c r="P64" s="52" cm="1">
        <f t="array" ref="P64">MMS_Poultry_AtmosphericDeposition_Equations.VEERG_4_6_1_5__2_TotalNitrogenVolatilisedFromMMS(P32, _xlfn.XLOOKUP($O64, $D$39:$D$46, $E$39:$E$46))</f>
        <v>0.12214999680000004</v>
      </c>
      <c r="Q64" s="52" cm="1">
        <f t="array" ref="Q64">MMS_Poultry_AtmosphericDeposition_Equations.VEERG_4_6_1_5__2_TotalNitrogenVolatilisedFromMMS(Q32, _xlfn.XLOOKUP($O64, $D$39:$D$46, $E$39:$E$46))</f>
        <v>0.13038111935999999</v>
      </c>
      <c r="R64" s="52" cm="1">
        <f t="array" ref="R64">MMS_Poultry_AtmosphericDeposition_Equations.VEERG_4_6_1_5__2_TotalNitrogenVolatilisedFromMMS(R32, _xlfn.XLOOKUP($O64, $D$39:$D$46, $E$39:$E$46))</f>
        <v>0.15304804608</v>
      </c>
      <c r="S64" s="52" cm="1">
        <f t="array" ref="S64">MMS_Poultry_AtmosphericDeposition_Equations.VEERG_4_6_1_5__2_TotalNitrogenVolatilisedFromMMS(S32, _xlfn.XLOOKUP($O64, $D$39:$D$46, $E$39:$E$46))</f>
        <v>0.13038111935999999</v>
      </c>
      <c r="T64" s="2" t="str">
        <f t="shared" si="1"/>
        <v>kg N</v>
      </c>
    </row>
    <row r="65" spans="3:21" ht="20.100000000000001" customHeight="1" x14ac:dyDescent="0.25">
      <c r="D65" s="52"/>
      <c r="E65" s="52" t="str">
        <f>'Input - Poultry'!$D$54</f>
        <v>Digester / covered lagoons</v>
      </c>
      <c r="F65" s="52" cm="1">
        <f t="array" ref="F65">MMS_Poultry_AtmosphericDeposition_Equations.VEERG_4_6_1_5__2_TotalNitrogenVolatilisedFromMMS(F33, _xlfn.XLOOKUP($E65, $D$39:$D$46, $E$39:$E$46))</f>
        <v>0</v>
      </c>
      <c r="G65" s="52" cm="1">
        <f t="array" ref="G65">MMS_Poultry_AtmosphericDeposition_Equations.VEERG_4_6_1_5__2_TotalNitrogenVolatilisedFromMMS(G33, _xlfn.XLOOKUP($E65, $D$39:$D$46, $E$39:$E$46))</f>
        <v>0</v>
      </c>
      <c r="H65" s="52" cm="1">
        <f t="array" ref="H65">MMS_Poultry_AtmosphericDeposition_Equations.VEERG_4_6_1_5__2_TotalNitrogenVolatilisedFromMMS(H33, _xlfn.XLOOKUP($E65, $D$39:$D$46, $E$39:$E$46))</f>
        <v>0</v>
      </c>
      <c r="I65" s="52" cm="1">
        <f t="array" ref="I65">MMS_Poultry_AtmosphericDeposition_Equations.VEERG_4_6_1_5__2_TotalNitrogenVolatilisedFromMMS(I33, _xlfn.XLOOKUP($E65, $D$39:$D$46, $E$39:$E$46))</f>
        <v>0</v>
      </c>
      <c r="J65" s="2" t="str">
        <f t="shared" si="0"/>
        <v>kg N</v>
      </c>
      <c r="N65" s="52"/>
      <c r="O65" s="52" t="str">
        <f>'Input - Poultry'!$D$54</f>
        <v>Digester / covered lagoons</v>
      </c>
      <c r="P65" s="52" cm="1">
        <f t="array" ref="P65">MMS_Poultry_AtmosphericDeposition_Equations.VEERG_4_6_1_5__2_TotalNitrogenVolatilisedFromMMS(P33, _xlfn.XLOOKUP($O65, $D$39:$D$46, $E$39:$E$46))</f>
        <v>0</v>
      </c>
      <c r="Q65" s="52" cm="1">
        <f t="array" ref="Q65">MMS_Poultry_AtmosphericDeposition_Equations.VEERG_4_6_1_5__2_TotalNitrogenVolatilisedFromMMS(Q33, _xlfn.XLOOKUP($O65, $D$39:$D$46, $E$39:$E$46))</f>
        <v>0</v>
      </c>
      <c r="R65" s="52" cm="1">
        <f t="array" ref="R65">MMS_Poultry_AtmosphericDeposition_Equations.VEERG_4_6_1_5__2_TotalNitrogenVolatilisedFromMMS(R33, _xlfn.XLOOKUP($O65, $D$39:$D$46, $E$39:$E$46))</f>
        <v>0</v>
      </c>
      <c r="S65" s="52" cm="1">
        <f t="array" ref="S65">MMS_Poultry_AtmosphericDeposition_Equations.VEERG_4_6_1_5__2_TotalNitrogenVolatilisedFromMMS(S33, _xlfn.XLOOKUP($O65, $D$39:$D$46, $E$39:$E$46))</f>
        <v>0</v>
      </c>
      <c r="T65" s="2" t="str">
        <f t="shared" si="1"/>
        <v>kg N</v>
      </c>
    </row>
    <row r="66" spans="3:21" ht="20.100000000000001" customHeight="1" x14ac:dyDescent="0.25">
      <c r="D66" s="52"/>
      <c r="E66" s="52" t="str">
        <f>'Input - Poultry'!$D$55</f>
        <v>Direct processing</v>
      </c>
      <c r="F66" s="52" cm="1">
        <f t="array" ref="F66">MMS_Poultry_AtmosphericDeposition_Equations.VEERG_4_6_1_5__2_TotalNitrogenVolatilisedFromMMS(F34, _xlfn.XLOOKUP($E66, $D$39:$D$46, $E$39:$E$46))</f>
        <v>0</v>
      </c>
      <c r="G66" s="52" cm="1">
        <f t="array" ref="G66">MMS_Poultry_AtmosphericDeposition_Equations.VEERG_4_6_1_5__2_TotalNitrogenVolatilisedFromMMS(G34, _xlfn.XLOOKUP($E66, $D$39:$D$46, $E$39:$E$46))</f>
        <v>0</v>
      </c>
      <c r="H66" s="52" cm="1">
        <f t="array" ref="H66">MMS_Poultry_AtmosphericDeposition_Equations.VEERG_4_6_1_5__2_TotalNitrogenVolatilisedFromMMS(H34, _xlfn.XLOOKUP($E66, $D$39:$D$46, $E$39:$E$46))</f>
        <v>0</v>
      </c>
      <c r="I66" s="52" cm="1">
        <f t="array" ref="I66">MMS_Poultry_AtmosphericDeposition_Equations.VEERG_4_6_1_5__2_TotalNitrogenVolatilisedFromMMS(I34, _xlfn.XLOOKUP($E66, $D$39:$D$46, $E$39:$E$46))</f>
        <v>0</v>
      </c>
      <c r="J66" s="2" t="str">
        <f t="shared" si="0"/>
        <v>kg N</v>
      </c>
      <c r="N66" s="52"/>
      <c r="O66" s="52" t="str">
        <f>'Input - Poultry'!$D$55</f>
        <v>Direct processing</v>
      </c>
      <c r="P66" s="52" cm="1">
        <f t="array" ref="P66">MMS_Poultry_AtmosphericDeposition_Equations.VEERG_4_6_1_5__2_TotalNitrogenVolatilisedFromMMS(P34, _xlfn.XLOOKUP($O66, $D$39:$D$46, $E$39:$E$46))</f>
        <v>0</v>
      </c>
      <c r="Q66" s="52" cm="1">
        <f t="array" ref="Q66">MMS_Poultry_AtmosphericDeposition_Equations.VEERG_4_6_1_5__2_TotalNitrogenVolatilisedFromMMS(Q34, _xlfn.XLOOKUP($O66, $D$39:$D$46, $E$39:$E$46))</f>
        <v>0</v>
      </c>
      <c r="R66" s="52" cm="1">
        <f t="array" ref="R66">MMS_Poultry_AtmosphericDeposition_Equations.VEERG_4_6_1_5__2_TotalNitrogenVolatilisedFromMMS(R34, _xlfn.XLOOKUP($O66, $D$39:$D$46, $E$39:$E$46))</f>
        <v>0</v>
      </c>
      <c r="S66" s="52" cm="1">
        <f t="array" ref="S66">MMS_Poultry_AtmosphericDeposition_Equations.VEERG_4_6_1_5__2_TotalNitrogenVolatilisedFromMMS(S34, _xlfn.XLOOKUP($O66, $D$39:$D$46, $E$39:$E$46))</f>
        <v>0</v>
      </c>
      <c r="T66" s="2" t="str">
        <f t="shared" si="1"/>
        <v>kg N</v>
      </c>
    </row>
    <row r="67" spans="3:21" ht="20.100000000000001" customHeight="1" x14ac:dyDescent="0.25"/>
    <row r="68" spans="3:21" ht="20.100000000000001" customHeight="1" x14ac:dyDescent="0.25">
      <c r="D68" s="113" t="s">
        <v>166</v>
      </c>
      <c r="E68" s="45">
        <f>SUM(F51:I66)</f>
        <v>20.797764249600011</v>
      </c>
      <c r="F68" s="105" t="str">
        <f>$E$11</f>
        <v>kg N</v>
      </c>
      <c r="N68" s="113" t="s">
        <v>166</v>
      </c>
      <c r="O68" s="45">
        <f>SUM(P51:S66)</f>
        <v>20.797764249600011</v>
      </c>
      <c r="P68" s="105" t="str">
        <f>$E$11</f>
        <v>kg N</v>
      </c>
    </row>
    <row r="69" spans="3:21" ht="20.100000000000001" customHeight="1" x14ac:dyDescent="0.25"/>
    <row r="70" spans="3:21" ht="20.100000000000001" customHeight="1" x14ac:dyDescent="0.25"/>
    <row r="71" spans="3:21" ht="20.100000000000001" customHeight="1" x14ac:dyDescent="0.25">
      <c r="C71" s="45"/>
      <c r="D71" s="45"/>
      <c r="E71" s="45"/>
      <c r="F71" s="45"/>
      <c r="G71" s="45"/>
      <c r="H71" s="45"/>
      <c r="I71" s="45"/>
      <c r="J71" s="45"/>
      <c r="K71" s="45"/>
      <c r="M71" s="45"/>
      <c r="N71" s="45"/>
      <c r="O71" s="45"/>
      <c r="P71" s="45"/>
      <c r="Q71" s="45"/>
      <c r="R71" s="45"/>
      <c r="S71" s="45"/>
      <c r="T71" s="45"/>
      <c r="U71" s="45"/>
    </row>
    <row r="72" spans="3:21" ht="20.100000000000001" customHeight="1" x14ac:dyDescent="0.25">
      <c r="D72" s="6" t="str" cm="1">
        <f t="array" ref="D72">MMS_Poultry_AtmosphericDeposition_Equations.VEERG_4_6_1_5__1_TotalAnnualAtmosphericDepositionEmissionsFromMMS_Title()</f>
        <v>Total annual atmospheric deposition emissions from manure management</v>
      </c>
    </row>
    <row r="73" spans="3:21" ht="20.100000000000001" customHeight="1" x14ac:dyDescent="0.25">
      <c r="D73" s="5" t="str" cm="1">
        <f t="array" ref="D73">MMS_Poultry_AtmosphericDeposition_Equations.VEERG_4_6_1_5__1_TotalAnnualAtmosphericDepositionEmissionsFromMMS_Source()</f>
        <v>VEERG 2026: 4.6.1.5, Equation (1)</v>
      </c>
    </row>
    <row r="74" spans="3:21" ht="20.100000000000001" customHeight="1" x14ac:dyDescent="0.25">
      <c r="D74" s="13" t="s">
        <v>26</v>
      </c>
      <c r="E74" s="13" t="str" cm="1">
        <f t="array" aca="1" ref="E74" ca="1">Common_InputFunctions.Utility_DisplayFunctionName(E87)</f>
        <v>=MMS_Poultry_AtmosphericDeposition_Equations.VEERG_4_6_1_5__1_TotalAnnualAtmosphericDepositionEmissionsFromMMS</v>
      </c>
    </row>
    <row r="75" spans="3:21" ht="20.100000000000001" customHeight="1" x14ac:dyDescent="0.25"/>
    <row r="76" spans="3:21" ht="20.100000000000001" customHeight="1" x14ac:dyDescent="0.25"/>
    <row r="77" spans="3:21" ht="20.100000000000001" customHeight="1" x14ac:dyDescent="0.25">
      <c r="D77" s="53" t="s">
        <v>29</v>
      </c>
      <c r="E77" s="1" t="str" cm="1">
        <f t="array" ref="E77">MMS_Poultry_AtmosphericDeposition_Equations.VEERG_4_6_1_5__1_TotalAnnualAtmosphericDepositionEmissionsFromMMS_Variable()</f>
        <v>E_N2Oad</v>
      </c>
    </row>
    <row r="78" spans="3:21" ht="20.100000000000001" customHeight="1" x14ac:dyDescent="0.25">
      <c r="D78" s="53" t="s">
        <v>19</v>
      </c>
      <c r="E78" s="54" t="str" cm="1">
        <f t="array" ref="E78">MMS_Poultry_AtmosphericDeposition_Equations.VEERG_4_6_1_5__1_TotalAnnualAtmosphericDepositionEmissionsFromMMS_Unit()</f>
        <v>t N2O</v>
      </c>
    </row>
    <row r="79" spans="3:21" ht="20.100000000000001" customHeight="1" x14ac:dyDescent="0.25"/>
    <row r="80" spans="3:21" ht="20.100000000000001" customHeight="1" x14ac:dyDescent="0.25">
      <c r="D80" s="108" t="str" cm="1">
        <f t="array" ref="D80:E85">MMS_Poultry_AtmosphericDeposition_Equations.VEERG_4_6_1_5__1_TotalAnnualAtmosphericDepositionEmissionsFromMMS_Arguments()</f>
        <v>MMS_ATMOS</v>
      </c>
      <c r="E80" s="110" t="str">
        <v>mass of N volatilised from MMS : kg N</v>
      </c>
      <c r="F80" s="109"/>
      <c r="G80" s="57">
        <f>$E$68</f>
        <v>20.797764249600011</v>
      </c>
      <c r="N80" s="108" t="str" cm="1">
        <f t="array" ref="N80:O85">MMS_Poultry_AtmosphericDeposition_Equations.VEERG_4_6_1_5__1_TotalAnnualAtmosphericDepositionEmissionsFromMMS_Arguments()</f>
        <v>MMS_ATMOS</v>
      </c>
      <c r="O80" s="110" t="str">
        <v>mass of N volatilised from MMS : kg N</v>
      </c>
      <c r="P80" s="109"/>
      <c r="Q80" s="57">
        <f>O68</f>
        <v>20.797764249600011</v>
      </c>
    </row>
    <row r="81" spans="4:17" ht="20.100000000000001" customHeight="1" x14ac:dyDescent="0.25">
      <c r="D81" s="108" t="str">
        <v>EF_N2O</v>
      </c>
      <c r="E81" s="110" t="str">
        <v>nitrous oxide emission factor for atmospheric deposition : kg N2O-N/kg N</v>
      </c>
      <c r="F81" s="109"/>
      <c r="G81" s="57">
        <f>Common_InputFunctions.Utility_LookupN2OEFFromProdIrrigationRainfall(G83,G84,G85,Table_SourceData_Common_EFN2O[Production system only],Table_SourceData_Common_EFN2O[Irrigation method],Table_SourceData_Common_EFN2O[Rainfall zone],Table_SourceData_Common_EFN2O[EFN2O])</f>
        <v>7.0000000000000001E-3</v>
      </c>
      <c r="N81" s="108" t="str">
        <v>EF_N2O</v>
      </c>
      <c r="O81" s="110" t="str">
        <v>nitrous oxide emission factor for atmospheric deposition : kg N2O-N/kg N</v>
      </c>
      <c r="P81" s="109"/>
      <c r="Q81" s="57"/>
    </row>
    <row r="82" spans="4:17" ht="20.100000000000001" customHeight="1" x14ac:dyDescent="0.25">
      <c r="D82" s="108" t="str">
        <v>C_N2O</v>
      </c>
      <c r="E82" s="110" t="str">
        <v>factor to convert elemental mass of nitrous oxide to molecular mass : ratio</v>
      </c>
      <c r="F82" s="109"/>
      <c r="G82" s="57">
        <f>Common_InputFunctions.Utility_LookupValueInTableNumber("N2O",Table_GasToMolecularConversionFactor[Gas],Table_GasToMolecularConversionFactor[Conversion factor combined])</f>
        <v>1.5714285714285714</v>
      </c>
      <c r="N82" s="108" t="str">
        <v>C_N2O</v>
      </c>
      <c r="O82" s="110" t="str">
        <v>factor to convert elemental mass of nitrous oxide to molecular mass : ratio</v>
      </c>
      <c r="P82" s="109"/>
      <c r="Q82" s="57"/>
    </row>
    <row r="83" spans="4:17" ht="20.100000000000001" customHeight="1" x14ac:dyDescent="0.25">
      <c r="D83" s="108" t="str">
        <v>j</v>
      </c>
      <c r="E83" s="110" t="str">
        <v>production system</v>
      </c>
      <c r="F83" s="109"/>
      <c r="G83" s="57" t="str">
        <f>'Input - Poultry'!$E$59</f>
        <v>Crop</v>
      </c>
      <c r="N83" s="108" t="str">
        <v>j</v>
      </c>
      <c r="O83" s="110" t="str">
        <v>production system</v>
      </c>
      <c r="P83" s="109"/>
      <c r="Q83" s="57"/>
    </row>
    <row r="84" spans="4:17" ht="20.100000000000001" customHeight="1" x14ac:dyDescent="0.25">
      <c r="D84" s="108" t="str">
        <v>ir</v>
      </c>
      <c r="E84" s="110" t="str">
        <v>irrigation method</v>
      </c>
      <c r="F84" s="109"/>
      <c r="G84" s="57" t="str">
        <f>'Input - Poultry'!$E$60</f>
        <v>Sprinkler irrigation</v>
      </c>
      <c r="N84" s="108" t="str">
        <v>ir</v>
      </c>
      <c r="O84" s="110" t="str">
        <v>irrigation method</v>
      </c>
      <c r="P84" s="109"/>
      <c r="Q84" s="57"/>
    </row>
    <row r="85" spans="4:17" ht="20.100000000000001" customHeight="1" x14ac:dyDescent="0.25">
      <c r="D85" s="108" t="str">
        <v>r</v>
      </c>
      <c r="E85" s="110" t="str">
        <v>rainfall region</v>
      </c>
      <c r="F85" s="109"/>
      <c r="G85" s="57" t="str">
        <f>'Input - Site'!$E$30</f>
        <v>High rainfall</v>
      </c>
      <c r="N85" s="108" t="str">
        <v>r</v>
      </c>
      <c r="O85" s="110" t="str">
        <v>rainfall region</v>
      </c>
      <c r="P85" s="109"/>
      <c r="Q85" s="57"/>
    </row>
    <row r="86" spans="4:17" ht="20.100000000000001" customHeight="1" x14ac:dyDescent="0.25"/>
    <row r="87" spans="4:17" ht="20.100000000000001" customHeight="1" x14ac:dyDescent="0.25">
      <c r="D87" s="101" t="s">
        <v>303</v>
      </c>
      <c r="E87" s="102" cm="1">
        <f t="array" ref="E87">MMS_Poultry_AtmosphericDeposition_Equations.VEERG_4_6_1_5__1_TotalAnnualAtmosphericDepositionEmissionsFromMMS(G80,$G$81,$G$82)</f>
        <v>2.2877540674560014E-4</v>
      </c>
      <c r="F87" s="103" t="str">
        <f>$E$59</f>
        <v>Solid storage</v>
      </c>
      <c r="N87" s="101" t="s">
        <v>303</v>
      </c>
      <c r="O87" s="102" cm="1">
        <f t="array" ref="O87">MMS_Poultry_AtmosphericDeposition_Equations.VEERG_4_6_1_5__1_TotalAnnualAtmosphericDepositionEmissionsFromMMS(Q80,$G$81,$G$82)</f>
        <v>2.2877540674560014E-4</v>
      </c>
      <c r="P87" s="103" t="str">
        <f>$E$59</f>
        <v>Solid storage</v>
      </c>
    </row>
    <row r="88" spans="4:17" ht="20.100000000000001" customHeight="1" x14ac:dyDescent="0.25"/>
    <row r="89" spans="4:17" ht="20.100000000000001" customHeight="1" x14ac:dyDescent="0.25">
      <c r="D89" s="57" t="str" cm="1">
        <f t="array" ref="D89:E90">Common_Equations.Common_ConvertN2OToCO2e_Arguments()</f>
        <v>EN2O</v>
      </c>
      <c r="E89" s="58" t="str">
        <v>Nitrous oxide emissions (t N2O)</v>
      </c>
      <c r="F89" s="104"/>
      <c r="G89" s="52">
        <f>E87</f>
        <v>2.2877540674560014E-4</v>
      </c>
      <c r="N89" s="57" t="str" cm="1">
        <f t="array" ref="N89:O90">Common_Equations.Common_ConvertN2OToCO2e_Arguments()</f>
        <v>EN2O</v>
      </c>
      <c r="O89" s="58" t="str">
        <v>Nitrous oxide emissions (t N2O)</v>
      </c>
      <c r="P89" s="104"/>
      <c r="Q89" s="52">
        <f>O87</f>
        <v>2.2877540674560014E-4</v>
      </c>
    </row>
    <row r="90" spans="4:17" ht="20.100000000000001" customHeight="1" x14ac:dyDescent="0.25">
      <c r="D90" s="57" t="str">
        <v>GWPN2O</v>
      </c>
      <c r="E90" s="58" t="str">
        <v>Global warming potential for nitrous oxide (t CO2-e / t N2O)</v>
      </c>
      <c r="F90" s="104"/>
      <c r="G90" s="52">
        <f>Common_InputFunctions.Utility_LookupValueInTableNumber("N2O",[3]!Table_GWPData[Gas],[3]!Table_GWPData[CO2-e factor])</f>
        <v>265</v>
      </c>
      <c r="N90" s="57" t="str">
        <v>GWPN2O</v>
      </c>
      <c r="O90" s="58" t="str">
        <v>Global warming potential for nitrous oxide (t CO2-e / t N2O)</v>
      </c>
      <c r="P90" s="104"/>
      <c r="Q90" s="52">
        <f>Common_InputFunctions.Utility_LookupValueInTableNumber("N2O",[3]!Table_GWPData[Gas],[3]!Table_GWPData[CO2-e factor])</f>
        <v>265</v>
      </c>
    </row>
    <row r="91" spans="4:17" ht="20.100000000000001" customHeight="1" x14ac:dyDescent="0.25"/>
    <row r="92" spans="4:17" ht="20.100000000000001" customHeight="1" x14ac:dyDescent="0.25">
      <c r="D92" s="45" t="s">
        <v>100</v>
      </c>
      <c r="E92" s="45" cm="1">
        <f t="array" ref="E92">Common_Equations.Common_ConvertN2OToCO2e(G89,G90)</f>
        <v>6.0625482787584034E-2</v>
      </c>
      <c r="F92" s="105" t="str" cm="1">
        <f t="array" ref="F92">Common_Equations.Common_ConvertN2OToCO2e_Unit()</f>
        <v>t CO2e</v>
      </c>
      <c r="N92" s="45" t="s">
        <v>100</v>
      </c>
      <c r="O92" s="45" cm="1">
        <f t="array" ref="O92">Common_Equations.Common_ConvertN2OToCO2e(Q89,Q90)</f>
        <v>6.0625482787584034E-2</v>
      </c>
      <c r="P92" s="105" t="str" cm="1">
        <f t="array" ref="P92">Common_Equations.Common_ConvertN2OToCO2e_Unit()</f>
        <v>t CO2e</v>
      </c>
    </row>
    <row r="93" spans="4:17" ht="20.100000000000001" customHeight="1" x14ac:dyDescent="0.25"/>
    <row r="94" spans="4:17" ht="20.100000000000001" customHeight="1" x14ac:dyDescent="0.25"/>
    <row r="95" spans="4:17" ht="20.100000000000001" customHeight="1" x14ac:dyDescent="0.25"/>
    <row r="96" spans="4:17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U165"/>
  <sheetViews>
    <sheetView showGridLines="0" zoomScale="85" zoomScaleNormal="85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304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MMS_Poultry_LeachingAndRunoff_Equations.VEERG_4_6_1_7__2_MassOfNitrogenLostToLeachingAndRunoffFromSolidStorage_Title()</f>
        <v>Mass of nitrogen lost to leaching and runoff from solid storage systems</v>
      </c>
    </row>
    <row r="6" spans="1:21" ht="20.100000000000001" customHeight="1" x14ac:dyDescent="0.25">
      <c r="A6" s="20" t="s">
        <v>3</v>
      </c>
      <c r="D6" s="5" t="str" cm="1">
        <f t="array" ref="D6">MMS_Poultry_LeachingAndRunoff_Equations.VEERG_4_6_1_7__2_MassOfNitrogenLostToLeachingAndRunoffFromSolidStorage_Source()</f>
        <v>VEERG 2026: 4.6.1.7,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Common_InputFunctions.Utility_DisplayFunctionName(F30)</f>
        <v>=MMS_Poultry_LeachingAndRunoff_Equations.VEERG_4_6_1_7__2_MassOfNitrogenLostToLeachingAndRunoffFromSolidStorage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MMS_Poultry_LeachingAndRunoff_Equations.VEERG_4_6_1_7__2_MassOfNitrogenLostToLeachingAndRunoffFromSolidStorage_Variable()</f>
        <v>MNLeach_jkm4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MMS_Poultry_LeachingAndRunoff_Equations.VEERG_4_6_1_7__2_MassOfNitrogenLostToLeachingAndRunoffFromSolidStorage_Unit()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Soil atm. deposition")</f>
        <v>4.6.1.5-6 Soil atm. deposition</v>
      </c>
      <c r="D13" s="57" t="str" cm="1">
        <f t="array" ref="D13:E18">MMS_Poultry_LeachingAndRunoff_Equations.VEERG_4_6_1_7__2_MassOfNitrogenLostToLeachingAndRunoffFromSolidStorage_Arguments()</f>
        <v>MN_jkm4T1</v>
      </c>
      <c r="E13" s="58" t="str">
        <v>nitrogen in solid storage MMS treatment stage 1 : kg N</v>
      </c>
      <c r="F13" s="59"/>
      <c r="G13" s="57" t="str">
        <f>"See " &amp; D20</f>
        <v>See M1_Table_MN_j_k_m-4</v>
      </c>
    </row>
    <row r="14" spans="1:21" ht="20.100000000000001" customHeight="1" x14ac:dyDescent="0.25">
      <c r="A14" s="138" t="str">
        <f>HYPERLINK("#'4.6.1.7-8 Leaching and runoff'!A1", "4.6.1.7-8 Leaching &amp; runoff")</f>
        <v>4.6.1.7-8 Leaching &amp; runoff</v>
      </c>
      <c r="D14" s="57" t="str">
        <v>FracWET</v>
      </c>
      <c r="E14" s="58" t="str">
        <v>fraction of N available for leaching and runoff : fraction</v>
      </c>
      <c r="F14" s="59"/>
      <c r="G14" s="57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FracLEACH_MS</v>
      </c>
      <c r="E15" s="58" t="str">
        <v>fraction of N lost through leaching and runoff : fraction</v>
      </c>
      <c r="F15" s="59"/>
      <c r="G15" s="57">
        <f>'Constants - Poultry'!$E$111</f>
        <v>0.02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z</v>
      </c>
      <c r="E16" s="58" t="str">
        <v>location in leaching zone</v>
      </c>
      <c r="F16" s="59"/>
      <c r="G16" s="57" t="str">
        <f>'Input - Site'!$E$23</f>
        <v>NO - Not in leaching zone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j</v>
      </c>
      <c r="E17" s="58" t="str">
        <v>production system</v>
      </c>
      <c r="F17" s="59"/>
      <c r="G17" s="57" t="str">
        <f>'Input - Poultry'!$E$59</f>
        <v>Crop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7" t="str">
        <v>ir</v>
      </c>
      <c r="E18" s="58" t="str">
        <v>irrigation method</v>
      </c>
      <c r="F18" s="59"/>
      <c r="G18" s="57" t="str">
        <f>'Input - Poultry'!$E$60</f>
        <v>Sprinkler irrigation</v>
      </c>
    </row>
    <row r="19" spans="1:20" ht="20.100000000000001" customHeight="1" x14ac:dyDescent="0.25"/>
    <row r="20" spans="1:20" ht="20.100000000000001" customHeight="1" x14ac:dyDescent="0.25">
      <c r="A20" s="18" t="s">
        <v>4</v>
      </c>
      <c r="D20" s="99" t="s">
        <v>305</v>
      </c>
      <c r="N20" s="99" t="s">
        <v>305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98" t="s">
        <v>306</v>
      </c>
      <c r="N21" s="98" t="s">
        <v>306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1" t="s">
        <v>143</v>
      </c>
      <c r="E22" s="51" t="s">
        <v>145</v>
      </c>
      <c r="F22" s="51" t="s">
        <v>209</v>
      </c>
      <c r="G22" s="51" t="s">
        <v>210</v>
      </c>
      <c r="H22" s="51" t="s">
        <v>224</v>
      </c>
      <c r="I22" s="51" t="s">
        <v>225</v>
      </c>
      <c r="N22" s="51" t="s">
        <v>143</v>
      </c>
      <c r="O22" s="51" t="s">
        <v>145</v>
      </c>
      <c r="P22" s="51" t="s">
        <v>209</v>
      </c>
      <c r="Q22" s="51" t="s">
        <v>210</v>
      </c>
      <c r="R22" s="51" t="s">
        <v>224</v>
      </c>
      <c r="S22" s="51" t="s">
        <v>225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Poultry'!$D$30</f>
        <v>Poultry manure with bedding</v>
      </c>
      <c r="E23" s="52" t="str">
        <f>'Input - Poultry'!$D$38</f>
        <v>Solid storage</v>
      </c>
      <c r="F23" s="52">
        <f>'4.6.1.3-4 Direct N20'!F186</f>
        <v>0.71271158400000012</v>
      </c>
      <c r="G23" s="52">
        <f>'4.6.1.3-4 Direct N20'!G186</f>
        <v>0.76073791680000002</v>
      </c>
      <c r="H23" s="52">
        <f>'4.6.1.3-4 Direct N20'!H186</f>
        <v>0.89299319039999991</v>
      </c>
      <c r="I23" s="52">
        <f>'4.6.1.3-4 Direct N20'!I186</f>
        <v>0.76073791680000002</v>
      </c>
      <c r="J23" s="2" t="s">
        <v>168</v>
      </c>
      <c r="N23" s="52" t="str">
        <f>'Input - Poultry'!$D$30</f>
        <v>Poultry manure with bedding</v>
      </c>
      <c r="O23" s="52" t="str">
        <f>'Input - Poultry'!$D$38</f>
        <v>Solid storage</v>
      </c>
      <c r="P23" s="52">
        <f>'4.6.1.3-4 Direct N20'!P186</f>
        <v>0.71271158400000012</v>
      </c>
      <c r="Q23" s="52">
        <f>'4.6.1.3-4 Direct N20'!Q186</f>
        <v>0.76073791680000002</v>
      </c>
      <c r="R23" s="52">
        <f>'4.6.1.3-4 Direct N20'!R186</f>
        <v>0.89299319039999991</v>
      </c>
      <c r="S23" s="52">
        <f>'4.6.1.3-4 Direct N20'!S186</f>
        <v>0.76073791680000002</v>
      </c>
      <c r="T23" s="2" t="s">
        <v>168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 t="str">
        <f>'Input - Poultry'!$D$31</f>
        <v>Belt manure removal</v>
      </c>
      <c r="E24" s="52" t="str">
        <f>'Input - Poultry'!$D$45</f>
        <v>Solid storage</v>
      </c>
      <c r="F24" s="52">
        <f>'4.6.1.3-4 Direct N20'!F190</f>
        <v>0.96761558400000025</v>
      </c>
      <c r="G24" s="52">
        <f>'4.6.1.3-4 Direct N20'!G190</f>
        <v>1.0328187168</v>
      </c>
      <c r="H24" s="52">
        <f>'4.6.1.3-4 Direct N20'!H190</f>
        <v>1.2123755904</v>
      </c>
      <c r="I24" s="52">
        <f>'4.6.1.3-4 Direct N20'!I190</f>
        <v>1.0328187168</v>
      </c>
      <c r="J24" s="2" t="s">
        <v>168</v>
      </c>
      <c r="N24" s="52" t="str">
        <f>'Input - Poultry'!$D$31</f>
        <v>Belt manure removal</v>
      </c>
      <c r="O24" s="52" t="str">
        <f>'Input - Poultry'!$D$45</f>
        <v>Solid storage</v>
      </c>
      <c r="P24" s="52">
        <f>'4.6.1.3-4 Direct N20'!P190</f>
        <v>0.96761558400000025</v>
      </c>
      <c r="Q24" s="52">
        <f>'4.6.1.3-4 Direct N20'!Q190</f>
        <v>1.0328187168</v>
      </c>
      <c r="R24" s="52">
        <f>'4.6.1.3-4 Direct N20'!R190</f>
        <v>1.2123755904</v>
      </c>
      <c r="S24" s="52">
        <f>'4.6.1.3-4 Direct N20'!S190</f>
        <v>1.0328187168</v>
      </c>
      <c r="T24" s="2" t="s">
        <v>168</v>
      </c>
    </row>
    <row r="25" spans="1:20" ht="20.100000000000001" customHeight="1" x14ac:dyDescent="0.25">
      <c r="D25" s="52" t="str">
        <f>'Input - Poultry'!$D$32</f>
        <v>Manure stored in house</v>
      </c>
      <c r="E25" s="52" t="str">
        <f>'Input - Poultry'!$D$52</f>
        <v>Solid storage</v>
      </c>
      <c r="F25" s="52">
        <f>'4.6.1.3-4 Direct N20'!F194</f>
        <v>0.61074998400000013</v>
      </c>
      <c r="G25" s="52">
        <f>'4.6.1.3-4 Direct N20'!G194</f>
        <v>0.65190559679999993</v>
      </c>
      <c r="H25" s="52">
        <f>'4.6.1.3-4 Direct N20'!H194</f>
        <v>0.76524023039999989</v>
      </c>
      <c r="I25" s="52">
        <f>'4.6.1.3-4 Direct N20'!I194</f>
        <v>0.65190559679999993</v>
      </c>
      <c r="J25" s="2" t="s">
        <v>168</v>
      </c>
      <c r="N25" s="52" t="str">
        <f>'Input - Poultry'!$D$32</f>
        <v>Manure stored in house</v>
      </c>
      <c r="O25" s="52" t="str">
        <f>'Input - Poultry'!$D$52</f>
        <v>Solid storage</v>
      </c>
      <c r="P25" s="52">
        <f>'4.6.1.3-4 Direct N20'!P194</f>
        <v>0.61074998400000013</v>
      </c>
      <c r="Q25" s="52">
        <f>'4.6.1.3-4 Direct N20'!Q194</f>
        <v>0.65190559679999993</v>
      </c>
      <c r="R25" s="52">
        <f>'4.6.1.3-4 Direct N20'!R194</f>
        <v>0.76524023039999989</v>
      </c>
      <c r="S25" s="52">
        <f>'4.6.1.3-4 Direct N20'!S194</f>
        <v>0.65190559679999993</v>
      </c>
      <c r="T25" s="2" t="s">
        <v>168</v>
      </c>
    </row>
    <row r="26" spans="1:20" ht="20.100000000000001" customHeight="1" x14ac:dyDescent="0.25">
      <c r="J26" s="2"/>
    </row>
    <row r="27" spans="1:20" ht="20.100000000000001" customHeight="1" x14ac:dyDescent="0.25">
      <c r="D27" s="99" t="s">
        <v>311</v>
      </c>
      <c r="N27" s="99" t="s">
        <v>307</v>
      </c>
    </row>
    <row r="28" spans="1:20" ht="20.100000000000001" customHeight="1" x14ac:dyDescent="0.25">
      <c r="D28" s="98" t="s">
        <v>313</v>
      </c>
      <c r="N28" s="98" t="s">
        <v>314</v>
      </c>
    </row>
    <row r="29" spans="1:20" ht="20.100000000000001" customHeight="1" x14ac:dyDescent="0.25">
      <c r="D29" s="51" t="s">
        <v>143</v>
      </c>
      <c r="E29" s="51" t="s">
        <v>145</v>
      </c>
      <c r="F29" s="51" t="s">
        <v>209</v>
      </c>
      <c r="G29" s="51" t="s">
        <v>210</v>
      </c>
      <c r="H29" s="51" t="s">
        <v>224</v>
      </c>
      <c r="I29" s="51" t="s">
        <v>225</v>
      </c>
      <c r="N29" s="51" t="s">
        <v>143</v>
      </c>
      <c r="O29" s="51" t="s">
        <v>145</v>
      </c>
      <c r="P29" s="51" t="s">
        <v>209</v>
      </c>
      <c r="Q29" s="51" t="s">
        <v>210</v>
      </c>
      <c r="R29" s="51" t="s">
        <v>224</v>
      </c>
      <c r="S29" s="51" t="s">
        <v>225</v>
      </c>
    </row>
    <row r="30" spans="1:20" ht="20.100000000000001" customHeight="1" x14ac:dyDescent="0.25">
      <c r="D30" s="52" t="str">
        <f>'Input - Poultry'!$D$30</f>
        <v>Poultry manure with bedding</v>
      </c>
      <c r="E30" s="52" t="str">
        <f>'Input - Poultry'!$D$38</f>
        <v>Solid storage</v>
      </c>
      <c r="F30" s="52" cm="1">
        <f t="array" ref="F30">MMS_Poultry_LeachingAndRunoff_Equations.VEERG_4_6_1_7__2_MassOfNitrogenLostToLeachingAndRunoffFromSolidStorage(F23,$G$14,$G$15)</f>
        <v>1.4254231680000003E-2</v>
      </c>
      <c r="G30" s="52" cm="1">
        <f t="array" ref="G30">MMS_Poultry_LeachingAndRunoff_Equations.VEERG_4_6_1_7__2_MassOfNitrogenLostToLeachingAndRunoffFromSolidStorage(G23,$G$14,$G$15)</f>
        <v>1.5214758336E-2</v>
      </c>
      <c r="H30" s="52" cm="1">
        <f t="array" ref="H30">MMS_Poultry_LeachingAndRunoff_Equations.VEERG_4_6_1_7__2_MassOfNitrogenLostToLeachingAndRunoffFromSolidStorage(H23,$G$14,$G$15)</f>
        <v>1.7859863808E-2</v>
      </c>
      <c r="I30" s="52" cm="1">
        <f t="array" ref="I30">MMS_Poultry_LeachingAndRunoff_Equations.VEERG_4_6_1_7__2_MassOfNitrogenLostToLeachingAndRunoffFromSolidStorage(I23,$G$14,$G$15)</f>
        <v>1.5214758336E-2</v>
      </c>
      <c r="J30" s="2" t="str">
        <f>$E$11</f>
        <v>kg N</v>
      </c>
      <c r="N30" s="52" t="str">
        <f>'Input - Poultry'!$D$30</f>
        <v>Poultry manure with bedding</v>
      </c>
      <c r="O30" s="52" t="str">
        <f>'Input - Poultry'!$D$38</f>
        <v>Solid storage</v>
      </c>
      <c r="P30" s="52" cm="1">
        <f t="array" ref="P30">MMS_Poultry_LeachingAndRunoff_Equations.VEERG_4_6_1_7__2_MassOfNitrogenLostToLeachingAndRunoffFromSolidStorage(P23,$G$14,$G$15)</f>
        <v>1.4254231680000003E-2</v>
      </c>
      <c r="Q30" s="52" cm="1">
        <f t="array" ref="Q30">MMS_Poultry_LeachingAndRunoff_Equations.VEERG_4_6_1_7__2_MassOfNitrogenLostToLeachingAndRunoffFromSolidStorage(Q23,$G$14,$G$15)</f>
        <v>1.5214758336E-2</v>
      </c>
      <c r="R30" s="52" cm="1">
        <f t="array" ref="R30">MMS_Poultry_LeachingAndRunoff_Equations.VEERG_4_6_1_7__2_MassOfNitrogenLostToLeachingAndRunoffFromSolidStorage(R23,$G$14,$G$15)</f>
        <v>1.7859863808E-2</v>
      </c>
      <c r="S30" s="52" cm="1">
        <f t="array" ref="S30">MMS_Poultry_LeachingAndRunoff_Equations.VEERG_4_6_1_7__2_MassOfNitrogenLostToLeachingAndRunoffFromSolidStorage(S23,$G$14,$G$15)</f>
        <v>1.5214758336E-2</v>
      </c>
      <c r="T30" s="2" t="str">
        <f>$E$11</f>
        <v>kg N</v>
      </c>
    </row>
    <row r="31" spans="1:20" ht="20.100000000000001" customHeight="1" x14ac:dyDescent="0.25">
      <c r="D31" s="52" t="str">
        <f>'Input - Poultry'!$D$31</f>
        <v>Belt manure removal</v>
      </c>
      <c r="E31" s="52" t="str">
        <f>'Input - Poultry'!$D$45</f>
        <v>Solid storage</v>
      </c>
      <c r="F31" s="52" cm="1">
        <f t="array" ref="F31">MMS_Poultry_LeachingAndRunoff_Equations.VEERG_4_6_1_7__2_MassOfNitrogenLostToLeachingAndRunoffFromSolidStorage(F24,$G$14,$G$15)</f>
        <v>1.9352311680000005E-2</v>
      </c>
      <c r="G31" s="52" cm="1">
        <f t="array" ref="G31">MMS_Poultry_LeachingAndRunoff_Equations.VEERG_4_6_1_7__2_MassOfNitrogenLostToLeachingAndRunoffFromSolidStorage(G24,$G$14,$G$15)</f>
        <v>2.0656374336E-2</v>
      </c>
      <c r="H31" s="52" cm="1">
        <f t="array" ref="H31">MMS_Poultry_LeachingAndRunoff_Equations.VEERG_4_6_1_7__2_MassOfNitrogenLostToLeachingAndRunoffFromSolidStorage(H24,$G$14,$G$15)</f>
        <v>2.4247511808E-2</v>
      </c>
      <c r="I31" s="52" cm="1">
        <f t="array" ref="I31">MMS_Poultry_LeachingAndRunoff_Equations.VEERG_4_6_1_7__2_MassOfNitrogenLostToLeachingAndRunoffFromSolidStorage(I24,$G$14,$G$15)</f>
        <v>2.0656374336E-2</v>
      </c>
      <c r="J31" s="2" t="str">
        <f t="shared" ref="J31:J32" si="0">$E$11</f>
        <v>kg N</v>
      </c>
      <c r="N31" s="52" t="str">
        <f>'Input - Poultry'!$D$31</f>
        <v>Belt manure removal</v>
      </c>
      <c r="O31" s="52" t="str">
        <f>'Input - Poultry'!$D$45</f>
        <v>Solid storage</v>
      </c>
      <c r="P31" s="52" cm="1">
        <f t="array" ref="P31">MMS_Poultry_LeachingAndRunoff_Equations.VEERG_4_6_1_7__2_MassOfNitrogenLostToLeachingAndRunoffFromSolidStorage(P24,$G$14,$G$15)</f>
        <v>1.9352311680000005E-2</v>
      </c>
      <c r="Q31" s="52" cm="1">
        <f t="array" ref="Q31">MMS_Poultry_LeachingAndRunoff_Equations.VEERG_4_6_1_7__2_MassOfNitrogenLostToLeachingAndRunoffFromSolidStorage(Q24,$G$14,$G$15)</f>
        <v>2.0656374336E-2</v>
      </c>
      <c r="R31" s="52" cm="1">
        <f t="array" ref="R31">MMS_Poultry_LeachingAndRunoff_Equations.VEERG_4_6_1_7__2_MassOfNitrogenLostToLeachingAndRunoffFromSolidStorage(R24,$G$14,$G$15)</f>
        <v>2.4247511808E-2</v>
      </c>
      <c r="S31" s="52" cm="1">
        <f t="array" ref="S31">MMS_Poultry_LeachingAndRunoff_Equations.VEERG_4_6_1_7__2_MassOfNitrogenLostToLeachingAndRunoffFromSolidStorage(S24,$G$14,$G$15)</f>
        <v>2.0656374336E-2</v>
      </c>
      <c r="T31" s="2" t="str">
        <f t="shared" ref="T31:T32" si="1">$E$11</f>
        <v>kg N</v>
      </c>
    </row>
    <row r="32" spans="1:20" ht="20.100000000000001" customHeight="1" x14ac:dyDescent="0.25">
      <c r="D32" s="52" t="str">
        <f>'Input - Poultry'!$D$32</f>
        <v>Manure stored in house</v>
      </c>
      <c r="E32" s="52" t="str">
        <f>'Input - Poultry'!$D$52</f>
        <v>Solid storage</v>
      </c>
      <c r="F32" s="52" cm="1">
        <f t="array" ref="F32">MMS_Poultry_LeachingAndRunoff_Equations.VEERG_4_6_1_7__2_MassOfNitrogenLostToLeachingAndRunoffFromSolidStorage(F25,$G$14,$G$15)</f>
        <v>1.2214999680000003E-2</v>
      </c>
      <c r="G32" s="52" cm="1">
        <f t="array" ref="G32">MMS_Poultry_LeachingAndRunoff_Equations.VEERG_4_6_1_7__2_MassOfNitrogenLostToLeachingAndRunoffFromSolidStorage(G25,$G$14,$G$15)</f>
        <v>1.3038111936E-2</v>
      </c>
      <c r="H32" s="52" cm="1">
        <f t="array" ref="H32">MMS_Poultry_LeachingAndRunoff_Equations.VEERG_4_6_1_7__2_MassOfNitrogenLostToLeachingAndRunoffFromSolidStorage(H25,$G$14,$G$15)</f>
        <v>1.5304804607999998E-2</v>
      </c>
      <c r="I32" s="52" cm="1">
        <f t="array" ref="I32">MMS_Poultry_LeachingAndRunoff_Equations.VEERG_4_6_1_7__2_MassOfNitrogenLostToLeachingAndRunoffFromSolidStorage(I25,$G$14,$G$15)</f>
        <v>1.3038111936E-2</v>
      </c>
      <c r="J32" s="2" t="str">
        <f t="shared" si="0"/>
        <v>kg N</v>
      </c>
      <c r="N32" s="52" t="str">
        <f>'Input - Poultry'!$D$32</f>
        <v>Manure stored in house</v>
      </c>
      <c r="O32" s="52" t="str">
        <f>'Input - Poultry'!$D$52</f>
        <v>Solid storage</v>
      </c>
      <c r="P32" s="52" cm="1">
        <f t="array" ref="P32">MMS_Poultry_LeachingAndRunoff_Equations.VEERG_4_6_1_7__2_MassOfNitrogenLostToLeachingAndRunoffFromSolidStorage(P25,$G$14,$G$15)</f>
        <v>1.2214999680000003E-2</v>
      </c>
      <c r="Q32" s="52" cm="1">
        <f t="array" ref="Q32">MMS_Poultry_LeachingAndRunoff_Equations.VEERG_4_6_1_7__2_MassOfNitrogenLostToLeachingAndRunoffFromSolidStorage(Q25,$G$14,$G$15)</f>
        <v>1.3038111936E-2</v>
      </c>
      <c r="R32" s="52" cm="1">
        <f t="array" ref="R32">MMS_Poultry_LeachingAndRunoff_Equations.VEERG_4_6_1_7__2_MassOfNitrogenLostToLeachingAndRunoffFromSolidStorage(R25,$G$14,$G$15)</f>
        <v>1.5304804607999998E-2</v>
      </c>
      <c r="S32" s="52" cm="1">
        <f t="array" ref="S32">MMS_Poultry_LeachingAndRunoff_Equations.VEERG_4_6_1_7__2_MassOfNitrogenLostToLeachingAndRunoffFromSolidStorage(S25,$G$14,$G$15)</f>
        <v>1.3038111936E-2</v>
      </c>
      <c r="T32" s="2" t="str">
        <f t="shared" si="1"/>
        <v>kg N</v>
      </c>
    </row>
    <row r="33" spans="3:21" ht="20.100000000000001" customHeight="1" x14ac:dyDescent="0.25"/>
    <row r="34" spans="3:21" ht="20.100000000000001" customHeight="1" x14ac:dyDescent="0.25"/>
    <row r="35" spans="3:21" ht="20.100000000000001" customHeight="1" x14ac:dyDescent="0.25">
      <c r="C35" s="45"/>
      <c r="D35" s="45"/>
      <c r="E35" s="45"/>
      <c r="F35" s="45"/>
      <c r="G35" s="45"/>
      <c r="H35" s="45"/>
      <c r="I35" s="45"/>
      <c r="J35" s="45"/>
      <c r="K35" s="45"/>
      <c r="M35" s="45"/>
      <c r="N35" s="45"/>
      <c r="O35" s="45"/>
      <c r="P35" s="45"/>
      <c r="Q35" s="45"/>
      <c r="R35" s="45"/>
      <c r="S35" s="45"/>
      <c r="T35" s="45"/>
      <c r="U35" s="45"/>
    </row>
    <row r="36" spans="3:21" ht="20.100000000000001" customHeight="1" x14ac:dyDescent="0.25">
      <c r="D36" s="1" t="str" cm="1">
        <f t="array" ref="D36">MMS_Poultry_LeachingAndRunoff_Equations.VEERG_4_6_1_7__1_AnnualEmissionsFromLeachingAndRunoffFromMMS_Title()</f>
        <v>Annual emissions from leaching and runoff from each MMS</v>
      </c>
    </row>
    <row r="37" spans="3:21" ht="20.100000000000001" customHeight="1" x14ac:dyDescent="0.25">
      <c r="D37" s="5" t="str" cm="1">
        <f t="array" ref="D37">MMS_Poultry_LeachingAndRunoff_Equations.VEERG_4_6_1_7__1_AnnualEmissionsFromLeachingAndRunoffFromMMS_Source()</f>
        <v>VEERG 2026: 4.6.1.7, Equation (1)</v>
      </c>
    </row>
    <row r="38" spans="3:21" ht="20.100000000000001" customHeight="1" x14ac:dyDescent="0.25">
      <c r="D38" s="13" t="s">
        <v>26</v>
      </c>
      <c r="E38" s="13" t="str" cm="1">
        <f t="array" aca="1" ref="E38" ca="1">Common_InputFunctions.Utility_DisplayFunctionName(F51)</f>
        <v>=MMS_Poultry_LeachingAndRunoff_Equations.VEERG_4_6_1_7__1_AnnualEmissionsFromLeachingAndRunoffFromMMS</v>
      </c>
    </row>
    <row r="39" spans="3:21" ht="20.100000000000001" customHeight="1" x14ac:dyDescent="0.25"/>
    <row r="40" spans="3:21" ht="20.100000000000001" customHeight="1" x14ac:dyDescent="0.25"/>
    <row r="41" spans="3:21" ht="20.100000000000001" customHeight="1" x14ac:dyDescent="0.25">
      <c r="D41" s="53" t="s">
        <v>29</v>
      </c>
      <c r="E41" s="1" t="str" cm="1">
        <f t="array" ref="E41">MMS_Poultry_LeachingAndRunoff_Equations.VEERG_4_6_1_7__1_AnnualEmissionsFromLeachingAndRunoffFromMMS_Variable()</f>
        <v>E_N2Oleach</v>
      </c>
    </row>
    <row r="42" spans="3:21" ht="20.100000000000001" customHeight="1" x14ac:dyDescent="0.25">
      <c r="D42" s="53" t="s">
        <v>19</v>
      </c>
      <c r="E42" s="54" t="str" cm="1">
        <f t="array" ref="E42">MMS_Poultry_LeachingAndRunoff_Equations.VEERG_4_6_1_7__1_AnnualEmissionsFromLeachingAndRunoffFromMMS_Unit()</f>
        <v>t N2O</v>
      </c>
    </row>
    <row r="43" spans="3:21" ht="20.100000000000001" customHeight="1" x14ac:dyDescent="0.25"/>
    <row r="44" spans="3:21" ht="20.100000000000001" customHeight="1" x14ac:dyDescent="0.25">
      <c r="D44" s="57" t="str" cm="1">
        <f t="array" ref="D44:E46">MMS_Poultry_LeachingAndRunoff_Equations.VEERG_4_6_1_7__1_AnnualEmissionsFromLeachingAndRunoffFromMMS_Arguments()</f>
        <v>MNLeach_jkm4</v>
      </c>
      <c r="E44" s="58" t="str">
        <v>mass of N lost through leaching and runoff from each MMS : kg N</v>
      </c>
      <c r="F44" s="59"/>
      <c r="G44" s="57" t="str">
        <f>"See " &amp; D27</f>
        <v>See M1_Table_MN_Leach_j_k_m-4</v>
      </c>
    </row>
    <row r="45" spans="3:21" ht="20.100000000000001" customHeight="1" x14ac:dyDescent="0.25">
      <c r="D45" s="57" t="str">
        <v>EF_leach</v>
      </c>
      <c r="E45" s="58" t="str">
        <v>emission factor for leaching and runoff : kg N2O-N/kg N</v>
      </c>
      <c r="F45" s="59"/>
      <c r="G45" s="57">
        <f>'Constants - Common'!$E$170</f>
        <v>1.0999999999999999E-2</v>
      </c>
    </row>
    <row r="46" spans="3:21" ht="20.100000000000001" customHeight="1" x14ac:dyDescent="0.25">
      <c r="D46" s="57" t="str">
        <v>C_N2O</v>
      </c>
      <c r="E46" s="58" t="str">
        <v>factor to convert elemental mass of N2O to molecular mass : ratio</v>
      </c>
      <c r="F46" s="59"/>
      <c r="G46" s="57">
        <f>Common_InputFunctions.Utility_LookupValueInTableNumber("N2O",Table_GasToMolecularConversionFactor[Gas],Table_GasToMolecularConversionFactor[Conversion factor combined])</f>
        <v>1.5714285714285714</v>
      </c>
    </row>
    <row r="47" spans="3:21" ht="20.100000000000001" customHeight="1" x14ac:dyDescent="0.25"/>
    <row r="48" spans="3:21" ht="20.100000000000001" customHeight="1" x14ac:dyDescent="0.25">
      <c r="D48" s="99" t="s">
        <v>169</v>
      </c>
      <c r="N48" s="99" t="s">
        <v>171</v>
      </c>
    </row>
    <row r="49" spans="4:20" ht="20.100000000000001" customHeight="1" x14ac:dyDescent="0.25">
      <c r="D49" s="98" t="s">
        <v>170</v>
      </c>
      <c r="N49" s="98" t="s">
        <v>172</v>
      </c>
    </row>
    <row r="50" spans="4:20" ht="20.100000000000001" customHeight="1" x14ac:dyDescent="0.25">
      <c r="D50" s="51" t="s">
        <v>143</v>
      </c>
      <c r="E50" s="51" t="s">
        <v>145</v>
      </c>
      <c r="F50" s="51" t="s">
        <v>209</v>
      </c>
      <c r="G50" s="51" t="s">
        <v>210</v>
      </c>
      <c r="H50" s="51" t="s">
        <v>224</v>
      </c>
      <c r="I50" s="51" t="s">
        <v>225</v>
      </c>
      <c r="N50" s="51" t="s">
        <v>143</v>
      </c>
      <c r="O50" s="51" t="s">
        <v>145</v>
      </c>
      <c r="P50" s="51" t="s">
        <v>209</v>
      </c>
      <c r="Q50" s="51" t="s">
        <v>210</v>
      </c>
      <c r="R50" s="51" t="s">
        <v>224</v>
      </c>
      <c r="S50" s="51" t="s">
        <v>225</v>
      </c>
    </row>
    <row r="51" spans="4:20" ht="20.100000000000001" customHeight="1" x14ac:dyDescent="0.25">
      <c r="D51" s="52" t="str">
        <f>'Input - Poultry'!$D$30</f>
        <v>Poultry manure with bedding</v>
      </c>
      <c r="E51" s="52" t="str">
        <f>'Input - Poultry'!$D$38</f>
        <v>Solid storage</v>
      </c>
      <c r="F51" s="52" cm="1">
        <f t="array" ref="F51">MMS_Poultry_LeachingAndRunoff_Equations.VEERG_4_6_1_7__1_AnnualEmissionsFromLeachingAndRunoffFromMMS(F30, $G$45, $G$46)</f>
        <v>2.4639457618285716E-7</v>
      </c>
      <c r="G51" s="52" cm="1">
        <f t="array" ref="G51">MMS_Poultry_LeachingAndRunoff_Equations.VEERG_4_6_1_7__1_AnnualEmissionsFromLeachingAndRunoffFromMMS(G30, $G$45, $G$46)</f>
        <v>2.6299796552228575E-7</v>
      </c>
      <c r="H51" s="52" cm="1">
        <f t="array" ref="H51">MMS_Poultry_LeachingAndRunoff_Equations.VEERG_4_6_1_7__1_AnnualEmissionsFromLeachingAndRunoffFromMMS(H30, $G$45, $G$46)</f>
        <v>3.0872050296685714E-7</v>
      </c>
      <c r="I51" s="52" cm="1">
        <f t="array" ref="I51">MMS_Poultry_LeachingAndRunoff_Equations.VEERG_4_6_1_7__1_AnnualEmissionsFromLeachingAndRunoffFromMMS(I30, $G$45, $G$46)</f>
        <v>2.6299796552228575E-7</v>
      </c>
      <c r="J51" s="2" t="str">
        <f>$E$42</f>
        <v>t N2O</v>
      </c>
      <c r="N51" s="52" t="str">
        <f>'Input - Poultry'!$D$30</f>
        <v>Poultry manure with bedding</v>
      </c>
      <c r="O51" s="52" t="str">
        <f>'Input - Poultry'!$D$38</f>
        <v>Solid storage</v>
      </c>
      <c r="P51" s="52" cm="1">
        <f t="array" ref="P51">MMS_Poultry_LeachingAndRunoff_Equations.VEERG_4_6_1_7__1_AnnualEmissionsFromLeachingAndRunoffFromMMS(P30, $G$45, $G$46)</f>
        <v>2.4639457618285716E-7</v>
      </c>
      <c r="Q51" s="52" cm="1">
        <f t="array" ref="Q51">MMS_Poultry_LeachingAndRunoff_Equations.VEERG_4_6_1_7__1_AnnualEmissionsFromLeachingAndRunoffFromMMS(Q30, $G$45, $G$46)</f>
        <v>2.6299796552228575E-7</v>
      </c>
      <c r="R51" s="52" cm="1">
        <f t="array" ref="R51">MMS_Poultry_LeachingAndRunoff_Equations.VEERG_4_6_1_7__1_AnnualEmissionsFromLeachingAndRunoffFromMMS(R30, $G$45, $G$46)</f>
        <v>3.0872050296685714E-7</v>
      </c>
      <c r="S51" s="52" cm="1">
        <f t="array" ref="S51">MMS_Poultry_LeachingAndRunoff_Equations.VEERG_4_6_1_7__1_AnnualEmissionsFromLeachingAndRunoffFromMMS(S30, $G$45, $G$46)</f>
        <v>2.6299796552228575E-7</v>
      </c>
      <c r="T51" s="2" t="str">
        <f>$E$42</f>
        <v>t N2O</v>
      </c>
    </row>
    <row r="52" spans="4:20" ht="20.100000000000001" customHeight="1" x14ac:dyDescent="0.25">
      <c r="D52" s="52" t="str">
        <f>'Input - Poultry'!$D$31</f>
        <v>Belt manure removal</v>
      </c>
      <c r="E52" s="52" t="str">
        <f>'Input - Poultry'!$D$45</f>
        <v>Solid storage</v>
      </c>
      <c r="F52" s="52" cm="1">
        <f t="array" ref="F52">MMS_Poultry_LeachingAndRunoff_Equations.VEERG_4_6_1_7__1_AnnualEmissionsFromLeachingAndRunoffFromMMS(F31, $G$45, $G$46)</f>
        <v>3.345185304685715E-7</v>
      </c>
      <c r="G52" s="52" cm="1">
        <f t="array" ref="G52">MMS_Poultry_LeachingAndRunoff_Equations.VEERG_4_6_1_7__1_AnnualEmissionsFromLeachingAndRunoffFromMMS(G31, $G$45, $G$46)</f>
        <v>3.5706018495085714E-7</v>
      </c>
      <c r="H52" s="52" cm="1">
        <f t="array" ref="H52">MMS_Poultry_LeachingAndRunoff_Equations.VEERG_4_6_1_7__1_AnnualEmissionsFromLeachingAndRunoffFromMMS(H31, $G$45, $G$46)</f>
        <v>4.1913556125257138E-7</v>
      </c>
      <c r="I52" s="52" cm="1">
        <f t="array" ref="I52">MMS_Poultry_LeachingAndRunoff_Equations.VEERG_4_6_1_7__1_AnnualEmissionsFromLeachingAndRunoffFromMMS(I31, $G$45, $G$46)</f>
        <v>3.5706018495085714E-7</v>
      </c>
      <c r="J52" s="2" t="str">
        <f t="shared" ref="J52:J53" si="2">$E$42</f>
        <v>t N2O</v>
      </c>
      <c r="N52" s="52" t="str">
        <f>'Input - Poultry'!$D$31</f>
        <v>Belt manure removal</v>
      </c>
      <c r="O52" s="52" t="str">
        <f>'Input - Poultry'!$D$45</f>
        <v>Solid storage</v>
      </c>
      <c r="P52" s="52" cm="1">
        <f t="array" ref="P52">MMS_Poultry_LeachingAndRunoff_Equations.VEERG_4_6_1_7__1_AnnualEmissionsFromLeachingAndRunoffFromMMS(P31, $G$45, $G$46)</f>
        <v>3.345185304685715E-7</v>
      </c>
      <c r="Q52" s="52" cm="1">
        <f t="array" ref="Q52">MMS_Poultry_LeachingAndRunoff_Equations.VEERG_4_6_1_7__1_AnnualEmissionsFromLeachingAndRunoffFromMMS(Q31, $G$45, $G$46)</f>
        <v>3.5706018495085714E-7</v>
      </c>
      <c r="R52" s="52" cm="1">
        <f t="array" ref="R52">MMS_Poultry_LeachingAndRunoff_Equations.VEERG_4_6_1_7__1_AnnualEmissionsFromLeachingAndRunoffFromMMS(R31, $G$45, $G$46)</f>
        <v>4.1913556125257138E-7</v>
      </c>
      <c r="S52" s="52" cm="1">
        <f t="array" ref="S52">MMS_Poultry_LeachingAndRunoff_Equations.VEERG_4_6_1_7__1_AnnualEmissionsFromLeachingAndRunoffFromMMS(S31, $G$45, $G$46)</f>
        <v>3.5706018495085714E-7</v>
      </c>
      <c r="T52" s="2" t="str">
        <f t="shared" ref="T52:T53" si="3">$E$42</f>
        <v>t N2O</v>
      </c>
    </row>
    <row r="53" spans="4:20" ht="20.100000000000001" customHeight="1" x14ac:dyDescent="0.25">
      <c r="D53" s="52" t="str">
        <f>'Input - Poultry'!$D$32</f>
        <v>Manure stored in house</v>
      </c>
      <c r="E53" s="52" t="str">
        <f>'Input - Poultry'!$D$52</f>
        <v>Solid storage</v>
      </c>
      <c r="F53" s="52" cm="1">
        <f t="array" ref="F53">MMS_Poultry_LeachingAndRunoff_Equations.VEERG_4_6_1_7__1_AnnualEmissionsFromLeachingAndRunoffFromMMS(F32, $G$45, $G$46)</f>
        <v>2.1114499446857149E-7</v>
      </c>
      <c r="G53" s="52" cm="1">
        <f t="array" ref="G53">MMS_Poultry_LeachingAndRunoff_Equations.VEERG_4_6_1_7__1_AnnualEmissionsFromLeachingAndRunoffFromMMS(G32, $G$45, $G$46)</f>
        <v>2.253730777508571E-7</v>
      </c>
      <c r="H53" s="52" cm="1">
        <f t="array" ref="H53">MMS_Poultry_LeachingAndRunoff_Equations.VEERG_4_6_1_7__1_AnnualEmissionsFromLeachingAndRunoffFromMMS(H32, $G$45, $G$46)</f>
        <v>2.6455447965257135E-7</v>
      </c>
      <c r="I53" s="52" cm="1">
        <f t="array" ref="I53">MMS_Poultry_LeachingAndRunoff_Equations.VEERG_4_6_1_7__1_AnnualEmissionsFromLeachingAndRunoffFromMMS(I32, $G$45, $G$46)</f>
        <v>2.253730777508571E-7</v>
      </c>
      <c r="J53" s="2" t="str">
        <f t="shared" si="2"/>
        <v>t N2O</v>
      </c>
      <c r="N53" s="52" t="str">
        <f>'Input - Poultry'!$D$32</f>
        <v>Manure stored in house</v>
      </c>
      <c r="O53" s="52" t="str">
        <f>'Input - Poultry'!$D$52</f>
        <v>Solid storage</v>
      </c>
      <c r="P53" s="52" cm="1">
        <f t="array" ref="P53">MMS_Poultry_LeachingAndRunoff_Equations.VEERG_4_6_1_7__1_AnnualEmissionsFromLeachingAndRunoffFromMMS(P32, $G$45, $G$46)</f>
        <v>2.1114499446857149E-7</v>
      </c>
      <c r="Q53" s="52" cm="1">
        <f t="array" ref="Q53">MMS_Poultry_LeachingAndRunoff_Equations.VEERG_4_6_1_7__1_AnnualEmissionsFromLeachingAndRunoffFromMMS(Q32, $G$45, $G$46)</f>
        <v>2.253730777508571E-7</v>
      </c>
      <c r="R53" s="52" cm="1">
        <f t="array" ref="R53">MMS_Poultry_LeachingAndRunoff_Equations.VEERG_4_6_1_7__1_AnnualEmissionsFromLeachingAndRunoffFromMMS(R32, $G$45, $G$46)</f>
        <v>2.6455447965257135E-7</v>
      </c>
      <c r="S53" s="52" cm="1">
        <f t="array" ref="S53">MMS_Poultry_LeachingAndRunoff_Equations.VEERG_4_6_1_7__1_AnnualEmissionsFromLeachingAndRunoffFromMMS(S32, $G$45, $G$46)</f>
        <v>2.253730777508571E-7</v>
      </c>
      <c r="T53" s="2" t="str">
        <f t="shared" si="3"/>
        <v>t N2O</v>
      </c>
    </row>
    <row r="54" spans="4:20" ht="20.100000000000001" customHeight="1" x14ac:dyDescent="0.25"/>
    <row r="55" spans="4:20" ht="20.100000000000001" customHeight="1" x14ac:dyDescent="0.25">
      <c r="D55" s="101" t="s">
        <v>303</v>
      </c>
      <c r="E55" s="102">
        <f>SUM(F51:I53)</f>
        <v>3.4753311014399998E-6</v>
      </c>
      <c r="F55" s="103" t="str">
        <f>$E$42</f>
        <v>t N2O</v>
      </c>
      <c r="N55" s="101" t="s">
        <v>303</v>
      </c>
      <c r="O55" s="102">
        <f>SUM(P51:S53)</f>
        <v>3.4753311014399998E-6</v>
      </c>
      <c r="P55" s="103" t="str">
        <f>$E$42</f>
        <v>t N2O</v>
      </c>
    </row>
    <row r="56" spans="4:20" ht="20.100000000000001" customHeight="1" x14ac:dyDescent="0.25"/>
    <row r="57" spans="4:20" ht="20.100000000000001" customHeight="1" x14ac:dyDescent="0.25">
      <c r="D57" s="57" t="str" cm="1">
        <f t="array" ref="D57:E58">Common_Equations.Common_ConvertN2OToCO2e_Arguments()</f>
        <v>EN2O</v>
      </c>
      <c r="E57" s="58" t="str">
        <v>Nitrous oxide emissions (t N2O)</v>
      </c>
      <c r="F57" s="104"/>
      <c r="G57" s="52">
        <f>E55</f>
        <v>3.4753311014399998E-6</v>
      </c>
      <c r="N57" s="57" t="str" cm="1">
        <f t="array" ref="N57:O58">Common_Equations.Common_ConvertN2OToCO2e_Arguments()</f>
        <v>EN2O</v>
      </c>
      <c r="O57" s="58" t="str">
        <v>Nitrous oxide emissions (t N2O)</v>
      </c>
      <c r="P57" s="104"/>
      <c r="Q57" s="52">
        <f>O55</f>
        <v>3.4753311014399998E-6</v>
      </c>
    </row>
    <row r="58" spans="4:20" ht="20.100000000000001" customHeight="1" x14ac:dyDescent="0.25">
      <c r="D58" s="57" t="str">
        <v>GWPN2O</v>
      </c>
      <c r="E58" s="58" t="str">
        <v>Global warming potential for nitrous oxide (t CO2-e / t N2O)</v>
      </c>
      <c r="F58" s="104"/>
      <c r="G58" s="52">
        <f>Common_InputFunctions.Utility_LookupValueInTableNumber("N2O",[3]!Table_GWPData[Gas],[3]!Table_GWPData[CO2-e factor])</f>
        <v>265</v>
      </c>
      <c r="N58" s="57" t="str">
        <v>GWPN2O</v>
      </c>
      <c r="O58" s="58" t="str">
        <v>Global warming potential for nitrous oxide (t CO2-e / t N2O)</v>
      </c>
      <c r="P58" s="104"/>
      <c r="Q58" s="52">
        <f>Common_InputFunctions.Utility_LookupValueInTableNumber("N2O",[3]!Table_GWPData[Gas],[3]!Table_GWPData[CO2-e factor])</f>
        <v>265</v>
      </c>
    </row>
    <row r="59" spans="4:20" ht="20.100000000000001" customHeight="1" x14ac:dyDescent="0.25"/>
    <row r="60" spans="4:20" ht="20.100000000000001" customHeight="1" x14ac:dyDescent="0.25">
      <c r="D60" s="45" t="s">
        <v>100</v>
      </c>
      <c r="E60" s="45" cm="1">
        <f t="array" ref="E60">Common_Equations.Common_ConvertN2OToCO2e(G57,G58)</f>
        <v>9.2096274188159999E-4</v>
      </c>
      <c r="F60" s="105" t="str" cm="1">
        <f t="array" ref="F60">Common_Equations.Common_ConvertN2OToCO2e_Unit()</f>
        <v>t CO2e</v>
      </c>
      <c r="N60" s="45" t="s">
        <v>100</v>
      </c>
      <c r="O60" s="45" cm="1">
        <f t="array" ref="O60">Common_Equations.Common_ConvertN2OToCO2e(Q57,Q58)</f>
        <v>9.2096274188159999E-4</v>
      </c>
      <c r="P60" s="105" t="str" cm="1">
        <f t="array" ref="P60">Common_Equations.Common_ConvertN2OToCO2e_Unit()</f>
        <v>t CO2e</v>
      </c>
    </row>
    <row r="61" spans="4:20" ht="20.100000000000001" customHeight="1" x14ac:dyDescent="0.25"/>
    <row r="62" spans="4:20" ht="20.100000000000001" customHeight="1" x14ac:dyDescent="0.25"/>
    <row r="63" spans="4:20" ht="20.100000000000001" customHeight="1" x14ac:dyDescent="0.25"/>
    <row r="64" spans="4:20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189"/>
  <sheetViews>
    <sheetView showGridLines="0" zoomScaleNormal="100" workbookViewId="0">
      <selection activeCell="A15" sqref="A1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308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K3" s="4"/>
      <c r="M3" s="4"/>
      <c r="N3" s="4" t="s">
        <v>102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MMS_Poultry_ManureAppliedToSoils_Equations.VEERG_4_6_1_9__1_MassOfNitrogenAppliedToSoilsScope1_Title()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MMS_Poultry_ManureAppliedToSoils_Equations.VEERG_4_6_1_9__1_MassOfNitrogenAppliedToSoilsScope1_Source()</f>
        <v>VEERG 2026: 4.6.1.9,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Common_InputFunctions.Utility_DisplayFunctionName(F94)</f>
        <v>=MMS_Poultry_ManureAppliedToSoils_Equations.VEERG_4_6_1_9__1_MassOfNitrogenAppliedToSoilsScope1</v>
      </c>
    </row>
    <row r="8" spans="1:21" ht="20.100000000000001" customHeight="1" x14ac:dyDescent="0.25">
      <c r="A8" s="17" t="str">
        <f>HYPERLINK("#'Input - Poultry'!A1", "Poultry")</f>
        <v>Poultry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MMS_Poultry_ManureAppliedToSoils_Equations.VEERG_4_6_1_9__1_MassOfNitrogenAppliedToSoilsScope1_Variable()</f>
        <v>MNSoil_scope1</v>
      </c>
    </row>
    <row r="11" spans="1:21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MMS_Poultry_ManureAppliedToSoils_Equations.VEERG_4_6_1_9__1_MassOfNitrogenAppliedToSoilsScope1_Unit()</f>
        <v>kg N</v>
      </c>
    </row>
    <row r="12" spans="1:21" ht="20.100000000000001" customHeight="1" x14ac:dyDescent="0.25">
      <c r="A12" s="17" t="str">
        <f>HYPERLINK("#'4.6.1.3-4 Direct N20'!A1", "4.6.1.3-4 Direct N2O")</f>
        <v>4.6.1.3-4 Direct N2O</v>
      </c>
    </row>
    <row r="13" spans="1:21" ht="20.100000000000001" customHeight="1" x14ac:dyDescent="0.25">
      <c r="A13" s="17" t="str">
        <f>HYPERLINK("#'4.6.1.5-6 Atmos Dep'!A1", "4.6.1.5-6 Soil atm. deposition")</f>
        <v>4.6.1.5-6 Soil atm. deposition</v>
      </c>
      <c r="D13" s="57" t="str" cm="1">
        <f t="array" ref="D13:E17">MMS_Poultry_ManureAppliedToSoils_Equations.VEERG_4_6_1_9__1_MassOfNitrogenAppliedToSoilsScope1_Arguments()</f>
        <v>MN_jmT2</v>
      </c>
      <c r="E13" s="57" t="str">
        <v>mass of N in secondary treatment stage as calculated for manure management : kg N</v>
      </c>
      <c r="F13" s="58"/>
      <c r="G13" s="59"/>
      <c r="H13" s="57" t="str">
        <f>"See " &amp; D19</f>
        <v>See M1_Table_MN_j_k_m_T-2</v>
      </c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EF_mT2</v>
      </c>
      <c r="E14" s="57" t="str">
        <v>nitrous oxide emission factor for each MMS : kg N2O-N/kg N</v>
      </c>
      <c r="F14" s="58"/>
      <c r="G14" s="59"/>
      <c r="H14" s="57" t="str">
        <f>"See " &amp; D35</f>
        <v>See Table_EF_m</v>
      </c>
    </row>
    <row r="15" spans="1:21" ht="20.100000000000001" customHeight="1" x14ac:dyDescent="0.25">
      <c r="A15" s="138" t="str">
        <f>HYPERLINK("#'4.6.1.9 Manure applied to soils'!A1", "4.6.1.9 Manure applied to soils")</f>
        <v>4.6.1.9 Manure applied to soils</v>
      </c>
      <c r="D15" s="57" t="str">
        <v>FracGASM_mT2</v>
      </c>
      <c r="E15" s="57" t="str">
        <v>fraction of animal waste N volatilised in each MMS : (kg NH3-N + NOx-N)/kg N</v>
      </c>
      <c r="F15" s="58"/>
      <c r="G15" s="59"/>
      <c r="H15" s="57" t="str">
        <f>"See " &amp; D47</f>
        <v>See Table_FracGASM_m_T</v>
      </c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MNLeach_MMS</v>
      </c>
      <c r="E16" s="57" t="str">
        <v>mass of N lost through leaching and runoff from MMS : kg N</v>
      </c>
      <c r="F16" s="58"/>
      <c r="G16" s="59"/>
      <c r="H16" s="57" t="str">
        <f>"See " &amp; D59</f>
        <v>See M1_Table_MNLeach_MMS</v>
      </c>
    </row>
    <row r="17" spans="1:20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PF</v>
      </c>
      <c r="E17" s="57" t="str">
        <v>fraction of manure applied to soil within the farm boundary : fraction</v>
      </c>
      <c r="F17" s="58"/>
      <c r="G17" s="59"/>
      <c r="H17" s="57" t="str">
        <f>"See " &amp; D75</f>
        <v>See Table_PF</v>
      </c>
    </row>
    <row r="18" spans="1:20" ht="20.100000000000001" customHeight="1" x14ac:dyDescent="0.25">
      <c r="A18" s="17" t="str">
        <f>HYPERLINK("#'4.6.1.14-15 Soil leach runoff'!A1", "4.6.1.14-15 Soil leach &amp; runoff")</f>
        <v>4.6.1.14-15 Soil leach &amp; runoff</v>
      </c>
    </row>
    <row r="19" spans="1:20" ht="20.100000000000001" customHeight="1" x14ac:dyDescent="0.25">
      <c r="D19" s="99" t="s">
        <v>288</v>
      </c>
      <c r="N19" s="99" t="s">
        <v>289</v>
      </c>
    </row>
    <row r="20" spans="1:20" ht="20.100000000000001" customHeight="1" x14ac:dyDescent="0.25">
      <c r="A20" s="18" t="s">
        <v>4</v>
      </c>
      <c r="D20" s="98" t="s">
        <v>163</v>
      </c>
      <c r="N20" s="98" t="s">
        <v>176</v>
      </c>
    </row>
    <row r="21" spans="1:20" ht="20.100000000000001" customHeight="1" x14ac:dyDescent="0.25">
      <c r="A21" s="17" t="str">
        <f>HYPERLINK("#'Constants - Poultry'!A1", "Constants - Poultry")</f>
        <v>Constants - Poultry</v>
      </c>
      <c r="D21" s="51" t="s">
        <v>143</v>
      </c>
      <c r="E21" s="51" t="s">
        <v>145</v>
      </c>
      <c r="F21" s="51" t="s">
        <v>209</v>
      </c>
      <c r="G21" s="51" t="s">
        <v>210</v>
      </c>
      <c r="H21" s="51" t="s">
        <v>224</v>
      </c>
      <c r="I21" s="51" t="s">
        <v>225</v>
      </c>
      <c r="N21" s="51" t="s">
        <v>143</v>
      </c>
      <c r="O21" s="51" t="s">
        <v>145</v>
      </c>
      <c r="P21" s="51" t="s">
        <v>209</v>
      </c>
      <c r="Q21" s="51" t="s">
        <v>210</v>
      </c>
      <c r="R21" s="51" t="s">
        <v>224</v>
      </c>
      <c r="S21" s="51" t="s">
        <v>225</v>
      </c>
    </row>
    <row r="22" spans="1:20" ht="20.100000000000001" customHeight="1" x14ac:dyDescent="0.25">
      <c r="A22" s="17" t="str">
        <f>HYPERLINK("#'Constants - Livestock'!A1", "Constants - Livestock")</f>
        <v>Constants - Livestock</v>
      </c>
      <c r="D22" s="52" t="str">
        <f>'Input - Poultry'!$D$30</f>
        <v>Poultry manure with bedding</v>
      </c>
      <c r="E22" s="52" t="str">
        <f>'Input - Poultry'!$D$38</f>
        <v>Solid storage</v>
      </c>
      <c r="F22" s="52">
        <f>'4.6.1.3-4 Direct N20'!F186</f>
        <v>0.71271158400000012</v>
      </c>
      <c r="G22" s="52">
        <f>'4.6.1.3-4 Direct N20'!G186</f>
        <v>0.76073791680000002</v>
      </c>
      <c r="H22" s="52">
        <f>'4.6.1.3-4 Direct N20'!H186</f>
        <v>0.89299319039999991</v>
      </c>
      <c r="I22" s="52">
        <f>'4.6.1.3-4 Direct N20'!I186</f>
        <v>0.76073791680000002</v>
      </c>
      <c r="J22" s="2" t="s">
        <v>168</v>
      </c>
      <c r="N22" s="52" t="str">
        <f>'Input - Poultry'!$D$30</f>
        <v>Poultry manure with bedding</v>
      </c>
      <c r="O22" s="52" t="str">
        <f>'Input - Poultry'!$D$38</f>
        <v>Solid storage</v>
      </c>
      <c r="P22" s="52">
        <f>'4.6.1.3-4 Direct N20'!P186</f>
        <v>0.71271158400000012</v>
      </c>
      <c r="Q22" s="52">
        <f>'4.6.1.3-4 Direct N20'!Q186</f>
        <v>0.76073791680000002</v>
      </c>
      <c r="R22" s="52">
        <f>'4.6.1.3-4 Direct N20'!R186</f>
        <v>0.89299319039999991</v>
      </c>
      <c r="S22" s="52">
        <f>'4.6.1.3-4 Direct N20'!S186</f>
        <v>0.76073791680000002</v>
      </c>
      <c r="T22" s="2" t="s">
        <v>168</v>
      </c>
    </row>
    <row r="23" spans="1:20" ht="20.100000000000001" customHeight="1" x14ac:dyDescent="0.25">
      <c r="A23" s="17" t="str">
        <f>HYPERLINK("#'Constants - Common'!A1", "Constants - Common")</f>
        <v>Constants - Common</v>
      </c>
      <c r="D23" s="52"/>
      <c r="E23" s="52" t="str">
        <f>'Input - Poultry'!$D$39</f>
        <v>Composting (passive windrow)</v>
      </c>
      <c r="F23" s="52">
        <f>'4.6.1.3-4 Direct N20'!F187</f>
        <v>0.71271158400000012</v>
      </c>
      <c r="G23" s="52">
        <f>'4.6.1.3-4 Direct N20'!G187</f>
        <v>0.76073791680000002</v>
      </c>
      <c r="H23" s="52">
        <f>'4.6.1.3-4 Direct N20'!H187</f>
        <v>0.89299319039999991</v>
      </c>
      <c r="I23" s="52">
        <f>'4.6.1.3-4 Direct N20'!I187</f>
        <v>0.76073791680000002</v>
      </c>
      <c r="J23" s="2" t="s">
        <v>168</v>
      </c>
      <c r="N23" s="52"/>
      <c r="O23" s="52" t="str">
        <f>'Input - Poultry'!$D$39</f>
        <v>Composting (passive windrow)</v>
      </c>
      <c r="P23" s="52">
        <f>'4.6.1.3-4 Direct N20'!P187</f>
        <v>0.71271158400000012</v>
      </c>
      <c r="Q23" s="52">
        <f>'4.6.1.3-4 Direct N20'!Q187</f>
        <v>0.76073791680000002</v>
      </c>
      <c r="R23" s="52">
        <f>'4.6.1.3-4 Direct N20'!R187</f>
        <v>0.89299319039999991</v>
      </c>
      <c r="S23" s="52">
        <f>'4.6.1.3-4 Direct N20'!S187</f>
        <v>0.76073791680000002</v>
      </c>
      <c r="T23" s="2" t="s">
        <v>168</v>
      </c>
    </row>
    <row r="24" spans="1:20" ht="20.100000000000001" customHeight="1" x14ac:dyDescent="0.25">
      <c r="A24" s="17" t="str">
        <f>HYPERLINK("#'Acknowledgements'!A1", "Acknowledgements")</f>
        <v>Acknowledgements</v>
      </c>
      <c r="D24" s="52"/>
      <c r="E24" s="52" t="str">
        <f>'Input - Poultry'!$D$40</f>
        <v>Digester / covered lagoons</v>
      </c>
      <c r="F24" s="52">
        <f>'4.6.1.3-4 Direct N20'!F188</f>
        <v>0.71271158400000012</v>
      </c>
      <c r="G24" s="52">
        <f>'4.6.1.3-4 Direct N20'!G188</f>
        <v>0.76073791680000002</v>
      </c>
      <c r="H24" s="52">
        <f>'4.6.1.3-4 Direct N20'!H188</f>
        <v>0.89299319039999991</v>
      </c>
      <c r="I24" s="52">
        <f>'4.6.1.3-4 Direct N20'!I188</f>
        <v>0.76073791680000002</v>
      </c>
      <c r="J24" s="2" t="s">
        <v>168</v>
      </c>
      <c r="N24" s="52"/>
      <c r="O24" s="52" t="str">
        <f>'Input - Poultry'!$D$40</f>
        <v>Digester / covered lagoons</v>
      </c>
      <c r="P24" s="52">
        <f>'4.6.1.3-4 Direct N20'!P188</f>
        <v>0.71271158400000012</v>
      </c>
      <c r="Q24" s="52">
        <f>'4.6.1.3-4 Direct N20'!Q188</f>
        <v>0.76073791680000002</v>
      </c>
      <c r="R24" s="52">
        <f>'4.6.1.3-4 Direct N20'!R188</f>
        <v>0.89299319039999991</v>
      </c>
      <c r="S24" s="52">
        <f>'4.6.1.3-4 Direct N20'!S188</f>
        <v>0.76073791680000002</v>
      </c>
      <c r="T24" s="2" t="s">
        <v>168</v>
      </c>
    </row>
    <row r="25" spans="1:20" ht="20.100000000000001" customHeight="1" x14ac:dyDescent="0.25">
      <c r="D25" s="52"/>
      <c r="E25" s="52" t="str">
        <f>'Input - Poultry'!$D$41</f>
        <v>Direct processing</v>
      </c>
      <c r="F25" s="52">
        <f>'4.6.1.3-4 Direct N20'!F189</f>
        <v>0.71271158400000012</v>
      </c>
      <c r="G25" s="52">
        <f>'4.6.1.3-4 Direct N20'!G189</f>
        <v>0.76073791680000002</v>
      </c>
      <c r="H25" s="52">
        <f>'4.6.1.3-4 Direct N20'!H189</f>
        <v>0.89299319039999991</v>
      </c>
      <c r="I25" s="52">
        <f>'4.6.1.3-4 Direct N20'!I189</f>
        <v>0.76073791680000002</v>
      </c>
      <c r="J25" s="2" t="s">
        <v>168</v>
      </c>
      <c r="N25" s="52"/>
      <c r="O25" s="52" t="str">
        <f>'Input - Poultry'!$D$41</f>
        <v>Direct processing</v>
      </c>
      <c r="P25" s="52">
        <f>'4.6.1.3-4 Direct N20'!P189</f>
        <v>0.71271158400000012</v>
      </c>
      <c r="Q25" s="52">
        <f>'4.6.1.3-4 Direct N20'!Q189</f>
        <v>0.76073791680000002</v>
      </c>
      <c r="R25" s="52">
        <f>'4.6.1.3-4 Direct N20'!R189</f>
        <v>0.89299319039999991</v>
      </c>
      <c r="S25" s="52">
        <f>'4.6.1.3-4 Direct N20'!S189</f>
        <v>0.76073791680000002</v>
      </c>
      <c r="T25" s="2" t="s">
        <v>168</v>
      </c>
    </row>
    <row r="26" spans="1:20" ht="20.100000000000001" customHeight="1" x14ac:dyDescent="0.25">
      <c r="D26" s="52" t="str">
        <f>'Input - Poultry'!$D$31</f>
        <v>Belt manure removal</v>
      </c>
      <c r="E26" s="52" t="str">
        <f>'Input - Poultry'!$D$45</f>
        <v>Solid storage</v>
      </c>
      <c r="F26" s="52">
        <f>'4.6.1.3-4 Direct N20'!F190</f>
        <v>0.96761558400000025</v>
      </c>
      <c r="G26" s="52">
        <f>'4.6.1.3-4 Direct N20'!G190</f>
        <v>1.0328187168</v>
      </c>
      <c r="H26" s="52">
        <f>'4.6.1.3-4 Direct N20'!H190</f>
        <v>1.2123755904</v>
      </c>
      <c r="I26" s="52">
        <f>'4.6.1.3-4 Direct N20'!I190</f>
        <v>1.0328187168</v>
      </c>
      <c r="J26" s="2" t="s">
        <v>168</v>
      </c>
      <c r="N26" s="52" t="str">
        <f>'Input - Poultry'!$D$31</f>
        <v>Belt manure removal</v>
      </c>
      <c r="O26" s="52" t="str">
        <f>'Input - Poultry'!$D$45</f>
        <v>Solid storage</v>
      </c>
      <c r="P26" s="52">
        <f>'4.6.1.3-4 Direct N20'!P190</f>
        <v>0.96761558400000025</v>
      </c>
      <c r="Q26" s="52">
        <f>'4.6.1.3-4 Direct N20'!Q190</f>
        <v>1.0328187168</v>
      </c>
      <c r="R26" s="52">
        <f>'4.6.1.3-4 Direct N20'!R190</f>
        <v>1.2123755904</v>
      </c>
      <c r="S26" s="52">
        <f>'4.6.1.3-4 Direct N20'!S190</f>
        <v>1.0328187168</v>
      </c>
      <c r="T26" s="2" t="s">
        <v>168</v>
      </c>
    </row>
    <row r="27" spans="1:20" ht="20.100000000000001" customHeight="1" x14ac:dyDescent="0.25">
      <c r="D27" s="52"/>
      <c r="E27" s="52" t="str">
        <f>'Input - Poultry'!$D$46</f>
        <v>Composting (passive windrow)</v>
      </c>
      <c r="F27" s="52">
        <f>'4.6.1.3-4 Direct N20'!F191</f>
        <v>0.96761558400000025</v>
      </c>
      <c r="G27" s="52">
        <f>'4.6.1.3-4 Direct N20'!G191</f>
        <v>1.0328187168</v>
      </c>
      <c r="H27" s="52">
        <f>'4.6.1.3-4 Direct N20'!H191</f>
        <v>1.2123755904</v>
      </c>
      <c r="I27" s="52">
        <f>'4.6.1.3-4 Direct N20'!I191</f>
        <v>1.0328187168</v>
      </c>
      <c r="J27" s="2" t="s">
        <v>168</v>
      </c>
      <c r="N27" s="52"/>
      <c r="O27" s="52" t="str">
        <f>'Input - Poultry'!$D$46</f>
        <v>Composting (passive windrow)</v>
      </c>
      <c r="P27" s="52">
        <f>'4.6.1.3-4 Direct N20'!P191</f>
        <v>0.96761558400000025</v>
      </c>
      <c r="Q27" s="52">
        <f>'4.6.1.3-4 Direct N20'!Q191</f>
        <v>1.0328187168</v>
      </c>
      <c r="R27" s="52">
        <f>'4.6.1.3-4 Direct N20'!R191</f>
        <v>1.2123755904</v>
      </c>
      <c r="S27" s="52">
        <f>'4.6.1.3-4 Direct N20'!S191</f>
        <v>1.0328187168</v>
      </c>
      <c r="T27" s="2" t="s">
        <v>168</v>
      </c>
    </row>
    <row r="28" spans="1:20" ht="20.100000000000001" customHeight="1" x14ac:dyDescent="0.25">
      <c r="D28" s="52"/>
      <c r="E28" s="52" t="str">
        <f>'Input - Poultry'!$D$47</f>
        <v>Digester / covered lagoons</v>
      </c>
      <c r="F28" s="52">
        <f>'4.6.1.3-4 Direct N20'!F192</f>
        <v>0.96761558400000025</v>
      </c>
      <c r="G28" s="52">
        <f>'4.6.1.3-4 Direct N20'!G192</f>
        <v>1.0328187168</v>
      </c>
      <c r="H28" s="52">
        <f>'4.6.1.3-4 Direct N20'!H192</f>
        <v>1.2123755904</v>
      </c>
      <c r="I28" s="52">
        <f>'4.6.1.3-4 Direct N20'!I192</f>
        <v>1.0328187168</v>
      </c>
      <c r="J28" s="2" t="s">
        <v>168</v>
      </c>
      <c r="N28" s="52"/>
      <c r="O28" s="52" t="str">
        <f>'Input - Poultry'!$D$47</f>
        <v>Digester / covered lagoons</v>
      </c>
      <c r="P28" s="52">
        <f>'4.6.1.3-4 Direct N20'!P192</f>
        <v>0.96761558400000025</v>
      </c>
      <c r="Q28" s="52">
        <f>'4.6.1.3-4 Direct N20'!Q192</f>
        <v>1.0328187168</v>
      </c>
      <c r="R28" s="52">
        <f>'4.6.1.3-4 Direct N20'!R192</f>
        <v>1.2123755904</v>
      </c>
      <c r="S28" s="52">
        <f>'4.6.1.3-4 Direct N20'!S192</f>
        <v>1.0328187168</v>
      </c>
      <c r="T28" s="2" t="s">
        <v>168</v>
      </c>
    </row>
    <row r="29" spans="1:20" ht="20.100000000000001" customHeight="1" x14ac:dyDescent="0.25">
      <c r="D29" s="52"/>
      <c r="E29" s="52" t="str">
        <f>'Input - Poultry'!$D$48</f>
        <v>Direct processing</v>
      </c>
      <c r="F29" s="52">
        <f>'4.6.1.3-4 Direct N20'!F193</f>
        <v>0.96761558400000025</v>
      </c>
      <c r="G29" s="52">
        <f>'4.6.1.3-4 Direct N20'!G193</f>
        <v>1.0328187168</v>
      </c>
      <c r="H29" s="52">
        <f>'4.6.1.3-4 Direct N20'!H193</f>
        <v>1.2123755904</v>
      </c>
      <c r="I29" s="52">
        <f>'4.6.1.3-4 Direct N20'!I193</f>
        <v>1.0328187168</v>
      </c>
      <c r="J29" s="2" t="s">
        <v>168</v>
      </c>
      <c r="N29" s="52"/>
      <c r="O29" s="52" t="str">
        <f>'Input - Poultry'!$D$48</f>
        <v>Direct processing</v>
      </c>
      <c r="P29" s="52">
        <f>'4.6.1.3-4 Direct N20'!P193</f>
        <v>0.96761558400000025</v>
      </c>
      <c r="Q29" s="52">
        <f>'4.6.1.3-4 Direct N20'!Q193</f>
        <v>1.0328187168</v>
      </c>
      <c r="R29" s="52">
        <f>'4.6.1.3-4 Direct N20'!R193</f>
        <v>1.2123755904</v>
      </c>
      <c r="S29" s="52">
        <f>'4.6.1.3-4 Direct N20'!S193</f>
        <v>1.0328187168</v>
      </c>
      <c r="T29" s="2" t="s">
        <v>168</v>
      </c>
    </row>
    <row r="30" spans="1:20" ht="20.100000000000001" customHeight="1" x14ac:dyDescent="0.25">
      <c r="D30" s="52" t="str">
        <f>'Input - Poultry'!$D$32</f>
        <v>Manure stored in house</v>
      </c>
      <c r="E30" s="52" t="str">
        <f>'Input - Poultry'!$D$52</f>
        <v>Solid storage</v>
      </c>
      <c r="F30" s="52">
        <f>'4.6.1.3-4 Direct N20'!F194</f>
        <v>0.61074998400000013</v>
      </c>
      <c r="G30" s="52">
        <f>'4.6.1.3-4 Direct N20'!G194</f>
        <v>0.65190559679999993</v>
      </c>
      <c r="H30" s="52">
        <f>'4.6.1.3-4 Direct N20'!H194</f>
        <v>0.76524023039999989</v>
      </c>
      <c r="I30" s="52">
        <f>'4.6.1.3-4 Direct N20'!I194</f>
        <v>0.65190559679999993</v>
      </c>
      <c r="J30" s="2" t="s">
        <v>168</v>
      </c>
      <c r="N30" s="52" t="str">
        <f>'Input - Poultry'!$D$32</f>
        <v>Manure stored in house</v>
      </c>
      <c r="O30" s="52" t="str">
        <f>'Input - Poultry'!$D$52</f>
        <v>Solid storage</v>
      </c>
      <c r="P30" s="52">
        <f>'4.6.1.3-4 Direct N20'!P194</f>
        <v>0.61074998400000013</v>
      </c>
      <c r="Q30" s="52">
        <f>'4.6.1.3-4 Direct N20'!Q194</f>
        <v>0.65190559679999993</v>
      </c>
      <c r="R30" s="52">
        <f>'4.6.1.3-4 Direct N20'!R194</f>
        <v>0.76524023039999989</v>
      </c>
      <c r="S30" s="52">
        <f>'4.6.1.3-4 Direct N20'!S194</f>
        <v>0.65190559679999993</v>
      </c>
      <c r="T30" s="2" t="s">
        <v>168</v>
      </c>
    </row>
    <row r="31" spans="1:20" ht="20.100000000000001" customHeight="1" x14ac:dyDescent="0.25">
      <c r="D31" s="52"/>
      <c r="E31" s="52" t="str">
        <f>'Input - Poultry'!$D$53</f>
        <v>Composting (passive windrow)</v>
      </c>
      <c r="F31" s="52">
        <f>'4.6.1.3-4 Direct N20'!F195</f>
        <v>0.61074998400000013</v>
      </c>
      <c r="G31" s="52">
        <f>'4.6.1.3-4 Direct N20'!G195</f>
        <v>0.65190559679999993</v>
      </c>
      <c r="H31" s="52">
        <f>'4.6.1.3-4 Direct N20'!H195</f>
        <v>0.76524023039999989</v>
      </c>
      <c r="I31" s="52">
        <f>'4.6.1.3-4 Direct N20'!I195</f>
        <v>0.65190559679999993</v>
      </c>
      <c r="J31" s="2" t="s">
        <v>168</v>
      </c>
      <c r="N31" s="52"/>
      <c r="O31" s="52" t="str">
        <f>'Input - Poultry'!$D$53</f>
        <v>Composting (passive windrow)</v>
      </c>
      <c r="P31" s="52">
        <f>'4.6.1.3-4 Direct N20'!P195</f>
        <v>0.61074998400000013</v>
      </c>
      <c r="Q31" s="52">
        <f>'4.6.1.3-4 Direct N20'!Q195</f>
        <v>0.65190559679999993</v>
      </c>
      <c r="R31" s="52">
        <f>'4.6.1.3-4 Direct N20'!R195</f>
        <v>0.76524023039999989</v>
      </c>
      <c r="S31" s="52">
        <f>'4.6.1.3-4 Direct N20'!S195</f>
        <v>0.65190559679999993</v>
      </c>
      <c r="T31" s="2" t="s">
        <v>168</v>
      </c>
    </row>
    <row r="32" spans="1:20" ht="20.100000000000001" customHeight="1" x14ac:dyDescent="0.25">
      <c r="D32" s="52"/>
      <c r="E32" s="52" t="str">
        <f>'Input - Poultry'!$D$54</f>
        <v>Digester / covered lagoons</v>
      </c>
      <c r="F32" s="52">
        <f>'4.6.1.3-4 Direct N20'!F196</f>
        <v>0.61074998400000013</v>
      </c>
      <c r="G32" s="52">
        <f>'4.6.1.3-4 Direct N20'!G196</f>
        <v>0.65190559679999993</v>
      </c>
      <c r="H32" s="52">
        <f>'4.6.1.3-4 Direct N20'!H196</f>
        <v>0.76524023039999989</v>
      </c>
      <c r="I32" s="52">
        <f>'4.6.1.3-4 Direct N20'!I196</f>
        <v>0.65190559679999993</v>
      </c>
      <c r="J32" s="2" t="s">
        <v>168</v>
      </c>
      <c r="N32" s="52"/>
      <c r="O32" s="52" t="str">
        <f>'Input - Poultry'!$D$54</f>
        <v>Digester / covered lagoons</v>
      </c>
      <c r="P32" s="52">
        <f>'4.6.1.3-4 Direct N20'!P196</f>
        <v>0.61074998400000013</v>
      </c>
      <c r="Q32" s="52">
        <f>'4.6.1.3-4 Direct N20'!Q196</f>
        <v>0.65190559679999993</v>
      </c>
      <c r="R32" s="52">
        <f>'4.6.1.3-4 Direct N20'!R196</f>
        <v>0.76524023039999989</v>
      </c>
      <c r="S32" s="52">
        <f>'4.6.1.3-4 Direct N20'!S196</f>
        <v>0.65190559679999993</v>
      </c>
      <c r="T32" s="2" t="s">
        <v>168</v>
      </c>
    </row>
    <row r="33" spans="4:20" ht="20.100000000000001" customHeight="1" x14ac:dyDescent="0.25">
      <c r="D33" s="52"/>
      <c r="E33" s="52" t="str">
        <f>'Input - Poultry'!$D$55</f>
        <v>Direct processing</v>
      </c>
      <c r="F33" s="52">
        <f>'4.6.1.3-4 Direct N20'!F197</f>
        <v>0.61074998400000013</v>
      </c>
      <c r="G33" s="52">
        <f>'4.6.1.3-4 Direct N20'!G197</f>
        <v>0.65190559679999993</v>
      </c>
      <c r="H33" s="52">
        <f>'4.6.1.3-4 Direct N20'!H197</f>
        <v>0.76524023039999989</v>
      </c>
      <c r="I33" s="52">
        <f>'4.6.1.3-4 Direct N20'!I197</f>
        <v>0.65190559679999993</v>
      </c>
      <c r="J33" s="2" t="s">
        <v>168</v>
      </c>
      <c r="N33" s="52"/>
      <c r="O33" s="52" t="str">
        <f>'Input - Poultry'!$D$55</f>
        <v>Direct processing</v>
      </c>
      <c r="P33" s="52">
        <f>'4.6.1.3-4 Direct N20'!P197</f>
        <v>0.61074998400000013</v>
      </c>
      <c r="Q33" s="52">
        <f>'4.6.1.3-4 Direct N20'!Q197</f>
        <v>0.65190559679999993</v>
      </c>
      <c r="R33" s="52">
        <f>'4.6.1.3-4 Direct N20'!R197</f>
        <v>0.76524023039999989</v>
      </c>
      <c r="S33" s="52">
        <f>'4.6.1.3-4 Direct N20'!S197</f>
        <v>0.65190559679999993</v>
      </c>
      <c r="T33" s="2" t="s">
        <v>168</v>
      </c>
    </row>
    <row r="34" spans="4:20" ht="20.100000000000001" customHeight="1" x14ac:dyDescent="0.25"/>
    <row r="35" spans="4:20" ht="20.100000000000001" customHeight="1" x14ac:dyDescent="0.25">
      <c r="D35" s="99" t="s">
        <v>290</v>
      </c>
    </row>
    <row r="36" spans="4:20" ht="20.100000000000001" customHeight="1" x14ac:dyDescent="0.25">
      <c r="D36" s="98" t="s">
        <v>283</v>
      </c>
    </row>
    <row r="37" spans="4:20" ht="20.100000000000001" customHeight="1" x14ac:dyDescent="0.25">
      <c r="D37" s="51" t="s">
        <v>143</v>
      </c>
      <c r="E37" s="51" t="s">
        <v>309</v>
      </c>
    </row>
    <row r="38" spans="4:20" ht="20.100000000000001" customHeight="1" x14ac:dyDescent="0.25">
      <c r="D38" s="52" t="str">
        <f>'Constants - Poultry'!$D$29</f>
        <v>Poultry manure with bedding</v>
      </c>
      <c r="E38" s="52" cm="1">
        <f t="array" ref="E38">Common_InputFunctions.Utility_LookupValueInTableNumber(D38, Table_SourceData_Poultry_EFmT[NIR reference],Table_SourceData_Poultry_EFmT[EFmT])</f>
        <v>1E-3</v>
      </c>
    </row>
    <row r="39" spans="4:20" ht="20.100000000000001" customHeight="1" x14ac:dyDescent="0.25">
      <c r="D39" s="52" t="str">
        <f>'Constants - Poultry'!$D$30</f>
        <v>Belt manure removal</v>
      </c>
      <c r="E39" s="52" cm="1">
        <f t="array" ref="E39">Common_InputFunctions.Utility_LookupValueInTableNumber(D39, Table_SourceData_Poultry_EFmT[NIR reference],Table_SourceData_Poultry_EFmT[EFmT])</f>
        <v>1E-3</v>
      </c>
    </row>
    <row r="40" spans="4:20" ht="20.100000000000001" customHeight="1" x14ac:dyDescent="0.25">
      <c r="D40" s="52" t="str">
        <f>'Constants - Poultry'!$D$31</f>
        <v>Manure stored in house</v>
      </c>
      <c r="E40" s="52" cm="1">
        <f t="array" ref="E40">Common_InputFunctions.Utility_LookupValueInTableNumber(D40, Table_SourceData_Poultry_EFmT[NIR reference],Table_SourceData_Poultry_EFmT[EFmT])</f>
        <v>1E-3</v>
      </c>
    </row>
    <row r="41" spans="4:20" ht="20.100000000000001" customHeight="1" x14ac:dyDescent="0.25">
      <c r="D41" s="52" t="str">
        <f>'Constants - Poultry'!$D$32</f>
        <v>Pasture range and paddock</v>
      </c>
      <c r="E41" s="52" cm="1">
        <f t="array" ref="E41">Common_InputFunctions.Utility_LookupValueInTableNumber(D41, Table_SourceData_Poultry_EFmT[NIR reference],Table_SourceData_Poultry_EFmT[EFmT])</f>
        <v>0.02</v>
      </c>
    </row>
    <row r="42" spans="4:20" ht="20.100000000000001" customHeight="1" x14ac:dyDescent="0.25">
      <c r="D42" s="52" t="str">
        <f>'Constants - Poultry'!$D$33</f>
        <v>Solid storage</v>
      </c>
      <c r="E42" s="52" cm="1">
        <f t="array" ref="E42">Common_InputFunctions.Utility_LookupValueInTableNumber(D42, Table_SourceData_Poultry_EFmT[NIR reference],Table_SourceData_Poultry_EFmT[EFmT])</f>
        <v>5.0000000000000001E-3</v>
      </c>
    </row>
    <row r="43" spans="4:20" ht="20.100000000000001" customHeight="1" x14ac:dyDescent="0.25">
      <c r="D43" s="52" t="str">
        <f>'Constants - Poultry'!$D$34</f>
        <v>Composting (passive windrow)</v>
      </c>
      <c r="E43" s="52" cm="1">
        <f t="array" ref="E43">Common_InputFunctions.Utility_LookupValueInTableNumber(D43, Table_SourceData_Poultry_EFmT[NIR reference],Table_SourceData_Poultry_EFmT[EFmT])</f>
        <v>0.01</v>
      </c>
    </row>
    <row r="44" spans="4:20" ht="20.100000000000001" customHeight="1" x14ac:dyDescent="0.25">
      <c r="D44" s="52" t="str">
        <f>'Constants - Poultry'!$D$35</f>
        <v>Digester / covered lagoons</v>
      </c>
      <c r="E44" s="52" cm="1">
        <f t="array" ref="E44">Common_InputFunctions.Utility_LookupValueInTableNumber(D44, Table_SourceData_Poultry_EFmT[NIR reference],Table_SourceData_Poultry_EFmT[EFmT])</f>
        <v>0</v>
      </c>
    </row>
    <row r="45" spans="4:20" ht="20.100000000000001" customHeight="1" x14ac:dyDescent="0.25">
      <c r="D45" s="52" t="str">
        <f>'Constants - Poultry'!$D$36</f>
        <v>Direct processing</v>
      </c>
      <c r="E45" s="52" cm="1">
        <f t="array" ref="E45">Common_InputFunctions.Utility_LookupValueInTableNumber(D45, Table_SourceData_Poultry_EFmT[NIR reference],Table_SourceData_Poultry_EFmT[EFmT])</f>
        <v>0</v>
      </c>
    </row>
    <row r="46" spans="4:20" ht="20.100000000000001" customHeight="1" x14ac:dyDescent="0.25"/>
    <row r="47" spans="4:20" ht="20.100000000000001" customHeight="1" x14ac:dyDescent="0.25">
      <c r="D47" s="99" t="s">
        <v>296</v>
      </c>
    </row>
    <row r="48" spans="4:20" ht="20.100000000000001" customHeight="1" x14ac:dyDescent="0.25">
      <c r="D48" s="98" t="s">
        <v>310</v>
      </c>
    </row>
    <row r="49" spans="4:20" ht="20.100000000000001" customHeight="1" x14ac:dyDescent="0.25">
      <c r="D49" s="51" t="s">
        <v>67</v>
      </c>
      <c r="E49" s="51" t="s">
        <v>282</v>
      </c>
    </row>
    <row r="50" spans="4:20" ht="20.100000000000001" customHeight="1" x14ac:dyDescent="0.25">
      <c r="D50" s="52" t="str">
        <f>'Constants - Poultry'!$D$29</f>
        <v>Poultry manure with bedding</v>
      </c>
      <c r="E50" s="52" cm="1">
        <f t="array" ref="E50">Common_InputFunctions.Utility_LookupValueInTableNumber(D50, Table_SourceData_Poultry_FracGASM[NIR reference],Table_SourceData_Poultry_FracGASM[FracGASMmT])</f>
        <v>0.3</v>
      </c>
    </row>
    <row r="51" spans="4:20" ht="20.100000000000001" customHeight="1" x14ac:dyDescent="0.25">
      <c r="D51" s="52" t="str">
        <f>'Constants - Poultry'!$D$30</f>
        <v>Belt manure removal</v>
      </c>
      <c r="E51" s="52" cm="1">
        <f t="array" ref="E51">Common_InputFunctions.Utility_LookupValueInTableNumber(D51, Table_SourceData_Poultry_FracGASM[NIR reference],Table_SourceData_Poultry_FracGASM[FracGASMmT])</f>
        <v>0.05</v>
      </c>
    </row>
    <row r="52" spans="4:20" ht="20.100000000000001" customHeight="1" x14ac:dyDescent="0.25">
      <c r="D52" s="52" t="str">
        <f>'Constants - Poultry'!$D$31</f>
        <v>Manure stored in house</v>
      </c>
      <c r="E52" s="52" cm="1">
        <f t="array" ref="E52">Common_InputFunctions.Utility_LookupValueInTableNumber(D52, Table_SourceData_Poultry_FracGASM[NIR reference],Table_SourceData_Poultry_FracGASM[FracGASMmT])</f>
        <v>0.4</v>
      </c>
    </row>
    <row r="53" spans="4:20" ht="20.100000000000001" customHeight="1" x14ac:dyDescent="0.25">
      <c r="D53" s="52" t="str">
        <f>'Constants - Poultry'!$D$32</f>
        <v>Pasture range and paddock</v>
      </c>
      <c r="E53" s="52" cm="1">
        <f t="array" ref="E53">Common_InputFunctions.Utility_LookupValueInTableNumber(D53, Table_SourceData_Poultry_FracGASM[NIR reference],Table_SourceData_Poultry_FracGASM[FracGASMmT])</f>
        <v>0</v>
      </c>
    </row>
    <row r="54" spans="4:20" ht="20.100000000000001" customHeight="1" x14ac:dyDescent="0.25">
      <c r="D54" s="52" t="str">
        <f>'Constants - Poultry'!$D$33</f>
        <v>Solid storage</v>
      </c>
      <c r="E54" s="52" cm="1">
        <f t="array" ref="E54">Common_InputFunctions.Utility_LookupValueInTableNumber(D54, Table_SourceData_Poultry_FracGASM[NIR reference],Table_SourceData_Poultry_FracGASM[FracGASMmT])</f>
        <v>0.2</v>
      </c>
    </row>
    <row r="55" spans="4:20" ht="20.100000000000001" customHeight="1" x14ac:dyDescent="0.25">
      <c r="D55" s="52" t="str">
        <f>'Constants - Poultry'!$D$34</f>
        <v>Composting (passive windrow)</v>
      </c>
      <c r="E55" s="52" cm="1">
        <f t="array" ref="E55">Common_InputFunctions.Utility_LookupValueInTableNumber(D55, Table_SourceData_Poultry_FracGASM[NIR reference],Table_SourceData_Poultry_FracGASM[FracGASMmT])</f>
        <v>0.2</v>
      </c>
    </row>
    <row r="56" spans="4:20" ht="20.100000000000001" customHeight="1" x14ac:dyDescent="0.25">
      <c r="D56" s="52" t="str">
        <f>'Constants - Poultry'!$D$35</f>
        <v>Digester / covered lagoons</v>
      </c>
      <c r="E56" s="52" cm="1">
        <f t="array" ref="E56">Common_InputFunctions.Utility_LookupValueInTableNumber(D56, Table_SourceData_Poultry_FracGASM[NIR reference],Table_SourceData_Poultry_FracGASM[FracGASMmT])</f>
        <v>0</v>
      </c>
    </row>
    <row r="57" spans="4:20" ht="20.100000000000001" customHeight="1" x14ac:dyDescent="0.25">
      <c r="D57" s="52" t="str">
        <f>'Constants - Poultry'!$D$36</f>
        <v>Direct processing</v>
      </c>
      <c r="E57" s="52" cm="1">
        <f t="array" ref="E57">Common_InputFunctions.Utility_LookupValueInTableNumber(D57, Table_SourceData_Poultry_FracGASM[NIR reference],Table_SourceData_Poultry_FracGASM[FracGASMmT])</f>
        <v>0</v>
      </c>
    </row>
    <row r="58" spans="4:20" ht="20.100000000000001" customHeight="1" x14ac:dyDescent="0.25"/>
    <row r="59" spans="4:20" ht="20.100000000000001" customHeight="1" x14ac:dyDescent="0.25">
      <c r="D59" s="99" t="s">
        <v>312</v>
      </c>
      <c r="N59" s="99" t="s">
        <v>315</v>
      </c>
    </row>
    <row r="60" spans="4:20" ht="20.100000000000001" customHeight="1" x14ac:dyDescent="0.25">
      <c r="D60" s="98" t="s">
        <v>313</v>
      </c>
      <c r="N60" s="98" t="s">
        <v>314</v>
      </c>
    </row>
    <row r="61" spans="4:20" ht="20.100000000000001" customHeight="1" x14ac:dyDescent="0.25">
      <c r="D61" s="51" t="s">
        <v>143</v>
      </c>
      <c r="E61" s="51" t="s">
        <v>145</v>
      </c>
      <c r="F61" s="51" t="s">
        <v>209</v>
      </c>
      <c r="G61" s="51" t="s">
        <v>210</v>
      </c>
      <c r="H61" s="51" t="s">
        <v>224</v>
      </c>
      <c r="I61" s="51" t="s">
        <v>225</v>
      </c>
      <c r="N61" s="51" t="s">
        <v>143</v>
      </c>
      <c r="O61" s="51" t="s">
        <v>145</v>
      </c>
      <c r="P61" s="51" t="s">
        <v>209</v>
      </c>
      <c r="Q61" s="51" t="s">
        <v>210</v>
      </c>
      <c r="R61" s="51" t="s">
        <v>224</v>
      </c>
      <c r="S61" s="51" t="s">
        <v>225</v>
      </c>
    </row>
    <row r="62" spans="4:20" ht="20.100000000000001" customHeight="1" x14ac:dyDescent="0.25">
      <c r="D62" s="52" t="str">
        <f>'Input - Poultry'!$D$30</f>
        <v>Poultry manure with bedding</v>
      </c>
      <c r="E62" s="52" t="str">
        <f>'Input - Poultry'!$D$38</f>
        <v>Solid storage</v>
      </c>
      <c r="F62" s="52">
        <f>'4.6.1.7-8 Leaching and runoff'!F30</f>
        <v>1.4254231680000003E-2</v>
      </c>
      <c r="G62" s="52">
        <f>'4.6.1.7-8 Leaching and runoff'!G30</f>
        <v>1.5214758336E-2</v>
      </c>
      <c r="H62" s="52">
        <f>'4.6.1.7-8 Leaching and runoff'!H30</f>
        <v>1.7859863808E-2</v>
      </c>
      <c r="I62" s="52">
        <f>'4.6.1.7-8 Leaching and runoff'!I30</f>
        <v>1.5214758336E-2</v>
      </c>
      <c r="J62" s="2" t="s">
        <v>168</v>
      </c>
      <c r="N62" s="52" t="str">
        <f>'Input - Poultry'!$D$30</f>
        <v>Poultry manure with bedding</v>
      </c>
      <c r="O62" s="52" t="str">
        <f>'Input - Poultry'!$D$38</f>
        <v>Solid storage</v>
      </c>
      <c r="P62" s="52">
        <f>'4.6.1.7-8 Leaching and runoff'!P30</f>
        <v>1.4254231680000003E-2</v>
      </c>
      <c r="Q62" s="52">
        <f>'4.6.1.7-8 Leaching and runoff'!Q30</f>
        <v>1.5214758336E-2</v>
      </c>
      <c r="R62" s="52">
        <f>'4.6.1.7-8 Leaching and runoff'!R30</f>
        <v>1.7859863808E-2</v>
      </c>
      <c r="S62" s="52">
        <f>'4.6.1.7-8 Leaching and runoff'!S30</f>
        <v>1.5214758336E-2</v>
      </c>
      <c r="T62" s="2" t="s">
        <v>168</v>
      </c>
    </row>
    <row r="63" spans="4:20" ht="20.100000000000001" customHeight="1" x14ac:dyDescent="0.25">
      <c r="D63" s="52"/>
      <c r="E63" s="52" t="str">
        <f>'Input - Poultry'!$D$39</f>
        <v>Composting (passive windrow)</v>
      </c>
      <c r="F63" s="52">
        <v>0</v>
      </c>
      <c r="G63" s="52">
        <v>0</v>
      </c>
      <c r="H63" s="52">
        <v>0</v>
      </c>
      <c r="I63" s="52">
        <v>0</v>
      </c>
      <c r="J63" s="2" t="s">
        <v>168</v>
      </c>
      <c r="N63" s="52"/>
      <c r="O63" s="52" t="str">
        <f>'Input - Poultry'!$D$39</f>
        <v>Composting (passive windrow)</v>
      </c>
      <c r="P63" s="52">
        <v>0</v>
      </c>
      <c r="Q63" s="52">
        <v>0</v>
      </c>
      <c r="R63" s="52">
        <v>0</v>
      </c>
      <c r="S63" s="52">
        <v>0</v>
      </c>
      <c r="T63" s="2" t="s">
        <v>168</v>
      </c>
    </row>
    <row r="64" spans="4:20" ht="20.100000000000001" customHeight="1" x14ac:dyDescent="0.25">
      <c r="D64" s="52"/>
      <c r="E64" s="52" t="str">
        <f>'Input - Poultry'!$D$40</f>
        <v>Digester / covered lagoons</v>
      </c>
      <c r="F64" s="52">
        <v>0</v>
      </c>
      <c r="G64" s="52">
        <v>0</v>
      </c>
      <c r="H64" s="52">
        <v>0</v>
      </c>
      <c r="I64" s="52">
        <v>0</v>
      </c>
      <c r="J64" s="2" t="s">
        <v>168</v>
      </c>
      <c r="N64" s="52"/>
      <c r="O64" s="52" t="str">
        <f>'Input - Poultry'!$D$40</f>
        <v>Digester / covered lagoons</v>
      </c>
      <c r="P64" s="52">
        <v>0</v>
      </c>
      <c r="Q64" s="52">
        <v>0</v>
      </c>
      <c r="R64" s="52">
        <v>0</v>
      </c>
      <c r="S64" s="52">
        <v>0</v>
      </c>
      <c r="T64" s="2" t="s">
        <v>168</v>
      </c>
    </row>
    <row r="65" spans="4:20" ht="20.100000000000001" customHeight="1" x14ac:dyDescent="0.25">
      <c r="D65" s="52"/>
      <c r="E65" s="52" t="str">
        <f>'Input - Poultry'!$D$41</f>
        <v>Direct processing</v>
      </c>
      <c r="F65" s="52">
        <v>0</v>
      </c>
      <c r="G65" s="52">
        <v>0</v>
      </c>
      <c r="H65" s="52">
        <v>0</v>
      </c>
      <c r="I65" s="52">
        <v>0</v>
      </c>
      <c r="J65" s="2" t="s">
        <v>168</v>
      </c>
      <c r="N65" s="52"/>
      <c r="O65" s="52" t="str">
        <f>'Input - Poultry'!$D$41</f>
        <v>Direct processing</v>
      </c>
      <c r="P65" s="52">
        <v>0</v>
      </c>
      <c r="Q65" s="52">
        <v>0</v>
      </c>
      <c r="R65" s="52">
        <v>0</v>
      </c>
      <c r="S65" s="52">
        <v>0</v>
      </c>
      <c r="T65" s="2" t="s">
        <v>168</v>
      </c>
    </row>
    <row r="66" spans="4:20" ht="20.100000000000001" customHeight="1" x14ac:dyDescent="0.25">
      <c r="D66" s="52" t="str">
        <f>'Input - Poultry'!$D$31</f>
        <v>Belt manure removal</v>
      </c>
      <c r="E66" s="52" t="str">
        <f>'Input - Poultry'!$D$45</f>
        <v>Solid storage</v>
      </c>
      <c r="F66" s="52">
        <f>'4.6.1.7-8 Leaching and runoff'!F31</f>
        <v>1.9352311680000005E-2</v>
      </c>
      <c r="G66" s="52">
        <f>'4.6.1.7-8 Leaching and runoff'!G31</f>
        <v>2.0656374336E-2</v>
      </c>
      <c r="H66" s="52">
        <f>'4.6.1.7-8 Leaching and runoff'!H31</f>
        <v>2.4247511808E-2</v>
      </c>
      <c r="I66" s="52">
        <f>'4.6.1.7-8 Leaching and runoff'!I31</f>
        <v>2.0656374336E-2</v>
      </c>
      <c r="J66" s="2" t="s">
        <v>168</v>
      </c>
      <c r="N66" s="52" t="str">
        <f>'Input - Poultry'!$D$31</f>
        <v>Belt manure removal</v>
      </c>
      <c r="O66" s="52" t="str">
        <f>'Input - Poultry'!$D$45</f>
        <v>Solid storage</v>
      </c>
      <c r="P66" s="52">
        <f>'4.6.1.7-8 Leaching and runoff'!P31</f>
        <v>1.9352311680000005E-2</v>
      </c>
      <c r="Q66" s="52">
        <f>'4.6.1.7-8 Leaching and runoff'!Q31</f>
        <v>2.0656374336E-2</v>
      </c>
      <c r="R66" s="52">
        <f>'4.6.1.7-8 Leaching and runoff'!R31</f>
        <v>2.4247511808E-2</v>
      </c>
      <c r="S66" s="52">
        <f>'4.6.1.7-8 Leaching and runoff'!S31</f>
        <v>2.0656374336E-2</v>
      </c>
      <c r="T66" s="2" t="s">
        <v>168</v>
      </c>
    </row>
    <row r="67" spans="4:20" ht="20.100000000000001" customHeight="1" x14ac:dyDescent="0.25">
      <c r="D67" s="52"/>
      <c r="E67" s="52" t="str">
        <f>'Input - Poultry'!$D$46</f>
        <v>Composting (passive windrow)</v>
      </c>
      <c r="F67" s="52">
        <v>0</v>
      </c>
      <c r="G67" s="52">
        <v>0</v>
      </c>
      <c r="H67" s="52">
        <v>0</v>
      </c>
      <c r="I67" s="52">
        <v>0</v>
      </c>
      <c r="J67" s="2" t="s">
        <v>168</v>
      </c>
      <c r="N67" s="52"/>
      <c r="O67" s="52" t="str">
        <f>'Input - Poultry'!$D$46</f>
        <v>Composting (passive windrow)</v>
      </c>
      <c r="P67" s="52">
        <v>0</v>
      </c>
      <c r="Q67" s="52">
        <v>0</v>
      </c>
      <c r="R67" s="52">
        <v>0</v>
      </c>
      <c r="S67" s="52">
        <v>0</v>
      </c>
      <c r="T67" s="2" t="s">
        <v>168</v>
      </c>
    </row>
    <row r="68" spans="4:20" ht="20.100000000000001" customHeight="1" x14ac:dyDescent="0.25">
      <c r="D68" s="52"/>
      <c r="E68" s="52" t="str">
        <f>'Input - Poultry'!$D$47</f>
        <v>Digester / covered lagoons</v>
      </c>
      <c r="F68" s="52">
        <v>0</v>
      </c>
      <c r="G68" s="52">
        <v>0</v>
      </c>
      <c r="H68" s="52">
        <v>0</v>
      </c>
      <c r="I68" s="52">
        <v>0</v>
      </c>
      <c r="J68" s="2" t="s">
        <v>168</v>
      </c>
      <c r="N68" s="52"/>
      <c r="O68" s="52" t="str">
        <f>'Input - Poultry'!$D$47</f>
        <v>Digester / covered lagoons</v>
      </c>
      <c r="P68" s="52">
        <v>0</v>
      </c>
      <c r="Q68" s="52">
        <v>0</v>
      </c>
      <c r="R68" s="52">
        <v>0</v>
      </c>
      <c r="S68" s="52">
        <v>0</v>
      </c>
      <c r="T68" s="2" t="s">
        <v>168</v>
      </c>
    </row>
    <row r="69" spans="4:20" ht="20.100000000000001" customHeight="1" x14ac:dyDescent="0.25">
      <c r="D69" s="52"/>
      <c r="E69" s="52" t="str">
        <f>'Input - Poultry'!$D$48</f>
        <v>Direct processing</v>
      </c>
      <c r="F69" s="52">
        <v>0</v>
      </c>
      <c r="G69" s="52">
        <v>0</v>
      </c>
      <c r="H69" s="52">
        <v>0</v>
      </c>
      <c r="I69" s="52">
        <v>0</v>
      </c>
      <c r="J69" s="2" t="s">
        <v>168</v>
      </c>
      <c r="N69" s="52"/>
      <c r="O69" s="52" t="str">
        <f>'Input - Poultry'!$D$48</f>
        <v>Direct processing</v>
      </c>
      <c r="P69" s="52">
        <v>0</v>
      </c>
      <c r="Q69" s="52">
        <v>0</v>
      </c>
      <c r="R69" s="52">
        <v>0</v>
      </c>
      <c r="S69" s="52">
        <v>0</v>
      </c>
      <c r="T69" s="2" t="s">
        <v>168</v>
      </c>
    </row>
    <row r="70" spans="4:20" ht="20.100000000000001" customHeight="1" x14ac:dyDescent="0.25">
      <c r="D70" s="52" t="str">
        <f>'Input - Poultry'!$D$32</f>
        <v>Manure stored in house</v>
      </c>
      <c r="E70" s="52" t="str">
        <f>'Input - Poultry'!$D$52</f>
        <v>Solid storage</v>
      </c>
      <c r="F70" s="52">
        <f>'4.6.1.7-8 Leaching and runoff'!F32</f>
        <v>1.2214999680000003E-2</v>
      </c>
      <c r="G70" s="52">
        <f>'4.6.1.7-8 Leaching and runoff'!G32</f>
        <v>1.3038111936E-2</v>
      </c>
      <c r="H70" s="52">
        <f>'4.6.1.7-8 Leaching and runoff'!H32</f>
        <v>1.5304804607999998E-2</v>
      </c>
      <c r="I70" s="52">
        <f>'4.6.1.7-8 Leaching and runoff'!I32</f>
        <v>1.3038111936E-2</v>
      </c>
      <c r="J70" s="2" t="s">
        <v>168</v>
      </c>
      <c r="N70" s="52" t="str">
        <f>'Input - Poultry'!$D$32</f>
        <v>Manure stored in house</v>
      </c>
      <c r="O70" s="52" t="str">
        <f>'Input - Poultry'!$D$52</f>
        <v>Solid storage</v>
      </c>
      <c r="P70" s="52">
        <f>'4.6.1.7-8 Leaching and runoff'!P32</f>
        <v>1.2214999680000003E-2</v>
      </c>
      <c r="Q70" s="52">
        <f>'4.6.1.7-8 Leaching and runoff'!Q32</f>
        <v>1.3038111936E-2</v>
      </c>
      <c r="R70" s="52">
        <f>'4.6.1.7-8 Leaching and runoff'!R32</f>
        <v>1.5304804607999998E-2</v>
      </c>
      <c r="S70" s="52">
        <f>'4.6.1.7-8 Leaching and runoff'!S32</f>
        <v>1.3038111936E-2</v>
      </c>
      <c r="T70" s="2" t="s">
        <v>168</v>
      </c>
    </row>
    <row r="71" spans="4:20" ht="20.100000000000001" customHeight="1" x14ac:dyDescent="0.25">
      <c r="D71" s="52"/>
      <c r="E71" s="52" t="str">
        <f>'Input - Poultry'!$D$53</f>
        <v>Composting (passive windrow)</v>
      </c>
      <c r="F71" s="52">
        <v>0</v>
      </c>
      <c r="G71" s="52">
        <v>0</v>
      </c>
      <c r="H71" s="52">
        <v>0</v>
      </c>
      <c r="I71" s="52">
        <v>0</v>
      </c>
      <c r="J71" s="2" t="s">
        <v>168</v>
      </c>
      <c r="N71" s="52"/>
      <c r="O71" s="52" t="str">
        <f>'Input - Poultry'!$D$53</f>
        <v>Composting (passive windrow)</v>
      </c>
      <c r="P71" s="52">
        <v>0</v>
      </c>
      <c r="Q71" s="52">
        <v>0</v>
      </c>
      <c r="R71" s="52">
        <v>0</v>
      </c>
      <c r="S71" s="52">
        <v>0</v>
      </c>
      <c r="T71" s="2" t="s">
        <v>168</v>
      </c>
    </row>
    <row r="72" spans="4:20" ht="20.100000000000001" customHeight="1" x14ac:dyDescent="0.25">
      <c r="D72" s="52"/>
      <c r="E72" s="52" t="str">
        <f>'Input - Poultry'!$D$54</f>
        <v>Digester / covered lagoons</v>
      </c>
      <c r="F72" s="52">
        <v>0</v>
      </c>
      <c r="G72" s="52">
        <v>0</v>
      </c>
      <c r="H72" s="52">
        <v>0</v>
      </c>
      <c r="I72" s="52">
        <v>0</v>
      </c>
      <c r="J72" s="2" t="s">
        <v>168</v>
      </c>
      <c r="N72" s="52"/>
      <c r="O72" s="52" t="str">
        <f>'Input - Poultry'!$D$54</f>
        <v>Digester / covered lagoons</v>
      </c>
      <c r="P72" s="52">
        <v>0</v>
      </c>
      <c r="Q72" s="52">
        <v>0</v>
      </c>
      <c r="R72" s="52">
        <v>0</v>
      </c>
      <c r="S72" s="52">
        <v>0</v>
      </c>
      <c r="T72" s="2" t="s">
        <v>168</v>
      </c>
    </row>
    <row r="73" spans="4:20" ht="20.100000000000001" customHeight="1" x14ac:dyDescent="0.25">
      <c r="D73" s="52"/>
      <c r="E73" s="52" t="str">
        <f>'Input - Poultry'!$D$55</f>
        <v>Direct processing</v>
      </c>
      <c r="F73" s="52">
        <v>0</v>
      </c>
      <c r="G73" s="52">
        <v>0</v>
      </c>
      <c r="H73" s="52">
        <v>0</v>
      </c>
      <c r="I73" s="52">
        <v>0</v>
      </c>
      <c r="J73" s="2" t="s">
        <v>168</v>
      </c>
      <c r="N73" s="52"/>
      <c r="O73" s="52" t="str">
        <f>'Input - Poultry'!$D$55</f>
        <v>Direct processing</v>
      </c>
      <c r="P73" s="52">
        <v>0</v>
      </c>
      <c r="Q73" s="52">
        <v>0</v>
      </c>
      <c r="R73" s="52">
        <v>0</v>
      </c>
      <c r="S73" s="52">
        <v>0</v>
      </c>
      <c r="T73" s="2" t="s">
        <v>168</v>
      </c>
    </row>
    <row r="74" spans="4:20" ht="20.100000000000001" customHeight="1" x14ac:dyDescent="0.25"/>
    <row r="75" spans="4:20" ht="20.100000000000001" customHeight="1" x14ac:dyDescent="0.25">
      <c r="D75" s="99" t="s">
        <v>317</v>
      </c>
    </row>
    <row r="76" spans="4:20" ht="20.100000000000001" customHeight="1" x14ac:dyDescent="0.25">
      <c r="D76" s="98" t="s">
        <v>316</v>
      </c>
    </row>
    <row r="77" spans="4:20" ht="20.100000000000001" customHeight="1" x14ac:dyDescent="0.25">
      <c r="D77" s="51" t="s">
        <v>143</v>
      </c>
      <c r="E77" s="51" t="s">
        <v>145</v>
      </c>
      <c r="F77" s="51" t="s">
        <v>173</v>
      </c>
    </row>
    <row r="78" spans="4:20" ht="20.100000000000001" customHeight="1" x14ac:dyDescent="0.25">
      <c r="D78" s="52" t="str">
        <f>'Input - Poultry'!$D$30</f>
        <v>Poultry manure with bedding</v>
      </c>
      <c r="E78" s="52" t="str">
        <f>'Input - Poultry'!$D$38</f>
        <v>Solid storage</v>
      </c>
      <c r="F78" s="52">
        <f>'Input - Poultry'!K38+'Input - Poultry'!L38</f>
        <v>0.75</v>
      </c>
      <c r="G78" s="2" t="s">
        <v>118</v>
      </c>
    </row>
    <row r="79" spans="4:20" ht="20.100000000000001" customHeight="1" x14ac:dyDescent="0.25">
      <c r="D79" s="52"/>
      <c r="E79" s="52" t="str">
        <f>'Input - Poultry'!$D$39</f>
        <v>Composting (passive windrow)</v>
      </c>
      <c r="F79" s="52">
        <f>'Input - Poultry'!K39+'Input - Poultry'!L39</f>
        <v>0.75</v>
      </c>
      <c r="G79" s="2" t="s">
        <v>118</v>
      </c>
    </row>
    <row r="80" spans="4:20" ht="20.100000000000001" customHeight="1" x14ac:dyDescent="0.25">
      <c r="D80" s="52"/>
      <c r="E80" s="52" t="str">
        <f>'Input - Poultry'!$D$40</f>
        <v>Digester / covered lagoons</v>
      </c>
      <c r="F80" s="52">
        <f>'Input - Poultry'!K40+'Input - Poultry'!L40</f>
        <v>0.75</v>
      </c>
      <c r="G80" s="2" t="s">
        <v>118</v>
      </c>
    </row>
    <row r="81" spans="4:20" ht="20.100000000000001" customHeight="1" x14ac:dyDescent="0.25">
      <c r="D81" s="52"/>
      <c r="E81" s="52" t="str">
        <f>'Input - Poultry'!$D$41</f>
        <v>Direct processing</v>
      </c>
      <c r="F81" s="52">
        <f>'Input - Poultry'!K41+'Input - Poultry'!L41</f>
        <v>0.75</v>
      </c>
      <c r="G81" s="2" t="s">
        <v>118</v>
      </c>
    </row>
    <row r="82" spans="4:20" ht="20.100000000000001" customHeight="1" x14ac:dyDescent="0.25">
      <c r="D82" s="52" t="str">
        <f>'Input - Poultry'!$D$31</f>
        <v>Belt manure removal</v>
      </c>
      <c r="E82" s="52" t="str">
        <f>'Input - Poultry'!$D$45</f>
        <v>Solid storage</v>
      </c>
      <c r="F82" s="52">
        <f>'Input - Poultry'!K45+'Input - Poultry'!L45</f>
        <v>0.75</v>
      </c>
      <c r="G82" s="2" t="s">
        <v>118</v>
      </c>
    </row>
    <row r="83" spans="4:20" ht="20.100000000000001" customHeight="1" x14ac:dyDescent="0.25">
      <c r="D83" s="52"/>
      <c r="E83" s="52" t="str">
        <f>'Input - Poultry'!$D$46</f>
        <v>Composting (passive windrow)</v>
      </c>
      <c r="F83" s="52">
        <f>'Input - Poultry'!K46+'Input - Poultry'!L46</f>
        <v>0.75</v>
      </c>
      <c r="G83" s="2" t="s">
        <v>118</v>
      </c>
    </row>
    <row r="84" spans="4:20" ht="20.100000000000001" customHeight="1" x14ac:dyDescent="0.25">
      <c r="D84" s="52"/>
      <c r="E84" s="52" t="str">
        <f>'Input - Poultry'!$D$47</f>
        <v>Digester / covered lagoons</v>
      </c>
      <c r="F84" s="52">
        <f>'Input - Poultry'!K47+'Input - Poultry'!L47</f>
        <v>0.75</v>
      </c>
      <c r="G84" s="2" t="s">
        <v>118</v>
      </c>
    </row>
    <row r="85" spans="4:20" ht="20.100000000000001" customHeight="1" x14ac:dyDescent="0.25">
      <c r="D85" s="52"/>
      <c r="E85" s="52" t="str">
        <f>'Input - Poultry'!$D$48</f>
        <v>Direct processing</v>
      </c>
      <c r="F85" s="52">
        <f>'Input - Poultry'!K48+'Input - Poultry'!L48</f>
        <v>0.75</v>
      </c>
      <c r="G85" s="2" t="s">
        <v>118</v>
      </c>
    </row>
    <row r="86" spans="4:20" ht="20.100000000000001" customHeight="1" x14ac:dyDescent="0.25">
      <c r="D86" s="52" t="str">
        <f>'Input - Poultry'!$D$32</f>
        <v>Manure stored in house</v>
      </c>
      <c r="E86" s="52" t="str">
        <f>'Input - Poultry'!$D$52</f>
        <v>Solid storage</v>
      </c>
      <c r="F86" s="52">
        <f>'Input - Poultry'!K52+'Input - Poultry'!L52</f>
        <v>0.75</v>
      </c>
      <c r="G86" s="2" t="s">
        <v>118</v>
      </c>
    </row>
    <row r="87" spans="4:20" ht="20.100000000000001" customHeight="1" x14ac:dyDescent="0.25">
      <c r="D87" s="52"/>
      <c r="E87" s="52" t="str">
        <f>'Input - Poultry'!$D$53</f>
        <v>Composting (passive windrow)</v>
      </c>
      <c r="F87" s="52">
        <f>'Input - Poultry'!K53+'Input - Poultry'!L53</f>
        <v>0.75</v>
      </c>
      <c r="G87" s="2" t="s">
        <v>118</v>
      </c>
    </row>
    <row r="88" spans="4:20" ht="20.100000000000001" customHeight="1" x14ac:dyDescent="0.25">
      <c r="D88" s="52"/>
      <c r="E88" s="52" t="str">
        <f>'Input - Poultry'!$D$54</f>
        <v>Digester / covered lagoons</v>
      </c>
      <c r="F88" s="52">
        <f>'Input - Poultry'!K54+'Input - Poultry'!L54</f>
        <v>0.75</v>
      </c>
      <c r="G88" s="2" t="s">
        <v>118</v>
      </c>
    </row>
    <row r="89" spans="4:20" ht="20.100000000000001" customHeight="1" x14ac:dyDescent="0.25">
      <c r="D89" s="52"/>
      <c r="E89" s="52" t="str">
        <f>'Input - Poultry'!$D$55</f>
        <v>Direct processing</v>
      </c>
      <c r="F89" s="52">
        <f>'Input - Poultry'!K55+'Input - Poultry'!L55</f>
        <v>0.75</v>
      </c>
      <c r="G89" s="2" t="s">
        <v>118</v>
      </c>
    </row>
    <row r="90" spans="4:20" ht="20.100000000000001" customHeight="1" x14ac:dyDescent="0.25"/>
    <row r="91" spans="4:20" ht="20.100000000000001" customHeight="1" x14ac:dyDescent="0.25">
      <c r="D91" s="99" t="s">
        <v>174</v>
      </c>
      <c r="N91" s="99" t="s">
        <v>174</v>
      </c>
    </row>
    <row r="92" spans="4:20" ht="20.100000000000001" customHeight="1" x14ac:dyDescent="0.25">
      <c r="D92" s="98" t="s">
        <v>319</v>
      </c>
      <c r="N92" s="98" t="s">
        <v>319</v>
      </c>
    </row>
    <row r="93" spans="4:20" ht="20.100000000000001" customHeight="1" x14ac:dyDescent="0.25">
      <c r="D93" s="51" t="s">
        <v>143</v>
      </c>
      <c r="E93" s="51" t="s">
        <v>145</v>
      </c>
      <c r="F93" s="51" t="s">
        <v>209</v>
      </c>
      <c r="G93" s="51" t="s">
        <v>210</v>
      </c>
      <c r="H93" s="51" t="s">
        <v>224</v>
      </c>
      <c r="I93" s="51" t="s">
        <v>225</v>
      </c>
      <c r="N93" s="51" t="s">
        <v>143</v>
      </c>
      <c r="O93" s="51" t="s">
        <v>145</v>
      </c>
      <c r="P93" s="51" t="s">
        <v>209</v>
      </c>
      <c r="Q93" s="51" t="s">
        <v>210</v>
      </c>
      <c r="R93" s="51" t="s">
        <v>224</v>
      </c>
      <c r="S93" s="51" t="s">
        <v>225</v>
      </c>
    </row>
    <row r="94" spans="4:20" ht="20.100000000000001" customHeight="1" x14ac:dyDescent="0.25">
      <c r="D94" s="52" t="str">
        <f>'Input - Poultry'!$D$30</f>
        <v>Poultry manure with bedding</v>
      </c>
      <c r="E94" s="52" t="str">
        <f>'Input - Poultry'!$D$38</f>
        <v>Solid storage</v>
      </c>
      <c r="F94" s="52" cm="1">
        <f t="array" ref="F94">MMS_Poultry_ManureAppliedToSoils_Equations.VEERG_4_6_1_9__1_MassOfNitrogenAppliedToSoilsScope1(F22,_xlfn.XLOOKUP($E94, $D$38:$D$45,$E$38:$E$45), _xlfn.XLOOKUP($E94, $D$50:$D$57,$E$50:$E$57), F62,$F78)</f>
        <v>0.41426360820000008</v>
      </c>
      <c r="G94" s="52" cm="1">
        <f t="array" ref="G94">MMS_Poultry_ManureAppliedToSoils_Equations.VEERG_4_6_1_9__1_MassOfNitrogenAppliedToSoilsScope1(G22,_xlfn.XLOOKUP($E94, $D$38:$D$45,$E$38:$E$45), _xlfn.XLOOKUP($E94, $D$50:$D$57,$E$50:$E$57), G62,$F78)</f>
        <v>0.44217891414000005</v>
      </c>
      <c r="H94" s="52" cm="1">
        <f t="array" ref="H94">MMS_Poultry_ManureAppliedToSoils_Equations.VEERG_4_6_1_9__1_MassOfNitrogenAppliedToSoilsScope1(H22,_xlfn.XLOOKUP($E94, $D$38:$D$45,$E$38:$E$45), _xlfn.XLOOKUP($E94, $D$50:$D$57,$E$50:$E$57), H62,$F78)</f>
        <v>0.51905229191999991</v>
      </c>
      <c r="I94" s="52" cm="1">
        <f t="array" ref="I94">MMS_Poultry_ManureAppliedToSoils_Equations.VEERG_4_6_1_9__1_MassOfNitrogenAppliedToSoilsScope1(I22,_xlfn.XLOOKUP($E94, $D$38:$D$45,$E$38:$E$45), _xlfn.XLOOKUP($E94, $D$50:$D$57,$E$50:$E$57), I62,$F78)</f>
        <v>0.44217891414000005</v>
      </c>
      <c r="J94" s="2" t="str">
        <f>$E$11</f>
        <v>kg N</v>
      </c>
      <c r="N94" s="52" t="str">
        <f>'Input - Poultry'!$D$30</f>
        <v>Poultry manure with bedding</v>
      </c>
      <c r="O94" s="52" t="str">
        <f>'Input - Poultry'!$D$38</f>
        <v>Solid storage</v>
      </c>
      <c r="P94" s="52" cm="1">
        <f t="array" ref="P94">MMS_Poultry_ManureAppliedToSoils_Equations.VEERG_4_6_1_9__1_MassOfNitrogenAppliedToSoilsScope1(P22,_xlfn.XLOOKUP($O94, $D$38:$D$45,$E$38:$E$45), _xlfn.XLOOKUP($O94, $D$50:$D$57,$E$50:$E$57), P62,$F78)</f>
        <v>0.41426360820000008</v>
      </c>
      <c r="Q94" s="52" cm="1">
        <f t="array" ref="Q94">MMS_Poultry_ManureAppliedToSoils_Equations.VEERG_4_6_1_9__1_MassOfNitrogenAppliedToSoilsScope1(Q22,_xlfn.XLOOKUP($O94, $D$38:$D$45,$E$38:$E$45), _xlfn.XLOOKUP($O94, $D$50:$D$57,$E$50:$E$57), Q62,$F78)</f>
        <v>0.44217891414000005</v>
      </c>
      <c r="R94" s="52" cm="1">
        <f t="array" ref="R94">MMS_Poultry_ManureAppliedToSoils_Equations.VEERG_4_6_1_9__1_MassOfNitrogenAppliedToSoilsScope1(R22,_xlfn.XLOOKUP($O94, $D$38:$D$45,$E$38:$E$45), _xlfn.XLOOKUP($O94, $D$50:$D$57,$E$50:$E$57), R62,$F78)</f>
        <v>0.51905229191999991</v>
      </c>
      <c r="S94" s="52" cm="1">
        <f t="array" ref="S94">MMS_Poultry_ManureAppliedToSoils_Equations.VEERG_4_6_1_9__1_MassOfNitrogenAppliedToSoilsScope1(S22,_xlfn.XLOOKUP($O94, $D$38:$D$45,$E$38:$E$45), _xlfn.XLOOKUP($O94, $D$50:$D$57,$E$50:$E$57), S62,$F78)</f>
        <v>0.44217891414000005</v>
      </c>
      <c r="T94" s="2" t="str">
        <f>$E$11</f>
        <v>kg N</v>
      </c>
    </row>
    <row r="95" spans="4:20" ht="20.100000000000001" customHeight="1" x14ac:dyDescent="0.25">
      <c r="D95" s="52"/>
      <c r="E95" s="52" t="str">
        <f>'Input - Poultry'!$D$39</f>
        <v>Composting (passive windrow)</v>
      </c>
      <c r="F95" s="52" cm="1">
        <f t="array" ref="F95">MMS_Poultry_ManureAppliedToSoils_Equations.VEERG_4_6_1_9__1_MassOfNitrogenAppliedToSoilsScope1(F23,_xlfn.XLOOKUP($E95, $D$38:$D$45,$E$38:$E$45), _xlfn.XLOOKUP($E95, $D$50:$D$57,$E$50:$E$57), F63,$F79)</f>
        <v>0.4222816135200001</v>
      </c>
      <c r="G95" s="52" cm="1">
        <f t="array" ref="G95">MMS_Poultry_ManureAppliedToSoils_Equations.VEERG_4_6_1_9__1_MassOfNitrogenAppliedToSoilsScope1(G23,_xlfn.XLOOKUP($E95, $D$38:$D$45,$E$38:$E$45), _xlfn.XLOOKUP($E95, $D$50:$D$57,$E$50:$E$57), G63,$F79)</f>
        <v>0.45073721570399999</v>
      </c>
      <c r="H95" s="52" cm="1">
        <f t="array" ref="H95">MMS_Poultry_ManureAppliedToSoils_Equations.VEERG_4_6_1_9__1_MassOfNitrogenAppliedToSoilsScope1(H23,_xlfn.XLOOKUP($E95, $D$38:$D$45,$E$38:$E$45), _xlfn.XLOOKUP($E95, $D$50:$D$57,$E$50:$E$57), H63,$F79)</f>
        <v>0.529098465312</v>
      </c>
      <c r="I95" s="52" cm="1">
        <f t="array" ref="I95">MMS_Poultry_ManureAppliedToSoils_Equations.VEERG_4_6_1_9__1_MassOfNitrogenAppliedToSoilsScope1(I23,_xlfn.XLOOKUP($E95, $D$38:$D$45,$E$38:$E$45), _xlfn.XLOOKUP($E95, $D$50:$D$57,$E$50:$E$57), I63,$F79)</f>
        <v>0.45073721570399999</v>
      </c>
      <c r="J95" s="2" t="str">
        <f t="shared" ref="J95:J105" si="0">$E$11</f>
        <v>kg N</v>
      </c>
      <c r="N95" s="52"/>
      <c r="O95" s="52" t="str">
        <f>'Input - Poultry'!$D$39</f>
        <v>Composting (passive windrow)</v>
      </c>
      <c r="P95" s="52" cm="1">
        <f t="array" ref="P95">MMS_Poultry_ManureAppliedToSoils_Equations.VEERG_4_6_1_9__1_MassOfNitrogenAppliedToSoilsScope1(P23,_xlfn.XLOOKUP($O95, $D$38:$D$45,$E$38:$E$45), _xlfn.XLOOKUP($O95, $D$50:$D$57,$E$50:$E$57), P63,$F79)</f>
        <v>0.4222816135200001</v>
      </c>
      <c r="Q95" s="52" cm="1">
        <f t="array" ref="Q95">MMS_Poultry_ManureAppliedToSoils_Equations.VEERG_4_6_1_9__1_MassOfNitrogenAppliedToSoilsScope1(Q23,_xlfn.XLOOKUP($O95, $D$38:$D$45,$E$38:$E$45), _xlfn.XLOOKUP($O95, $D$50:$D$57,$E$50:$E$57), Q63,$F79)</f>
        <v>0.45073721570399999</v>
      </c>
      <c r="R95" s="52" cm="1">
        <f t="array" ref="R95">MMS_Poultry_ManureAppliedToSoils_Equations.VEERG_4_6_1_9__1_MassOfNitrogenAppliedToSoilsScope1(R23,_xlfn.XLOOKUP($O95, $D$38:$D$45,$E$38:$E$45), _xlfn.XLOOKUP($O95, $D$50:$D$57,$E$50:$E$57), R63,$F79)</f>
        <v>0.529098465312</v>
      </c>
      <c r="S95" s="52" cm="1">
        <f t="array" ref="S95">MMS_Poultry_ManureAppliedToSoils_Equations.VEERG_4_6_1_9__1_MassOfNitrogenAppliedToSoilsScope1(S23,_xlfn.XLOOKUP($O95, $D$38:$D$45,$E$38:$E$45), _xlfn.XLOOKUP($O95, $D$50:$D$57,$E$50:$E$57), S63,$F79)</f>
        <v>0.45073721570399999</v>
      </c>
      <c r="T95" s="2" t="str">
        <f t="shared" ref="T95:T105" si="1">$E$11</f>
        <v>kg N</v>
      </c>
    </row>
    <row r="96" spans="4:20" ht="20.100000000000001" customHeight="1" x14ac:dyDescent="0.25">
      <c r="D96" s="52"/>
      <c r="E96" s="52" t="str">
        <f>'Input - Poultry'!$D$40</f>
        <v>Digester / covered lagoons</v>
      </c>
      <c r="F96" s="52" cm="1">
        <f t="array" ref="F96">MMS_Poultry_ManureAppliedToSoils_Equations.VEERG_4_6_1_9__1_MassOfNitrogenAppliedToSoilsScope1(F24,_xlfn.XLOOKUP($E96, $D$38:$D$45,$E$38:$E$45), _xlfn.XLOOKUP($E96, $D$50:$D$57,$E$50:$E$57), F64,$F80)</f>
        <v>0.53453368800000012</v>
      </c>
      <c r="G96" s="52" cm="1">
        <f t="array" ref="G96">MMS_Poultry_ManureAppliedToSoils_Equations.VEERG_4_6_1_9__1_MassOfNitrogenAppliedToSoilsScope1(G24,_xlfn.XLOOKUP($E96, $D$38:$D$45,$E$38:$E$45), _xlfn.XLOOKUP($E96, $D$50:$D$57,$E$50:$E$57), G64,$F80)</f>
        <v>0.57055343759999999</v>
      </c>
      <c r="H96" s="52" cm="1">
        <f t="array" ref="H96">MMS_Poultry_ManureAppliedToSoils_Equations.VEERG_4_6_1_9__1_MassOfNitrogenAppliedToSoilsScope1(H24,_xlfn.XLOOKUP($E96, $D$38:$D$45,$E$38:$E$45), _xlfn.XLOOKUP($E96, $D$50:$D$57,$E$50:$E$57), H64,$F80)</f>
        <v>0.66974489279999994</v>
      </c>
      <c r="I96" s="52" cm="1">
        <f t="array" ref="I96">MMS_Poultry_ManureAppliedToSoils_Equations.VEERG_4_6_1_9__1_MassOfNitrogenAppliedToSoilsScope1(I24,_xlfn.XLOOKUP($E96, $D$38:$D$45,$E$38:$E$45), _xlfn.XLOOKUP($E96, $D$50:$D$57,$E$50:$E$57), I64,$F80)</f>
        <v>0.57055343759999999</v>
      </c>
      <c r="J96" s="2" t="str">
        <f t="shared" si="0"/>
        <v>kg N</v>
      </c>
      <c r="N96" s="52"/>
      <c r="O96" s="52" t="str">
        <f>'Input - Poultry'!$D$40</f>
        <v>Digester / covered lagoons</v>
      </c>
      <c r="P96" s="52" cm="1">
        <f t="array" ref="P96">MMS_Poultry_ManureAppliedToSoils_Equations.VEERG_4_6_1_9__1_MassOfNitrogenAppliedToSoilsScope1(P24,_xlfn.XLOOKUP($O96, $D$38:$D$45,$E$38:$E$45), _xlfn.XLOOKUP($O96, $D$50:$D$57,$E$50:$E$57), P64,$F80)</f>
        <v>0.53453368800000012</v>
      </c>
      <c r="Q96" s="52" cm="1">
        <f t="array" ref="Q96">MMS_Poultry_ManureAppliedToSoils_Equations.VEERG_4_6_1_9__1_MassOfNitrogenAppliedToSoilsScope1(Q24,_xlfn.XLOOKUP($O96, $D$38:$D$45,$E$38:$E$45), _xlfn.XLOOKUP($O96, $D$50:$D$57,$E$50:$E$57), Q64,$F80)</f>
        <v>0.57055343759999999</v>
      </c>
      <c r="R96" s="52" cm="1">
        <f t="array" ref="R96">MMS_Poultry_ManureAppliedToSoils_Equations.VEERG_4_6_1_9__1_MassOfNitrogenAppliedToSoilsScope1(R24,_xlfn.XLOOKUP($O96, $D$38:$D$45,$E$38:$E$45), _xlfn.XLOOKUP($O96, $D$50:$D$57,$E$50:$E$57), R64,$F80)</f>
        <v>0.66974489279999994</v>
      </c>
      <c r="S96" s="52" cm="1">
        <f t="array" ref="S96">MMS_Poultry_ManureAppliedToSoils_Equations.VEERG_4_6_1_9__1_MassOfNitrogenAppliedToSoilsScope1(S24,_xlfn.XLOOKUP($O96, $D$38:$D$45,$E$38:$E$45), _xlfn.XLOOKUP($O96, $D$50:$D$57,$E$50:$E$57), S64,$F80)</f>
        <v>0.57055343759999999</v>
      </c>
      <c r="T96" s="2" t="str">
        <f t="shared" si="1"/>
        <v>kg N</v>
      </c>
    </row>
    <row r="97" spans="3:21" ht="20.100000000000001" customHeight="1" x14ac:dyDescent="0.25">
      <c r="D97" s="52"/>
      <c r="E97" s="52" t="str">
        <f>'Input - Poultry'!$D$41</f>
        <v>Direct processing</v>
      </c>
      <c r="F97" s="52" cm="1">
        <f t="array" ref="F97">MMS_Poultry_ManureAppliedToSoils_Equations.VEERG_4_6_1_9__1_MassOfNitrogenAppliedToSoilsScope1(F25,_xlfn.XLOOKUP($E97, $D$38:$D$45,$E$38:$E$45), _xlfn.XLOOKUP($E97, $D$50:$D$57,$E$50:$E$57), F65,$F81)</f>
        <v>0.53453368800000012</v>
      </c>
      <c r="G97" s="52" cm="1">
        <f t="array" ref="G97">MMS_Poultry_ManureAppliedToSoils_Equations.VEERG_4_6_1_9__1_MassOfNitrogenAppliedToSoilsScope1(G25,_xlfn.XLOOKUP($E97, $D$38:$D$45,$E$38:$E$45), _xlfn.XLOOKUP($E97, $D$50:$D$57,$E$50:$E$57), G65,$F81)</f>
        <v>0.57055343759999999</v>
      </c>
      <c r="H97" s="52" cm="1">
        <f t="array" ref="H97">MMS_Poultry_ManureAppliedToSoils_Equations.VEERG_4_6_1_9__1_MassOfNitrogenAppliedToSoilsScope1(H25,_xlfn.XLOOKUP($E97, $D$38:$D$45,$E$38:$E$45), _xlfn.XLOOKUP($E97, $D$50:$D$57,$E$50:$E$57), H65,$F81)</f>
        <v>0.66974489279999994</v>
      </c>
      <c r="I97" s="52" cm="1">
        <f t="array" ref="I97">MMS_Poultry_ManureAppliedToSoils_Equations.VEERG_4_6_1_9__1_MassOfNitrogenAppliedToSoilsScope1(I25,_xlfn.XLOOKUP($E97, $D$38:$D$45,$E$38:$E$45), _xlfn.XLOOKUP($E97, $D$50:$D$57,$E$50:$E$57), I65,$F81)</f>
        <v>0.57055343759999999</v>
      </c>
      <c r="J97" s="2" t="str">
        <f t="shared" si="0"/>
        <v>kg N</v>
      </c>
      <c r="N97" s="52"/>
      <c r="O97" s="52" t="str">
        <f>'Input - Poultry'!$D$41</f>
        <v>Direct processing</v>
      </c>
      <c r="P97" s="52" cm="1">
        <f t="array" ref="P97">MMS_Poultry_ManureAppliedToSoils_Equations.VEERG_4_6_1_9__1_MassOfNitrogenAppliedToSoilsScope1(P25,_xlfn.XLOOKUP($O97, $D$38:$D$45,$E$38:$E$45), _xlfn.XLOOKUP($O97, $D$50:$D$57,$E$50:$E$57), P65,$F81)</f>
        <v>0.53453368800000012</v>
      </c>
      <c r="Q97" s="52" cm="1">
        <f t="array" ref="Q97">MMS_Poultry_ManureAppliedToSoils_Equations.VEERG_4_6_1_9__1_MassOfNitrogenAppliedToSoilsScope1(Q25,_xlfn.XLOOKUP($O97, $D$38:$D$45,$E$38:$E$45), _xlfn.XLOOKUP($O97, $D$50:$D$57,$E$50:$E$57), Q65,$F81)</f>
        <v>0.57055343759999999</v>
      </c>
      <c r="R97" s="52" cm="1">
        <f t="array" ref="R97">MMS_Poultry_ManureAppliedToSoils_Equations.VEERG_4_6_1_9__1_MassOfNitrogenAppliedToSoilsScope1(R25,_xlfn.XLOOKUP($O97, $D$38:$D$45,$E$38:$E$45), _xlfn.XLOOKUP($O97, $D$50:$D$57,$E$50:$E$57), R65,$F81)</f>
        <v>0.66974489279999994</v>
      </c>
      <c r="S97" s="52" cm="1">
        <f t="array" ref="S97">MMS_Poultry_ManureAppliedToSoils_Equations.VEERG_4_6_1_9__1_MassOfNitrogenAppliedToSoilsScope1(S25,_xlfn.XLOOKUP($O97, $D$38:$D$45,$E$38:$E$45), _xlfn.XLOOKUP($O97, $D$50:$D$57,$E$50:$E$57), S65,$F81)</f>
        <v>0.57055343759999999</v>
      </c>
      <c r="T97" s="2" t="str">
        <f t="shared" si="1"/>
        <v>kg N</v>
      </c>
    </row>
    <row r="98" spans="3:21" ht="20.100000000000001" customHeight="1" x14ac:dyDescent="0.25">
      <c r="D98" s="52" t="str">
        <f>'Input - Poultry'!$D$31</f>
        <v>Belt manure removal</v>
      </c>
      <c r="E98" s="52" t="str">
        <f>'Input - Poultry'!$D$45</f>
        <v>Solid storage</v>
      </c>
      <c r="F98" s="52" cm="1">
        <f t="array" ref="F98">MMS_Poultry_ManureAppliedToSoils_Equations.VEERG_4_6_1_9__1_MassOfNitrogenAppliedToSoilsScope1(F26,_xlfn.XLOOKUP($E98, $D$38:$D$45,$E$38:$E$45), _xlfn.XLOOKUP($E98, $D$50:$D$57,$E$50:$E$57), F66,$F82)</f>
        <v>0.56242655820000009</v>
      </c>
      <c r="G98" s="52" cm="1">
        <f t="array" ref="G98">MMS_Poultry_ManureAppliedToSoils_Equations.VEERG_4_6_1_9__1_MassOfNitrogenAppliedToSoilsScope1(G26,_xlfn.XLOOKUP($E98, $D$38:$D$45,$E$38:$E$45), _xlfn.XLOOKUP($E98, $D$50:$D$57,$E$50:$E$57), G66,$F82)</f>
        <v>0.60032587913999991</v>
      </c>
      <c r="H98" s="52" cm="1">
        <f t="array" ref="H98">MMS_Poultry_ManureAppliedToSoils_Equations.VEERG_4_6_1_9__1_MassOfNitrogenAppliedToSoilsScope1(H26,_xlfn.XLOOKUP($E98, $D$38:$D$45,$E$38:$E$45), _xlfn.XLOOKUP($E98, $D$50:$D$57,$E$50:$E$57), H66,$F82)</f>
        <v>0.70469331191999995</v>
      </c>
      <c r="I98" s="52" cm="1">
        <f t="array" ref="I98">MMS_Poultry_ManureAppliedToSoils_Equations.VEERG_4_6_1_9__1_MassOfNitrogenAppliedToSoilsScope1(I26,_xlfn.XLOOKUP($E98, $D$38:$D$45,$E$38:$E$45), _xlfn.XLOOKUP($E98, $D$50:$D$57,$E$50:$E$57), I66,$F82)</f>
        <v>0.60032587913999991</v>
      </c>
      <c r="J98" s="2" t="str">
        <f t="shared" si="0"/>
        <v>kg N</v>
      </c>
      <c r="N98" s="52" t="str">
        <f>'Input - Poultry'!$D$31</f>
        <v>Belt manure removal</v>
      </c>
      <c r="O98" s="52" t="str">
        <f>'Input - Poultry'!$D$45</f>
        <v>Solid storage</v>
      </c>
      <c r="P98" s="52" cm="1">
        <f t="array" ref="P98">MMS_Poultry_ManureAppliedToSoils_Equations.VEERG_4_6_1_9__1_MassOfNitrogenAppliedToSoilsScope1(P26,_xlfn.XLOOKUP($O98, $D$38:$D$45,$E$38:$E$45), _xlfn.XLOOKUP($O98, $D$50:$D$57,$E$50:$E$57), P66,$F82)</f>
        <v>0.56242655820000009</v>
      </c>
      <c r="Q98" s="52" cm="1">
        <f t="array" ref="Q98">MMS_Poultry_ManureAppliedToSoils_Equations.VEERG_4_6_1_9__1_MassOfNitrogenAppliedToSoilsScope1(Q26,_xlfn.XLOOKUP($O98, $D$38:$D$45,$E$38:$E$45), _xlfn.XLOOKUP($O98, $D$50:$D$57,$E$50:$E$57), Q66,$F82)</f>
        <v>0.60032587913999991</v>
      </c>
      <c r="R98" s="52" cm="1">
        <f t="array" ref="R98">MMS_Poultry_ManureAppliedToSoils_Equations.VEERG_4_6_1_9__1_MassOfNitrogenAppliedToSoilsScope1(R26,_xlfn.XLOOKUP($O98, $D$38:$D$45,$E$38:$E$45), _xlfn.XLOOKUP($O98, $D$50:$D$57,$E$50:$E$57), R66,$F82)</f>
        <v>0.70469331191999995</v>
      </c>
      <c r="S98" s="52" cm="1">
        <f t="array" ref="S98">MMS_Poultry_ManureAppliedToSoils_Equations.VEERG_4_6_1_9__1_MassOfNitrogenAppliedToSoilsScope1(S26,_xlfn.XLOOKUP($O98, $D$38:$D$45,$E$38:$E$45), _xlfn.XLOOKUP($O98, $D$50:$D$57,$E$50:$E$57), S66,$F82)</f>
        <v>0.60032587913999991</v>
      </c>
      <c r="T98" s="2" t="str">
        <f t="shared" si="1"/>
        <v>kg N</v>
      </c>
    </row>
    <row r="99" spans="3:21" ht="20.100000000000001" customHeight="1" x14ac:dyDescent="0.25">
      <c r="D99" s="52"/>
      <c r="E99" s="52" t="str">
        <f>'Input - Poultry'!$D$46</f>
        <v>Composting (passive windrow)</v>
      </c>
      <c r="F99" s="52" cm="1">
        <f t="array" ref="F99">MMS_Poultry_ManureAppliedToSoils_Equations.VEERG_4_6_1_9__1_MassOfNitrogenAppliedToSoilsScope1(F27,_xlfn.XLOOKUP($E99, $D$38:$D$45,$E$38:$E$45), _xlfn.XLOOKUP($E99, $D$50:$D$57,$E$50:$E$57), F67,$F83)</f>
        <v>0.57331223352000016</v>
      </c>
      <c r="G99" s="52" cm="1">
        <f t="array" ref="G99">MMS_Poultry_ManureAppliedToSoils_Equations.VEERG_4_6_1_9__1_MassOfNitrogenAppliedToSoilsScope1(G27,_xlfn.XLOOKUP($E99, $D$38:$D$45,$E$38:$E$45), _xlfn.XLOOKUP($E99, $D$50:$D$57,$E$50:$E$57), G67,$F83)</f>
        <v>0.61194508970400008</v>
      </c>
      <c r="H99" s="52" cm="1">
        <f t="array" ref="H99">MMS_Poultry_ManureAppliedToSoils_Equations.VEERG_4_6_1_9__1_MassOfNitrogenAppliedToSoilsScope1(H27,_xlfn.XLOOKUP($E99, $D$38:$D$45,$E$38:$E$45), _xlfn.XLOOKUP($E99, $D$50:$D$57,$E$50:$E$57), H67,$F83)</f>
        <v>0.71833253731199997</v>
      </c>
      <c r="I99" s="52" cm="1">
        <f t="array" ref="I99">MMS_Poultry_ManureAppliedToSoils_Equations.VEERG_4_6_1_9__1_MassOfNitrogenAppliedToSoilsScope1(I27,_xlfn.XLOOKUP($E99, $D$38:$D$45,$E$38:$E$45), _xlfn.XLOOKUP($E99, $D$50:$D$57,$E$50:$E$57), I67,$F83)</f>
        <v>0.61194508970400008</v>
      </c>
      <c r="J99" s="2" t="str">
        <f t="shared" si="0"/>
        <v>kg N</v>
      </c>
      <c r="N99" s="52"/>
      <c r="O99" s="52" t="str">
        <f>'Input - Poultry'!$D$46</f>
        <v>Composting (passive windrow)</v>
      </c>
      <c r="P99" s="52" cm="1">
        <f t="array" ref="P99">MMS_Poultry_ManureAppliedToSoils_Equations.VEERG_4_6_1_9__1_MassOfNitrogenAppliedToSoilsScope1(P27,_xlfn.XLOOKUP($O99, $D$38:$D$45,$E$38:$E$45), _xlfn.XLOOKUP($O99, $D$50:$D$57,$E$50:$E$57), P67,$F83)</f>
        <v>0.57331223352000016</v>
      </c>
      <c r="Q99" s="52" cm="1">
        <f t="array" ref="Q99">MMS_Poultry_ManureAppliedToSoils_Equations.VEERG_4_6_1_9__1_MassOfNitrogenAppliedToSoilsScope1(Q27,_xlfn.XLOOKUP($O99, $D$38:$D$45,$E$38:$E$45), _xlfn.XLOOKUP($O99, $D$50:$D$57,$E$50:$E$57), Q67,$F83)</f>
        <v>0.61194508970400008</v>
      </c>
      <c r="R99" s="52" cm="1">
        <f t="array" ref="R99">MMS_Poultry_ManureAppliedToSoils_Equations.VEERG_4_6_1_9__1_MassOfNitrogenAppliedToSoilsScope1(R27,_xlfn.XLOOKUP($O99, $D$38:$D$45,$E$38:$E$45), _xlfn.XLOOKUP($O99, $D$50:$D$57,$E$50:$E$57), R67,$F83)</f>
        <v>0.71833253731199997</v>
      </c>
      <c r="S99" s="52" cm="1">
        <f t="array" ref="S99">MMS_Poultry_ManureAppliedToSoils_Equations.VEERG_4_6_1_9__1_MassOfNitrogenAppliedToSoilsScope1(S27,_xlfn.XLOOKUP($O99, $D$38:$D$45,$E$38:$E$45), _xlfn.XLOOKUP($O99, $D$50:$D$57,$E$50:$E$57), S67,$F83)</f>
        <v>0.61194508970400008</v>
      </c>
      <c r="T99" s="2" t="str">
        <f t="shared" si="1"/>
        <v>kg N</v>
      </c>
    </row>
    <row r="100" spans="3:21" ht="20.100000000000001" customHeight="1" x14ac:dyDescent="0.25">
      <c r="D100" s="52"/>
      <c r="E100" s="52" t="str">
        <f>'Input - Poultry'!$D$47</f>
        <v>Digester / covered lagoons</v>
      </c>
      <c r="F100" s="52" cm="1">
        <f t="array" ref="F100">MMS_Poultry_ManureAppliedToSoils_Equations.VEERG_4_6_1_9__1_MassOfNitrogenAppliedToSoilsScope1(F28,_xlfn.XLOOKUP($E100, $D$38:$D$45,$E$38:$E$45), _xlfn.XLOOKUP($E100, $D$50:$D$57,$E$50:$E$57), F68,$F84)</f>
        <v>0.72571168800000019</v>
      </c>
      <c r="G100" s="52" cm="1">
        <f t="array" ref="G100">MMS_Poultry_ManureAppliedToSoils_Equations.VEERG_4_6_1_9__1_MassOfNitrogenAppliedToSoilsScope1(G28,_xlfn.XLOOKUP($E100, $D$38:$D$45,$E$38:$E$45), _xlfn.XLOOKUP($E100, $D$50:$D$57,$E$50:$E$57), G68,$F84)</f>
        <v>0.77461403760000003</v>
      </c>
      <c r="H100" s="52" cm="1">
        <f t="array" ref="H100">MMS_Poultry_ManureAppliedToSoils_Equations.VEERG_4_6_1_9__1_MassOfNitrogenAppliedToSoilsScope1(H28,_xlfn.XLOOKUP($E100, $D$38:$D$45,$E$38:$E$45), _xlfn.XLOOKUP($E100, $D$50:$D$57,$E$50:$E$57), H68,$F84)</f>
        <v>0.90928169280000004</v>
      </c>
      <c r="I100" s="52" cm="1">
        <f t="array" ref="I100">MMS_Poultry_ManureAppliedToSoils_Equations.VEERG_4_6_1_9__1_MassOfNitrogenAppliedToSoilsScope1(I28,_xlfn.XLOOKUP($E100, $D$38:$D$45,$E$38:$E$45), _xlfn.XLOOKUP($E100, $D$50:$D$57,$E$50:$E$57), I68,$F84)</f>
        <v>0.77461403760000003</v>
      </c>
      <c r="J100" s="2" t="str">
        <f t="shared" si="0"/>
        <v>kg N</v>
      </c>
      <c r="N100" s="52"/>
      <c r="O100" s="52" t="str">
        <f>'Input - Poultry'!$D$47</f>
        <v>Digester / covered lagoons</v>
      </c>
      <c r="P100" s="52" cm="1">
        <f t="array" ref="P100">MMS_Poultry_ManureAppliedToSoils_Equations.VEERG_4_6_1_9__1_MassOfNitrogenAppliedToSoilsScope1(P28,_xlfn.XLOOKUP($O100, $D$38:$D$45,$E$38:$E$45), _xlfn.XLOOKUP($O100, $D$50:$D$57,$E$50:$E$57), P68,$F84)</f>
        <v>0.72571168800000019</v>
      </c>
      <c r="Q100" s="52" cm="1">
        <f t="array" ref="Q100">MMS_Poultry_ManureAppliedToSoils_Equations.VEERG_4_6_1_9__1_MassOfNitrogenAppliedToSoilsScope1(Q28,_xlfn.XLOOKUP($O100, $D$38:$D$45,$E$38:$E$45), _xlfn.XLOOKUP($O100, $D$50:$D$57,$E$50:$E$57), Q68,$F84)</f>
        <v>0.77461403760000003</v>
      </c>
      <c r="R100" s="52" cm="1">
        <f t="array" ref="R100">MMS_Poultry_ManureAppliedToSoils_Equations.VEERG_4_6_1_9__1_MassOfNitrogenAppliedToSoilsScope1(R28,_xlfn.XLOOKUP($O100, $D$38:$D$45,$E$38:$E$45), _xlfn.XLOOKUP($O100, $D$50:$D$57,$E$50:$E$57), R68,$F84)</f>
        <v>0.90928169280000004</v>
      </c>
      <c r="S100" s="52" cm="1">
        <f t="array" ref="S100">MMS_Poultry_ManureAppliedToSoils_Equations.VEERG_4_6_1_9__1_MassOfNitrogenAppliedToSoilsScope1(S28,_xlfn.XLOOKUP($O100, $D$38:$D$45,$E$38:$E$45), _xlfn.XLOOKUP($O100, $D$50:$D$57,$E$50:$E$57), S68,$F84)</f>
        <v>0.77461403760000003</v>
      </c>
      <c r="T100" s="2" t="str">
        <f t="shared" si="1"/>
        <v>kg N</v>
      </c>
    </row>
    <row r="101" spans="3:21" ht="20.100000000000001" customHeight="1" x14ac:dyDescent="0.25">
      <c r="D101" s="52"/>
      <c r="E101" s="52" t="str">
        <f>'Input - Poultry'!$D$48</f>
        <v>Direct processing</v>
      </c>
      <c r="F101" s="52" cm="1">
        <f t="array" ref="F101">MMS_Poultry_ManureAppliedToSoils_Equations.VEERG_4_6_1_9__1_MassOfNitrogenAppliedToSoilsScope1(F29,_xlfn.XLOOKUP($E101, $D$38:$D$45,$E$38:$E$45), _xlfn.XLOOKUP($E101, $D$50:$D$57,$E$50:$E$57), F69,$F85)</f>
        <v>0.72571168800000019</v>
      </c>
      <c r="G101" s="52" cm="1">
        <f t="array" ref="G101">MMS_Poultry_ManureAppliedToSoils_Equations.VEERG_4_6_1_9__1_MassOfNitrogenAppliedToSoilsScope1(G29,_xlfn.XLOOKUP($E101, $D$38:$D$45,$E$38:$E$45), _xlfn.XLOOKUP($E101, $D$50:$D$57,$E$50:$E$57), G69,$F85)</f>
        <v>0.77461403760000003</v>
      </c>
      <c r="H101" s="52" cm="1">
        <f t="array" ref="H101">MMS_Poultry_ManureAppliedToSoils_Equations.VEERG_4_6_1_9__1_MassOfNitrogenAppliedToSoilsScope1(H29,_xlfn.XLOOKUP($E101, $D$38:$D$45,$E$38:$E$45), _xlfn.XLOOKUP($E101, $D$50:$D$57,$E$50:$E$57), H69,$F85)</f>
        <v>0.90928169280000004</v>
      </c>
      <c r="I101" s="52" cm="1">
        <f t="array" ref="I101">MMS_Poultry_ManureAppliedToSoils_Equations.VEERG_4_6_1_9__1_MassOfNitrogenAppliedToSoilsScope1(I29,_xlfn.XLOOKUP($E101, $D$38:$D$45,$E$38:$E$45), _xlfn.XLOOKUP($E101, $D$50:$D$57,$E$50:$E$57), I69,$F85)</f>
        <v>0.77461403760000003</v>
      </c>
      <c r="J101" s="2" t="str">
        <f t="shared" si="0"/>
        <v>kg N</v>
      </c>
      <c r="N101" s="52"/>
      <c r="O101" s="52" t="str">
        <f>'Input - Poultry'!$D$48</f>
        <v>Direct processing</v>
      </c>
      <c r="P101" s="52" cm="1">
        <f t="array" ref="P101">MMS_Poultry_ManureAppliedToSoils_Equations.VEERG_4_6_1_9__1_MassOfNitrogenAppliedToSoilsScope1(P29,_xlfn.XLOOKUP($O101, $D$38:$D$45,$E$38:$E$45), _xlfn.XLOOKUP($O101, $D$50:$D$57,$E$50:$E$57), P69,$F85)</f>
        <v>0.72571168800000019</v>
      </c>
      <c r="Q101" s="52" cm="1">
        <f t="array" ref="Q101">MMS_Poultry_ManureAppliedToSoils_Equations.VEERG_4_6_1_9__1_MassOfNitrogenAppliedToSoilsScope1(Q29,_xlfn.XLOOKUP($O101, $D$38:$D$45,$E$38:$E$45), _xlfn.XLOOKUP($O101, $D$50:$D$57,$E$50:$E$57), Q69,$F85)</f>
        <v>0.77461403760000003</v>
      </c>
      <c r="R101" s="52" cm="1">
        <f t="array" ref="R101">MMS_Poultry_ManureAppliedToSoils_Equations.VEERG_4_6_1_9__1_MassOfNitrogenAppliedToSoilsScope1(R29,_xlfn.XLOOKUP($O101, $D$38:$D$45,$E$38:$E$45), _xlfn.XLOOKUP($O101, $D$50:$D$57,$E$50:$E$57), R69,$F85)</f>
        <v>0.90928169280000004</v>
      </c>
      <c r="S101" s="52" cm="1">
        <f t="array" ref="S101">MMS_Poultry_ManureAppliedToSoils_Equations.VEERG_4_6_1_9__1_MassOfNitrogenAppliedToSoilsScope1(S29,_xlfn.XLOOKUP($O101, $D$38:$D$45,$E$38:$E$45), _xlfn.XLOOKUP($O101, $D$50:$D$57,$E$50:$E$57), S69,$F85)</f>
        <v>0.77461403760000003</v>
      </c>
      <c r="T101" s="2" t="str">
        <f t="shared" si="1"/>
        <v>kg N</v>
      </c>
    </row>
    <row r="102" spans="3:21" ht="20.100000000000001" customHeight="1" x14ac:dyDescent="0.25">
      <c r="D102" s="52" t="str">
        <f>'Input - Poultry'!$D$32</f>
        <v>Manure stored in house</v>
      </c>
      <c r="E102" s="52" t="str">
        <f>'Input - Poultry'!$D$52</f>
        <v>Solid storage</v>
      </c>
      <c r="F102" s="52" cm="1">
        <f t="array" ref="F102">MMS_Poultry_ManureAppliedToSoils_Equations.VEERG_4_6_1_9__1_MassOfNitrogenAppliedToSoilsScope1(F30,_xlfn.XLOOKUP($E102, $D$38:$D$45,$E$38:$E$45), _xlfn.XLOOKUP($E102, $D$50:$D$57,$E$50:$E$57), F70,$F86)</f>
        <v>0.35499842820000005</v>
      </c>
      <c r="G102" s="52" cm="1">
        <f t="array" ref="G102">MMS_Poultry_ManureAppliedToSoils_Equations.VEERG_4_6_1_9__1_MassOfNitrogenAppliedToSoilsScope1(G30,_xlfn.XLOOKUP($E102, $D$38:$D$45,$E$38:$E$45), _xlfn.XLOOKUP($E102, $D$50:$D$57,$E$50:$E$57), G70,$F86)</f>
        <v>0.37892012813999987</v>
      </c>
      <c r="H102" s="52" cm="1">
        <f t="array" ref="H102">MMS_Poultry_ManureAppliedToSoils_Equations.VEERG_4_6_1_9__1_MassOfNitrogenAppliedToSoilsScope1(H30,_xlfn.XLOOKUP($E102, $D$38:$D$45,$E$38:$E$45), _xlfn.XLOOKUP($E102, $D$50:$D$57,$E$50:$E$57), H70,$F86)</f>
        <v>0.44479588391999991</v>
      </c>
      <c r="I102" s="52" cm="1">
        <f t="array" ref="I102">MMS_Poultry_ManureAppliedToSoils_Equations.VEERG_4_6_1_9__1_MassOfNitrogenAppliedToSoilsScope1(I30,_xlfn.XLOOKUP($E102, $D$38:$D$45,$E$38:$E$45), _xlfn.XLOOKUP($E102, $D$50:$D$57,$E$50:$E$57), I70,$F86)</f>
        <v>0.37892012813999987</v>
      </c>
      <c r="J102" s="2" t="str">
        <f t="shared" si="0"/>
        <v>kg N</v>
      </c>
      <c r="N102" s="52" t="str">
        <f>'Input - Poultry'!$D$32</f>
        <v>Manure stored in house</v>
      </c>
      <c r="O102" s="52" t="str">
        <f>'Input - Poultry'!$D$52</f>
        <v>Solid storage</v>
      </c>
      <c r="P102" s="52" cm="1">
        <f t="array" ref="P102">MMS_Poultry_ManureAppliedToSoils_Equations.VEERG_4_6_1_9__1_MassOfNitrogenAppliedToSoilsScope1(P30,_xlfn.XLOOKUP($O102, $D$38:$D$45,$E$38:$E$45), _xlfn.XLOOKUP($O102, $D$50:$D$57,$E$50:$E$57), P70,$F86)</f>
        <v>0.35499842820000005</v>
      </c>
      <c r="Q102" s="52" cm="1">
        <f t="array" ref="Q102">MMS_Poultry_ManureAppliedToSoils_Equations.VEERG_4_6_1_9__1_MassOfNitrogenAppliedToSoilsScope1(Q30,_xlfn.XLOOKUP($O102, $D$38:$D$45,$E$38:$E$45), _xlfn.XLOOKUP($O102, $D$50:$D$57,$E$50:$E$57), Q70,$F86)</f>
        <v>0.37892012813999987</v>
      </c>
      <c r="R102" s="52" cm="1">
        <f t="array" ref="R102">MMS_Poultry_ManureAppliedToSoils_Equations.VEERG_4_6_1_9__1_MassOfNitrogenAppliedToSoilsScope1(R30,_xlfn.XLOOKUP($O102, $D$38:$D$45,$E$38:$E$45), _xlfn.XLOOKUP($O102, $D$50:$D$57,$E$50:$E$57), R70,$F86)</f>
        <v>0.44479588391999991</v>
      </c>
      <c r="S102" s="52" cm="1">
        <f t="array" ref="S102">MMS_Poultry_ManureAppliedToSoils_Equations.VEERG_4_6_1_9__1_MassOfNitrogenAppliedToSoilsScope1(S30,_xlfn.XLOOKUP($O102, $D$38:$D$45,$E$38:$E$45), _xlfn.XLOOKUP($O102, $D$50:$D$57,$E$50:$E$57), S70,$F86)</f>
        <v>0.37892012813999987</v>
      </c>
      <c r="T102" s="2" t="str">
        <f t="shared" si="1"/>
        <v>kg N</v>
      </c>
    </row>
    <row r="103" spans="3:21" ht="20.100000000000001" customHeight="1" x14ac:dyDescent="0.25">
      <c r="D103" s="52"/>
      <c r="E103" s="52" t="str">
        <f>'Input - Poultry'!$D$53</f>
        <v>Composting (passive windrow)</v>
      </c>
      <c r="F103" s="52" cm="1">
        <f t="array" ref="F103">MMS_Poultry_ManureAppliedToSoils_Equations.VEERG_4_6_1_9__1_MassOfNitrogenAppliedToSoilsScope1(F31,_xlfn.XLOOKUP($E103, $D$38:$D$45,$E$38:$E$45), _xlfn.XLOOKUP($E103, $D$50:$D$57,$E$50:$E$57), F71,$F87)</f>
        <v>0.3618693655200001</v>
      </c>
      <c r="G103" s="52" cm="1">
        <f t="array" ref="G103">MMS_Poultry_ManureAppliedToSoils_Equations.VEERG_4_6_1_9__1_MassOfNitrogenAppliedToSoilsScope1(G31,_xlfn.XLOOKUP($E103, $D$38:$D$45,$E$38:$E$45), _xlfn.XLOOKUP($E103, $D$50:$D$57,$E$50:$E$57), G71,$F87)</f>
        <v>0.38625406610400004</v>
      </c>
      <c r="H103" s="52" cm="1">
        <f t="array" ref="H103">MMS_Poultry_ManureAppliedToSoils_Equations.VEERG_4_6_1_9__1_MassOfNitrogenAppliedToSoilsScope1(H31,_xlfn.XLOOKUP($E103, $D$38:$D$45,$E$38:$E$45), _xlfn.XLOOKUP($E103, $D$50:$D$57,$E$50:$E$57), H71,$F87)</f>
        <v>0.45340483651199992</v>
      </c>
      <c r="I103" s="52" cm="1">
        <f t="array" ref="I103">MMS_Poultry_ManureAppliedToSoils_Equations.VEERG_4_6_1_9__1_MassOfNitrogenAppliedToSoilsScope1(I31,_xlfn.XLOOKUP($E103, $D$38:$D$45,$E$38:$E$45), _xlfn.XLOOKUP($E103, $D$50:$D$57,$E$50:$E$57), I71,$F87)</f>
        <v>0.38625406610400004</v>
      </c>
      <c r="J103" s="2" t="str">
        <f t="shared" si="0"/>
        <v>kg N</v>
      </c>
      <c r="N103" s="52"/>
      <c r="O103" s="52" t="str">
        <f>'Input - Poultry'!$D$53</f>
        <v>Composting (passive windrow)</v>
      </c>
      <c r="P103" s="52" cm="1">
        <f t="array" ref="P103">MMS_Poultry_ManureAppliedToSoils_Equations.VEERG_4_6_1_9__1_MassOfNitrogenAppliedToSoilsScope1(P31,_xlfn.XLOOKUP($O103, $D$38:$D$45,$E$38:$E$45), _xlfn.XLOOKUP($O103, $D$50:$D$57,$E$50:$E$57), P71,$F87)</f>
        <v>0.3618693655200001</v>
      </c>
      <c r="Q103" s="52" cm="1">
        <f t="array" ref="Q103">MMS_Poultry_ManureAppliedToSoils_Equations.VEERG_4_6_1_9__1_MassOfNitrogenAppliedToSoilsScope1(Q31,_xlfn.XLOOKUP($O103, $D$38:$D$45,$E$38:$E$45), _xlfn.XLOOKUP($O103, $D$50:$D$57,$E$50:$E$57), Q71,$F87)</f>
        <v>0.38625406610400004</v>
      </c>
      <c r="R103" s="52" cm="1">
        <f t="array" ref="R103">MMS_Poultry_ManureAppliedToSoils_Equations.VEERG_4_6_1_9__1_MassOfNitrogenAppliedToSoilsScope1(R31,_xlfn.XLOOKUP($O103, $D$38:$D$45,$E$38:$E$45), _xlfn.XLOOKUP($O103, $D$50:$D$57,$E$50:$E$57), R71,$F87)</f>
        <v>0.45340483651199992</v>
      </c>
      <c r="S103" s="52" cm="1">
        <f t="array" ref="S103">MMS_Poultry_ManureAppliedToSoils_Equations.VEERG_4_6_1_9__1_MassOfNitrogenAppliedToSoilsScope1(S31,_xlfn.XLOOKUP($O103, $D$38:$D$45,$E$38:$E$45), _xlfn.XLOOKUP($O103, $D$50:$D$57,$E$50:$E$57), S71,$F87)</f>
        <v>0.38625406610400004</v>
      </c>
      <c r="T103" s="2" t="str">
        <f t="shared" si="1"/>
        <v>kg N</v>
      </c>
    </row>
    <row r="104" spans="3:21" ht="20.100000000000001" customHeight="1" x14ac:dyDescent="0.25">
      <c r="D104" s="52"/>
      <c r="E104" s="52" t="str">
        <f>'Input - Poultry'!$D$54</f>
        <v>Digester / covered lagoons</v>
      </c>
      <c r="F104" s="52" cm="1">
        <f t="array" ref="F104">MMS_Poultry_ManureAppliedToSoils_Equations.VEERG_4_6_1_9__1_MassOfNitrogenAppliedToSoilsScope1(F32,_xlfn.XLOOKUP($E104, $D$38:$D$45,$E$38:$E$45), _xlfn.XLOOKUP($E104, $D$50:$D$57,$E$50:$E$57), F72,$F88)</f>
        <v>0.4580624880000001</v>
      </c>
      <c r="G104" s="52" cm="1">
        <f t="array" ref="G104">MMS_Poultry_ManureAppliedToSoils_Equations.VEERG_4_6_1_9__1_MassOfNitrogenAppliedToSoilsScope1(G32,_xlfn.XLOOKUP($E104, $D$38:$D$45,$E$38:$E$45), _xlfn.XLOOKUP($E104, $D$50:$D$57,$E$50:$E$57), G72,$F88)</f>
        <v>0.48892919759999998</v>
      </c>
      <c r="H104" s="52" cm="1">
        <f t="array" ref="H104">MMS_Poultry_ManureAppliedToSoils_Equations.VEERG_4_6_1_9__1_MassOfNitrogenAppliedToSoilsScope1(H32,_xlfn.XLOOKUP($E104, $D$38:$D$45,$E$38:$E$45), _xlfn.XLOOKUP($E104, $D$50:$D$57,$E$50:$E$57), H72,$F88)</f>
        <v>0.57393017279999992</v>
      </c>
      <c r="I104" s="52" cm="1">
        <f t="array" ref="I104">MMS_Poultry_ManureAppliedToSoils_Equations.VEERG_4_6_1_9__1_MassOfNitrogenAppliedToSoilsScope1(I32,_xlfn.XLOOKUP($E104, $D$38:$D$45,$E$38:$E$45), _xlfn.XLOOKUP($E104, $D$50:$D$57,$E$50:$E$57), I72,$F88)</f>
        <v>0.48892919759999998</v>
      </c>
      <c r="J104" s="2" t="str">
        <f t="shared" si="0"/>
        <v>kg N</v>
      </c>
      <c r="N104" s="52"/>
      <c r="O104" s="52" t="str">
        <f>'Input - Poultry'!$D$54</f>
        <v>Digester / covered lagoons</v>
      </c>
      <c r="P104" s="52" cm="1">
        <f t="array" ref="P104">MMS_Poultry_ManureAppliedToSoils_Equations.VEERG_4_6_1_9__1_MassOfNitrogenAppliedToSoilsScope1(P32,_xlfn.XLOOKUP($O104, $D$38:$D$45,$E$38:$E$45), _xlfn.XLOOKUP($O104, $D$50:$D$57,$E$50:$E$57), P72,$F88)</f>
        <v>0.4580624880000001</v>
      </c>
      <c r="Q104" s="52" cm="1">
        <f t="array" ref="Q104">MMS_Poultry_ManureAppliedToSoils_Equations.VEERG_4_6_1_9__1_MassOfNitrogenAppliedToSoilsScope1(Q32,_xlfn.XLOOKUP($O104, $D$38:$D$45,$E$38:$E$45), _xlfn.XLOOKUP($O104, $D$50:$D$57,$E$50:$E$57), Q72,$F88)</f>
        <v>0.48892919759999998</v>
      </c>
      <c r="R104" s="52" cm="1">
        <f t="array" ref="R104">MMS_Poultry_ManureAppliedToSoils_Equations.VEERG_4_6_1_9__1_MassOfNitrogenAppliedToSoilsScope1(R32,_xlfn.XLOOKUP($O104, $D$38:$D$45,$E$38:$E$45), _xlfn.XLOOKUP($O104, $D$50:$D$57,$E$50:$E$57), R72,$F88)</f>
        <v>0.57393017279999992</v>
      </c>
      <c r="S104" s="52" cm="1">
        <f t="array" ref="S104">MMS_Poultry_ManureAppliedToSoils_Equations.VEERG_4_6_1_9__1_MassOfNitrogenAppliedToSoilsScope1(S32,_xlfn.XLOOKUP($O104, $D$38:$D$45,$E$38:$E$45), _xlfn.XLOOKUP($O104, $D$50:$D$57,$E$50:$E$57), S72,$F88)</f>
        <v>0.48892919759999998</v>
      </c>
      <c r="T104" s="2" t="str">
        <f t="shared" si="1"/>
        <v>kg N</v>
      </c>
    </row>
    <row r="105" spans="3:21" ht="20.100000000000001" customHeight="1" x14ac:dyDescent="0.25">
      <c r="D105" s="52"/>
      <c r="E105" s="52" t="str">
        <f>'Input - Poultry'!$D$55</f>
        <v>Direct processing</v>
      </c>
      <c r="F105" s="52" cm="1">
        <f t="array" ref="F105">MMS_Poultry_ManureAppliedToSoils_Equations.VEERG_4_6_1_9__1_MassOfNitrogenAppliedToSoilsScope1(F33,_xlfn.XLOOKUP($E105, $D$38:$D$45,$E$38:$E$45), _xlfn.XLOOKUP($E105, $D$50:$D$57,$E$50:$E$57), F73,$F89)</f>
        <v>0.4580624880000001</v>
      </c>
      <c r="G105" s="52" cm="1">
        <f t="array" ref="G105">MMS_Poultry_ManureAppliedToSoils_Equations.VEERG_4_6_1_9__1_MassOfNitrogenAppliedToSoilsScope1(G33,_xlfn.XLOOKUP($E105, $D$38:$D$45,$E$38:$E$45), _xlfn.XLOOKUP($E105, $D$50:$D$57,$E$50:$E$57), G73,$F89)</f>
        <v>0.48892919759999998</v>
      </c>
      <c r="H105" s="52" cm="1">
        <f t="array" ref="H105">MMS_Poultry_ManureAppliedToSoils_Equations.VEERG_4_6_1_9__1_MassOfNitrogenAppliedToSoilsScope1(H33,_xlfn.XLOOKUP($E105, $D$38:$D$45,$E$38:$E$45), _xlfn.XLOOKUP($E105, $D$50:$D$57,$E$50:$E$57), H73,$F89)</f>
        <v>0.57393017279999992</v>
      </c>
      <c r="I105" s="52" cm="1">
        <f t="array" ref="I105">MMS_Poultry_ManureAppliedToSoils_Equations.VEERG_4_6_1_9__1_MassOfNitrogenAppliedToSoilsScope1(I33,_xlfn.XLOOKUP($E105, $D$38:$D$45,$E$38:$E$45), _xlfn.XLOOKUP($E105, $D$50:$D$57,$E$50:$E$57), I73,$F89)</f>
        <v>0.48892919759999998</v>
      </c>
      <c r="J105" s="2" t="str">
        <f t="shared" si="0"/>
        <v>kg N</v>
      </c>
      <c r="N105" s="52"/>
      <c r="O105" s="52" t="str">
        <f>'Input - Poultry'!$D$55</f>
        <v>Direct processing</v>
      </c>
      <c r="P105" s="52" cm="1">
        <f t="array" ref="P105">MMS_Poultry_ManureAppliedToSoils_Equations.VEERG_4_6_1_9__1_MassOfNitrogenAppliedToSoilsScope1(P33,_xlfn.XLOOKUP($O105, $D$38:$D$45,$E$38:$E$45), _xlfn.XLOOKUP($O105, $D$50:$D$57,$E$50:$E$57), P73,$F89)</f>
        <v>0.4580624880000001</v>
      </c>
      <c r="Q105" s="52" cm="1">
        <f t="array" ref="Q105">MMS_Poultry_ManureAppliedToSoils_Equations.VEERG_4_6_1_9__1_MassOfNitrogenAppliedToSoilsScope1(Q33,_xlfn.XLOOKUP($O105, $D$38:$D$45,$E$38:$E$45), _xlfn.XLOOKUP($O105, $D$50:$D$57,$E$50:$E$57), Q73,$F89)</f>
        <v>0.48892919759999998</v>
      </c>
      <c r="R105" s="52" cm="1">
        <f t="array" ref="R105">MMS_Poultry_ManureAppliedToSoils_Equations.VEERG_4_6_1_9__1_MassOfNitrogenAppliedToSoilsScope1(R33,_xlfn.XLOOKUP($O105, $D$38:$D$45,$E$38:$E$45), _xlfn.XLOOKUP($O105, $D$50:$D$57,$E$50:$E$57), R73,$F89)</f>
        <v>0.57393017279999992</v>
      </c>
      <c r="S105" s="52" cm="1">
        <f t="array" ref="S105">MMS_Poultry_ManureAppliedToSoils_Equations.VEERG_4_6_1_9__1_MassOfNitrogenAppliedToSoilsScope1(S33,_xlfn.XLOOKUP($O105, $D$38:$D$45,$E$38:$E$45), _xlfn.XLOOKUP($O105, $D$50:$D$57,$E$50:$E$57), S73,$F89)</f>
        <v>0.48892919759999998</v>
      </c>
      <c r="T105" s="2" t="str">
        <f t="shared" si="1"/>
        <v>kg N</v>
      </c>
    </row>
    <row r="106" spans="3:21" ht="20.100000000000001" customHeight="1" x14ac:dyDescent="0.25"/>
    <row r="107" spans="3:21" ht="20.100000000000001" customHeight="1" x14ac:dyDescent="0.25">
      <c r="D107" s="101" t="s">
        <v>175</v>
      </c>
      <c r="E107" s="102">
        <f>SUM(F94:I105)</f>
        <v>26.878167655920002</v>
      </c>
      <c r="F107" s="103" t="str">
        <f>$E$11</f>
        <v>kg N</v>
      </c>
      <c r="N107" s="101" t="s">
        <v>175</v>
      </c>
      <c r="O107" s="102">
        <f>SUM(P94:S105)</f>
        <v>26.878167655920002</v>
      </c>
      <c r="P107" s="103" t="str">
        <f>$E$11</f>
        <v>kg N</v>
      </c>
    </row>
    <row r="108" spans="3:21" ht="20.100000000000001" customHeight="1" x14ac:dyDescent="0.25"/>
    <row r="109" spans="3:21" ht="20.100000000000001" customHeight="1" x14ac:dyDescent="0.25"/>
    <row r="110" spans="3:21" ht="20.100000000000001" customHeight="1" x14ac:dyDescent="0.25">
      <c r="C110" s="45"/>
      <c r="D110" s="45"/>
      <c r="E110" s="45"/>
      <c r="F110" s="45"/>
      <c r="G110" s="45"/>
      <c r="H110" s="45"/>
      <c r="I110" s="45"/>
      <c r="J110" s="45"/>
      <c r="K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3:21" ht="20.100000000000001" customHeight="1" x14ac:dyDescent="0.25">
      <c r="D111" s="6" t="str" cm="1">
        <f t="array" ref="D111">MMS_Poultry_ManureAppliedToSoils_Equations.VEERG_4_6_1_9__2_MassOfNitrogenAppliedToSoilsScope3_Title()</f>
        <v>Mass of nitrogen applied to soils for scope 3 emissions</v>
      </c>
    </row>
    <row r="112" spans="3:21" ht="20.100000000000001" customHeight="1" x14ac:dyDescent="0.25">
      <c r="D112" s="5" t="str" cm="1">
        <f t="array" ref="D112">MMS_Poultry_ManureAppliedToSoils_Equations.VEERG_4_6_1_9__2_MassOfNitrogenAppliedToSoilsScope3_Source()</f>
        <v>VEERG 2026: 4.6.1.9, Equation (2)</v>
      </c>
    </row>
    <row r="113" spans="4:20" ht="20.100000000000001" customHeight="1" x14ac:dyDescent="0.25">
      <c r="D113" s="13" t="s">
        <v>26</v>
      </c>
      <c r="E113" s="13" t="str" cm="1">
        <f t="array" aca="1" ref="E113" ca="1">Common_InputFunctions.Utility_DisplayFunctionName(F128)</f>
        <v>=MMS_Poultry_ManureAppliedToSoils_Equations.VEERG_4_6_1_9__2_MassOfNitrogenAppliedToSoilsScope3</v>
      </c>
    </row>
    <row r="114" spans="4:20" ht="20.100000000000001" customHeight="1" x14ac:dyDescent="0.25"/>
    <row r="115" spans="4:20" ht="20.100000000000001" customHeight="1" x14ac:dyDescent="0.25"/>
    <row r="116" spans="4:20" ht="20.100000000000001" customHeight="1" x14ac:dyDescent="0.25">
      <c r="D116" s="53" t="s">
        <v>29</v>
      </c>
      <c r="E116" s="1" t="str" cm="1">
        <f t="array" ref="E116">MMS_Poultry_ManureAppliedToSoils_Equations.VEERG_4_6_1_9__2_MassOfNitrogenAppliedToSoilsScope3_Variable()</f>
        <v>MNSoil_scope3</v>
      </c>
    </row>
    <row r="117" spans="4:20" ht="20.100000000000001" customHeight="1" x14ac:dyDescent="0.25">
      <c r="D117" s="53" t="s">
        <v>19</v>
      </c>
      <c r="E117" s="54" t="str" cm="1">
        <f t="array" ref="E117">MMS_Poultry_ManureAppliedToSoils_Equations.VEERG_4_6_1_9__2_MassOfNitrogenAppliedToSoilsScope3_Unit()</f>
        <v>kg N</v>
      </c>
    </row>
    <row r="118" spans="4:20" ht="20.100000000000001" customHeight="1" x14ac:dyDescent="0.25"/>
    <row r="119" spans="4:20" ht="20.100000000000001" customHeight="1" x14ac:dyDescent="0.25">
      <c r="D119" s="57" t="str" cm="1">
        <f t="array" ref="D119:E123">MMS_Poultry_ManureAppliedToSoils_Equations.VEERG_4_6_1_9__2_MassOfNitrogenAppliedToSoilsScope3_Arguments()</f>
        <v>MN_jmT2</v>
      </c>
      <c r="E119" s="58" t="str">
        <v>mass of N in secondary treatment stage as calculated for manure management : kg N</v>
      </c>
      <c r="F119" s="100"/>
      <c r="G119" s="59"/>
      <c r="H119" s="57" t="str">
        <f>"See " &amp; D19</f>
        <v>See M1_Table_MN_j_k_m_T-2</v>
      </c>
    </row>
    <row r="120" spans="4:20" ht="20.100000000000001" customHeight="1" x14ac:dyDescent="0.25">
      <c r="D120" s="57" t="str">
        <v>EF_mT2</v>
      </c>
      <c r="E120" s="58" t="str">
        <v>nitrous oxide emission factor for each MMS : kg N2O-N/kg N</v>
      </c>
      <c r="F120" s="100"/>
      <c r="G120" s="59"/>
      <c r="H120" s="57" t="str">
        <f>"See " &amp; D35</f>
        <v>See Table_EF_m</v>
      </c>
    </row>
    <row r="121" spans="4:20" ht="20.100000000000001" customHeight="1" x14ac:dyDescent="0.25">
      <c r="D121" s="57" t="str">
        <v>FracGASM_mT2</v>
      </c>
      <c r="E121" s="58" t="str">
        <v>fraction of animal waste N volatilised in each MMS : (kg NH3-N + NOx-N)/kg N</v>
      </c>
      <c r="F121" s="100"/>
      <c r="G121" s="59"/>
      <c r="H121" s="57" t="str">
        <f>"See " &amp; D47</f>
        <v>See Table_FracGASM_m_T</v>
      </c>
    </row>
    <row r="122" spans="4:20" ht="20.100000000000001" customHeight="1" x14ac:dyDescent="0.25">
      <c r="D122" s="57" t="str">
        <v>MNLeach_MMS</v>
      </c>
      <c r="E122" s="58" t="str">
        <v>mass of N lost through leaching and runoff from MMS : kg N</v>
      </c>
      <c r="F122" s="100"/>
      <c r="G122" s="59"/>
      <c r="H122" s="57" t="str">
        <f>"See " &amp; D59</f>
        <v>See M1_Table_MNLeach_MMS</v>
      </c>
    </row>
    <row r="123" spans="4:20" ht="20.100000000000001" customHeight="1" x14ac:dyDescent="0.25">
      <c r="D123" s="57" t="str">
        <v>PF</v>
      </c>
      <c r="E123" s="58" t="str">
        <v>fraction of manure applied to soil within the farm boundary : fraction</v>
      </c>
      <c r="F123" s="100"/>
      <c r="G123" s="59"/>
      <c r="H123" s="57" t="str">
        <f>"See " &amp; D75</f>
        <v>See Table_PF</v>
      </c>
    </row>
    <row r="124" spans="4:20" ht="20.100000000000001" customHeight="1" x14ac:dyDescent="0.25"/>
    <row r="125" spans="4:20" ht="20.100000000000001" customHeight="1" x14ac:dyDescent="0.25">
      <c r="D125" s="99" t="s">
        <v>177</v>
      </c>
      <c r="N125" s="99" t="s">
        <v>177</v>
      </c>
    </row>
    <row r="126" spans="4:20" ht="20.100000000000001" customHeight="1" x14ac:dyDescent="0.25">
      <c r="D126" s="98" t="s">
        <v>318</v>
      </c>
      <c r="N126" s="98" t="s">
        <v>318</v>
      </c>
    </row>
    <row r="127" spans="4:20" ht="20.100000000000001" customHeight="1" x14ac:dyDescent="0.25">
      <c r="D127" s="51" t="s">
        <v>143</v>
      </c>
      <c r="E127" s="51" t="s">
        <v>145</v>
      </c>
      <c r="F127" s="51" t="s">
        <v>209</v>
      </c>
      <c r="G127" s="51" t="s">
        <v>210</v>
      </c>
      <c r="H127" s="51" t="s">
        <v>224</v>
      </c>
      <c r="I127" s="51" t="s">
        <v>225</v>
      </c>
      <c r="N127" s="51" t="s">
        <v>143</v>
      </c>
      <c r="O127" s="51" t="s">
        <v>145</v>
      </c>
      <c r="P127" s="51" t="s">
        <v>209</v>
      </c>
      <c r="Q127" s="51" t="s">
        <v>210</v>
      </c>
      <c r="R127" s="51" t="s">
        <v>224</v>
      </c>
      <c r="S127" s="51" t="s">
        <v>225</v>
      </c>
    </row>
    <row r="128" spans="4:20" ht="20.100000000000001" customHeight="1" x14ac:dyDescent="0.25">
      <c r="D128" s="52" t="str">
        <f>'Input - Poultry'!$D$30</f>
        <v>Poultry manure with bedding</v>
      </c>
      <c r="E128" s="52" t="str">
        <f>'Input - Poultry'!$D$38</f>
        <v>Solid storage</v>
      </c>
      <c r="F128" s="52" cm="1">
        <f t="array" ref="F128">MMS_Poultry_ManureAppliedToSoils_Equations.VEERG_4_6_1_9__2_MassOfNitrogenAppliedToSoilsScope3(F22,_xlfn.XLOOKUP($E128, $D$38:$D$45,$E$38:$E$45), _xlfn.XLOOKUP($E128, $D$50:$D$57,$E$50:$E$57), F62,$F78)</f>
        <v>0.13808786940000004</v>
      </c>
      <c r="G128" s="52" cm="1">
        <f t="array" ref="G128">MMS_Poultry_ManureAppliedToSoils_Equations.VEERG_4_6_1_9__2_MassOfNitrogenAppliedToSoilsScope3(G22,_xlfn.XLOOKUP($E128, $D$38:$D$45,$E$38:$E$45), _xlfn.XLOOKUP($E128, $D$50:$D$57,$E$50:$E$57), G62,$F78)</f>
        <v>0.14739297138000002</v>
      </c>
      <c r="H128" s="52" cm="1">
        <f t="array" ref="H128">MMS_Poultry_ManureAppliedToSoils_Equations.VEERG_4_6_1_9__2_MassOfNitrogenAppliedToSoilsScope3(H22,_xlfn.XLOOKUP($E128, $D$38:$D$45,$E$38:$E$45), _xlfn.XLOOKUP($E128, $D$50:$D$57,$E$50:$E$57), H62,$F78)</f>
        <v>0.17301743063999997</v>
      </c>
      <c r="I128" s="52" cm="1">
        <f t="array" ref="I128">MMS_Poultry_ManureAppliedToSoils_Equations.VEERG_4_6_1_9__2_MassOfNitrogenAppliedToSoilsScope3(I22,_xlfn.XLOOKUP($E128, $D$38:$D$45,$E$38:$E$45), _xlfn.XLOOKUP($E128, $D$50:$D$57,$E$50:$E$57), I62,$F78)</f>
        <v>0.14739297138000002</v>
      </c>
      <c r="J128" s="2" t="str">
        <f>$E$11</f>
        <v>kg N</v>
      </c>
      <c r="N128" s="52" t="str">
        <f>'Input - Poultry'!$D$30</f>
        <v>Poultry manure with bedding</v>
      </c>
      <c r="O128" s="52" t="str">
        <f>'Input - Poultry'!$D$38</f>
        <v>Solid storage</v>
      </c>
      <c r="P128" s="52" cm="1">
        <f t="array" ref="P128">MMS_Poultry_ManureAppliedToSoils_Equations.VEERG_4_6_1_9__2_MassOfNitrogenAppliedToSoilsScope3(P22,_xlfn.XLOOKUP($O128, $D$38:$D$45,$E$38:$E$45), _xlfn.XLOOKUP($O128, $D$50:$D$57,$E$50:$E$57), P62,$F78)</f>
        <v>0.13808786940000004</v>
      </c>
      <c r="Q128" s="52" cm="1">
        <f t="array" ref="Q128">MMS_Poultry_ManureAppliedToSoils_Equations.VEERG_4_6_1_9__2_MassOfNitrogenAppliedToSoilsScope3(Q22,_xlfn.XLOOKUP($O128, $D$38:$D$45,$E$38:$E$45), _xlfn.XLOOKUP($O128, $D$50:$D$57,$E$50:$E$57), Q62,$F78)</f>
        <v>0.14739297138000002</v>
      </c>
      <c r="R128" s="52" cm="1">
        <f t="array" ref="R128">MMS_Poultry_ManureAppliedToSoils_Equations.VEERG_4_6_1_9__2_MassOfNitrogenAppliedToSoilsScope3(R22,_xlfn.XLOOKUP($O128, $D$38:$D$45,$E$38:$E$45), _xlfn.XLOOKUP($O128, $D$50:$D$57,$E$50:$E$57), R62,$F78)</f>
        <v>0.17301743063999997</v>
      </c>
      <c r="S128" s="52" cm="1">
        <f t="array" ref="S128">MMS_Poultry_ManureAppliedToSoils_Equations.VEERG_4_6_1_9__2_MassOfNitrogenAppliedToSoilsScope3(S22,_xlfn.XLOOKUP($O128, $D$38:$D$45,$E$38:$E$45), _xlfn.XLOOKUP($O128, $D$50:$D$57,$E$50:$E$57), S62,$F78)</f>
        <v>0.14739297138000002</v>
      </c>
      <c r="T128" s="2" t="str">
        <f>$E$11</f>
        <v>kg N</v>
      </c>
    </row>
    <row r="129" spans="3:21" ht="20.100000000000001" customHeight="1" x14ac:dyDescent="0.25">
      <c r="D129" s="52"/>
      <c r="E129" s="52" t="str">
        <f>'Input - Poultry'!$D$39</f>
        <v>Composting (passive windrow)</v>
      </c>
      <c r="F129" s="52" cm="1">
        <f t="array" ref="F129">MMS_Poultry_ManureAppliedToSoils_Equations.VEERG_4_6_1_9__2_MassOfNitrogenAppliedToSoilsScope3(F23,_xlfn.XLOOKUP($E129, $D$38:$D$45,$E$38:$E$45), _xlfn.XLOOKUP($E129, $D$50:$D$57,$E$50:$E$57), F63,$F79)</f>
        <v>0.14076053784000003</v>
      </c>
      <c r="G129" s="52" cm="1">
        <f t="array" ref="G129">MMS_Poultry_ManureAppliedToSoils_Equations.VEERG_4_6_1_9__2_MassOfNitrogenAppliedToSoilsScope3(G23,_xlfn.XLOOKUP($E129, $D$38:$D$45,$E$38:$E$45), _xlfn.XLOOKUP($E129, $D$50:$D$57,$E$50:$E$57), G63,$F79)</f>
        <v>0.150245738568</v>
      </c>
      <c r="H129" s="52" cm="1">
        <f t="array" ref="H129">MMS_Poultry_ManureAppliedToSoils_Equations.VEERG_4_6_1_9__2_MassOfNitrogenAppliedToSoilsScope3(H23,_xlfn.XLOOKUP($E129, $D$38:$D$45,$E$38:$E$45), _xlfn.XLOOKUP($E129, $D$50:$D$57,$E$50:$E$57), H63,$F79)</f>
        <v>0.176366155104</v>
      </c>
      <c r="I129" s="52" cm="1">
        <f t="array" ref="I129">MMS_Poultry_ManureAppliedToSoils_Equations.VEERG_4_6_1_9__2_MassOfNitrogenAppliedToSoilsScope3(I23,_xlfn.XLOOKUP($E129, $D$38:$D$45,$E$38:$E$45), _xlfn.XLOOKUP($E129, $D$50:$D$57,$E$50:$E$57), I63,$F79)</f>
        <v>0.150245738568</v>
      </c>
      <c r="J129" s="2" t="str">
        <f t="shared" ref="J129:J139" si="2">$E$11</f>
        <v>kg N</v>
      </c>
      <c r="N129" s="52"/>
      <c r="O129" s="52" t="str">
        <f>'Input - Poultry'!$D$39</f>
        <v>Composting (passive windrow)</v>
      </c>
      <c r="P129" s="52" cm="1">
        <f t="array" ref="P129">MMS_Poultry_ManureAppliedToSoils_Equations.VEERG_4_6_1_9__2_MassOfNitrogenAppliedToSoilsScope3(P23,_xlfn.XLOOKUP($O129, $D$38:$D$45,$E$38:$E$45), _xlfn.XLOOKUP($O129, $D$50:$D$57,$E$50:$E$57), P63,$F79)</f>
        <v>0.14076053784000003</v>
      </c>
      <c r="Q129" s="52" cm="1">
        <f t="array" ref="Q129">MMS_Poultry_ManureAppliedToSoils_Equations.VEERG_4_6_1_9__2_MassOfNitrogenAppliedToSoilsScope3(Q23,_xlfn.XLOOKUP($O129, $D$38:$D$45,$E$38:$E$45), _xlfn.XLOOKUP($O129, $D$50:$D$57,$E$50:$E$57), Q63,$F79)</f>
        <v>0.150245738568</v>
      </c>
      <c r="R129" s="52" cm="1">
        <f t="array" ref="R129">MMS_Poultry_ManureAppliedToSoils_Equations.VEERG_4_6_1_9__2_MassOfNitrogenAppliedToSoilsScope3(R23,_xlfn.XLOOKUP($O129, $D$38:$D$45,$E$38:$E$45), _xlfn.XLOOKUP($O129, $D$50:$D$57,$E$50:$E$57), R63,$F79)</f>
        <v>0.176366155104</v>
      </c>
      <c r="S129" s="52" cm="1">
        <f t="array" ref="S129">MMS_Poultry_ManureAppliedToSoils_Equations.VEERG_4_6_1_9__2_MassOfNitrogenAppliedToSoilsScope3(S23,_xlfn.XLOOKUP($O129, $D$38:$D$45,$E$38:$E$45), _xlfn.XLOOKUP($O129, $D$50:$D$57,$E$50:$E$57), S63,$F79)</f>
        <v>0.150245738568</v>
      </c>
      <c r="T129" s="2" t="str">
        <f t="shared" ref="T129:T139" si="3">$E$11</f>
        <v>kg N</v>
      </c>
    </row>
    <row r="130" spans="3:21" ht="20.100000000000001" customHeight="1" x14ac:dyDescent="0.25">
      <c r="D130" s="52"/>
      <c r="E130" s="52" t="str">
        <f>'Input - Poultry'!$D$40</f>
        <v>Digester / covered lagoons</v>
      </c>
      <c r="F130" s="52" cm="1">
        <f t="array" ref="F130">MMS_Poultry_ManureAppliedToSoils_Equations.VEERG_4_6_1_9__2_MassOfNitrogenAppliedToSoilsScope3(F24,_xlfn.XLOOKUP($E130, $D$38:$D$45,$E$38:$E$45), _xlfn.XLOOKUP($E130, $D$50:$D$57,$E$50:$E$57), F64,$F80)</f>
        <v>0.17817789600000003</v>
      </c>
      <c r="G130" s="52" cm="1">
        <f t="array" ref="G130">MMS_Poultry_ManureAppliedToSoils_Equations.VEERG_4_6_1_9__2_MassOfNitrogenAppliedToSoilsScope3(G24,_xlfn.XLOOKUP($E130, $D$38:$D$45,$E$38:$E$45), _xlfn.XLOOKUP($E130, $D$50:$D$57,$E$50:$E$57), G64,$F80)</f>
        <v>0.19018447920000001</v>
      </c>
      <c r="H130" s="52" cm="1">
        <f t="array" ref="H130">MMS_Poultry_ManureAppliedToSoils_Equations.VEERG_4_6_1_9__2_MassOfNitrogenAppliedToSoilsScope3(H24,_xlfn.XLOOKUP($E130, $D$38:$D$45,$E$38:$E$45), _xlfn.XLOOKUP($E130, $D$50:$D$57,$E$50:$E$57), H64,$F80)</f>
        <v>0.22324829759999998</v>
      </c>
      <c r="I130" s="52" cm="1">
        <f t="array" ref="I130">MMS_Poultry_ManureAppliedToSoils_Equations.VEERG_4_6_1_9__2_MassOfNitrogenAppliedToSoilsScope3(I24,_xlfn.XLOOKUP($E130, $D$38:$D$45,$E$38:$E$45), _xlfn.XLOOKUP($E130, $D$50:$D$57,$E$50:$E$57), I64,$F80)</f>
        <v>0.19018447920000001</v>
      </c>
      <c r="J130" s="2" t="str">
        <f t="shared" si="2"/>
        <v>kg N</v>
      </c>
      <c r="N130" s="52"/>
      <c r="O130" s="52" t="str">
        <f>'Input - Poultry'!$D$40</f>
        <v>Digester / covered lagoons</v>
      </c>
      <c r="P130" s="52" cm="1">
        <f t="array" ref="P130">MMS_Poultry_ManureAppliedToSoils_Equations.VEERG_4_6_1_9__2_MassOfNitrogenAppliedToSoilsScope3(P24,_xlfn.XLOOKUP($O130, $D$38:$D$45,$E$38:$E$45), _xlfn.XLOOKUP($O130, $D$50:$D$57,$E$50:$E$57), P64,$F80)</f>
        <v>0.17817789600000003</v>
      </c>
      <c r="Q130" s="52" cm="1">
        <f t="array" ref="Q130">MMS_Poultry_ManureAppliedToSoils_Equations.VEERG_4_6_1_9__2_MassOfNitrogenAppliedToSoilsScope3(Q24,_xlfn.XLOOKUP($O130, $D$38:$D$45,$E$38:$E$45), _xlfn.XLOOKUP($O130, $D$50:$D$57,$E$50:$E$57), Q64,$F80)</f>
        <v>0.19018447920000001</v>
      </c>
      <c r="R130" s="52" cm="1">
        <f t="array" ref="R130">MMS_Poultry_ManureAppliedToSoils_Equations.VEERG_4_6_1_9__2_MassOfNitrogenAppliedToSoilsScope3(R24,_xlfn.XLOOKUP($O130, $D$38:$D$45,$E$38:$E$45), _xlfn.XLOOKUP($O130, $D$50:$D$57,$E$50:$E$57), R64,$F80)</f>
        <v>0.22324829759999998</v>
      </c>
      <c r="S130" s="52" cm="1">
        <f t="array" ref="S130">MMS_Poultry_ManureAppliedToSoils_Equations.VEERG_4_6_1_9__2_MassOfNitrogenAppliedToSoilsScope3(S24,_xlfn.XLOOKUP($O130, $D$38:$D$45,$E$38:$E$45), _xlfn.XLOOKUP($O130, $D$50:$D$57,$E$50:$E$57), S64,$F80)</f>
        <v>0.19018447920000001</v>
      </c>
      <c r="T130" s="2" t="str">
        <f t="shared" si="3"/>
        <v>kg N</v>
      </c>
    </row>
    <row r="131" spans="3:21" ht="20.100000000000001" customHeight="1" x14ac:dyDescent="0.25">
      <c r="D131" s="52"/>
      <c r="E131" s="52" t="str">
        <f>'Input - Poultry'!$D$41</f>
        <v>Direct processing</v>
      </c>
      <c r="F131" s="52" cm="1">
        <f t="array" ref="F131">MMS_Poultry_ManureAppliedToSoils_Equations.VEERG_4_6_1_9__2_MassOfNitrogenAppliedToSoilsScope3(F25,_xlfn.XLOOKUP($E131, $D$38:$D$45,$E$38:$E$45), _xlfn.XLOOKUP($E131, $D$50:$D$57,$E$50:$E$57), F65,$F81)</f>
        <v>0.17817789600000003</v>
      </c>
      <c r="G131" s="52" cm="1">
        <f t="array" ref="G131">MMS_Poultry_ManureAppliedToSoils_Equations.VEERG_4_6_1_9__2_MassOfNitrogenAppliedToSoilsScope3(G25,_xlfn.XLOOKUP($E131, $D$38:$D$45,$E$38:$E$45), _xlfn.XLOOKUP($E131, $D$50:$D$57,$E$50:$E$57), G65,$F81)</f>
        <v>0.19018447920000001</v>
      </c>
      <c r="H131" s="52" cm="1">
        <f t="array" ref="H131">MMS_Poultry_ManureAppliedToSoils_Equations.VEERG_4_6_1_9__2_MassOfNitrogenAppliedToSoilsScope3(H25,_xlfn.XLOOKUP($E131, $D$38:$D$45,$E$38:$E$45), _xlfn.XLOOKUP($E131, $D$50:$D$57,$E$50:$E$57), H65,$F81)</f>
        <v>0.22324829759999998</v>
      </c>
      <c r="I131" s="52" cm="1">
        <f t="array" ref="I131">MMS_Poultry_ManureAppliedToSoils_Equations.VEERG_4_6_1_9__2_MassOfNitrogenAppliedToSoilsScope3(I25,_xlfn.XLOOKUP($E131, $D$38:$D$45,$E$38:$E$45), _xlfn.XLOOKUP($E131, $D$50:$D$57,$E$50:$E$57), I65,$F81)</f>
        <v>0.19018447920000001</v>
      </c>
      <c r="J131" s="2" t="str">
        <f t="shared" si="2"/>
        <v>kg N</v>
      </c>
      <c r="N131" s="52"/>
      <c r="O131" s="52" t="str">
        <f>'Input - Poultry'!$D$41</f>
        <v>Direct processing</v>
      </c>
      <c r="P131" s="52" cm="1">
        <f t="array" ref="P131">MMS_Poultry_ManureAppliedToSoils_Equations.VEERG_4_6_1_9__2_MassOfNitrogenAppliedToSoilsScope3(P25,_xlfn.XLOOKUP($O131, $D$38:$D$45,$E$38:$E$45), _xlfn.XLOOKUP($O131, $D$50:$D$57,$E$50:$E$57), P65,$F81)</f>
        <v>0.17817789600000003</v>
      </c>
      <c r="Q131" s="52" cm="1">
        <f t="array" ref="Q131">MMS_Poultry_ManureAppliedToSoils_Equations.VEERG_4_6_1_9__2_MassOfNitrogenAppliedToSoilsScope3(Q25,_xlfn.XLOOKUP($O131, $D$38:$D$45,$E$38:$E$45), _xlfn.XLOOKUP($O131, $D$50:$D$57,$E$50:$E$57), Q65,$F81)</f>
        <v>0.19018447920000001</v>
      </c>
      <c r="R131" s="52" cm="1">
        <f t="array" ref="R131">MMS_Poultry_ManureAppliedToSoils_Equations.VEERG_4_6_1_9__2_MassOfNitrogenAppliedToSoilsScope3(R25,_xlfn.XLOOKUP($O131, $D$38:$D$45,$E$38:$E$45), _xlfn.XLOOKUP($O131, $D$50:$D$57,$E$50:$E$57), R65,$F81)</f>
        <v>0.22324829759999998</v>
      </c>
      <c r="S131" s="52" cm="1">
        <f t="array" ref="S131">MMS_Poultry_ManureAppliedToSoils_Equations.VEERG_4_6_1_9__2_MassOfNitrogenAppliedToSoilsScope3(S25,_xlfn.XLOOKUP($O131, $D$38:$D$45,$E$38:$E$45), _xlfn.XLOOKUP($O131, $D$50:$D$57,$E$50:$E$57), S65,$F81)</f>
        <v>0.19018447920000001</v>
      </c>
      <c r="T131" s="2" t="str">
        <f t="shared" si="3"/>
        <v>kg N</v>
      </c>
    </row>
    <row r="132" spans="3:21" ht="20.100000000000001" customHeight="1" x14ac:dyDescent="0.25">
      <c r="D132" s="52" t="str">
        <f>'Input - Poultry'!$D$31</f>
        <v>Belt manure removal</v>
      </c>
      <c r="E132" s="52" t="str">
        <f>'Input - Poultry'!$D$45</f>
        <v>Solid storage</v>
      </c>
      <c r="F132" s="52" cm="1">
        <f t="array" ref="F132">MMS_Poultry_ManureAppliedToSoils_Equations.VEERG_4_6_1_9__2_MassOfNitrogenAppliedToSoilsScope3(F26,_xlfn.XLOOKUP($E132, $D$38:$D$45,$E$38:$E$45), _xlfn.XLOOKUP($E132, $D$50:$D$57,$E$50:$E$57), F66,$F82)</f>
        <v>0.18747551940000004</v>
      </c>
      <c r="G132" s="52" cm="1">
        <f t="array" ref="G132">MMS_Poultry_ManureAppliedToSoils_Equations.VEERG_4_6_1_9__2_MassOfNitrogenAppliedToSoilsScope3(G26,_xlfn.XLOOKUP($E132, $D$38:$D$45,$E$38:$E$45), _xlfn.XLOOKUP($E132, $D$50:$D$57,$E$50:$E$57), G66,$F82)</f>
        <v>0.20010862637999999</v>
      </c>
      <c r="H132" s="52" cm="1">
        <f t="array" ref="H132">MMS_Poultry_ManureAppliedToSoils_Equations.VEERG_4_6_1_9__2_MassOfNitrogenAppliedToSoilsScope3(H26,_xlfn.XLOOKUP($E132, $D$38:$D$45,$E$38:$E$45), _xlfn.XLOOKUP($E132, $D$50:$D$57,$E$50:$E$57), H66,$F82)</f>
        <v>0.23489777063999998</v>
      </c>
      <c r="I132" s="52" cm="1">
        <f t="array" ref="I132">MMS_Poultry_ManureAppliedToSoils_Equations.VEERG_4_6_1_9__2_MassOfNitrogenAppliedToSoilsScope3(I26,_xlfn.XLOOKUP($E132, $D$38:$D$45,$E$38:$E$45), _xlfn.XLOOKUP($E132, $D$50:$D$57,$E$50:$E$57), I66,$F82)</f>
        <v>0.20010862637999999</v>
      </c>
      <c r="J132" s="2" t="str">
        <f t="shared" si="2"/>
        <v>kg N</v>
      </c>
      <c r="N132" s="52" t="str">
        <f>'Input - Poultry'!$D$31</f>
        <v>Belt manure removal</v>
      </c>
      <c r="O132" s="52" t="str">
        <f>'Input - Poultry'!$D$45</f>
        <v>Solid storage</v>
      </c>
      <c r="P132" s="52" cm="1">
        <f t="array" ref="P132">MMS_Poultry_ManureAppliedToSoils_Equations.VEERG_4_6_1_9__2_MassOfNitrogenAppliedToSoilsScope3(P26,_xlfn.XLOOKUP($O132, $D$38:$D$45,$E$38:$E$45), _xlfn.XLOOKUP($O132, $D$50:$D$57,$E$50:$E$57), P66,$F82)</f>
        <v>0.18747551940000004</v>
      </c>
      <c r="Q132" s="52" cm="1">
        <f t="array" ref="Q132">MMS_Poultry_ManureAppliedToSoils_Equations.VEERG_4_6_1_9__2_MassOfNitrogenAppliedToSoilsScope3(Q26,_xlfn.XLOOKUP($O132, $D$38:$D$45,$E$38:$E$45), _xlfn.XLOOKUP($O132, $D$50:$D$57,$E$50:$E$57), Q66,$F82)</f>
        <v>0.20010862637999999</v>
      </c>
      <c r="R132" s="52" cm="1">
        <f t="array" ref="R132">MMS_Poultry_ManureAppliedToSoils_Equations.VEERG_4_6_1_9__2_MassOfNitrogenAppliedToSoilsScope3(R26,_xlfn.XLOOKUP($O132, $D$38:$D$45,$E$38:$E$45), _xlfn.XLOOKUP($O132, $D$50:$D$57,$E$50:$E$57), R66,$F82)</f>
        <v>0.23489777063999998</v>
      </c>
      <c r="S132" s="52" cm="1">
        <f t="array" ref="S132">MMS_Poultry_ManureAppliedToSoils_Equations.VEERG_4_6_1_9__2_MassOfNitrogenAppliedToSoilsScope3(S26,_xlfn.XLOOKUP($O132, $D$38:$D$45,$E$38:$E$45), _xlfn.XLOOKUP($O132, $D$50:$D$57,$E$50:$E$57), S66,$F82)</f>
        <v>0.20010862637999999</v>
      </c>
      <c r="T132" s="2" t="str">
        <f t="shared" si="3"/>
        <v>kg N</v>
      </c>
    </row>
    <row r="133" spans="3:21" ht="20.100000000000001" customHeight="1" x14ac:dyDescent="0.25">
      <c r="D133" s="52"/>
      <c r="E133" s="52" t="str">
        <f>'Input - Poultry'!$D$46</f>
        <v>Composting (passive windrow)</v>
      </c>
      <c r="F133" s="52" cm="1">
        <f t="array" ref="F133">MMS_Poultry_ManureAppliedToSoils_Equations.VEERG_4_6_1_9__2_MassOfNitrogenAppliedToSoilsScope3(F27,_xlfn.XLOOKUP($E133, $D$38:$D$45,$E$38:$E$45), _xlfn.XLOOKUP($E133, $D$50:$D$57,$E$50:$E$57), F67,$F83)</f>
        <v>0.19110407784000005</v>
      </c>
      <c r="G133" s="52" cm="1">
        <f t="array" ref="G133">MMS_Poultry_ManureAppliedToSoils_Equations.VEERG_4_6_1_9__2_MassOfNitrogenAppliedToSoilsScope3(G27,_xlfn.XLOOKUP($E133, $D$38:$D$45,$E$38:$E$45), _xlfn.XLOOKUP($E133, $D$50:$D$57,$E$50:$E$57), G67,$F83)</f>
        <v>0.20398169656800003</v>
      </c>
      <c r="H133" s="52" cm="1">
        <f t="array" ref="H133">MMS_Poultry_ManureAppliedToSoils_Equations.VEERG_4_6_1_9__2_MassOfNitrogenAppliedToSoilsScope3(H27,_xlfn.XLOOKUP($E133, $D$38:$D$45,$E$38:$E$45), _xlfn.XLOOKUP($E133, $D$50:$D$57,$E$50:$E$57), H67,$F83)</f>
        <v>0.23944417910400001</v>
      </c>
      <c r="I133" s="52" cm="1">
        <f t="array" ref="I133">MMS_Poultry_ManureAppliedToSoils_Equations.VEERG_4_6_1_9__2_MassOfNitrogenAppliedToSoilsScope3(I27,_xlfn.XLOOKUP($E133, $D$38:$D$45,$E$38:$E$45), _xlfn.XLOOKUP($E133, $D$50:$D$57,$E$50:$E$57), I67,$F83)</f>
        <v>0.20398169656800003</v>
      </c>
      <c r="J133" s="2" t="str">
        <f t="shared" si="2"/>
        <v>kg N</v>
      </c>
      <c r="N133" s="52"/>
      <c r="O133" s="52" t="str">
        <f>'Input - Poultry'!$D$46</f>
        <v>Composting (passive windrow)</v>
      </c>
      <c r="P133" s="52" cm="1">
        <f t="array" ref="P133">MMS_Poultry_ManureAppliedToSoils_Equations.VEERG_4_6_1_9__2_MassOfNitrogenAppliedToSoilsScope3(P27,_xlfn.XLOOKUP($O133, $D$38:$D$45,$E$38:$E$45), _xlfn.XLOOKUP($O133, $D$50:$D$57,$E$50:$E$57), P67,$F83)</f>
        <v>0.19110407784000005</v>
      </c>
      <c r="Q133" s="52" cm="1">
        <f t="array" ref="Q133">MMS_Poultry_ManureAppliedToSoils_Equations.VEERG_4_6_1_9__2_MassOfNitrogenAppliedToSoilsScope3(Q27,_xlfn.XLOOKUP($O133, $D$38:$D$45,$E$38:$E$45), _xlfn.XLOOKUP($O133, $D$50:$D$57,$E$50:$E$57), Q67,$F83)</f>
        <v>0.20398169656800003</v>
      </c>
      <c r="R133" s="52" cm="1">
        <f t="array" ref="R133">MMS_Poultry_ManureAppliedToSoils_Equations.VEERG_4_6_1_9__2_MassOfNitrogenAppliedToSoilsScope3(R27,_xlfn.XLOOKUP($O133, $D$38:$D$45,$E$38:$E$45), _xlfn.XLOOKUP($O133, $D$50:$D$57,$E$50:$E$57), R67,$F83)</f>
        <v>0.23944417910400001</v>
      </c>
      <c r="S133" s="52" cm="1">
        <f t="array" ref="S133">MMS_Poultry_ManureAppliedToSoils_Equations.VEERG_4_6_1_9__2_MassOfNitrogenAppliedToSoilsScope3(S27,_xlfn.XLOOKUP($O133, $D$38:$D$45,$E$38:$E$45), _xlfn.XLOOKUP($O133, $D$50:$D$57,$E$50:$E$57), S67,$F83)</f>
        <v>0.20398169656800003</v>
      </c>
      <c r="T133" s="2" t="str">
        <f t="shared" si="3"/>
        <v>kg N</v>
      </c>
    </row>
    <row r="134" spans="3:21" ht="20.100000000000001" customHeight="1" x14ac:dyDescent="0.25">
      <c r="D134" s="52"/>
      <c r="E134" s="52" t="str">
        <f>'Input - Poultry'!$D$47</f>
        <v>Digester / covered lagoons</v>
      </c>
      <c r="F134" s="52" cm="1">
        <f t="array" ref="F134">MMS_Poultry_ManureAppliedToSoils_Equations.VEERG_4_6_1_9__2_MassOfNitrogenAppliedToSoilsScope3(F28,_xlfn.XLOOKUP($E134, $D$38:$D$45,$E$38:$E$45), _xlfn.XLOOKUP($E134, $D$50:$D$57,$E$50:$E$57), F68,$F84)</f>
        <v>0.24190389600000006</v>
      </c>
      <c r="G134" s="52" cm="1">
        <f t="array" ref="G134">MMS_Poultry_ManureAppliedToSoils_Equations.VEERG_4_6_1_9__2_MassOfNitrogenAppliedToSoilsScope3(G28,_xlfn.XLOOKUP($E134, $D$38:$D$45,$E$38:$E$45), _xlfn.XLOOKUP($E134, $D$50:$D$57,$E$50:$E$57), G68,$F84)</f>
        <v>0.25820467920000001</v>
      </c>
      <c r="H134" s="52" cm="1">
        <f t="array" ref="H134">MMS_Poultry_ManureAppliedToSoils_Equations.VEERG_4_6_1_9__2_MassOfNitrogenAppliedToSoilsScope3(H28,_xlfn.XLOOKUP($E134, $D$38:$D$45,$E$38:$E$45), _xlfn.XLOOKUP($E134, $D$50:$D$57,$E$50:$E$57), H68,$F84)</f>
        <v>0.3030938976</v>
      </c>
      <c r="I134" s="52" cm="1">
        <f t="array" ref="I134">MMS_Poultry_ManureAppliedToSoils_Equations.VEERG_4_6_1_9__2_MassOfNitrogenAppliedToSoilsScope3(I28,_xlfn.XLOOKUP($E134, $D$38:$D$45,$E$38:$E$45), _xlfn.XLOOKUP($E134, $D$50:$D$57,$E$50:$E$57), I68,$F84)</f>
        <v>0.25820467920000001</v>
      </c>
      <c r="J134" s="2" t="str">
        <f t="shared" si="2"/>
        <v>kg N</v>
      </c>
      <c r="N134" s="52"/>
      <c r="O134" s="52" t="str">
        <f>'Input - Poultry'!$D$47</f>
        <v>Digester / covered lagoons</v>
      </c>
      <c r="P134" s="52" cm="1">
        <f t="array" ref="P134">MMS_Poultry_ManureAppliedToSoils_Equations.VEERG_4_6_1_9__2_MassOfNitrogenAppliedToSoilsScope3(P28,_xlfn.XLOOKUP($O134, $D$38:$D$45,$E$38:$E$45), _xlfn.XLOOKUP($O134, $D$50:$D$57,$E$50:$E$57), P68,$F84)</f>
        <v>0.24190389600000006</v>
      </c>
      <c r="Q134" s="52" cm="1">
        <f t="array" ref="Q134">MMS_Poultry_ManureAppliedToSoils_Equations.VEERG_4_6_1_9__2_MassOfNitrogenAppliedToSoilsScope3(Q28,_xlfn.XLOOKUP($O134, $D$38:$D$45,$E$38:$E$45), _xlfn.XLOOKUP($O134, $D$50:$D$57,$E$50:$E$57), Q68,$F84)</f>
        <v>0.25820467920000001</v>
      </c>
      <c r="R134" s="52" cm="1">
        <f t="array" ref="R134">MMS_Poultry_ManureAppliedToSoils_Equations.VEERG_4_6_1_9__2_MassOfNitrogenAppliedToSoilsScope3(R28,_xlfn.XLOOKUP($O134, $D$38:$D$45,$E$38:$E$45), _xlfn.XLOOKUP($O134, $D$50:$D$57,$E$50:$E$57), R68,$F84)</f>
        <v>0.3030938976</v>
      </c>
      <c r="S134" s="52" cm="1">
        <f t="array" ref="S134">MMS_Poultry_ManureAppliedToSoils_Equations.VEERG_4_6_1_9__2_MassOfNitrogenAppliedToSoilsScope3(S28,_xlfn.XLOOKUP($O134, $D$38:$D$45,$E$38:$E$45), _xlfn.XLOOKUP($O134, $D$50:$D$57,$E$50:$E$57), S68,$F84)</f>
        <v>0.25820467920000001</v>
      </c>
      <c r="T134" s="2" t="str">
        <f t="shared" si="3"/>
        <v>kg N</v>
      </c>
    </row>
    <row r="135" spans="3:21" ht="20.100000000000001" customHeight="1" x14ac:dyDescent="0.25">
      <c r="D135" s="52"/>
      <c r="E135" s="52" t="str">
        <f>'Input - Poultry'!$D$48</f>
        <v>Direct processing</v>
      </c>
      <c r="F135" s="52" cm="1">
        <f t="array" ref="F135">MMS_Poultry_ManureAppliedToSoils_Equations.VEERG_4_6_1_9__2_MassOfNitrogenAppliedToSoilsScope3(F29,_xlfn.XLOOKUP($E135, $D$38:$D$45,$E$38:$E$45), _xlfn.XLOOKUP($E135, $D$50:$D$57,$E$50:$E$57), F69,$F85)</f>
        <v>0.24190389600000006</v>
      </c>
      <c r="G135" s="52" cm="1">
        <f t="array" ref="G135">MMS_Poultry_ManureAppliedToSoils_Equations.VEERG_4_6_1_9__2_MassOfNitrogenAppliedToSoilsScope3(G29,_xlfn.XLOOKUP($E135, $D$38:$D$45,$E$38:$E$45), _xlfn.XLOOKUP($E135, $D$50:$D$57,$E$50:$E$57), G69,$F85)</f>
        <v>0.25820467920000001</v>
      </c>
      <c r="H135" s="52" cm="1">
        <f t="array" ref="H135">MMS_Poultry_ManureAppliedToSoils_Equations.VEERG_4_6_1_9__2_MassOfNitrogenAppliedToSoilsScope3(H29,_xlfn.XLOOKUP($E135, $D$38:$D$45,$E$38:$E$45), _xlfn.XLOOKUP($E135, $D$50:$D$57,$E$50:$E$57), H69,$F85)</f>
        <v>0.3030938976</v>
      </c>
      <c r="I135" s="52" cm="1">
        <f t="array" ref="I135">MMS_Poultry_ManureAppliedToSoils_Equations.VEERG_4_6_1_9__2_MassOfNitrogenAppliedToSoilsScope3(I29,_xlfn.XLOOKUP($E135, $D$38:$D$45,$E$38:$E$45), _xlfn.XLOOKUP($E135, $D$50:$D$57,$E$50:$E$57), I69,$F85)</f>
        <v>0.25820467920000001</v>
      </c>
      <c r="J135" s="2" t="str">
        <f t="shared" si="2"/>
        <v>kg N</v>
      </c>
      <c r="N135" s="52"/>
      <c r="O135" s="52" t="str">
        <f>'Input - Poultry'!$D$48</f>
        <v>Direct processing</v>
      </c>
      <c r="P135" s="52" cm="1">
        <f t="array" ref="P135">MMS_Poultry_ManureAppliedToSoils_Equations.VEERG_4_6_1_9__2_MassOfNitrogenAppliedToSoilsScope3(P29,_xlfn.XLOOKUP($O135, $D$38:$D$45,$E$38:$E$45), _xlfn.XLOOKUP($O135, $D$50:$D$57,$E$50:$E$57), P69,$F85)</f>
        <v>0.24190389600000006</v>
      </c>
      <c r="Q135" s="52" cm="1">
        <f t="array" ref="Q135">MMS_Poultry_ManureAppliedToSoils_Equations.VEERG_4_6_1_9__2_MassOfNitrogenAppliedToSoilsScope3(Q29,_xlfn.XLOOKUP($O135, $D$38:$D$45,$E$38:$E$45), _xlfn.XLOOKUP($O135, $D$50:$D$57,$E$50:$E$57), Q69,$F85)</f>
        <v>0.25820467920000001</v>
      </c>
      <c r="R135" s="52" cm="1">
        <f t="array" ref="R135">MMS_Poultry_ManureAppliedToSoils_Equations.VEERG_4_6_1_9__2_MassOfNitrogenAppliedToSoilsScope3(R29,_xlfn.XLOOKUP($O135, $D$38:$D$45,$E$38:$E$45), _xlfn.XLOOKUP($O135, $D$50:$D$57,$E$50:$E$57), R69,$F85)</f>
        <v>0.3030938976</v>
      </c>
      <c r="S135" s="52" cm="1">
        <f t="array" ref="S135">MMS_Poultry_ManureAppliedToSoils_Equations.VEERG_4_6_1_9__2_MassOfNitrogenAppliedToSoilsScope3(S29,_xlfn.XLOOKUP($O135, $D$38:$D$45,$E$38:$E$45), _xlfn.XLOOKUP($O135, $D$50:$D$57,$E$50:$E$57), S69,$F85)</f>
        <v>0.25820467920000001</v>
      </c>
      <c r="T135" s="2" t="str">
        <f t="shared" si="3"/>
        <v>kg N</v>
      </c>
    </row>
    <row r="136" spans="3:21" ht="20.100000000000001" customHeight="1" x14ac:dyDescent="0.25">
      <c r="D136" s="52" t="str">
        <f>'Input - Poultry'!$D$32</f>
        <v>Manure stored in house</v>
      </c>
      <c r="E136" s="52" t="str">
        <f>'Input - Poultry'!$D$52</f>
        <v>Solid storage</v>
      </c>
      <c r="F136" s="52" cm="1">
        <f t="array" ref="F136">MMS_Poultry_ManureAppliedToSoils_Equations.VEERG_4_6_1_9__2_MassOfNitrogenAppliedToSoilsScope3(F30,_xlfn.XLOOKUP($E136, $D$38:$D$45,$E$38:$E$45), _xlfn.XLOOKUP($E136, $D$50:$D$57,$E$50:$E$57), F70,$F86)</f>
        <v>0.11833280940000002</v>
      </c>
      <c r="G136" s="52" cm="1">
        <f t="array" ref="G136">MMS_Poultry_ManureAppliedToSoils_Equations.VEERG_4_6_1_9__2_MassOfNitrogenAppliedToSoilsScope3(G30,_xlfn.XLOOKUP($E136, $D$38:$D$45,$E$38:$E$45), _xlfn.XLOOKUP($E136, $D$50:$D$57,$E$50:$E$57), G70,$F86)</f>
        <v>0.12630670937999997</v>
      </c>
      <c r="H136" s="52" cm="1">
        <f t="array" ref="H136">MMS_Poultry_ManureAppliedToSoils_Equations.VEERG_4_6_1_9__2_MassOfNitrogenAppliedToSoilsScope3(H30,_xlfn.XLOOKUP($E136, $D$38:$D$45,$E$38:$E$45), _xlfn.XLOOKUP($E136, $D$50:$D$57,$E$50:$E$57), H70,$F86)</f>
        <v>0.14826529463999996</v>
      </c>
      <c r="I136" s="52" cm="1">
        <f t="array" ref="I136">MMS_Poultry_ManureAppliedToSoils_Equations.VEERG_4_6_1_9__2_MassOfNitrogenAppliedToSoilsScope3(I30,_xlfn.XLOOKUP($E136, $D$38:$D$45,$E$38:$E$45), _xlfn.XLOOKUP($E136, $D$50:$D$57,$E$50:$E$57), I70,$F86)</f>
        <v>0.12630670937999997</v>
      </c>
      <c r="J136" s="2" t="str">
        <f t="shared" si="2"/>
        <v>kg N</v>
      </c>
      <c r="N136" s="52" t="str">
        <f>'Input - Poultry'!$D$32</f>
        <v>Manure stored in house</v>
      </c>
      <c r="O136" s="52" t="str">
        <f>'Input - Poultry'!$D$52</f>
        <v>Solid storage</v>
      </c>
      <c r="P136" s="52" cm="1">
        <f t="array" ref="P136">MMS_Poultry_ManureAppliedToSoils_Equations.VEERG_4_6_1_9__2_MassOfNitrogenAppliedToSoilsScope3(P30,_xlfn.XLOOKUP($O136, $D$38:$D$45,$E$38:$E$45), _xlfn.XLOOKUP($O136, $D$50:$D$57,$E$50:$E$57), P70,$F86)</f>
        <v>0.11833280940000002</v>
      </c>
      <c r="Q136" s="52" cm="1">
        <f t="array" ref="Q136">MMS_Poultry_ManureAppliedToSoils_Equations.VEERG_4_6_1_9__2_MassOfNitrogenAppliedToSoilsScope3(Q30,_xlfn.XLOOKUP($O136, $D$38:$D$45,$E$38:$E$45), _xlfn.XLOOKUP($O136, $D$50:$D$57,$E$50:$E$57), Q70,$F86)</f>
        <v>0.12630670937999997</v>
      </c>
      <c r="R136" s="52" cm="1">
        <f t="array" ref="R136">MMS_Poultry_ManureAppliedToSoils_Equations.VEERG_4_6_1_9__2_MassOfNitrogenAppliedToSoilsScope3(R30,_xlfn.XLOOKUP($O136, $D$38:$D$45,$E$38:$E$45), _xlfn.XLOOKUP($O136, $D$50:$D$57,$E$50:$E$57), R70,$F86)</f>
        <v>0.14826529463999996</v>
      </c>
      <c r="S136" s="52" cm="1">
        <f t="array" ref="S136">MMS_Poultry_ManureAppliedToSoils_Equations.VEERG_4_6_1_9__2_MassOfNitrogenAppliedToSoilsScope3(S30,_xlfn.XLOOKUP($O136, $D$38:$D$45,$E$38:$E$45), _xlfn.XLOOKUP($O136, $D$50:$D$57,$E$50:$E$57), S70,$F86)</f>
        <v>0.12630670937999997</v>
      </c>
      <c r="T136" s="2" t="str">
        <f t="shared" si="3"/>
        <v>kg N</v>
      </c>
    </row>
    <row r="137" spans="3:21" ht="20.100000000000001" customHeight="1" x14ac:dyDescent="0.25">
      <c r="D137" s="52"/>
      <c r="E137" s="52" t="str">
        <f>'Input - Poultry'!$D$53</f>
        <v>Composting (passive windrow)</v>
      </c>
      <c r="F137" s="52" cm="1">
        <f t="array" ref="F137">MMS_Poultry_ManureAppliedToSoils_Equations.VEERG_4_6_1_9__2_MassOfNitrogenAppliedToSoilsScope3(F31,_xlfn.XLOOKUP($E137, $D$38:$D$45,$E$38:$E$45), _xlfn.XLOOKUP($E137, $D$50:$D$57,$E$50:$E$57), F71,$F87)</f>
        <v>0.12062312184000003</v>
      </c>
      <c r="G137" s="52" cm="1">
        <f t="array" ref="G137">MMS_Poultry_ManureAppliedToSoils_Equations.VEERG_4_6_1_9__2_MassOfNitrogenAppliedToSoilsScope3(G31,_xlfn.XLOOKUP($E137, $D$38:$D$45,$E$38:$E$45), _xlfn.XLOOKUP($E137, $D$50:$D$57,$E$50:$E$57), G71,$F87)</f>
        <v>0.128751355368</v>
      </c>
      <c r="H137" s="52" cm="1">
        <f t="array" ref="H137">MMS_Poultry_ManureAppliedToSoils_Equations.VEERG_4_6_1_9__2_MassOfNitrogenAppliedToSoilsScope3(H31,_xlfn.XLOOKUP($E137, $D$38:$D$45,$E$38:$E$45), _xlfn.XLOOKUP($E137, $D$50:$D$57,$E$50:$E$57), H71,$F87)</f>
        <v>0.15113494550399997</v>
      </c>
      <c r="I137" s="52" cm="1">
        <f t="array" ref="I137">MMS_Poultry_ManureAppliedToSoils_Equations.VEERG_4_6_1_9__2_MassOfNitrogenAppliedToSoilsScope3(I31,_xlfn.XLOOKUP($E137, $D$38:$D$45,$E$38:$E$45), _xlfn.XLOOKUP($E137, $D$50:$D$57,$E$50:$E$57), I71,$F87)</f>
        <v>0.128751355368</v>
      </c>
      <c r="J137" s="2" t="str">
        <f t="shared" si="2"/>
        <v>kg N</v>
      </c>
      <c r="N137" s="52"/>
      <c r="O137" s="52" t="str">
        <f>'Input - Poultry'!$D$53</f>
        <v>Composting (passive windrow)</v>
      </c>
      <c r="P137" s="52" cm="1">
        <f t="array" ref="P137">MMS_Poultry_ManureAppliedToSoils_Equations.VEERG_4_6_1_9__2_MassOfNitrogenAppliedToSoilsScope3(P31,_xlfn.XLOOKUP($O137, $D$38:$D$45,$E$38:$E$45), _xlfn.XLOOKUP($O137, $D$50:$D$57,$E$50:$E$57), P71,$F87)</f>
        <v>0.12062312184000003</v>
      </c>
      <c r="Q137" s="52" cm="1">
        <f t="array" ref="Q137">MMS_Poultry_ManureAppliedToSoils_Equations.VEERG_4_6_1_9__2_MassOfNitrogenAppliedToSoilsScope3(Q31,_xlfn.XLOOKUP($O137, $D$38:$D$45,$E$38:$E$45), _xlfn.XLOOKUP($O137, $D$50:$D$57,$E$50:$E$57), Q71,$F87)</f>
        <v>0.128751355368</v>
      </c>
      <c r="R137" s="52" cm="1">
        <f t="array" ref="R137">MMS_Poultry_ManureAppliedToSoils_Equations.VEERG_4_6_1_9__2_MassOfNitrogenAppliedToSoilsScope3(R31,_xlfn.XLOOKUP($O137, $D$38:$D$45,$E$38:$E$45), _xlfn.XLOOKUP($O137, $D$50:$D$57,$E$50:$E$57), R71,$F87)</f>
        <v>0.15113494550399997</v>
      </c>
      <c r="S137" s="52" cm="1">
        <f t="array" ref="S137">MMS_Poultry_ManureAppliedToSoils_Equations.VEERG_4_6_1_9__2_MassOfNitrogenAppliedToSoilsScope3(S31,_xlfn.XLOOKUP($O137, $D$38:$D$45,$E$38:$E$45), _xlfn.XLOOKUP($O137, $D$50:$D$57,$E$50:$E$57), S71,$F87)</f>
        <v>0.128751355368</v>
      </c>
      <c r="T137" s="2" t="str">
        <f t="shared" si="3"/>
        <v>kg N</v>
      </c>
    </row>
    <row r="138" spans="3:21" ht="20.100000000000001" customHeight="1" x14ac:dyDescent="0.25">
      <c r="D138" s="52"/>
      <c r="E138" s="52" t="str">
        <f>'Input - Poultry'!$D$54</f>
        <v>Digester / covered lagoons</v>
      </c>
      <c r="F138" s="52" cm="1">
        <f t="array" ref="F138">MMS_Poultry_ManureAppliedToSoils_Equations.VEERG_4_6_1_9__2_MassOfNitrogenAppliedToSoilsScope3(F32,_xlfn.XLOOKUP($E138, $D$38:$D$45,$E$38:$E$45), _xlfn.XLOOKUP($E138, $D$50:$D$57,$E$50:$E$57), F72,$F88)</f>
        <v>0.15268749600000003</v>
      </c>
      <c r="G138" s="52" cm="1">
        <f t="array" ref="G138">MMS_Poultry_ManureAppliedToSoils_Equations.VEERG_4_6_1_9__2_MassOfNitrogenAppliedToSoilsScope3(G32,_xlfn.XLOOKUP($E138, $D$38:$D$45,$E$38:$E$45), _xlfn.XLOOKUP($E138, $D$50:$D$57,$E$50:$E$57), G72,$F88)</f>
        <v>0.16297639919999998</v>
      </c>
      <c r="H138" s="52" cm="1">
        <f t="array" ref="H138">MMS_Poultry_ManureAppliedToSoils_Equations.VEERG_4_6_1_9__2_MassOfNitrogenAppliedToSoilsScope3(H32,_xlfn.XLOOKUP($E138, $D$38:$D$45,$E$38:$E$45), _xlfn.XLOOKUP($E138, $D$50:$D$57,$E$50:$E$57), H72,$F88)</f>
        <v>0.19131005759999997</v>
      </c>
      <c r="I138" s="52" cm="1">
        <f t="array" ref="I138">MMS_Poultry_ManureAppliedToSoils_Equations.VEERG_4_6_1_9__2_MassOfNitrogenAppliedToSoilsScope3(I32,_xlfn.XLOOKUP($E138, $D$38:$D$45,$E$38:$E$45), _xlfn.XLOOKUP($E138, $D$50:$D$57,$E$50:$E$57), I72,$F88)</f>
        <v>0.16297639919999998</v>
      </c>
      <c r="J138" s="2" t="str">
        <f t="shared" si="2"/>
        <v>kg N</v>
      </c>
      <c r="N138" s="52"/>
      <c r="O138" s="52" t="str">
        <f>'Input - Poultry'!$D$54</f>
        <v>Digester / covered lagoons</v>
      </c>
      <c r="P138" s="52" cm="1">
        <f t="array" ref="P138">MMS_Poultry_ManureAppliedToSoils_Equations.VEERG_4_6_1_9__2_MassOfNitrogenAppliedToSoilsScope3(P32,_xlfn.XLOOKUP($O138, $D$38:$D$45,$E$38:$E$45), _xlfn.XLOOKUP($O138, $D$50:$D$57,$E$50:$E$57), P72,$F88)</f>
        <v>0.15268749600000003</v>
      </c>
      <c r="Q138" s="52" cm="1">
        <f t="array" ref="Q138">MMS_Poultry_ManureAppliedToSoils_Equations.VEERG_4_6_1_9__2_MassOfNitrogenAppliedToSoilsScope3(Q32,_xlfn.XLOOKUP($O138, $D$38:$D$45,$E$38:$E$45), _xlfn.XLOOKUP($O138, $D$50:$D$57,$E$50:$E$57), Q72,$F88)</f>
        <v>0.16297639919999998</v>
      </c>
      <c r="R138" s="52" cm="1">
        <f t="array" ref="R138">MMS_Poultry_ManureAppliedToSoils_Equations.VEERG_4_6_1_9__2_MassOfNitrogenAppliedToSoilsScope3(R32,_xlfn.XLOOKUP($O138, $D$38:$D$45,$E$38:$E$45), _xlfn.XLOOKUP($O138, $D$50:$D$57,$E$50:$E$57), R72,$F88)</f>
        <v>0.19131005759999997</v>
      </c>
      <c r="S138" s="52" cm="1">
        <f t="array" ref="S138">MMS_Poultry_ManureAppliedToSoils_Equations.VEERG_4_6_1_9__2_MassOfNitrogenAppliedToSoilsScope3(S32,_xlfn.XLOOKUP($O138, $D$38:$D$45,$E$38:$E$45), _xlfn.XLOOKUP($O138, $D$50:$D$57,$E$50:$E$57), S72,$F88)</f>
        <v>0.16297639919999998</v>
      </c>
      <c r="T138" s="2" t="str">
        <f t="shared" si="3"/>
        <v>kg N</v>
      </c>
    </row>
    <row r="139" spans="3:21" ht="20.100000000000001" customHeight="1" x14ac:dyDescent="0.25">
      <c r="D139" s="52"/>
      <c r="E139" s="52" t="str">
        <f>'Input - Poultry'!$D$55</f>
        <v>Direct processing</v>
      </c>
      <c r="F139" s="52" cm="1">
        <f t="array" ref="F139">MMS_Poultry_ManureAppliedToSoils_Equations.VEERG_4_6_1_9__2_MassOfNitrogenAppliedToSoilsScope3(F33,_xlfn.XLOOKUP($E139, $D$38:$D$45,$E$38:$E$45), _xlfn.XLOOKUP($E139, $D$50:$D$57,$E$50:$E$57), F73,$F89)</f>
        <v>0.15268749600000003</v>
      </c>
      <c r="G139" s="52" cm="1">
        <f t="array" ref="G139">MMS_Poultry_ManureAppliedToSoils_Equations.VEERG_4_6_1_9__2_MassOfNitrogenAppliedToSoilsScope3(G33,_xlfn.XLOOKUP($E139, $D$38:$D$45,$E$38:$E$45), _xlfn.XLOOKUP($E139, $D$50:$D$57,$E$50:$E$57), G73,$F89)</f>
        <v>0.16297639919999998</v>
      </c>
      <c r="H139" s="52" cm="1">
        <f t="array" ref="H139">MMS_Poultry_ManureAppliedToSoils_Equations.VEERG_4_6_1_9__2_MassOfNitrogenAppliedToSoilsScope3(H33,_xlfn.XLOOKUP($E139, $D$38:$D$45,$E$38:$E$45), _xlfn.XLOOKUP($E139, $D$50:$D$57,$E$50:$E$57), H73,$F89)</f>
        <v>0.19131005759999997</v>
      </c>
      <c r="I139" s="52" cm="1">
        <f t="array" ref="I139">MMS_Poultry_ManureAppliedToSoils_Equations.VEERG_4_6_1_9__2_MassOfNitrogenAppliedToSoilsScope3(I33,_xlfn.XLOOKUP($E139, $D$38:$D$45,$E$38:$E$45), _xlfn.XLOOKUP($E139, $D$50:$D$57,$E$50:$E$57), I73,$F89)</f>
        <v>0.16297639919999998</v>
      </c>
      <c r="J139" s="2" t="str">
        <f t="shared" si="2"/>
        <v>kg N</v>
      </c>
      <c r="N139" s="52"/>
      <c r="O139" s="52" t="str">
        <f>'Input - Poultry'!$D$55</f>
        <v>Direct processing</v>
      </c>
      <c r="P139" s="52" cm="1">
        <f t="array" ref="P139">MMS_Poultry_ManureAppliedToSoils_Equations.VEERG_4_6_1_9__2_MassOfNitrogenAppliedToSoilsScope3(P33,_xlfn.XLOOKUP($O139, $D$38:$D$45,$E$38:$E$45), _xlfn.XLOOKUP($O139, $D$50:$D$57,$E$50:$E$57), P73,$F89)</f>
        <v>0.15268749600000003</v>
      </c>
      <c r="Q139" s="52" cm="1">
        <f t="array" ref="Q139">MMS_Poultry_ManureAppliedToSoils_Equations.VEERG_4_6_1_9__2_MassOfNitrogenAppliedToSoilsScope3(Q33,_xlfn.XLOOKUP($O139, $D$38:$D$45,$E$38:$E$45), _xlfn.XLOOKUP($O139, $D$50:$D$57,$E$50:$E$57), Q73,$F89)</f>
        <v>0.16297639919999998</v>
      </c>
      <c r="R139" s="52" cm="1">
        <f t="array" ref="R139">MMS_Poultry_ManureAppliedToSoils_Equations.VEERG_4_6_1_9__2_MassOfNitrogenAppliedToSoilsScope3(R33,_xlfn.XLOOKUP($O139, $D$38:$D$45,$E$38:$E$45), _xlfn.XLOOKUP($O139, $D$50:$D$57,$E$50:$E$57), R73,$F89)</f>
        <v>0.19131005759999997</v>
      </c>
      <c r="S139" s="52" cm="1">
        <f t="array" ref="S139">MMS_Poultry_ManureAppliedToSoils_Equations.VEERG_4_6_1_9__2_MassOfNitrogenAppliedToSoilsScope3(S33,_xlfn.XLOOKUP($O139, $D$38:$D$45,$E$38:$E$45), _xlfn.XLOOKUP($O139, $D$50:$D$57,$E$50:$E$57), S73,$F89)</f>
        <v>0.16297639919999998</v>
      </c>
      <c r="T139" s="2" t="str">
        <f t="shared" si="3"/>
        <v>kg N</v>
      </c>
    </row>
    <row r="140" spans="3:21" ht="20.100000000000001" customHeight="1" x14ac:dyDescent="0.25"/>
    <row r="141" spans="3:21" ht="20.100000000000001" customHeight="1" x14ac:dyDescent="0.25">
      <c r="D141" s="101" t="s">
        <v>178</v>
      </c>
      <c r="E141" s="102">
        <f>SUM(F128:I139)</f>
        <v>8.9593892186400037</v>
      </c>
      <c r="F141" s="103" t="str">
        <f>$E$117</f>
        <v>kg N</v>
      </c>
      <c r="N141" s="101" t="s">
        <v>178</v>
      </c>
      <c r="O141" s="102">
        <f>SUM(P128:S139)</f>
        <v>8.9593892186400037</v>
      </c>
      <c r="P141" s="103" t="str">
        <f>$E$117</f>
        <v>kg N</v>
      </c>
    </row>
    <row r="142" spans="3:21" ht="20.100000000000001" customHeight="1" x14ac:dyDescent="0.25"/>
    <row r="143" spans="3:21" ht="20.100000000000001" customHeight="1" x14ac:dyDescent="0.25"/>
    <row r="144" spans="3:21" ht="20.100000000000001" customHeight="1" x14ac:dyDescent="0.25">
      <c r="C144" s="45"/>
      <c r="D144" s="45"/>
      <c r="E144" s="45"/>
      <c r="F144" s="45"/>
      <c r="G144" s="45"/>
      <c r="H144" s="45"/>
      <c r="I144" s="45"/>
      <c r="J144" s="45"/>
      <c r="K144" s="45"/>
      <c r="L144" s="135"/>
      <c r="M144" s="45"/>
      <c r="N144" s="45"/>
      <c r="O144" s="45"/>
      <c r="P144" s="45"/>
      <c r="Q144" s="45"/>
      <c r="R144" s="45"/>
      <c r="S144" s="45"/>
      <c r="T144" s="45"/>
      <c r="U144" s="45"/>
    </row>
    <row r="145" spans="4:8" ht="20.100000000000001" customHeight="1" x14ac:dyDescent="0.25">
      <c r="D145" s="134" t="str">
        <f>"Below are applications of " &amp; D56 &amp; " that are applied to the following contexts:"</f>
        <v>Below are applications of Digester / covered lagoons that are applied to the following contexts:</v>
      </c>
      <c r="E145" s="91"/>
      <c r="F145" s="91"/>
      <c r="G145" s="91"/>
      <c r="H145" s="87"/>
    </row>
    <row r="146" spans="4:8" ht="20.100000000000001" customHeight="1" x14ac:dyDescent="0.25">
      <c r="D146" s="93" t="s">
        <v>179</v>
      </c>
      <c r="E146" s="90"/>
      <c r="F146" s="90"/>
      <c r="G146" s="90"/>
      <c r="H146" s="88"/>
    </row>
    <row r="147" spans="4:8" ht="20.100000000000001" customHeight="1" x14ac:dyDescent="0.25"/>
    <row r="148" spans="4:8" ht="20.100000000000001" customHeight="1" x14ac:dyDescent="0.25">
      <c r="D148" s="6" t="s">
        <v>180</v>
      </c>
    </row>
    <row r="149" spans="4:8" ht="20.100000000000001" customHeight="1" x14ac:dyDescent="0.25"/>
    <row r="150" spans="4:8" ht="20.100000000000001" customHeight="1" x14ac:dyDescent="0.25">
      <c r="D150" s="121" t="s">
        <v>181</v>
      </c>
    </row>
    <row r="151" spans="4:8" ht="20.100000000000001" customHeight="1" x14ac:dyDescent="0.25">
      <c r="D151" s="122" t="s">
        <v>182</v>
      </c>
    </row>
    <row r="152" spans="4:8" ht="20.100000000000001" customHeight="1" x14ac:dyDescent="0.25">
      <c r="D152" s="51" t="s">
        <v>143</v>
      </c>
      <c r="E152" s="51" t="s">
        <v>145</v>
      </c>
      <c r="F152" s="51" t="s">
        <v>173</v>
      </c>
    </row>
    <row r="153" spans="4:8" ht="20.100000000000001" customHeight="1" x14ac:dyDescent="0.25">
      <c r="D153" s="52" t="str">
        <f>'Input - Poultry'!$D$30</f>
        <v>Poultry manure with bedding</v>
      </c>
      <c r="E153" s="52" t="str">
        <f>'Input - Poultry'!$D$38</f>
        <v>Solid storage</v>
      </c>
      <c r="F153" s="52">
        <f>'Input - Poultry'!K38</f>
        <v>0.25</v>
      </c>
      <c r="G153" s="2" t="s">
        <v>118</v>
      </c>
    </row>
    <row r="154" spans="4:8" ht="20.100000000000001" customHeight="1" x14ac:dyDescent="0.25">
      <c r="D154" s="52"/>
      <c r="E154" s="52" t="str">
        <f>'Input - Poultry'!$D$39</f>
        <v>Composting (passive windrow)</v>
      </c>
      <c r="F154" s="52">
        <f>'Input - Poultry'!K39</f>
        <v>0.25</v>
      </c>
      <c r="G154" s="2" t="s">
        <v>118</v>
      </c>
    </row>
    <row r="155" spans="4:8" ht="20.100000000000001" customHeight="1" x14ac:dyDescent="0.25">
      <c r="D155" s="52"/>
      <c r="E155" s="52" t="str">
        <f>'Input - Poultry'!$D$40</f>
        <v>Digester / covered lagoons</v>
      </c>
      <c r="F155" s="52">
        <f>'Input - Poultry'!K40</f>
        <v>0.25</v>
      </c>
      <c r="G155" s="2" t="s">
        <v>118</v>
      </c>
    </row>
    <row r="156" spans="4:8" ht="20.100000000000001" customHeight="1" x14ac:dyDescent="0.25">
      <c r="D156" s="52"/>
      <c r="E156" s="52" t="str">
        <f>'Input - Poultry'!$D$41</f>
        <v>Direct processing</v>
      </c>
      <c r="F156" s="52">
        <f>'Input - Poultry'!K41</f>
        <v>0.25</v>
      </c>
      <c r="G156" s="2" t="s">
        <v>118</v>
      </c>
    </row>
    <row r="157" spans="4:8" ht="20.100000000000001" customHeight="1" x14ac:dyDescent="0.25">
      <c r="D157" s="52" t="str">
        <f>'Input - Poultry'!$D$31</f>
        <v>Belt manure removal</v>
      </c>
      <c r="E157" s="52" t="str">
        <f>'Input - Poultry'!$D$45</f>
        <v>Solid storage</v>
      </c>
      <c r="F157" s="52">
        <f>'Input - Poultry'!K45</f>
        <v>0.25</v>
      </c>
      <c r="G157" s="2" t="s">
        <v>118</v>
      </c>
    </row>
    <row r="158" spans="4:8" ht="20.100000000000001" customHeight="1" x14ac:dyDescent="0.25">
      <c r="D158" s="52"/>
      <c r="E158" s="52" t="str">
        <f>'Input - Poultry'!$D$46</f>
        <v>Composting (passive windrow)</v>
      </c>
      <c r="F158" s="52">
        <f>'Input - Poultry'!K46</f>
        <v>0.25</v>
      </c>
      <c r="G158" s="2" t="s">
        <v>118</v>
      </c>
    </row>
    <row r="159" spans="4:8" ht="20.100000000000001" customHeight="1" x14ac:dyDescent="0.25">
      <c r="D159" s="52"/>
      <c r="E159" s="52" t="str">
        <f>'Input - Poultry'!$D$47</f>
        <v>Digester / covered lagoons</v>
      </c>
      <c r="F159" s="52">
        <f>'Input - Poultry'!K47</f>
        <v>0.25</v>
      </c>
      <c r="G159" s="2" t="s">
        <v>118</v>
      </c>
    </row>
    <row r="160" spans="4:8" ht="20.100000000000001" customHeight="1" x14ac:dyDescent="0.25">
      <c r="D160" s="52"/>
      <c r="E160" s="52" t="str">
        <f>'Input - Poultry'!$D$48</f>
        <v>Direct processing</v>
      </c>
      <c r="F160" s="52">
        <f>'Input - Poultry'!K48</f>
        <v>0.25</v>
      </c>
      <c r="G160" s="2" t="s">
        <v>118</v>
      </c>
    </row>
    <row r="161" spans="4:20" ht="20.100000000000001" customHeight="1" x14ac:dyDescent="0.25">
      <c r="D161" s="52" t="str">
        <f>'Input - Poultry'!$D$32</f>
        <v>Manure stored in house</v>
      </c>
      <c r="E161" s="52" t="str">
        <f>'Input - Poultry'!$D$52</f>
        <v>Solid storage</v>
      </c>
      <c r="F161" s="52">
        <f>'Input - Poultry'!K52</f>
        <v>0.25</v>
      </c>
      <c r="G161" s="2" t="s">
        <v>118</v>
      </c>
    </row>
    <row r="162" spans="4:20" ht="20.100000000000001" customHeight="1" x14ac:dyDescent="0.25">
      <c r="D162" s="52"/>
      <c r="E162" s="52" t="str">
        <f>'Input - Poultry'!$D$53</f>
        <v>Composting (passive windrow)</v>
      </c>
      <c r="F162" s="52">
        <f>'Input - Poultry'!K53</f>
        <v>0.25</v>
      </c>
      <c r="G162" s="2" t="s">
        <v>118</v>
      </c>
    </row>
    <row r="163" spans="4:20" ht="20.100000000000001" customHeight="1" x14ac:dyDescent="0.25">
      <c r="D163" s="52"/>
      <c r="E163" s="52" t="str">
        <f>'Input - Poultry'!$D$54</f>
        <v>Digester / covered lagoons</v>
      </c>
      <c r="F163" s="52">
        <f>'Input - Poultry'!K54</f>
        <v>0.25</v>
      </c>
      <c r="G163" s="2" t="s">
        <v>118</v>
      </c>
    </row>
    <row r="164" spans="4:20" ht="20.100000000000001" customHeight="1" x14ac:dyDescent="0.25">
      <c r="D164" s="52"/>
      <c r="E164" s="52" t="str">
        <f>'Input - Poultry'!$D$55</f>
        <v>Direct processing</v>
      </c>
      <c r="F164" s="52">
        <f>'Input - Poultry'!K55</f>
        <v>0.25</v>
      </c>
      <c r="G164" s="2" t="s">
        <v>118</v>
      </c>
    </row>
    <row r="165" spans="4:20" ht="20.100000000000001" customHeight="1" x14ac:dyDescent="0.25"/>
    <row r="166" spans="4:20" ht="20.100000000000001" customHeight="1" x14ac:dyDescent="0.25">
      <c r="D166" s="99" t="s">
        <v>183</v>
      </c>
      <c r="N166" s="99" t="s">
        <v>185</v>
      </c>
    </row>
    <row r="167" spans="4:20" ht="20.100000000000001" customHeight="1" x14ac:dyDescent="0.25">
      <c r="D167" s="122" t="s">
        <v>186</v>
      </c>
      <c r="N167" s="122" t="s">
        <v>187</v>
      </c>
    </row>
    <row r="168" spans="4:20" ht="20.100000000000001" customHeight="1" x14ac:dyDescent="0.25">
      <c r="D168" s="51" t="s">
        <v>143</v>
      </c>
      <c r="E168" s="51" t="s">
        <v>145</v>
      </c>
      <c r="F168" s="51" t="s">
        <v>209</v>
      </c>
      <c r="G168" s="51" t="s">
        <v>210</v>
      </c>
      <c r="H168" s="51" t="s">
        <v>224</v>
      </c>
      <c r="I168" s="51" t="s">
        <v>225</v>
      </c>
      <c r="N168" s="51" t="s">
        <v>143</v>
      </c>
      <c r="O168" s="51" t="s">
        <v>145</v>
      </c>
      <c r="P168" s="51" t="s">
        <v>209</v>
      </c>
      <c r="Q168" s="51" t="s">
        <v>210</v>
      </c>
      <c r="R168" s="51" t="s">
        <v>224</v>
      </c>
      <c r="S168" s="51" t="s">
        <v>225</v>
      </c>
    </row>
    <row r="169" spans="4:20" ht="20.100000000000001" customHeight="1" x14ac:dyDescent="0.25">
      <c r="D169" s="52" t="str">
        <f>'Input - Poultry'!$D$30</f>
        <v>Poultry manure with bedding</v>
      </c>
      <c r="E169" s="52" t="str">
        <f>'Input - Poultry'!$D$38</f>
        <v>Solid storage</v>
      </c>
      <c r="F169" s="52" cm="1">
        <f t="array" ref="F169">MMS_Poultry_ManureAppliedToSoils_Equations.VEERG_4_6_1_9__1_MassOfNitrogenAppliedToSoilsScope1(F22,_xlfn.XLOOKUP($E169, $D$38:$D$45,$E$38:$E$45), _xlfn.XLOOKUP($E169, $D$50:$D$57,$E$50:$E$57), F62,$F153)</f>
        <v>0.13808786940000004</v>
      </c>
      <c r="G169" s="52" cm="1">
        <f t="array" ref="G169">MMS_Poultry_ManureAppliedToSoils_Equations.VEERG_4_6_1_9__1_MassOfNitrogenAppliedToSoilsScope1(G22,_xlfn.XLOOKUP($E169, $D$38:$D$45,$E$38:$E$45), _xlfn.XLOOKUP($E169, $D$50:$D$57,$E$50:$E$57), G62,$F153)</f>
        <v>0.14739297138000002</v>
      </c>
      <c r="H169" s="52" cm="1">
        <f t="array" ref="H169">MMS_Poultry_ManureAppliedToSoils_Equations.VEERG_4_6_1_9__1_MassOfNitrogenAppliedToSoilsScope1(H22,_xlfn.XLOOKUP($E169, $D$38:$D$45,$E$38:$E$45), _xlfn.XLOOKUP($E169, $D$50:$D$57,$E$50:$E$57), H62,$F153)</f>
        <v>0.17301743063999997</v>
      </c>
      <c r="I169" s="52" cm="1">
        <f t="array" ref="I169">MMS_Poultry_ManureAppliedToSoils_Equations.VEERG_4_6_1_9__1_MassOfNitrogenAppliedToSoilsScope1(I22,_xlfn.XLOOKUP($E169, $D$38:$D$45,$E$38:$E$45), _xlfn.XLOOKUP($E169, $D$50:$D$57,$E$50:$E$57), I62,$F153)</f>
        <v>0.14739297138000002</v>
      </c>
      <c r="J169" s="2" t="str">
        <f>$E$11</f>
        <v>kg N</v>
      </c>
      <c r="N169" s="52" t="str">
        <f>'Input - Poultry'!$D$30</f>
        <v>Poultry manure with bedding</v>
      </c>
      <c r="O169" s="52" t="str">
        <f>'Input - Poultry'!$D$38</f>
        <v>Solid storage</v>
      </c>
      <c r="P169" s="52" cm="1">
        <f t="array" ref="P169">MMS_Poultry_ManureAppliedToSoils_Equations.VEERG_4_6_1_9__1_MassOfNitrogenAppliedToSoilsScope1(P22,_xlfn.XLOOKUP($O169, $D$38:$D$45,$E$38:$E$45), _xlfn.XLOOKUP($O169, $D$50:$D$57,$E$50:$E$57), P62,$F153)</f>
        <v>0.13808786940000004</v>
      </c>
      <c r="Q169" s="52" cm="1">
        <f t="array" ref="Q169">MMS_Poultry_ManureAppliedToSoils_Equations.VEERG_4_6_1_9__1_MassOfNitrogenAppliedToSoilsScope1(Q22,_xlfn.XLOOKUP($O169, $D$38:$D$45,$E$38:$E$45), _xlfn.XLOOKUP($O169, $D$50:$D$57,$E$50:$E$57), Q62,$F153)</f>
        <v>0.14739297138000002</v>
      </c>
      <c r="R169" s="52" cm="1">
        <f t="array" ref="R169">MMS_Poultry_ManureAppliedToSoils_Equations.VEERG_4_6_1_9__1_MassOfNitrogenAppliedToSoilsScope1(R22,_xlfn.XLOOKUP($O169, $D$38:$D$45,$E$38:$E$45), _xlfn.XLOOKUP($O169, $D$50:$D$57,$E$50:$E$57), R62,$F153)</f>
        <v>0.17301743063999997</v>
      </c>
      <c r="S169" s="52" cm="1">
        <f t="array" ref="S169">MMS_Poultry_ManureAppliedToSoils_Equations.VEERG_4_6_1_9__1_MassOfNitrogenAppliedToSoilsScope1(S22,_xlfn.XLOOKUP($O169, $D$38:$D$45,$E$38:$E$45), _xlfn.XLOOKUP($O169, $D$50:$D$57,$E$50:$E$57), S62,$F153)</f>
        <v>0.14739297138000002</v>
      </c>
      <c r="T169" s="2" t="str">
        <f>$E$11</f>
        <v>kg N</v>
      </c>
    </row>
    <row r="170" spans="4:20" ht="20.100000000000001" customHeight="1" x14ac:dyDescent="0.25">
      <c r="D170" s="52"/>
      <c r="E170" s="52" t="str">
        <f>'Input - Poultry'!$D$39</f>
        <v>Composting (passive windrow)</v>
      </c>
      <c r="F170" s="52" cm="1">
        <f t="array" ref="F170">MMS_Poultry_ManureAppliedToSoils_Equations.VEERG_4_6_1_9__1_MassOfNitrogenAppliedToSoilsScope1(F23,_xlfn.XLOOKUP($E170, $D$38:$D$45,$E$38:$E$45), _xlfn.XLOOKUP($E170, $D$50:$D$57,$E$50:$E$57), F63,$F154)</f>
        <v>0.14076053784000003</v>
      </c>
      <c r="G170" s="52" cm="1">
        <f t="array" ref="G170">MMS_Poultry_ManureAppliedToSoils_Equations.VEERG_4_6_1_9__1_MassOfNitrogenAppliedToSoilsScope1(G23,_xlfn.XLOOKUP($E170, $D$38:$D$45,$E$38:$E$45), _xlfn.XLOOKUP($E170, $D$50:$D$57,$E$50:$E$57), G63,$F154)</f>
        <v>0.150245738568</v>
      </c>
      <c r="H170" s="52" cm="1">
        <f t="array" ref="H170">MMS_Poultry_ManureAppliedToSoils_Equations.VEERG_4_6_1_9__1_MassOfNitrogenAppliedToSoilsScope1(H23,_xlfn.XLOOKUP($E170, $D$38:$D$45,$E$38:$E$45), _xlfn.XLOOKUP($E170, $D$50:$D$57,$E$50:$E$57), H63,$F154)</f>
        <v>0.176366155104</v>
      </c>
      <c r="I170" s="52" cm="1">
        <f t="array" ref="I170">MMS_Poultry_ManureAppliedToSoils_Equations.VEERG_4_6_1_9__1_MassOfNitrogenAppliedToSoilsScope1(I23,_xlfn.XLOOKUP($E170, $D$38:$D$45,$E$38:$E$45), _xlfn.XLOOKUP($E170, $D$50:$D$57,$E$50:$E$57), I63,$F154)</f>
        <v>0.150245738568</v>
      </c>
      <c r="J170" s="2" t="str">
        <f t="shared" ref="J170:J180" si="4">$E$11</f>
        <v>kg N</v>
      </c>
      <c r="N170" s="52"/>
      <c r="O170" s="52" t="str">
        <f>'Input - Poultry'!$D$39</f>
        <v>Composting (passive windrow)</v>
      </c>
      <c r="P170" s="52" cm="1">
        <f t="array" ref="P170">MMS_Poultry_ManureAppliedToSoils_Equations.VEERG_4_6_1_9__1_MassOfNitrogenAppliedToSoilsScope1(P23,_xlfn.XLOOKUP($O170, $D$38:$D$45,$E$38:$E$45), _xlfn.XLOOKUP($O170, $D$50:$D$57,$E$50:$E$57), P63,$F154)</f>
        <v>0.14076053784000003</v>
      </c>
      <c r="Q170" s="52" cm="1">
        <f t="array" ref="Q170">MMS_Poultry_ManureAppliedToSoils_Equations.VEERG_4_6_1_9__1_MassOfNitrogenAppliedToSoilsScope1(Q23,_xlfn.XLOOKUP($O170, $D$38:$D$45,$E$38:$E$45), _xlfn.XLOOKUP($O170, $D$50:$D$57,$E$50:$E$57), Q63,$F154)</f>
        <v>0.150245738568</v>
      </c>
      <c r="R170" s="52" cm="1">
        <f t="array" ref="R170">MMS_Poultry_ManureAppliedToSoils_Equations.VEERG_4_6_1_9__1_MassOfNitrogenAppliedToSoilsScope1(R23,_xlfn.XLOOKUP($O170, $D$38:$D$45,$E$38:$E$45), _xlfn.XLOOKUP($O170, $D$50:$D$57,$E$50:$E$57), R63,$F154)</f>
        <v>0.176366155104</v>
      </c>
      <c r="S170" s="52" cm="1">
        <f t="array" ref="S170">MMS_Poultry_ManureAppliedToSoils_Equations.VEERG_4_6_1_9__1_MassOfNitrogenAppliedToSoilsScope1(S23,_xlfn.XLOOKUP($O170, $D$38:$D$45,$E$38:$E$45), _xlfn.XLOOKUP($O170, $D$50:$D$57,$E$50:$E$57), S63,$F154)</f>
        <v>0.150245738568</v>
      </c>
      <c r="T170" s="2" t="str">
        <f t="shared" ref="T170:T180" si="5">$E$11</f>
        <v>kg N</v>
      </c>
    </row>
    <row r="171" spans="4:20" ht="20.100000000000001" customHeight="1" x14ac:dyDescent="0.25">
      <c r="D171" s="52"/>
      <c r="E171" s="52" t="str">
        <f>'Input - Poultry'!$D$40</f>
        <v>Digester / covered lagoons</v>
      </c>
      <c r="F171" s="52" cm="1">
        <f t="array" ref="F171">MMS_Poultry_ManureAppliedToSoils_Equations.VEERG_4_6_1_9__1_MassOfNitrogenAppliedToSoilsScope1(F24,_xlfn.XLOOKUP($E171, $D$38:$D$45,$E$38:$E$45), _xlfn.XLOOKUP($E171, $D$50:$D$57,$E$50:$E$57), F64,$F155)</f>
        <v>0.17817789600000003</v>
      </c>
      <c r="G171" s="52" cm="1">
        <f t="array" ref="G171">MMS_Poultry_ManureAppliedToSoils_Equations.VEERG_4_6_1_9__1_MassOfNitrogenAppliedToSoilsScope1(G24,_xlfn.XLOOKUP($E171, $D$38:$D$45,$E$38:$E$45), _xlfn.XLOOKUP($E171, $D$50:$D$57,$E$50:$E$57), G64,$F155)</f>
        <v>0.19018447920000001</v>
      </c>
      <c r="H171" s="52" cm="1">
        <f t="array" ref="H171">MMS_Poultry_ManureAppliedToSoils_Equations.VEERG_4_6_1_9__1_MassOfNitrogenAppliedToSoilsScope1(H24,_xlfn.XLOOKUP($E171, $D$38:$D$45,$E$38:$E$45), _xlfn.XLOOKUP($E171, $D$50:$D$57,$E$50:$E$57), H64,$F155)</f>
        <v>0.22324829759999998</v>
      </c>
      <c r="I171" s="52" cm="1">
        <f t="array" ref="I171">MMS_Poultry_ManureAppliedToSoils_Equations.VEERG_4_6_1_9__1_MassOfNitrogenAppliedToSoilsScope1(I24,_xlfn.XLOOKUP($E171, $D$38:$D$45,$E$38:$E$45), _xlfn.XLOOKUP($E171, $D$50:$D$57,$E$50:$E$57), I64,$F155)</f>
        <v>0.19018447920000001</v>
      </c>
      <c r="J171" s="2" t="str">
        <f t="shared" si="4"/>
        <v>kg N</v>
      </c>
      <c r="N171" s="52"/>
      <c r="O171" s="52" t="str">
        <f>'Input - Poultry'!$D$40</f>
        <v>Digester / covered lagoons</v>
      </c>
      <c r="P171" s="52" cm="1">
        <f t="array" ref="P171">MMS_Poultry_ManureAppliedToSoils_Equations.VEERG_4_6_1_9__1_MassOfNitrogenAppliedToSoilsScope1(P24,_xlfn.XLOOKUP($O171, $D$38:$D$45,$E$38:$E$45), _xlfn.XLOOKUP($O171, $D$50:$D$57,$E$50:$E$57), P64,$F155)</f>
        <v>0.17817789600000003</v>
      </c>
      <c r="Q171" s="52" cm="1">
        <f t="array" ref="Q171">MMS_Poultry_ManureAppliedToSoils_Equations.VEERG_4_6_1_9__1_MassOfNitrogenAppliedToSoilsScope1(Q24,_xlfn.XLOOKUP($O171, $D$38:$D$45,$E$38:$E$45), _xlfn.XLOOKUP($O171, $D$50:$D$57,$E$50:$E$57), Q64,$F155)</f>
        <v>0.19018447920000001</v>
      </c>
      <c r="R171" s="52" cm="1">
        <f t="array" ref="R171">MMS_Poultry_ManureAppliedToSoils_Equations.VEERG_4_6_1_9__1_MassOfNitrogenAppliedToSoilsScope1(R24,_xlfn.XLOOKUP($O171, $D$38:$D$45,$E$38:$E$45), _xlfn.XLOOKUP($O171, $D$50:$D$57,$E$50:$E$57), R64,$F155)</f>
        <v>0.22324829759999998</v>
      </c>
      <c r="S171" s="52" cm="1">
        <f t="array" ref="S171">MMS_Poultry_ManureAppliedToSoils_Equations.VEERG_4_6_1_9__1_MassOfNitrogenAppliedToSoilsScope1(S24,_xlfn.XLOOKUP($O171, $D$38:$D$45,$E$38:$E$45), _xlfn.XLOOKUP($O171, $D$50:$D$57,$E$50:$E$57), S64,$F155)</f>
        <v>0.19018447920000001</v>
      </c>
      <c r="T171" s="2" t="str">
        <f t="shared" si="5"/>
        <v>kg N</v>
      </c>
    </row>
    <row r="172" spans="4:20" ht="20.100000000000001" customHeight="1" x14ac:dyDescent="0.25">
      <c r="D172" s="52"/>
      <c r="E172" s="52" t="str">
        <f>'Input - Poultry'!$D$41</f>
        <v>Direct processing</v>
      </c>
      <c r="F172" s="52" cm="1">
        <f t="array" ref="F172">MMS_Poultry_ManureAppliedToSoils_Equations.VEERG_4_6_1_9__1_MassOfNitrogenAppliedToSoilsScope1(F25,_xlfn.XLOOKUP($E172, $D$38:$D$45,$E$38:$E$45), _xlfn.XLOOKUP($E172, $D$50:$D$57,$E$50:$E$57), F65,$F156)</f>
        <v>0.17817789600000003</v>
      </c>
      <c r="G172" s="52" cm="1">
        <f t="array" ref="G172">MMS_Poultry_ManureAppliedToSoils_Equations.VEERG_4_6_1_9__1_MassOfNitrogenAppliedToSoilsScope1(G25,_xlfn.XLOOKUP($E172, $D$38:$D$45,$E$38:$E$45), _xlfn.XLOOKUP($E172, $D$50:$D$57,$E$50:$E$57), G65,$F156)</f>
        <v>0.19018447920000001</v>
      </c>
      <c r="H172" s="52" cm="1">
        <f t="array" ref="H172">MMS_Poultry_ManureAppliedToSoils_Equations.VEERG_4_6_1_9__1_MassOfNitrogenAppliedToSoilsScope1(H25,_xlfn.XLOOKUP($E172, $D$38:$D$45,$E$38:$E$45), _xlfn.XLOOKUP($E172, $D$50:$D$57,$E$50:$E$57), H65,$F156)</f>
        <v>0.22324829759999998</v>
      </c>
      <c r="I172" s="52" cm="1">
        <f t="array" ref="I172">MMS_Poultry_ManureAppliedToSoils_Equations.VEERG_4_6_1_9__1_MassOfNitrogenAppliedToSoilsScope1(I25,_xlfn.XLOOKUP($E172, $D$38:$D$45,$E$38:$E$45), _xlfn.XLOOKUP($E172, $D$50:$D$57,$E$50:$E$57), I65,$F156)</f>
        <v>0.19018447920000001</v>
      </c>
      <c r="J172" s="2" t="str">
        <f t="shared" si="4"/>
        <v>kg N</v>
      </c>
      <c r="N172" s="52"/>
      <c r="O172" s="52" t="str">
        <f>'Input - Poultry'!$D$41</f>
        <v>Direct processing</v>
      </c>
      <c r="P172" s="52" cm="1">
        <f t="array" ref="P172">MMS_Poultry_ManureAppliedToSoils_Equations.VEERG_4_6_1_9__1_MassOfNitrogenAppliedToSoilsScope1(P25,_xlfn.XLOOKUP($O172, $D$38:$D$45,$E$38:$E$45), _xlfn.XLOOKUP($O172, $D$50:$D$57,$E$50:$E$57), P65,$F156)</f>
        <v>0.17817789600000003</v>
      </c>
      <c r="Q172" s="52" cm="1">
        <f t="array" ref="Q172">MMS_Poultry_ManureAppliedToSoils_Equations.VEERG_4_6_1_9__1_MassOfNitrogenAppliedToSoilsScope1(Q25,_xlfn.XLOOKUP($O172, $D$38:$D$45,$E$38:$E$45), _xlfn.XLOOKUP($O172, $D$50:$D$57,$E$50:$E$57), Q65,$F156)</f>
        <v>0.19018447920000001</v>
      </c>
      <c r="R172" s="52" cm="1">
        <f t="array" ref="R172">MMS_Poultry_ManureAppliedToSoils_Equations.VEERG_4_6_1_9__1_MassOfNitrogenAppliedToSoilsScope1(R25,_xlfn.XLOOKUP($O172, $D$38:$D$45,$E$38:$E$45), _xlfn.XLOOKUP($O172, $D$50:$D$57,$E$50:$E$57), R65,$F156)</f>
        <v>0.22324829759999998</v>
      </c>
      <c r="S172" s="52" cm="1">
        <f t="array" ref="S172">MMS_Poultry_ManureAppliedToSoils_Equations.VEERG_4_6_1_9__1_MassOfNitrogenAppliedToSoilsScope1(S25,_xlfn.XLOOKUP($O172, $D$38:$D$45,$E$38:$E$45), _xlfn.XLOOKUP($O172, $D$50:$D$57,$E$50:$E$57), S65,$F156)</f>
        <v>0.19018447920000001</v>
      </c>
      <c r="T172" s="2" t="str">
        <f t="shared" si="5"/>
        <v>kg N</v>
      </c>
    </row>
    <row r="173" spans="4:20" ht="20.100000000000001" customHeight="1" x14ac:dyDescent="0.25">
      <c r="D173" s="52" t="str">
        <f>'Input - Poultry'!$D$31</f>
        <v>Belt manure removal</v>
      </c>
      <c r="E173" s="52" t="str">
        <f>'Input - Poultry'!$D$45</f>
        <v>Solid storage</v>
      </c>
      <c r="F173" s="52" cm="1">
        <f t="array" ref="F173">MMS_Poultry_ManureAppliedToSoils_Equations.VEERG_4_6_1_9__1_MassOfNitrogenAppliedToSoilsScope1(F26,_xlfn.XLOOKUP($E173, $D$38:$D$45,$E$38:$E$45), _xlfn.XLOOKUP($E173, $D$50:$D$57,$E$50:$E$57), F66,$F157)</f>
        <v>0.18747551940000004</v>
      </c>
      <c r="G173" s="52" cm="1">
        <f t="array" ref="G173">MMS_Poultry_ManureAppliedToSoils_Equations.VEERG_4_6_1_9__1_MassOfNitrogenAppliedToSoilsScope1(G26,_xlfn.XLOOKUP($E173, $D$38:$D$45,$E$38:$E$45), _xlfn.XLOOKUP($E173, $D$50:$D$57,$E$50:$E$57), G66,$F157)</f>
        <v>0.20010862637999999</v>
      </c>
      <c r="H173" s="52" cm="1">
        <f t="array" ref="H173">MMS_Poultry_ManureAppliedToSoils_Equations.VEERG_4_6_1_9__1_MassOfNitrogenAppliedToSoilsScope1(H26,_xlfn.XLOOKUP($E173, $D$38:$D$45,$E$38:$E$45), _xlfn.XLOOKUP($E173, $D$50:$D$57,$E$50:$E$57), H66,$F157)</f>
        <v>0.23489777063999998</v>
      </c>
      <c r="I173" s="52" cm="1">
        <f t="array" ref="I173">MMS_Poultry_ManureAppliedToSoils_Equations.VEERG_4_6_1_9__1_MassOfNitrogenAppliedToSoilsScope1(I26,_xlfn.XLOOKUP($E173, $D$38:$D$45,$E$38:$E$45), _xlfn.XLOOKUP($E173, $D$50:$D$57,$E$50:$E$57), I66,$F157)</f>
        <v>0.20010862637999999</v>
      </c>
      <c r="J173" s="2" t="str">
        <f t="shared" si="4"/>
        <v>kg N</v>
      </c>
      <c r="N173" s="52" t="str">
        <f>'Input - Poultry'!$D$31</f>
        <v>Belt manure removal</v>
      </c>
      <c r="O173" s="52" t="str">
        <f>'Input - Poultry'!$D$45</f>
        <v>Solid storage</v>
      </c>
      <c r="P173" s="52" cm="1">
        <f t="array" ref="P173">MMS_Poultry_ManureAppliedToSoils_Equations.VEERG_4_6_1_9__1_MassOfNitrogenAppliedToSoilsScope1(P26,_xlfn.XLOOKUP($O173, $D$38:$D$45,$E$38:$E$45), _xlfn.XLOOKUP($O173, $D$50:$D$57,$E$50:$E$57), P66,$F157)</f>
        <v>0.18747551940000004</v>
      </c>
      <c r="Q173" s="52" cm="1">
        <f t="array" ref="Q173">MMS_Poultry_ManureAppliedToSoils_Equations.VEERG_4_6_1_9__1_MassOfNitrogenAppliedToSoilsScope1(Q26,_xlfn.XLOOKUP($O173, $D$38:$D$45,$E$38:$E$45), _xlfn.XLOOKUP($O173, $D$50:$D$57,$E$50:$E$57), Q66,$F157)</f>
        <v>0.20010862637999999</v>
      </c>
      <c r="R173" s="52" cm="1">
        <f t="array" ref="R173">MMS_Poultry_ManureAppliedToSoils_Equations.VEERG_4_6_1_9__1_MassOfNitrogenAppliedToSoilsScope1(R26,_xlfn.XLOOKUP($O173, $D$38:$D$45,$E$38:$E$45), _xlfn.XLOOKUP($O173, $D$50:$D$57,$E$50:$E$57), R66,$F157)</f>
        <v>0.23489777063999998</v>
      </c>
      <c r="S173" s="52" cm="1">
        <f t="array" ref="S173">MMS_Poultry_ManureAppliedToSoils_Equations.VEERG_4_6_1_9__1_MassOfNitrogenAppliedToSoilsScope1(S26,_xlfn.XLOOKUP($O173, $D$38:$D$45,$E$38:$E$45), _xlfn.XLOOKUP($O173, $D$50:$D$57,$E$50:$E$57), S66,$F157)</f>
        <v>0.20010862637999999</v>
      </c>
      <c r="T173" s="2" t="str">
        <f t="shared" si="5"/>
        <v>kg N</v>
      </c>
    </row>
    <row r="174" spans="4:20" ht="20.100000000000001" customHeight="1" x14ac:dyDescent="0.25">
      <c r="D174" s="52"/>
      <c r="E174" s="52" t="str">
        <f>'Input - Poultry'!$D$46</f>
        <v>Composting (passive windrow)</v>
      </c>
      <c r="F174" s="52" cm="1">
        <f t="array" ref="F174">MMS_Poultry_ManureAppliedToSoils_Equations.VEERG_4_6_1_9__1_MassOfNitrogenAppliedToSoilsScope1(F27,_xlfn.XLOOKUP($E174, $D$38:$D$45,$E$38:$E$45), _xlfn.XLOOKUP($E174, $D$50:$D$57,$E$50:$E$57), F67,$F158)</f>
        <v>0.19110407784000005</v>
      </c>
      <c r="G174" s="52" cm="1">
        <f t="array" ref="G174">MMS_Poultry_ManureAppliedToSoils_Equations.VEERG_4_6_1_9__1_MassOfNitrogenAppliedToSoilsScope1(G27,_xlfn.XLOOKUP($E174, $D$38:$D$45,$E$38:$E$45), _xlfn.XLOOKUP($E174, $D$50:$D$57,$E$50:$E$57), G67,$F158)</f>
        <v>0.20398169656800003</v>
      </c>
      <c r="H174" s="52" cm="1">
        <f t="array" ref="H174">MMS_Poultry_ManureAppliedToSoils_Equations.VEERG_4_6_1_9__1_MassOfNitrogenAppliedToSoilsScope1(H27,_xlfn.XLOOKUP($E174, $D$38:$D$45,$E$38:$E$45), _xlfn.XLOOKUP($E174, $D$50:$D$57,$E$50:$E$57), H67,$F158)</f>
        <v>0.23944417910400001</v>
      </c>
      <c r="I174" s="52" cm="1">
        <f t="array" ref="I174">MMS_Poultry_ManureAppliedToSoils_Equations.VEERG_4_6_1_9__1_MassOfNitrogenAppliedToSoilsScope1(I27,_xlfn.XLOOKUP($E174, $D$38:$D$45,$E$38:$E$45), _xlfn.XLOOKUP($E174, $D$50:$D$57,$E$50:$E$57), I67,$F158)</f>
        <v>0.20398169656800003</v>
      </c>
      <c r="J174" s="2" t="str">
        <f t="shared" si="4"/>
        <v>kg N</v>
      </c>
      <c r="N174" s="52"/>
      <c r="O174" s="52" t="str">
        <f>'Input - Poultry'!$D$46</f>
        <v>Composting (passive windrow)</v>
      </c>
      <c r="P174" s="52" cm="1">
        <f t="array" ref="P174">MMS_Poultry_ManureAppliedToSoils_Equations.VEERG_4_6_1_9__1_MassOfNitrogenAppliedToSoilsScope1(P27,_xlfn.XLOOKUP($O174, $D$38:$D$45,$E$38:$E$45), _xlfn.XLOOKUP($O174, $D$50:$D$57,$E$50:$E$57), P67,$F158)</f>
        <v>0.19110407784000005</v>
      </c>
      <c r="Q174" s="52" cm="1">
        <f t="array" ref="Q174">MMS_Poultry_ManureAppliedToSoils_Equations.VEERG_4_6_1_9__1_MassOfNitrogenAppliedToSoilsScope1(Q27,_xlfn.XLOOKUP($O174, $D$38:$D$45,$E$38:$E$45), _xlfn.XLOOKUP($O174, $D$50:$D$57,$E$50:$E$57), Q67,$F158)</f>
        <v>0.20398169656800003</v>
      </c>
      <c r="R174" s="52" cm="1">
        <f t="array" ref="R174">MMS_Poultry_ManureAppliedToSoils_Equations.VEERG_4_6_1_9__1_MassOfNitrogenAppliedToSoilsScope1(R27,_xlfn.XLOOKUP($O174, $D$38:$D$45,$E$38:$E$45), _xlfn.XLOOKUP($O174, $D$50:$D$57,$E$50:$E$57), R67,$F158)</f>
        <v>0.23944417910400001</v>
      </c>
      <c r="S174" s="52" cm="1">
        <f t="array" ref="S174">MMS_Poultry_ManureAppliedToSoils_Equations.VEERG_4_6_1_9__1_MassOfNitrogenAppliedToSoilsScope1(S27,_xlfn.XLOOKUP($O174, $D$38:$D$45,$E$38:$E$45), _xlfn.XLOOKUP($O174, $D$50:$D$57,$E$50:$E$57), S67,$F158)</f>
        <v>0.20398169656800003</v>
      </c>
      <c r="T174" s="2" t="str">
        <f t="shared" si="5"/>
        <v>kg N</v>
      </c>
    </row>
    <row r="175" spans="4:20" ht="20.100000000000001" customHeight="1" x14ac:dyDescent="0.25">
      <c r="D175" s="52"/>
      <c r="E175" s="52" t="str">
        <f>'Input - Poultry'!$D$47</f>
        <v>Digester / covered lagoons</v>
      </c>
      <c r="F175" s="52" cm="1">
        <f t="array" ref="F175">MMS_Poultry_ManureAppliedToSoils_Equations.VEERG_4_6_1_9__1_MassOfNitrogenAppliedToSoilsScope1(F28,_xlfn.XLOOKUP($E175, $D$38:$D$45,$E$38:$E$45), _xlfn.XLOOKUP($E175, $D$50:$D$57,$E$50:$E$57), F68,$F159)</f>
        <v>0.24190389600000006</v>
      </c>
      <c r="G175" s="52" cm="1">
        <f t="array" ref="G175">MMS_Poultry_ManureAppliedToSoils_Equations.VEERG_4_6_1_9__1_MassOfNitrogenAppliedToSoilsScope1(G28,_xlfn.XLOOKUP($E175, $D$38:$D$45,$E$38:$E$45), _xlfn.XLOOKUP($E175, $D$50:$D$57,$E$50:$E$57), G68,$F159)</f>
        <v>0.25820467920000001</v>
      </c>
      <c r="H175" s="52" cm="1">
        <f t="array" ref="H175">MMS_Poultry_ManureAppliedToSoils_Equations.VEERG_4_6_1_9__1_MassOfNitrogenAppliedToSoilsScope1(H28,_xlfn.XLOOKUP($E175, $D$38:$D$45,$E$38:$E$45), _xlfn.XLOOKUP($E175, $D$50:$D$57,$E$50:$E$57), H68,$F159)</f>
        <v>0.3030938976</v>
      </c>
      <c r="I175" s="52" cm="1">
        <f t="array" ref="I175">MMS_Poultry_ManureAppliedToSoils_Equations.VEERG_4_6_1_9__1_MassOfNitrogenAppliedToSoilsScope1(I28,_xlfn.XLOOKUP($E175, $D$38:$D$45,$E$38:$E$45), _xlfn.XLOOKUP($E175, $D$50:$D$57,$E$50:$E$57), I68,$F159)</f>
        <v>0.25820467920000001</v>
      </c>
      <c r="J175" s="2" t="str">
        <f t="shared" si="4"/>
        <v>kg N</v>
      </c>
      <c r="N175" s="52"/>
      <c r="O175" s="52" t="str">
        <f>'Input - Poultry'!$D$47</f>
        <v>Digester / covered lagoons</v>
      </c>
      <c r="P175" s="52" cm="1">
        <f t="array" ref="P175">MMS_Poultry_ManureAppliedToSoils_Equations.VEERG_4_6_1_9__1_MassOfNitrogenAppliedToSoilsScope1(P28,_xlfn.XLOOKUP($O175, $D$38:$D$45,$E$38:$E$45), _xlfn.XLOOKUP($O175, $D$50:$D$57,$E$50:$E$57), P68,$F159)</f>
        <v>0.24190389600000006</v>
      </c>
      <c r="Q175" s="52" cm="1">
        <f t="array" ref="Q175">MMS_Poultry_ManureAppliedToSoils_Equations.VEERG_4_6_1_9__1_MassOfNitrogenAppliedToSoilsScope1(Q28,_xlfn.XLOOKUP($O175, $D$38:$D$45,$E$38:$E$45), _xlfn.XLOOKUP($O175, $D$50:$D$57,$E$50:$E$57), Q68,$F159)</f>
        <v>0.25820467920000001</v>
      </c>
      <c r="R175" s="52" cm="1">
        <f t="array" ref="R175">MMS_Poultry_ManureAppliedToSoils_Equations.VEERG_4_6_1_9__1_MassOfNitrogenAppliedToSoilsScope1(R28,_xlfn.XLOOKUP($O175, $D$38:$D$45,$E$38:$E$45), _xlfn.XLOOKUP($O175, $D$50:$D$57,$E$50:$E$57), R68,$F159)</f>
        <v>0.3030938976</v>
      </c>
      <c r="S175" s="52" cm="1">
        <f t="array" ref="S175">MMS_Poultry_ManureAppliedToSoils_Equations.VEERG_4_6_1_9__1_MassOfNitrogenAppliedToSoilsScope1(S28,_xlfn.XLOOKUP($O175, $D$38:$D$45,$E$38:$E$45), _xlfn.XLOOKUP($O175, $D$50:$D$57,$E$50:$E$57), S68,$F159)</f>
        <v>0.25820467920000001</v>
      </c>
      <c r="T175" s="2" t="str">
        <f t="shared" si="5"/>
        <v>kg N</v>
      </c>
    </row>
    <row r="176" spans="4:20" ht="20.100000000000001" customHeight="1" x14ac:dyDescent="0.25">
      <c r="D176" s="52"/>
      <c r="E176" s="52" t="str">
        <f>'Input - Poultry'!$D$48</f>
        <v>Direct processing</v>
      </c>
      <c r="F176" s="52" cm="1">
        <f t="array" ref="F176">MMS_Poultry_ManureAppliedToSoils_Equations.VEERG_4_6_1_9__1_MassOfNitrogenAppliedToSoilsScope1(F29,_xlfn.XLOOKUP($E176, $D$38:$D$45,$E$38:$E$45), _xlfn.XLOOKUP($E176, $D$50:$D$57,$E$50:$E$57), F69,$F160)</f>
        <v>0.24190389600000006</v>
      </c>
      <c r="G176" s="52" cm="1">
        <f t="array" ref="G176">MMS_Poultry_ManureAppliedToSoils_Equations.VEERG_4_6_1_9__1_MassOfNitrogenAppliedToSoilsScope1(G29,_xlfn.XLOOKUP($E176, $D$38:$D$45,$E$38:$E$45), _xlfn.XLOOKUP($E176, $D$50:$D$57,$E$50:$E$57), G69,$F160)</f>
        <v>0.25820467920000001</v>
      </c>
      <c r="H176" s="52" cm="1">
        <f t="array" ref="H176">MMS_Poultry_ManureAppliedToSoils_Equations.VEERG_4_6_1_9__1_MassOfNitrogenAppliedToSoilsScope1(H29,_xlfn.XLOOKUP($E176, $D$38:$D$45,$E$38:$E$45), _xlfn.XLOOKUP($E176, $D$50:$D$57,$E$50:$E$57), H69,$F160)</f>
        <v>0.3030938976</v>
      </c>
      <c r="I176" s="52" cm="1">
        <f t="array" ref="I176">MMS_Poultry_ManureAppliedToSoils_Equations.VEERG_4_6_1_9__1_MassOfNitrogenAppliedToSoilsScope1(I29,_xlfn.XLOOKUP($E176, $D$38:$D$45,$E$38:$E$45), _xlfn.XLOOKUP($E176, $D$50:$D$57,$E$50:$E$57), I69,$F160)</f>
        <v>0.25820467920000001</v>
      </c>
      <c r="J176" s="2" t="str">
        <f t="shared" si="4"/>
        <v>kg N</v>
      </c>
      <c r="N176" s="52"/>
      <c r="O176" s="52" t="str">
        <f>'Input - Poultry'!$D$48</f>
        <v>Direct processing</v>
      </c>
      <c r="P176" s="52" cm="1">
        <f t="array" ref="P176">MMS_Poultry_ManureAppliedToSoils_Equations.VEERG_4_6_1_9__1_MassOfNitrogenAppliedToSoilsScope1(P29,_xlfn.XLOOKUP($O176, $D$38:$D$45,$E$38:$E$45), _xlfn.XLOOKUP($O176, $D$50:$D$57,$E$50:$E$57), P69,$F160)</f>
        <v>0.24190389600000006</v>
      </c>
      <c r="Q176" s="52" cm="1">
        <f t="array" ref="Q176">MMS_Poultry_ManureAppliedToSoils_Equations.VEERG_4_6_1_9__1_MassOfNitrogenAppliedToSoilsScope1(Q29,_xlfn.XLOOKUP($O176, $D$38:$D$45,$E$38:$E$45), _xlfn.XLOOKUP($O176, $D$50:$D$57,$E$50:$E$57), Q69,$F160)</f>
        <v>0.25820467920000001</v>
      </c>
      <c r="R176" s="52" cm="1">
        <f t="array" ref="R176">MMS_Poultry_ManureAppliedToSoils_Equations.VEERG_4_6_1_9__1_MassOfNitrogenAppliedToSoilsScope1(R29,_xlfn.XLOOKUP($O176, $D$38:$D$45,$E$38:$E$45), _xlfn.XLOOKUP($O176, $D$50:$D$57,$E$50:$E$57), R69,$F160)</f>
        <v>0.3030938976</v>
      </c>
      <c r="S176" s="52" cm="1">
        <f t="array" ref="S176">MMS_Poultry_ManureAppliedToSoils_Equations.VEERG_4_6_1_9__1_MassOfNitrogenAppliedToSoilsScope1(S29,_xlfn.XLOOKUP($O176, $D$38:$D$45,$E$38:$E$45), _xlfn.XLOOKUP($O176, $D$50:$D$57,$E$50:$E$57), S69,$F160)</f>
        <v>0.25820467920000001</v>
      </c>
      <c r="T176" s="2" t="str">
        <f t="shared" si="5"/>
        <v>kg N</v>
      </c>
    </row>
    <row r="177" spans="4:20" ht="20.100000000000001" customHeight="1" x14ac:dyDescent="0.25">
      <c r="D177" s="52" t="str">
        <f>'Input - Poultry'!$D$32</f>
        <v>Manure stored in house</v>
      </c>
      <c r="E177" s="52" t="str">
        <f>'Input - Poultry'!$D$52</f>
        <v>Solid storage</v>
      </c>
      <c r="F177" s="52" cm="1">
        <f t="array" ref="F177">MMS_Poultry_ManureAppliedToSoils_Equations.VEERG_4_6_1_9__1_MassOfNitrogenAppliedToSoilsScope1(F30,_xlfn.XLOOKUP($E177, $D$38:$D$45,$E$38:$E$45), _xlfn.XLOOKUP($E177, $D$50:$D$57,$E$50:$E$57), F70,$F161)</f>
        <v>0.11833280940000002</v>
      </c>
      <c r="G177" s="52" cm="1">
        <f t="array" ref="G177">MMS_Poultry_ManureAppliedToSoils_Equations.VEERG_4_6_1_9__1_MassOfNitrogenAppliedToSoilsScope1(G30,_xlfn.XLOOKUP($E177, $D$38:$D$45,$E$38:$E$45), _xlfn.XLOOKUP($E177, $D$50:$D$57,$E$50:$E$57), G70,$F161)</f>
        <v>0.12630670937999997</v>
      </c>
      <c r="H177" s="52" cm="1">
        <f t="array" ref="H177">MMS_Poultry_ManureAppliedToSoils_Equations.VEERG_4_6_1_9__1_MassOfNitrogenAppliedToSoilsScope1(H30,_xlfn.XLOOKUP($E177, $D$38:$D$45,$E$38:$E$45), _xlfn.XLOOKUP($E177, $D$50:$D$57,$E$50:$E$57), H70,$F161)</f>
        <v>0.14826529463999996</v>
      </c>
      <c r="I177" s="52" cm="1">
        <f t="array" ref="I177">MMS_Poultry_ManureAppliedToSoils_Equations.VEERG_4_6_1_9__1_MassOfNitrogenAppliedToSoilsScope1(I30,_xlfn.XLOOKUP($E177, $D$38:$D$45,$E$38:$E$45), _xlfn.XLOOKUP($E177, $D$50:$D$57,$E$50:$E$57), I70,$F161)</f>
        <v>0.12630670937999997</v>
      </c>
      <c r="J177" s="2" t="str">
        <f t="shared" si="4"/>
        <v>kg N</v>
      </c>
      <c r="N177" s="52" t="str">
        <f>'Input - Poultry'!$D$32</f>
        <v>Manure stored in house</v>
      </c>
      <c r="O177" s="52" t="str">
        <f>'Input - Poultry'!$D$52</f>
        <v>Solid storage</v>
      </c>
      <c r="P177" s="52" cm="1">
        <f t="array" ref="P177">MMS_Poultry_ManureAppliedToSoils_Equations.VEERG_4_6_1_9__1_MassOfNitrogenAppliedToSoilsScope1(P30,_xlfn.XLOOKUP($O177, $D$38:$D$45,$E$38:$E$45), _xlfn.XLOOKUP($O177, $D$50:$D$57,$E$50:$E$57), P70,$F161)</f>
        <v>0.11833280940000002</v>
      </c>
      <c r="Q177" s="52" cm="1">
        <f t="array" ref="Q177">MMS_Poultry_ManureAppliedToSoils_Equations.VEERG_4_6_1_9__1_MassOfNitrogenAppliedToSoilsScope1(Q30,_xlfn.XLOOKUP($O177, $D$38:$D$45,$E$38:$E$45), _xlfn.XLOOKUP($O177, $D$50:$D$57,$E$50:$E$57), Q70,$F161)</f>
        <v>0.12630670937999997</v>
      </c>
      <c r="R177" s="52" cm="1">
        <f t="array" ref="R177">MMS_Poultry_ManureAppliedToSoils_Equations.VEERG_4_6_1_9__1_MassOfNitrogenAppliedToSoilsScope1(R30,_xlfn.XLOOKUP($O177, $D$38:$D$45,$E$38:$E$45), _xlfn.XLOOKUP($O177, $D$50:$D$57,$E$50:$E$57), R70,$F161)</f>
        <v>0.14826529463999996</v>
      </c>
      <c r="S177" s="52" cm="1">
        <f t="array" ref="S177">MMS_Poultry_ManureAppliedToSoils_Equations.VEERG_4_6_1_9__1_MassOfNitrogenAppliedToSoilsScope1(S30,_xlfn.XLOOKUP($O177, $D$38:$D$45,$E$38:$E$45), _xlfn.XLOOKUP($O177, $D$50:$D$57,$E$50:$E$57), S70,$F161)</f>
        <v>0.12630670937999997</v>
      </c>
      <c r="T177" s="2" t="str">
        <f t="shared" si="5"/>
        <v>kg N</v>
      </c>
    </row>
    <row r="178" spans="4:20" ht="20.100000000000001" customHeight="1" x14ac:dyDescent="0.25">
      <c r="D178" s="52"/>
      <c r="E178" s="52" t="str">
        <f>'Input - Poultry'!$D$53</f>
        <v>Composting (passive windrow)</v>
      </c>
      <c r="F178" s="52" cm="1">
        <f t="array" ref="F178">MMS_Poultry_ManureAppliedToSoils_Equations.VEERG_4_6_1_9__1_MassOfNitrogenAppliedToSoilsScope1(F31,_xlfn.XLOOKUP($E178, $D$38:$D$45,$E$38:$E$45), _xlfn.XLOOKUP($E178, $D$50:$D$57,$E$50:$E$57), F71,$F162)</f>
        <v>0.12062312184000003</v>
      </c>
      <c r="G178" s="52" cm="1">
        <f t="array" ref="G178">MMS_Poultry_ManureAppliedToSoils_Equations.VEERG_4_6_1_9__1_MassOfNitrogenAppliedToSoilsScope1(G31,_xlfn.XLOOKUP($E178, $D$38:$D$45,$E$38:$E$45), _xlfn.XLOOKUP($E178, $D$50:$D$57,$E$50:$E$57), G71,$F162)</f>
        <v>0.128751355368</v>
      </c>
      <c r="H178" s="52" cm="1">
        <f t="array" ref="H178">MMS_Poultry_ManureAppliedToSoils_Equations.VEERG_4_6_1_9__1_MassOfNitrogenAppliedToSoilsScope1(H31,_xlfn.XLOOKUP($E178, $D$38:$D$45,$E$38:$E$45), _xlfn.XLOOKUP($E178, $D$50:$D$57,$E$50:$E$57), H71,$F162)</f>
        <v>0.15113494550399997</v>
      </c>
      <c r="I178" s="52" cm="1">
        <f t="array" ref="I178">MMS_Poultry_ManureAppliedToSoils_Equations.VEERG_4_6_1_9__1_MassOfNitrogenAppliedToSoilsScope1(I31,_xlfn.XLOOKUP($E178, $D$38:$D$45,$E$38:$E$45), _xlfn.XLOOKUP($E178, $D$50:$D$57,$E$50:$E$57), I71,$F162)</f>
        <v>0.128751355368</v>
      </c>
      <c r="J178" s="2" t="str">
        <f t="shared" si="4"/>
        <v>kg N</v>
      </c>
      <c r="N178" s="52"/>
      <c r="O178" s="52" t="str">
        <f>'Input - Poultry'!$D$53</f>
        <v>Composting (passive windrow)</v>
      </c>
      <c r="P178" s="52" cm="1">
        <f t="array" ref="P178">MMS_Poultry_ManureAppliedToSoils_Equations.VEERG_4_6_1_9__1_MassOfNitrogenAppliedToSoilsScope1(P31,_xlfn.XLOOKUP($O178, $D$38:$D$45,$E$38:$E$45), _xlfn.XLOOKUP($O178, $D$50:$D$57,$E$50:$E$57), P71,$F162)</f>
        <v>0.12062312184000003</v>
      </c>
      <c r="Q178" s="52" cm="1">
        <f t="array" ref="Q178">MMS_Poultry_ManureAppliedToSoils_Equations.VEERG_4_6_1_9__1_MassOfNitrogenAppliedToSoilsScope1(Q31,_xlfn.XLOOKUP($O178, $D$38:$D$45,$E$38:$E$45), _xlfn.XLOOKUP($O178, $D$50:$D$57,$E$50:$E$57), Q71,$F162)</f>
        <v>0.128751355368</v>
      </c>
      <c r="R178" s="52" cm="1">
        <f t="array" ref="R178">MMS_Poultry_ManureAppliedToSoils_Equations.VEERG_4_6_1_9__1_MassOfNitrogenAppliedToSoilsScope1(R31,_xlfn.XLOOKUP($O178, $D$38:$D$45,$E$38:$E$45), _xlfn.XLOOKUP($O178, $D$50:$D$57,$E$50:$E$57), R71,$F162)</f>
        <v>0.15113494550399997</v>
      </c>
      <c r="S178" s="52" cm="1">
        <f t="array" ref="S178">MMS_Poultry_ManureAppliedToSoils_Equations.VEERG_4_6_1_9__1_MassOfNitrogenAppliedToSoilsScope1(S31,_xlfn.XLOOKUP($O178, $D$38:$D$45,$E$38:$E$45), _xlfn.XLOOKUP($O178, $D$50:$D$57,$E$50:$E$57), S71,$F162)</f>
        <v>0.128751355368</v>
      </c>
      <c r="T178" s="2" t="str">
        <f t="shared" si="5"/>
        <v>kg N</v>
      </c>
    </row>
    <row r="179" spans="4:20" ht="20.100000000000001" customHeight="1" x14ac:dyDescent="0.25">
      <c r="D179" s="52"/>
      <c r="E179" s="52" t="str">
        <f>'Input - Poultry'!$D$54</f>
        <v>Digester / covered lagoons</v>
      </c>
      <c r="F179" s="52" cm="1">
        <f t="array" ref="F179">MMS_Poultry_ManureAppliedToSoils_Equations.VEERG_4_6_1_9__1_MassOfNitrogenAppliedToSoilsScope1(F32,_xlfn.XLOOKUP($E179, $D$38:$D$45,$E$38:$E$45), _xlfn.XLOOKUP($E179, $D$50:$D$57,$E$50:$E$57), F72,$F163)</f>
        <v>0.15268749600000003</v>
      </c>
      <c r="G179" s="52" cm="1">
        <f t="array" ref="G179">MMS_Poultry_ManureAppliedToSoils_Equations.VEERG_4_6_1_9__1_MassOfNitrogenAppliedToSoilsScope1(G32,_xlfn.XLOOKUP($E179, $D$38:$D$45,$E$38:$E$45), _xlfn.XLOOKUP($E179, $D$50:$D$57,$E$50:$E$57), G72,$F163)</f>
        <v>0.16297639919999998</v>
      </c>
      <c r="H179" s="52" cm="1">
        <f t="array" ref="H179">MMS_Poultry_ManureAppliedToSoils_Equations.VEERG_4_6_1_9__1_MassOfNitrogenAppliedToSoilsScope1(H32,_xlfn.XLOOKUP($E179, $D$38:$D$45,$E$38:$E$45), _xlfn.XLOOKUP($E179, $D$50:$D$57,$E$50:$E$57), H72,$F163)</f>
        <v>0.19131005759999997</v>
      </c>
      <c r="I179" s="52" cm="1">
        <f t="array" ref="I179">MMS_Poultry_ManureAppliedToSoils_Equations.VEERG_4_6_1_9__1_MassOfNitrogenAppliedToSoilsScope1(I32,_xlfn.XLOOKUP($E179, $D$38:$D$45,$E$38:$E$45), _xlfn.XLOOKUP($E179, $D$50:$D$57,$E$50:$E$57), I72,$F163)</f>
        <v>0.16297639919999998</v>
      </c>
      <c r="J179" s="2" t="str">
        <f t="shared" si="4"/>
        <v>kg N</v>
      </c>
      <c r="N179" s="52"/>
      <c r="O179" s="52" t="str">
        <f>'Input - Poultry'!$D$54</f>
        <v>Digester / covered lagoons</v>
      </c>
      <c r="P179" s="52" cm="1">
        <f t="array" ref="P179">MMS_Poultry_ManureAppliedToSoils_Equations.VEERG_4_6_1_9__1_MassOfNitrogenAppliedToSoilsScope1(P32,_xlfn.XLOOKUP($O179, $D$38:$D$45,$E$38:$E$45), _xlfn.XLOOKUP($O179, $D$50:$D$57,$E$50:$E$57), P72,$F163)</f>
        <v>0.15268749600000003</v>
      </c>
      <c r="Q179" s="52" cm="1">
        <f t="array" ref="Q179">MMS_Poultry_ManureAppliedToSoils_Equations.VEERG_4_6_1_9__1_MassOfNitrogenAppliedToSoilsScope1(Q32,_xlfn.XLOOKUP($O179, $D$38:$D$45,$E$38:$E$45), _xlfn.XLOOKUP($O179, $D$50:$D$57,$E$50:$E$57), Q72,$F163)</f>
        <v>0.16297639919999998</v>
      </c>
      <c r="R179" s="52" cm="1">
        <f t="array" ref="R179">MMS_Poultry_ManureAppliedToSoils_Equations.VEERG_4_6_1_9__1_MassOfNitrogenAppliedToSoilsScope1(R32,_xlfn.XLOOKUP($O179, $D$38:$D$45,$E$38:$E$45), _xlfn.XLOOKUP($O179, $D$50:$D$57,$E$50:$E$57), R72,$F163)</f>
        <v>0.19131005759999997</v>
      </c>
      <c r="S179" s="52" cm="1">
        <f t="array" ref="S179">MMS_Poultry_ManureAppliedToSoils_Equations.VEERG_4_6_1_9__1_MassOfNitrogenAppliedToSoilsScope1(S32,_xlfn.XLOOKUP($O179, $D$38:$D$45,$E$38:$E$45), _xlfn.XLOOKUP($O179, $D$50:$D$57,$E$50:$E$57), S72,$F163)</f>
        <v>0.16297639919999998</v>
      </c>
      <c r="T179" s="2" t="str">
        <f t="shared" si="5"/>
        <v>kg N</v>
      </c>
    </row>
    <row r="180" spans="4:20" ht="20.100000000000001" customHeight="1" x14ac:dyDescent="0.25">
      <c r="D180" s="52"/>
      <c r="E180" s="52" t="str">
        <f>'Input - Poultry'!$D$55</f>
        <v>Direct processing</v>
      </c>
      <c r="F180" s="52" cm="1">
        <f t="array" ref="F180">MMS_Poultry_ManureAppliedToSoils_Equations.VEERG_4_6_1_9__1_MassOfNitrogenAppliedToSoilsScope1(F33,_xlfn.XLOOKUP($E180, $D$38:$D$45,$E$38:$E$45), _xlfn.XLOOKUP($E180, $D$50:$D$57,$E$50:$E$57), F73,$F164)</f>
        <v>0.15268749600000003</v>
      </c>
      <c r="G180" s="52" cm="1">
        <f t="array" ref="G180">MMS_Poultry_ManureAppliedToSoils_Equations.VEERG_4_6_1_9__1_MassOfNitrogenAppliedToSoilsScope1(G33,_xlfn.XLOOKUP($E180, $D$38:$D$45,$E$38:$E$45), _xlfn.XLOOKUP($E180, $D$50:$D$57,$E$50:$E$57), G73,$F164)</f>
        <v>0.16297639919999998</v>
      </c>
      <c r="H180" s="52" cm="1">
        <f t="array" ref="H180">MMS_Poultry_ManureAppliedToSoils_Equations.VEERG_4_6_1_9__1_MassOfNitrogenAppliedToSoilsScope1(H33,_xlfn.XLOOKUP($E180, $D$38:$D$45,$E$38:$E$45), _xlfn.XLOOKUP($E180, $D$50:$D$57,$E$50:$E$57), H73,$F164)</f>
        <v>0.19131005759999997</v>
      </c>
      <c r="I180" s="52" cm="1">
        <f t="array" ref="I180">MMS_Poultry_ManureAppliedToSoils_Equations.VEERG_4_6_1_9__1_MassOfNitrogenAppliedToSoilsScope1(I33,_xlfn.XLOOKUP($E180, $D$38:$D$45,$E$38:$E$45), _xlfn.XLOOKUP($E180, $D$50:$D$57,$E$50:$E$57), I73,$F164)</f>
        <v>0.16297639919999998</v>
      </c>
      <c r="J180" s="2" t="str">
        <f t="shared" si="4"/>
        <v>kg N</v>
      </c>
      <c r="N180" s="52"/>
      <c r="O180" s="52" t="str">
        <f>'Input - Poultry'!$D$55</f>
        <v>Direct processing</v>
      </c>
      <c r="P180" s="52" cm="1">
        <f t="array" ref="P180">MMS_Poultry_ManureAppliedToSoils_Equations.VEERG_4_6_1_9__1_MassOfNitrogenAppliedToSoilsScope1(P33,_xlfn.XLOOKUP($O180, $D$38:$D$45,$E$38:$E$45), _xlfn.XLOOKUP($O180, $D$50:$D$57,$E$50:$E$57), P73,$F164)</f>
        <v>0.15268749600000003</v>
      </c>
      <c r="Q180" s="52" cm="1">
        <f t="array" ref="Q180">MMS_Poultry_ManureAppliedToSoils_Equations.VEERG_4_6_1_9__1_MassOfNitrogenAppliedToSoilsScope1(Q33,_xlfn.XLOOKUP($O180, $D$38:$D$45,$E$38:$E$45), _xlfn.XLOOKUP($O180, $D$50:$D$57,$E$50:$E$57), Q73,$F164)</f>
        <v>0.16297639919999998</v>
      </c>
      <c r="R180" s="52" cm="1">
        <f t="array" ref="R180">MMS_Poultry_ManureAppliedToSoils_Equations.VEERG_4_6_1_9__1_MassOfNitrogenAppliedToSoilsScope1(R33,_xlfn.XLOOKUP($O180, $D$38:$D$45,$E$38:$E$45), _xlfn.XLOOKUP($O180, $D$50:$D$57,$E$50:$E$57), R73,$F164)</f>
        <v>0.19131005759999997</v>
      </c>
      <c r="S180" s="52" cm="1">
        <f t="array" ref="S180">MMS_Poultry_ManureAppliedToSoils_Equations.VEERG_4_6_1_9__1_MassOfNitrogenAppliedToSoilsScope1(S33,_xlfn.XLOOKUP($O180, $D$38:$D$45,$E$38:$E$45), _xlfn.XLOOKUP($O180, $D$50:$D$57,$E$50:$E$57), S73,$F164)</f>
        <v>0.16297639919999998</v>
      </c>
      <c r="T180" s="2" t="str">
        <f t="shared" si="5"/>
        <v>kg N</v>
      </c>
    </row>
    <row r="181" spans="4:20" ht="20.100000000000001" customHeight="1" x14ac:dyDescent="0.25"/>
    <row r="182" spans="4:20" ht="20.100000000000001" customHeight="1" x14ac:dyDescent="0.25">
      <c r="D182" s="101" t="s">
        <v>184</v>
      </c>
      <c r="E182" s="102">
        <f>SUM(F169:I180)</f>
        <v>8.9593892186400037</v>
      </c>
      <c r="F182" s="103" t="str">
        <f>$E$11</f>
        <v>kg N</v>
      </c>
      <c r="N182" s="101" t="s">
        <v>184</v>
      </c>
      <c r="O182" s="102">
        <f>SUM(P169:S180)</f>
        <v>8.9593892186400037</v>
      </c>
      <c r="P182" s="103" t="str">
        <f>$E$11</f>
        <v>kg N</v>
      </c>
    </row>
    <row r="183" spans="4:20" ht="20.100000000000001" customHeight="1" x14ac:dyDescent="0.25"/>
    <row r="184" spans="4:20" ht="20.100000000000001" customHeight="1" x14ac:dyDescent="0.25"/>
    <row r="185" spans="4:20" ht="20.100000000000001" customHeight="1" x14ac:dyDescent="0.25"/>
    <row r="186" spans="4:20" ht="20.100000000000001" customHeight="1" x14ac:dyDescent="0.25"/>
    <row r="187" spans="4:20" ht="20.100000000000001" customHeight="1" x14ac:dyDescent="0.25"/>
    <row r="188" spans="4:20" ht="20.100000000000001" customHeight="1" x14ac:dyDescent="0.25"/>
    <row r="189" spans="4:20" ht="20.100000000000001" customHeight="1" x14ac:dyDescent="0.25"/>
  </sheetData>
  <dataValidations disablePrompts="1" count="1">
    <dataValidation operator="equal" allowBlank="1" showInputMessage="1" showErrorMessage="1" sqref="F20:I20 I19:J19 P20:S20 S19:T19 F60:I60 I59:J59 P60:S60 S59:T59 F76:I76 I75:J75 F92:I92 I91:J91 P92:S92 S91:T91 F126:I126 I125:J125 P126:S126 S125:T125 F167:I167 I166:J166 P167:S167 S166:T166" xr:uid="{98AE689F-4F9F-4989-8AA0-0810EE6C8D22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8CAA-37E5-4BAE-9930-6B8B8DEFF42D}">
  <dimension ref="A1:S165"/>
  <sheetViews>
    <sheetView showGridLines="0" workbookViewId="0">
      <selection activeCell="A16" sqref="A1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320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102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MMS_Poultry_Soil_N2ODirect_Equations.VEERG_4_6_1_10__1_DirectNitrousOxideEmissionsFromPoultryManure_Title()</f>
        <v>Direct nitrous oxide emissions from poultry manure on pasture</v>
      </c>
    </row>
    <row r="6" spans="1:19" ht="20.100000000000001" customHeight="1" x14ac:dyDescent="0.25">
      <c r="A6" s="20" t="s">
        <v>3</v>
      </c>
      <c r="D6" s="5" t="str" cm="1">
        <f t="array" ref="D6">MMS_Poultry_Soil_N2ODirect_Equations.VEERG_4_6_1_10__1_DirectNitrousOxideEmissionsFromPoultryManure_Source()</f>
        <v>VEERG 2026: 4.6.1.10, Equation (1)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Common_InputFunctions.Utility_DisplayFunctionName(E25)</f>
        <v>=MMS_Poultry_Soil_N2ODirect_Equations.VEERG_4_6_1_10__1_DirectNitrousOxideEmissionsFromPoultryManure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MMS_Poultry_Soil_N2ODirect_Equations.VEERG_4_6_1_10__1_DirectNitrousOxideEmissionsFromPoultryManure_Variable()</f>
        <v>EM_N2OPRPdir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MMS_Poultry_Soil_N2ODirect_Equations.VEERG_4_6_1_10__1_DirectNitrousOxideEmissionsFromPoultryManure_Unit()</f>
        <v>t N2O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Soil atm. deposition")</f>
        <v>4.6.1.5-6 Soil atm. deposition</v>
      </c>
      <c r="D13" s="108" t="str" cm="1">
        <f t="array" ref="D13:E15">MMS_Poultry_Soil_N2ODirect_Equations.VEERG_4_6_1_10__1_DirectNitrousOxideEmissionsFromPoultryManure_Arguments()</f>
        <v>MN_jkm14T1</v>
      </c>
      <c r="E13" s="110" t="str">
        <v>mass of nitrogen excreted directly on pasture by poultry class and subclass (kg N)</v>
      </c>
      <c r="F13" s="117"/>
      <c r="G13" s="109"/>
      <c r="H13" s="108" t="str">
        <f>"See " &amp; D17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108" t="str">
        <v>EF_PRP</v>
      </c>
      <c r="E14" s="110" t="str">
        <v>nitrous oxide emission factor for manure deposited on pasture (kg N2O-N/kg N deposited)</v>
      </c>
      <c r="F14" s="117"/>
      <c r="G14" s="109"/>
      <c r="H14" s="108">
        <f>_xlfn.XLOOKUP(D20,Table_SourceData_Poultry_EFmT[NIR reference],Table_SourceData_Poultry_EFmT[EFmT])</f>
        <v>0.02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  <c r="D15" s="108" t="str">
        <v>C_N2O</v>
      </c>
      <c r="E15" s="110" t="str">
        <v>factor to convert elemental mass of N2O to molecular mass</v>
      </c>
      <c r="F15" s="117"/>
      <c r="G15" s="109"/>
      <c r="H15" s="57">
        <f>Common_InputFunctions.Utility_LookupValueInTableNumber("N2O",Table_GasToMolecularConversionFactor[Gas],Table_GasToMolecularConversionFactor[Conversion factor combined])</f>
        <v>1.5714285714285714</v>
      </c>
    </row>
    <row r="16" spans="1:19" ht="20.100000000000001" customHeight="1" x14ac:dyDescent="0.25">
      <c r="A16" s="138" t="str">
        <f>HYPERLINK("#'4.6.1.10-11 Soil direct N2O'!A1", "4.6.1.10-11 Soil direct N2O")</f>
        <v>4.6.1.10-11 Soil direct N2O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99" t="s">
        <v>321</v>
      </c>
      <c r="M17" s="99" t="s">
        <v>321</v>
      </c>
    </row>
    <row r="18" spans="1:1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98" t="s">
        <v>322</v>
      </c>
      <c r="M18" s="98" t="s">
        <v>323</v>
      </c>
    </row>
    <row r="19" spans="1:18" ht="20.100000000000001" customHeight="1" x14ac:dyDescent="0.25">
      <c r="D19" s="51" t="s">
        <v>143</v>
      </c>
      <c r="E19" s="51" t="s">
        <v>209</v>
      </c>
      <c r="F19" s="51" t="s">
        <v>210</v>
      </c>
      <c r="G19" s="51" t="s">
        <v>224</v>
      </c>
      <c r="H19" s="51" t="s">
        <v>225</v>
      </c>
      <c r="M19" s="51" t="s">
        <v>143</v>
      </c>
      <c r="N19" s="51" t="s">
        <v>209</v>
      </c>
      <c r="O19" s="51" t="s">
        <v>210</v>
      </c>
      <c r="P19" s="51" t="s">
        <v>224</v>
      </c>
      <c r="Q19" s="51" t="s">
        <v>225</v>
      </c>
    </row>
    <row r="20" spans="1:18" ht="20.100000000000001" customHeight="1" x14ac:dyDescent="0.25">
      <c r="A20" s="18" t="s">
        <v>4</v>
      </c>
      <c r="D20" s="52" t="str">
        <f>'Input - Poultry'!$D$33</f>
        <v>Pasture range and paddock</v>
      </c>
      <c r="E20" s="52">
        <f>'4.6.1.3-4 Direct N20'!E111</f>
        <v>1.6993600000000004</v>
      </c>
      <c r="F20" s="52">
        <f>'4.6.1.3-4 Direct N20'!F111</f>
        <v>1.8138719999999999</v>
      </c>
      <c r="G20" s="52">
        <f>'4.6.1.3-4 Direct N20'!G111</f>
        <v>2.129216</v>
      </c>
      <c r="H20" s="52">
        <f>'4.6.1.3-4 Direct N20'!H111</f>
        <v>1.8138719999999999</v>
      </c>
      <c r="I20" s="2" t="s">
        <v>168</v>
      </c>
      <c r="M20" s="52" t="str">
        <f>'Input - Poultry'!$D$33</f>
        <v>Pasture range and paddock</v>
      </c>
      <c r="N20" s="52">
        <f>'4.6.1.3-4 Direct N20'!O111</f>
        <v>1.6993600000000004</v>
      </c>
      <c r="O20" s="52">
        <f>'4.6.1.3-4 Direct N20'!P111</f>
        <v>1.8138719999999999</v>
      </c>
      <c r="P20" s="52">
        <f>'4.6.1.3-4 Direct N20'!Q111</f>
        <v>2.129216</v>
      </c>
      <c r="Q20" s="52">
        <f>'4.6.1.3-4 Direct N20'!R111</f>
        <v>1.8138719999999999</v>
      </c>
      <c r="R20" s="2" t="s">
        <v>168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99" t="s">
        <v>324</v>
      </c>
      <c r="M22" s="99" t="s">
        <v>324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98" t="s">
        <v>325</v>
      </c>
      <c r="M23" s="98" t="s">
        <v>325</v>
      </c>
    </row>
    <row r="24" spans="1:18" ht="20.100000000000001" customHeight="1" x14ac:dyDescent="0.25">
      <c r="A24" s="17" t="str">
        <f>HYPERLINK("#'Acknowledgements'!A1", "Acknowledgements")</f>
        <v>Acknowledgements</v>
      </c>
      <c r="D24" s="51" t="s">
        <v>143</v>
      </c>
      <c r="E24" s="51" t="s">
        <v>209</v>
      </c>
      <c r="F24" s="51" t="s">
        <v>210</v>
      </c>
      <c r="G24" s="51" t="s">
        <v>224</v>
      </c>
      <c r="H24" s="51" t="s">
        <v>225</v>
      </c>
      <c r="M24" s="51" t="s">
        <v>143</v>
      </c>
      <c r="N24" s="51" t="s">
        <v>209</v>
      </c>
      <c r="O24" s="51" t="s">
        <v>210</v>
      </c>
      <c r="P24" s="51" t="s">
        <v>224</v>
      </c>
      <c r="Q24" s="51" t="s">
        <v>225</v>
      </c>
    </row>
    <row r="25" spans="1:18" ht="20.100000000000001" customHeight="1" x14ac:dyDescent="0.25">
      <c r="D25" s="52" t="str">
        <f>'Input - Poultry'!$D$33</f>
        <v>Pasture range and paddock</v>
      </c>
      <c r="E25" s="52" cm="1">
        <f t="array" ref="E25">MMS_Poultry_Soil_N2ODirect_Equations.VEERG_4_6_1_10__1_DirectNitrousOxideEmissionsFromPoultryManure(E20,$H$14,$H$15)</f>
        <v>5.3408457142857159E-5</v>
      </c>
      <c r="F25" s="52" cm="1">
        <f t="array" ref="F25">MMS_Poultry_Soil_N2ODirect_Equations.VEERG_4_6_1_10__1_DirectNitrousOxideEmissionsFromPoultryManure(F20,$H$14,$H$15)</f>
        <v>5.700740571428572E-5</v>
      </c>
      <c r="G25" s="52" cm="1">
        <f t="array" ref="G25">MMS_Poultry_Soil_N2ODirect_Equations.VEERG_4_6_1_10__1_DirectNitrousOxideEmissionsFromPoultryManure(G20,$H$14,$H$15)</f>
        <v>6.6918217142857147E-5</v>
      </c>
      <c r="H25" s="52" cm="1">
        <f t="array" ref="H25">MMS_Poultry_Soil_N2ODirect_Equations.VEERG_4_6_1_10__1_DirectNitrousOxideEmissionsFromPoultryManure(H20,$H$14,$H$15)</f>
        <v>5.700740571428572E-5</v>
      </c>
      <c r="I25" s="2" t="str">
        <f>$E$11</f>
        <v>t N2O</v>
      </c>
      <c r="M25" s="52" t="str">
        <f>'Input - Poultry'!$D$33</f>
        <v>Pasture range and paddock</v>
      </c>
      <c r="N25" s="52" cm="1">
        <f t="array" ref="N25">MMS_Poultry_Soil_N2ODirect_Equations.VEERG_4_6_1_10__1_DirectNitrousOxideEmissionsFromPoultryManure(N20,$H$14,$H$15)</f>
        <v>5.3408457142857159E-5</v>
      </c>
      <c r="O25" s="52" cm="1">
        <f t="array" ref="O25">MMS_Poultry_Soil_N2ODirect_Equations.VEERG_4_6_1_10__1_DirectNitrousOxideEmissionsFromPoultryManure(O20,$H$14,$H$15)</f>
        <v>5.700740571428572E-5</v>
      </c>
      <c r="P25" s="52" cm="1">
        <f t="array" ref="P25">MMS_Poultry_Soil_N2ODirect_Equations.VEERG_4_6_1_10__1_DirectNitrousOxideEmissionsFromPoultryManure(P20,$H$14,$H$15)</f>
        <v>6.6918217142857147E-5</v>
      </c>
      <c r="Q25" s="52" cm="1">
        <f t="array" ref="Q25">MMS_Poultry_Soil_N2ODirect_Equations.VEERG_4_6_1_10__1_DirectNitrousOxideEmissionsFromPoultryManure(Q20,$H$14,$H$15)</f>
        <v>5.700740571428572E-5</v>
      </c>
      <c r="R25" s="2" t="s">
        <v>168</v>
      </c>
    </row>
    <row r="26" spans="1:18" ht="20.100000000000001" customHeight="1" x14ac:dyDescent="0.25"/>
    <row r="27" spans="1:18" ht="20.100000000000001" customHeight="1" x14ac:dyDescent="0.25">
      <c r="D27" s="101" t="s">
        <v>326</v>
      </c>
      <c r="E27" s="102">
        <f>SUM(E25:H25)</f>
        <v>2.3434148571428574E-4</v>
      </c>
      <c r="F27" s="103" t="str">
        <f>$E$11</f>
        <v>t N2O</v>
      </c>
      <c r="M27" s="101" t="s">
        <v>326</v>
      </c>
      <c r="N27" s="102">
        <f>SUM(N25:Q25)</f>
        <v>2.3434148571428574E-4</v>
      </c>
      <c r="O27" s="103" t="str">
        <f>$E$11</f>
        <v>t N2O</v>
      </c>
    </row>
    <row r="28" spans="1:18" ht="20.100000000000001" customHeight="1" x14ac:dyDescent="0.25"/>
    <row r="29" spans="1:18" ht="20.100000000000001" customHeight="1" x14ac:dyDescent="0.25">
      <c r="D29" s="57" t="str" cm="1">
        <f t="array" ref="D29:E30">Common_Equations.Common_ConvertN2OToCO2e_Arguments()</f>
        <v>EN2O</v>
      </c>
      <c r="E29" s="58" t="str">
        <v>Nitrous oxide emissions (t N2O)</v>
      </c>
      <c r="F29" s="104"/>
      <c r="G29" s="52">
        <f>E27</f>
        <v>2.3434148571428574E-4</v>
      </c>
      <c r="M29" s="57" t="str" cm="1">
        <f t="array" ref="M29:N30">Common_Equations.Common_ConvertN2OToCO2e_Arguments()</f>
        <v>EN2O</v>
      </c>
      <c r="N29" s="58" t="str">
        <v>Nitrous oxide emissions (t N2O)</v>
      </c>
      <c r="O29" s="104"/>
      <c r="P29" s="52">
        <f>N27</f>
        <v>2.3434148571428574E-4</v>
      </c>
    </row>
    <row r="30" spans="1:18" ht="20.100000000000001" customHeight="1" x14ac:dyDescent="0.25">
      <c r="D30" s="57" t="str">
        <v>GWPN2O</v>
      </c>
      <c r="E30" s="58" t="str">
        <v>Global warming potential for nitrous oxide (t CO2-e / t N2O)</v>
      </c>
      <c r="F30" s="104"/>
      <c r="G30" s="52">
        <f>Common_InputFunctions.Utility_LookupValueInTableNumber("N2O",[3]!Table_GWPData[Gas],[3]!Table_GWPData[CO2-e factor])</f>
        <v>265</v>
      </c>
      <c r="M30" s="57" t="str">
        <v>GWPN2O</v>
      </c>
      <c r="N30" s="58" t="str">
        <v>Global warming potential for nitrous oxide (t CO2-e / t N2O)</v>
      </c>
      <c r="O30" s="104"/>
      <c r="P30" s="52">
        <f>Common_InputFunctions.Utility_LookupValueInTableNumber("N2O",[3]!Table_GWPData[Gas],[3]!Table_GWPData[CO2-e factor])</f>
        <v>265</v>
      </c>
    </row>
    <row r="31" spans="1:18" ht="20.100000000000001" customHeight="1" x14ac:dyDescent="0.25"/>
    <row r="32" spans="1:18" ht="20.100000000000001" customHeight="1" x14ac:dyDescent="0.25">
      <c r="D32" s="45" t="s">
        <v>100</v>
      </c>
      <c r="E32" s="45" cm="1">
        <f t="array" ref="E32">Common_Equations.Common_ConvertN2OToCO2e(G29,G30)</f>
        <v>6.2100493714285721E-2</v>
      </c>
      <c r="F32" s="105" t="str" cm="1">
        <f t="array" ref="F32">Common_Equations.Common_ConvertN2OToCO2e_Unit()</f>
        <v>t CO2e</v>
      </c>
      <c r="M32" s="45" t="s">
        <v>100</v>
      </c>
      <c r="N32" s="45" cm="1">
        <f t="array" ref="N32">Common_Equations.Common_ConvertN2OToCO2e(P29,P30)</f>
        <v>6.2100493714285721E-2</v>
      </c>
      <c r="O32" s="105" t="str" cm="1">
        <f t="array" ref="O32">Common_Equations.Common_ConvertN2OToCO2e_Unit()</f>
        <v>t CO2e</v>
      </c>
    </row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F7F7-5E6B-427F-A1C9-B323ECC5AE66}">
  <dimension ref="A1:S165"/>
  <sheetViews>
    <sheetView showGridLines="0" workbookViewId="0">
      <selection activeCell="A17" sqref="A1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327</v>
      </c>
    </row>
    <row r="2" spans="1:19" s="9" customFormat="1" ht="20.100000000000001" customHeight="1" x14ac:dyDescent="0.25">
      <c r="A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102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MMS_Poultry_Soil_AtmosphericDeposition_Equations.VEERG_4_6_1_12__2_MassOfNitrogenVolatilisedFromPoultryManureOnPasture_Title()</f>
        <v>Mass of nitrogen volatilised from poultry manure deposited on pasture</v>
      </c>
    </row>
    <row r="6" spans="1:19" ht="20.100000000000001" customHeight="1" x14ac:dyDescent="0.25">
      <c r="A6" s="20" t="s">
        <v>3</v>
      </c>
      <c r="D6" s="5" t="str" cm="1">
        <f t="array" ref="D6">MMS_Poultry_Soil_AtmosphericDeposition_Equations.VEERG_4_6_1_12__2_MassOfNitrogenVolatilisedFromPoultryManureOnPasture_Source()</f>
        <v>VEERG 2026: 4.6.1.12,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Common_InputFunctions.Utility_DisplayFunctionName(E24)</f>
        <v>=MMS_Poultry_Soil_AtmosphericDeposition_Equations.VEERG_4_6_1_12__2_MassOfNitrogenVolatilisedFromPoultryManureOnPasture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MMS_Poultry_Soil_AtmosphericDeposition_Equations.VEERG_4_6_1_12__2_MassOfNitrogenVolatilisedFromPoultryManureOnPasture_Variable()</f>
        <v>M_vol_m14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MMS_Poultry_Soil_AtmosphericDeposition_Equations.VEERG_4_6_1_12__2_MassOfNitrogenVolatilisedFromPoultryManureOnPasture_Unit()</f>
        <v>kg N</v>
      </c>
      <c r="G11" s="107" t="s">
        <v>329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Soil atm. deposition")</f>
        <v>4.6.1.5-6 Soil atm. deposition</v>
      </c>
      <c r="D13" s="108" t="str" cm="1">
        <f t="array" ref="D13:E14">MMS_Poultry_Soil_AtmosphericDeposition_Equations.VEERG_4_6_1_12__2_MassOfNitrogenVolatilisedFromPoultryManureOnPasture_Arguments()</f>
        <v>MN_jkm14T1</v>
      </c>
      <c r="E13" s="110" t="str">
        <v>mass of nitrogen excreted directly on pasture by poultry class and subclass (kg N)</v>
      </c>
      <c r="F13" s="117"/>
      <c r="G13" s="109"/>
      <c r="H13" s="108" t="str">
        <f>"See " &amp; D16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108" t="str">
        <v>FracGASMsoil</v>
      </c>
      <c r="E14" s="110" t="str">
        <v>fraction of nitrogen volatilised from manure deposited on pasture ((kg NH3-N + NOx-N)/kg N)</v>
      </c>
      <c r="F14" s="117"/>
      <c r="G14" s="109"/>
      <c r="H14" s="145">
        <v>0.21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</row>
    <row r="16" spans="1:19" ht="20.100000000000001" customHeight="1" x14ac:dyDescent="0.25">
      <c r="A16" s="17" t="str">
        <f>HYPERLINK("#'4.6.1.10-11 Soil direct N2O'!A1", "4.6.1.10-11 Soil direct N2O")</f>
        <v>4.6.1.10-11 Soil direct N2O</v>
      </c>
      <c r="D16" s="99" t="s">
        <v>321</v>
      </c>
      <c r="M16" s="99" t="s">
        <v>328</v>
      </c>
    </row>
    <row r="17" spans="1:19" ht="20.100000000000001" customHeight="1" x14ac:dyDescent="0.25">
      <c r="A17" s="138" t="str">
        <f>HYPERLINK("#'4.6.1.12-13 Soil atmos dep'!A1", "4.6.1.12-13 Soil Atm. deposition")</f>
        <v>4.6.1.12-13 Soil Atm. deposition</v>
      </c>
      <c r="D17" s="98" t="s">
        <v>322</v>
      </c>
      <c r="M17" s="98" t="s">
        <v>323</v>
      </c>
    </row>
    <row r="18" spans="1:19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1" t="s">
        <v>143</v>
      </c>
      <c r="E18" s="51" t="s">
        <v>209</v>
      </c>
      <c r="F18" s="51" t="s">
        <v>210</v>
      </c>
      <c r="G18" s="51" t="s">
        <v>224</v>
      </c>
      <c r="H18" s="51" t="s">
        <v>225</v>
      </c>
      <c r="M18" s="51" t="s">
        <v>143</v>
      </c>
      <c r="N18" s="51" t="s">
        <v>209</v>
      </c>
      <c r="O18" s="51" t="s">
        <v>210</v>
      </c>
      <c r="P18" s="51" t="s">
        <v>224</v>
      </c>
      <c r="Q18" s="51" t="s">
        <v>225</v>
      </c>
    </row>
    <row r="19" spans="1:19" ht="20.100000000000001" customHeight="1" x14ac:dyDescent="0.25">
      <c r="D19" s="52" t="str">
        <f>'Input - Poultry'!$D$33</f>
        <v>Pasture range and paddock</v>
      </c>
      <c r="E19" s="52">
        <f>'4.6.1.3-4 Direct N20'!E111</f>
        <v>1.6993600000000004</v>
      </c>
      <c r="F19" s="52">
        <f>'4.6.1.3-4 Direct N20'!F111</f>
        <v>1.8138719999999999</v>
      </c>
      <c r="G19" s="52">
        <f>'4.6.1.3-4 Direct N20'!G111</f>
        <v>2.129216</v>
      </c>
      <c r="H19" s="52">
        <f>'4.6.1.3-4 Direct N20'!H111</f>
        <v>1.8138719999999999</v>
      </c>
      <c r="I19" s="2" t="s">
        <v>168</v>
      </c>
      <c r="M19" s="52" t="str">
        <f>'Input - Poultry'!$D$33</f>
        <v>Pasture range and paddock</v>
      </c>
      <c r="N19" s="52">
        <f>'4.6.1.3-4 Direct N20'!O111</f>
        <v>1.6993600000000004</v>
      </c>
      <c r="O19" s="52">
        <f>'4.6.1.3-4 Direct N20'!P111</f>
        <v>1.8138719999999999</v>
      </c>
      <c r="P19" s="52">
        <f>'4.6.1.3-4 Direct N20'!Q111</f>
        <v>2.129216</v>
      </c>
      <c r="Q19" s="52">
        <f>'4.6.1.3-4 Direct N20'!R111</f>
        <v>1.8138719999999999</v>
      </c>
      <c r="R19" s="2" t="s">
        <v>168</v>
      </c>
    </row>
    <row r="20" spans="1:19" ht="20.100000000000001" customHeight="1" x14ac:dyDescent="0.25">
      <c r="A20" s="18" t="s">
        <v>4</v>
      </c>
    </row>
    <row r="21" spans="1:19" ht="20.100000000000001" customHeight="1" x14ac:dyDescent="0.25">
      <c r="A21" s="17" t="str">
        <f>HYPERLINK("#'Constants - Poultry'!A1", "Constants - Poultry")</f>
        <v>Constants - Poultry</v>
      </c>
      <c r="D21" s="99" t="s">
        <v>330</v>
      </c>
      <c r="M21" s="99" t="s">
        <v>330</v>
      </c>
    </row>
    <row r="22" spans="1:19" ht="20.100000000000001" customHeight="1" x14ac:dyDescent="0.25">
      <c r="A22" s="17" t="str">
        <f>HYPERLINK("#'Constants - Livestock'!A1", "Constants - Livestock")</f>
        <v>Constants - Livestock</v>
      </c>
      <c r="D22" s="98" t="s">
        <v>322</v>
      </c>
      <c r="M22" s="98" t="s">
        <v>322</v>
      </c>
    </row>
    <row r="23" spans="1:19" ht="20.100000000000001" customHeight="1" x14ac:dyDescent="0.25">
      <c r="A23" s="17" t="str">
        <f>HYPERLINK("#'Constants - Common'!A1", "Constants - Common")</f>
        <v>Constants - Common</v>
      </c>
      <c r="D23" s="51" t="s">
        <v>143</v>
      </c>
      <c r="E23" s="51" t="s">
        <v>209</v>
      </c>
      <c r="F23" s="51" t="s">
        <v>210</v>
      </c>
      <c r="G23" s="51" t="s">
        <v>224</v>
      </c>
      <c r="H23" s="51" t="s">
        <v>225</v>
      </c>
      <c r="M23" s="51" t="s">
        <v>143</v>
      </c>
      <c r="N23" s="51" t="s">
        <v>209</v>
      </c>
      <c r="O23" s="51" t="s">
        <v>210</v>
      </c>
      <c r="P23" s="51" t="s">
        <v>224</v>
      </c>
      <c r="Q23" s="51" t="s">
        <v>225</v>
      </c>
    </row>
    <row r="24" spans="1:19" ht="20.100000000000001" customHeight="1" x14ac:dyDescent="0.25">
      <c r="A24" s="17" t="str">
        <f>HYPERLINK("#'Acknowledgements'!A1", "Acknowledgements")</f>
        <v>Acknowledgements</v>
      </c>
      <c r="D24" s="52" t="str">
        <f>'Input - Poultry'!$D$33</f>
        <v>Pasture range and paddock</v>
      </c>
      <c r="E24" s="52" cm="1">
        <f t="array" ref="E24">MMS_Poultry_Soil_AtmosphericDeposition_Equations.VEERG_4_6_1_12__2_MassOfNitrogenVolatilisedFromPoultryManureOnPasture(E19,$H$14)</f>
        <v>0.35686560000000006</v>
      </c>
      <c r="F24" s="52" cm="1">
        <f t="array" ref="F24">MMS_Poultry_Soil_AtmosphericDeposition_Equations.VEERG_4_6_1_12__2_MassOfNitrogenVolatilisedFromPoultryManureOnPasture(F19,$H$14)</f>
        <v>0.38091311999999999</v>
      </c>
      <c r="G24" s="52" cm="1">
        <f t="array" ref="G24">MMS_Poultry_Soil_AtmosphericDeposition_Equations.VEERG_4_6_1_12__2_MassOfNitrogenVolatilisedFromPoultryManureOnPasture(G19,$H$14)</f>
        <v>0.44713535999999998</v>
      </c>
      <c r="H24" s="52" cm="1">
        <f t="array" ref="H24">MMS_Poultry_Soil_AtmosphericDeposition_Equations.VEERG_4_6_1_12__2_MassOfNitrogenVolatilisedFromPoultryManureOnPasture(H19,$H$14)</f>
        <v>0.38091311999999999</v>
      </c>
      <c r="I24" s="2" t="str">
        <f>$E$11</f>
        <v>kg N</v>
      </c>
      <c r="M24" s="52" t="str">
        <f>'Input - Poultry'!$D$33</f>
        <v>Pasture range and paddock</v>
      </c>
      <c r="N24" s="52" cm="1">
        <f t="array" ref="N24">MMS_Poultry_Soil_AtmosphericDeposition_Equations.VEERG_4_6_1_12__2_MassOfNitrogenVolatilisedFromPoultryManureOnPasture(N19,$H$14)</f>
        <v>0.35686560000000006</v>
      </c>
      <c r="O24" s="52" cm="1">
        <f t="array" ref="O24">MMS_Poultry_Soil_AtmosphericDeposition_Equations.VEERG_4_6_1_12__2_MassOfNitrogenVolatilisedFromPoultryManureOnPasture(O19,$H$14)</f>
        <v>0.38091311999999999</v>
      </c>
      <c r="P24" s="52" cm="1">
        <f t="array" ref="P24">MMS_Poultry_Soil_AtmosphericDeposition_Equations.VEERG_4_6_1_12__2_MassOfNitrogenVolatilisedFromPoultryManureOnPasture(P19,$H$14)</f>
        <v>0.44713535999999998</v>
      </c>
      <c r="Q24" s="52" cm="1">
        <f t="array" ref="Q24">MMS_Poultry_Soil_AtmosphericDeposition_Equations.VEERG_4_6_1_12__2_MassOfNitrogenVolatilisedFromPoultryManureOnPasture(Q19,$H$14)</f>
        <v>0.38091311999999999</v>
      </c>
      <c r="R24" s="2" t="str">
        <f>$E$11</f>
        <v>kg N</v>
      </c>
    </row>
    <row r="25" spans="1:19" ht="20.100000000000001" customHeight="1" x14ac:dyDescent="0.25"/>
    <row r="26" spans="1:19" ht="20.100000000000001" customHeight="1" x14ac:dyDescent="0.25">
      <c r="D26" s="113" t="s">
        <v>331</v>
      </c>
      <c r="E26" s="45">
        <f>SUM(E24:H24)</f>
        <v>1.5658272</v>
      </c>
      <c r="F26" s="105" t="str">
        <f>$E$11</f>
        <v>kg N</v>
      </c>
      <c r="M26" s="113" t="s">
        <v>331</v>
      </c>
      <c r="N26" s="45">
        <f>SUM(N24:Q24)</f>
        <v>1.5658272</v>
      </c>
      <c r="O26" s="105" t="str">
        <f>$E$11</f>
        <v>kg N</v>
      </c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>
      <c r="C29" s="45"/>
      <c r="D29" s="45"/>
      <c r="E29" s="45"/>
      <c r="F29" s="45"/>
      <c r="G29" s="45"/>
      <c r="H29" s="45"/>
      <c r="I29" s="45"/>
      <c r="J29" s="45"/>
      <c r="L29" s="45"/>
      <c r="M29" s="45"/>
      <c r="N29" s="45"/>
      <c r="O29" s="45"/>
      <c r="P29" s="45"/>
      <c r="Q29" s="45"/>
      <c r="R29" s="45"/>
      <c r="S29" s="45"/>
    </row>
    <row r="30" spans="1:19" ht="20.100000000000001" customHeight="1" x14ac:dyDescent="0.25">
      <c r="C30" s="133"/>
      <c r="D30" s="6" t="str" cm="1">
        <f t="array" ref="D30">MMS_Poultry_Soil_AtmosphericDeposition_Equations.VEERG_4_6_1_12__1_AtmosphericDepositionEmissionsFromPoultryManureOnPasture_Title()</f>
        <v>Atmospheric deposition emissions from poultry manure deposited on pasture</v>
      </c>
      <c r="E30" s="133"/>
      <c r="F30" s="133"/>
      <c r="G30" s="133"/>
      <c r="H30" s="133"/>
      <c r="I30" s="133"/>
      <c r="J30" s="133"/>
      <c r="L30" s="133"/>
      <c r="M30" s="133"/>
      <c r="N30" s="133"/>
      <c r="O30" s="133"/>
      <c r="P30" s="133"/>
      <c r="Q30" s="133"/>
      <c r="R30" s="133"/>
      <c r="S30" s="133"/>
    </row>
    <row r="31" spans="1:19" ht="20.100000000000001" customHeight="1" x14ac:dyDescent="0.25">
      <c r="C31" s="133"/>
      <c r="D31" s="5" t="str" cm="1">
        <f t="array" ref="D31">MMS_Poultry_Soil_AtmosphericDeposition_Equations.VEERG_4_6_1_12__1_AtmosphericDepositionEmissionsFromPoultryManureOnPasture_Source()</f>
        <v>VEERG 2026: 4.6.1.12, Equation (1)</v>
      </c>
      <c r="E31" s="133"/>
      <c r="F31" s="133"/>
      <c r="G31" s="133"/>
      <c r="H31" s="133"/>
      <c r="I31" s="133"/>
      <c r="J31" s="133"/>
      <c r="K31" s="146"/>
      <c r="L31" s="133"/>
      <c r="M31" s="133"/>
      <c r="N31" s="133"/>
      <c r="O31" s="133"/>
      <c r="P31" s="133"/>
      <c r="Q31" s="133"/>
      <c r="R31" s="133"/>
      <c r="S31" s="133"/>
    </row>
    <row r="32" spans="1:19" ht="20.100000000000001" customHeight="1" x14ac:dyDescent="0.25">
      <c r="D32" s="13" t="s">
        <v>26</v>
      </c>
      <c r="E32" s="13" t="str" cm="1">
        <f t="array" aca="1" ref="E32" ca="1">Common_InputFunctions.Utility_DisplayFunctionName(E45)</f>
        <v>=MMS_Poultry_Soil_AtmosphericDeposition_Equations.VEERG_4_6_1_12__1_AtmosphericDepositionEmissionsFromPoultryManureOnPasture</v>
      </c>
    </row>
    <row r="33" spans="4:16" ht="20.100000000000001" customHeight="1" x14ac:dyDescent="0.25"/>
    <row r="34" spans="4:16" ht="20.100000000000001" customHeight="1" x14ac:dyDescent="0.25"/>
    <row r="35" spans="4:16" ht="20.100000000000001" customHeight="1" x14ac:dyDescent="0.25">
      <c r="D35" s="53" t="s">
        <v>29</v>
      </c>
      <c r="E35" s="1" t="str" cm="1">
        <f t="array" ref="E35">MMS_Poultry_Soil_AtmosphericDeposition_Equations.VEERG_4_6_1_12__1_AtmosphericDepositionEmissionsFromPoultryManureOnPasture_Variable()</f>
        <v>E_N2Oad</v>
      </c>
    </row>
    <row r="36" spans="4:16" ht="20.100000000000001" customHeight="1" x14ac:dyDescent="0.25">
      <c r="D36" s="53" t="s">
        <v>19</v>
      </c>
      <c r="E36" s="54" t="str" cm="1">
        <f t="array" ref="E36">MMS_Poultry_Soil_AtmosphericDeposition_Equations.VEERG_4_6_1_12__1_AtmosphericDepositionEmissionsFromPoultryManureOnPasture_Unit()</f>
        <v>t N2O</v>
      </c>
    </row>
    <row r="37" spans="4:16" ht="20.100000000000001" customHeight="1" x14ac:dyDescent="0.25"/>
    <row r="38" spans="4:16" ht="20.100000000000001" customHeight="1" x14ac:dyDescent="0.25">
      <c r="D38" s="57" t="str" cm="1">
        <f t="array" ref="D38:E43">MMS_Poultry_Soil_AtmosphericDeposition_Equations.VEERG_4_6_1_12__1_AtmosphericDepositionEmissionsFromPoultryManureOnPasture_Arguments()</f>
        <v>M_vol_m14</v>
      </c>
      <c r="E38" s="58" t="str">
        <v>mass of nitrogen volatilised from manure deposited on pasture (kg N)</v>
      </c>
      <c r="F38" s="59"/>
      <c r="G38" s="57">
        <f>E26</f>
        <v>1.5658272</v>
      </c>
      <c r="M38" s="57" t="str" cm="1">
        <f t="array" ref="M38:N43">MMS_Poultry_Soil_AtmosphericDeposition_Equations.VEERG_4_6_1_12__1_AtmosphericDepositionEmissionsFromPoultryManureOnPasture_Arguments()</f>
        <v>M_vol_m14</v>
      </c>
      <c r="N38" s="58" t="str">
        <v>mass of nitrogen volatilised from manure deposited on pasture (kg N)</v>
      </c>
      <c r="O38" s="59"/>
      <c r="P38" s="57">
        <f>N26</f>
        <v>1.5658272</v>
      </c>
    </row>
    <row r="39" spans="4:16" ht="20.100000000000001" customHeight="1" x14ac:dyDescent="0.25">
      <c r="D39" s="57" t="str">
        <v>EF_N2O</v>
      </c>
      <c r="E39" s="58" t="str">
        <v>emission factor for atmospheric deposition (kg N2O-N/kg N)</v>
      </c>
      <c r="F39" s="59"/>
      <c r="G39" s="57">
        <f>Common_InputFunctions.Utility_LookupN2OEFFromProdIrrigationRainfall(G41,G42,G43,Table_SourceData_Common_EFN2O[Production system only],Table_SourceData_Common_EFN2O[Irrigation method],Table_SourceData_Common_EFN2O[Rainfall zone],Table_SourceData_Common_EFN2O[EFN2O])</f>
        <v>7.0000000000000001E-3</v>
      </c>
      <c r="M39" s="57" t="str">
        <v>EF_N2O</v>
      </c>
      <c r="N39" s="58" t="str">
        <v>emission factor for atmospheric deposition (kg N2O-N/kg N)</v>
      </c>
      <c r="O39" s="59"/>
      <c r="P39" s="57">
        <f>Common_InputFunctions.Utility_LookupN2OEFFromProdIrrigationRainfall(P41,P42,P43,Table_SourceData_Common_EFN2O[Production system only],Table_SourceData_Common_EFN2O[Irrigation method],Table_SourceData_Common_EFN2O[Rainfall zone],Table_SourceData_Common_EFN2O[EFN2O])</f>
        <v>7.0000000000000001E-3</v>
      </c>
    </row>
    <row r="40" spans="4:16" ht="20.100000000000001" customHeight="1" x14ac:dyDescent="0.25">
      <c r="D40" s="57" t="str">
        <v>C_N2O</v>
      </c>
      <c r="E40" s="58" t="str">
        <v>factor to convert elemental mass of N2O to molecular mass</v>
      </c>
      <c r="F40" s="59"/>
      <c r="G40" s="57">
        <f>Common_InputFunctions.Utility_LookupValueInTableNumber("N2O",Table_GasToMolecularConversionFactor[Gas],Table_GasToMolecularConversionFactor[Conversion factor combined])</f>
        <v>1.5714285714285714</v>
      </c>
      <c r="M40" s="57" t="str">
        <v>C_N2O</v>
      </c>
      <c r="N40" s="58" t="str">
        <v>factor to convert elemental mass of N2O to molecular mass</v>
      </c>
      <c r="O40" s="59"/>
      <c r="P40" s="57">
        <f>Common_InputFunctions.Utility_LookupValueInTableNumber("N2O",Table_GasToMolecularConversionFactor[Gas],Table_GasToMolecularConversionFactor[Conversion factor combined])</f>
        <v>1.5714285714285714</v>
      </c>
    </row>
    <row r="41" spans="4:16" ht="20.100000000000001" customHeight="1" x14ac:dyDescent="0.25">
      <c r="D41" s="57" t="str">
        <v>j</v>
      </c>
      <c r="E41" s="58" t="str">
        <v>production system</v>
      </c>
      <c r="F41" s="59"/>
      <c r="G41" s="57" t="str">
        <f>'Input - Poultry'!$E$59</f>
        <v>Crop</v>
      </c>
      <c r="M41" s="57" t="str">
        <v>j</v>
      </c>
      <c r="N41" s="58" t="str">
        <v>production system</v>
      </c>
      <c r="O41" s="59"/>
      <c r="P41" s="57" t="str">
        <f>'Input - Poultry'!$E$59</f>
        <v>Crop</v>
      </c>
    </row>
    <row r="42" spans="4:16" ht="20.100000000000001" customHeight="1" x14ac:dyDescent="0.25">
      <c r="D42" s="57" t="str">
        <v>ir</v>
      </c>
      <c r="E42" s="58" t="str">
        <v>irrigation method</v>
      </c>
      <c r="F42" s="59"/>
      <c r="G42" s="57" t="str">
        <f>'Input - Poultry'!$E$60</f>
        <v>Sprinkler irrigation</v>
      </c>
      <c r="M42" s="57" t="str">
        <v>ir</v>
      </c>
      <c r="N42" s="58" t="str">
        <v>irrigation method</v>
      </c>
      <c r="O42" s="59"/>
      <c r="P42" s="57" t="str">
        <f>'Input - Poultry'!$E$60</f>
        <v>Sprinkler irrigation</v>
      </c>
    </row>
    <row r="43" spans="4:16" ht="20.100000000000001" customHeight="1" x14ac:dyDescent="0.25">
      <c r="D43" s="57" t="str">
        <v>r</v>
      </c>
      <c r="E43" s="58" t="str">
        <v>rainfall region</v>
      </c>
      <c r="F43" s="59"/>
      <c r="G43" s="57" t="str">
        <f>'Input - Site'!$E$30</f>
        <v>High rainfall</v>
      </c>
      <c r="M43" s="57" t="str">
        <v>r</v>
      </c>
      <c r="N43" s="58" t="str">
        <v>rainfall region</v>
      </c>
      <c r="O43" s="59"/>
      <c r="P43" s="57" t="str">
        <f>'Input - Site'!$E$30</f>
        <v>High rainfall</v>
      </c>
    </row>
    <row r="44" spans="4:16" ht="20.100000000000001" customHeight="1" x14ac:dyDescent="0.25"/>
    <row r="45" spans="4:16" ht="20.100000000000001" customHeight="1" x14ac:dyDescent="0.25">
      <c r="D45" s="101" t="s">
        <v>303</v>
      </c>
      <c r="E45" s="102" cm="1">
        <f t="array" ref="E45">MMS_Poultry_Soil_AtmosphericDeposition_Equations.VEERG_4_6_1_12__1_AtmosphericDepositionEmissionsFromPoultryManureOnPasture(G38,$G$39,$G$40)</f>
        <v>1.72240992E-5</v>
      </c>
      <c r="F45" s="103" t="str">
        <f>$E$36</f>
        <v>t N2O</v>
      </c>
      <c r="M45" s="101" t="s">
        <v>303</v>
      </c>
      <c r="N45" s="102" cm="1">
        <f t="array" ref="N45">MMS_Poultry_Soil_AtmosphericDeposition_Equations.VEERG_4_6_1_12__1_AtmosphericDepositionEmissionsFromPoultryManureOnPasture(P38,$G$39,$G$40)</f>
        <v>1.72240992E-5</v>
      </c>
      <c r="O45" s="103" t="str">
        <f>$E$36</f>
        <v>t N2O</v>
      </c>
    </row>
    <row r="46" spans="4:16" ht="20.100000000000001" customHeight="1" x14ac:dyDescent="0.25"/>
    <row r="47" spans="4:16" ht="20.100000000000001" customHeight="1" x14ac:dyDescent="0.25">
      <c r="D47" s="57" t="str" cm="1">
        <f t="array" ref="D47:E48">Common_Equations.Common_ConvertN2OToCO2e_Arguments()</f>
        <v>EN2O</v>
      </c>
      <c r="E47" s="58" t="str">
        <v>Nitrous oxide emissions (t N2O)</v>
      </c>
      <c r="F47" s="104"/>
      <c r="G47" s="52">
        <f>E45</f>
        <v>1.72240992E-5</v>
      </c>
      <c r="M47" s="57" t="str" cm="1">
        <f t="array" ref="M47:N48">Common_Equations.Common_ConvertN2OToCO2e_Arguments()</f>
        <v>EN2O</v>
      </c>
      <c r="N47" s="58" t="str">
        <v>Nitrous oxide emissions (t N2O)</v>
      </c>
      <c r="O47" s="104"/>
      <c r="P47" s="52">
        <f>N45</f>
        <v>1.72240992E-5</v>
      </c>
    </row>
    <row r="48" spans="4:16" ht="20.100000000000001" customHeight="1" x14ac:dyDescent="0.25">
      <c r="D48" s="57" t="str">
        <v>GWPN2O</v>
      </c>
      <c r="E48" s="58" t="str">
        <v>Global warming potential for nitrous oxide (t CO2-e / t N2O)</v>
      </c>
      <c r="F48" s="104"/>
      <c r="G48" s="52">
        <f>Common_InputFunctions.Utility_LookupValueInTableNumber("N2O",[3]!Table_GWPData[Gas],[3]!Table_GWPData[CO2-e factor])</f>
        <v>265</v>
      </c>
      <c r="M48" s="57" t="str">
        <v>GWPN2O</v>
      </c>
      <c r="N48" s="58" t="str">
        <v>Global warming potential for nitrous oxide (t CO2-e / t N2O)</v>
      </c>
      <c r="O48" s="104"/>
      <c r="P48" s="52">
        <f>Common_InputFunctions.Utility_LookupValueInTableNumber("N2O",[3]!Table_GWPData[Gas],[3]!Table_GWPData[CO2-e factor])</f>
        <v>265</v>
      </c>
    </row>
    <row r="49" spans="4:15" ht="20.100000000000001" customHeight="1" x14ac:dyDescent="0.25"/>
    <row r="50" spans="4:15" ht="20.100000000000001" customHeight="1" x14ac:dyDescent="0.25">
      <c r="D50" s="45" t="s">
        <v>100</v>
      </c>
      <c r="E50" s="45" cm="1">
        <f t="array" ref="E50">Common_Equations.Common_ConvertN2OToCO2e(G47,G48)</f>
        <v>4.5643862879999999E-3</v>
      </c>
      <c r="F50" s="105" t="str" cm="1">
        <f t="array" ref="F50">Common_Equations.Common_ConvertN2OToCO2e_Unit()</f>
        <v>t CO2e</v>
      </c>
      <c r="M50" s="45" t="s">
        <v>100</v>
      </c>
      <c r="N50" s="45" cm="1">
        <f t="array" ref="N50">Common_Equations.Common_ConvertN2OToCO2e(P47,P48)</f>
        <v>4.5643862879999999E-3</v>
      </c>
      <c r="O50" s="105" t="str" cm="1">
        <f t="array" ref="O50">Common_Equations.Common_ConvertN2OToCO2e_Unit()</f>
        <v>t CO2e</v>
      </c>
    </row>
    <row r="51" spans="4:15" ht="20.100000000000001" customHeight="1" x14ac:dyDescent="0.25"/>
    <row r="52" spans="4:15" ht="20.100000000000001" customHeight="1" x14ac:dyDescent="0.25"/>
    <row r="53" spans="4:15" ht="20.100000000000001" customHeight="1" x14ac:dyDescent="0.25"/>
    <row r="54" spans="4:15" ht="20.100000000000001" customHeight="1" x14ac:dyDescent="0.25"/>
    <row r="55" spans="4:15" ht="20.100000000000001" customHeight="1" x14ac:dyDescent="0.25"/>
    <row r="56" spans="4:15" ht="20.100000000000001" customHeight="1" x14ac:dyDescent="0.25"/>
    <row r="57" spans="4:15" ht="20.100000000000001" customHeight="1" x14ac:dyDescent="0.25"/>
    <row r="58" spans="4:15" ht="20.100000000000001" customHeight="1" x14ac:dyDescent="0.25"/>
    <row r="59" spans="4:15" ht="20.100000000000001" customHeight="1" x14ac:dyDescent="0.25"/>
    <row r="60" spans="4:15" ht="20.100000000000001" customHeight="1" x14ac:dyDescent="0.25"/>
    <row r="61" spans="4:15" ht="20.100000000000001" customHeight="1" x14ac:dyDescent="0.25"/>
    <row r="62" spans="4:15" ht="20.100000000000001" customHeight="1" x14ac:dyDescent="0.25"/>
    <row r="63" spans="4:15" ht="20.100000000000001" customHeight="1" x14ac:dyDescent="0.25"/>
    <row r="64" spans="4:15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4A01-F5CA-4328-AFAD-4C83718FE213}">
  <dimension ref="A1:S165"/>
  <sheetViews>
    <sheetView showGridLines="0" workbookViewId="0">
      <selection activeCell="A20" sqref="A2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332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101</v>
      </c>
      <c r="E3" s="4"/>
      <c r="F3" s="4"/>
      <c r="G3" s="4"/>
      <c r="H3" s="4"/>
      <c r="I3" s="4"/>
      <c r="J3" s="4"/>
      <c r="L3" s="4"/>
      <c r="M3" s="4" t="s">
        <v>101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MMS_Poultry_Soil_LeachingAndRunoff_Equations.VEERG_4_6_1_14__2_MassOfNitrogenLostToLeachingAndRunoffFromPoultryManureOnPasture_Title()</f>
        <v>Mass of nitrogen lost to leaching and runoff from poultry manure deposited on pasture</v>
      </c>
    </row>
    <row r="6" spans="1:19" ht="20.100000000000001" customHeight="1" x14ac:dyDescent="0.25">
      <c r="A6" s="20" t="s">
        <v>3</v>
      </c>
      <c r="D6" s="5" t="str" cm="1">
        <f t="array" ref="D6">MMS_Poultry_Soil_LeachingAndRunoff_Equations.VEERG_4_6_1_14__2_MassOfNitrogenLostToLeachingAndRunoffFromPoultryManureOnPasture_Source()</f>
        <v>VEERG 2026: 4.6.1.14,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Common_InputFunctions.Utility_DisplayFunctionName(E28)</f>
        <v>=MMS_Poultry_Soil_LeachingAndRunoff_Equations.VEERG_4_6_1_14__2_MassOfNitrogenLostToLeachingAndRunoffFromPoultryManureOnPasture</v>
      </c>
    </row>
    <row r="8" spans="1:19" ht="20.100000000000001" customHeight="1" x14ac:dyDescent="0.25">
      <c r="A8" s="17" t="str">
        <f>HYPERLINK("#'Input - Poultry'!A1", "Poultry")</f>
        <v>Poultry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MMS_Poultry_Soil_LeachingAndRunoff_Equations.VEERG_4_6_1_14__2_MassOfNitrogenLostToLeachingAndRunoffFromPoultryManureOnPasture_Variable()</f>
        <v>M_leach_m14</v>
      </c>
    </row>
    <row r="11" spans="1:19" ht="20.100000000000001" customHeight="1" x14ac:dyDescent="0.25">
      <c r="A11" s="17" t="str">
        <f>HYPERLINK("#'4.6.1.1-2 Methane'!A1", "4.6.1.1-2 Methane")</f>
        <v>4.6.1.1-2 Methane</v>
      </c>
      <c r="D11" s="53" t="s">
        <v>19</v>
      </c>
      <c r="E11" s="54" t="str" cm="1">
        <f t="array" ref="E11">MMS_Poultry_Soil_LeachingAndRunoff_Equations.VEERG_4_6_1_14__2_MassOfNitrogenLostToLeachingAndRunoffFromPoultryManureOnPasture_Unit()</f>
        <v>kg N</v>
      </c>
    </row>
    <row r="12" spans="1:19" ht="20.100000000000001" customHeight="1" x14ac:dyDescent="0.25">
      <c r="A12" s="17" t="str">
        <f>HYPERLINK("#'4.6.1.3-4 Direct N20'!A1", "4.6.1.3-4 Direct N2O")</f>
        <v>4.6.1.3-4 Direct N2O</v>
      </c>
    </row>
    <row r="13" spans="1:19" ht="20.100000000000001" customHeight="1" x14ac:dyDescent="0.25">
      <c r="A13" s="17" t="str">
        <f>HYPERLINK("#'4.6.1.5-6 Atmos Dep'!A1", "4.6.1.5-6 Soil atm. deposition")</f>
        <v>4.6.1.5-6 Soil atm. deposition</v>
      </c>
      <c r="D13" s="57" t="str" cm="1">
        <f t="array" ref="D13:E18">MMS_Poultry_Soil_LeachingAndRunoff_Equations.VEERG_4_6_1_14__2_MassOfNitrogenLostToLeachingAndRunoffFromPoultryManureOnPasture_Arguments()</f>
        <v>MN_jkm14T1</v>
      </c>
      <c r="E13" s="58" t="str">
        <v>mass of nitrogen excreted directly on pasture by poultry class and subclass (kg N)</v>
      </c>
      <c r="F13" s="100"/>
      <c r="G13" s="59"/>
      <c r="H13" s="57" t="str">
        <f>"See " &amp;D20</f>
        <v>See M1_Table_MN_j_k_m-14_T-1</v>
      </c>
    </row>
    <row r="14" spans="1:19" ht="20.100000000000001" customHeight="1" x14ac:dyDescent="0.25">
      <c r="A14" s="17" t="str">
        <f>HYPERLINK("#'4.6.1.7-8 Leaching and runoff'!A1", "4.6.1.7-8 Leaching &amp; runoff")</f>
        <v>4.6.1.7-8 Leaching &amp; runoff</v>
      </c>
      <c r="D14" s="57" t="str">
        <v>FracWet</v>
      </c>
      <c r="E14" s="58" t="str">
        <v>fraction of N available for leaching and runoff</v>
      </c>
      <c r="F14" s="100"/>
      <c r="G14" s="59"/>
      <c r="H14" s="57">
        <f>Common_InputFunctions.CommonCropping_GetFracWET(H16,H18,Table_SourceData_FracWET[Is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HYPERLINK("#'4.6.1.9 Manure applied to soils'!A1", "4.6.1.9 Manure applied to soils")</f>
        <v>4.6.1.9 Manure applied to soils</v>
      </c>
      <c r="D15" s="57" t="str">
        <v>FracLEACH_MS</v>
      </c>
      <c r="E15" s="58" t="str">
        <v>fraction of N that is lost through leaching and runoff</v>
      </c>
      <c r="F15" s="100"/>
      <c r="G15" s="59"/>
      <c r="H15" s="57">
        <f>'Constants - Poultry'!$E$111</f>
        <v>0.02</v>
      </c>
    </row>
    <row r="16" spans="1:19" ht="20.100000000000001" customHeight="1" x14ac:dyDescent="0.25">
      <c r="A16" s="17" t="str">
        <f>HYPERLINK("#'4.6.1.10-11 Soil direct N2O'!A1", "4.6.1.10-11 Soil direct N2O")</f>
        <v>4.6.1.10-11 Soil direct N2O</v>
      </c>
      <c r="D16" s="57" t="str">
        <v>z</v>
      </c>
      <c r="E16" s="58" t="str">
        <v>location in leaching zone</v>
      </c>
      <c r="F16" s="100"/>
      <c r="G16" s="59"/>
      <c r="H16" s="57" t="str">
        <f>'Input - Site'!$E$23</f>
        <v>NO - Not in leaching zone</v>
      </c>
    </row>
    <row r="17" spans="1:18" ht="20.100000000000001" customHeight="1" x14ac:dyDescent="0.25">
      <c r="A17" s="17" t="str">
        <f>HYPERLINK("#'4.6.1.12-13 Soil atmos dep'!A1", "4.6.1.12-13 Soil Atm. deposition")</f>
        <v>4.6.1.12-13 Soil Atm. deposition</v>
      </c>
      <c r="D17" s="57" t="str">
        <v>j</v>
      </c>
      <c r="E17" s="58" t="str">
        <v>production system</v>
      </c>
      <c r="F17" s="100"/>
      <c r="G17" s="59"/>
      <c r="H17" s="57" t="str">
        <f>'Input - Poultry'!$E$59</f>
        <v>Crop</v>
      </c>
    </row>
    <row r="18" spans="1:18" ht="20.100000000000001" customHeight="1" x14ac:dyDescent="0.25">
      <c r="A18" s="138" t="str">
        <f>HYPERLINK("#'4.6.1.14-15 Soil leach runoff'!A1", "4.6.1.14-15 Soil leach &amp; runoff")</f>
        <v>4.6.1.14-15 Soil leach &amp; runoff</v>
      </c>
      <c r="D18" s="57" t="str">
        <v>ir</v>
      </c>
      <c r="E18" s="58" t="str">
        <v>irrigation method</v>
      </c>
      <c r="F18" s="100"/>
      <c r="G18" s="59"/>
      <c r="H18" s="57" t="str">
        <f>'Input - Poultry'!$E$60</f>
        <v>Sprinkler irrigation</v>
      </c>
    </row>
    <row r="19" spans="1:18" ht="20.100000000000001" customHeight="1" x14ac:dyDescent="0.25"/>
    <row r="20" spans="1:18" ht="20.100000000000001" customHeight="1" x14ac:dyDescent="0.25">
      <c r="A20" s="18" t="s">
        <v>4</v>
      </c>
      <c r="D20" s="99" t="s">
        <v>321</v>
      </c>
      <c r="M20" s="99" t="s">
        <v>328</v>
      </c>
    </row>
    <row r="21" spans="1:18" ht="20.100000000000001" customHeight="1" x14ac:dyDescent="0.25">
      <c r="A21" s="17" t="str">
        <f>HYPERLINK("#'Constants - Poultry'!A1", "Constants - Poultry")</f>
        <v>Constants - Poultry</v>
      </c>
      <c r="D21" s="98" t="s">
        <v>322</v>
      </c>
      <c r="M21" s="98" t="s">
        <v>323</v>
      </c>
    </row>
    <row r="22" spans="1:18" ht="20.100000000000001" customHeight="1" x14ac:dyDescent="0.25">
      <c r="A22" s="17" t="str">
        <f>HYPERLINK("#'Constants - Livestock'!A1", "Constants - Livestock")</f>
        <v>Constants - Livestock</v>
      </c>
      <c r="D22" s="51" t="s">
        <v>143</v>
      </c>
      <c r="E22" s="51" t="s">
        <v>209</v>
      </c>
      <c r="F22" s="51" t="s">
        <v>210</v>
      </c>
      <c r="G22" s="51" t="s">
        <v>224</v>
      </c>
      <c r="H22" s="51" t="s">
        <v>225</v>
      </c>
      <c r="M22" s="51" t="s">
        <v>143</v>
      </c>
      <c r="N22" s="51" t="s">
        <v>209</v>
      </c>
      <c r="O22" s="51" t="s">
        <v>210</v>
      </c>
      <c r="P22" s="51" t="s">
        <v>224</v>
      </c>
      <c r="Q22" s="51" t="s">
        <v>225</v>
      </c>
    </row>
    <row r="23" spans="1:18" ht="20.100000000000001" customHeight="1" x14ac:dyDescent="0.25">
      <c r="A23" s="17" t="str">
        <f>HYPERLINK("#'Constants - Common'!A1", "Constants - Common")</f>
        <v>Constants - Common</v>
      </c>
      <c r="D23" s="52" t="str">
        <f>'Input - Poultry'!$D$33</f>
        <v>Pasture range and paddock</v>
      </c>
      <c r="E23" s="52">
        <f>'4.6.1.3-4 Direct N20'!E111</f>
        <v>1.6993600000000004</v>
      </c>
      <c r="F23" s="52">
        <f>'4.6.1.3-4 Direct N20'!F111</f>
        <v>1.8138719999999999</v>
      </c>
      <c r="G23" s="52">
        <f>'4.6.1.3-4 Direct N20'!G111</f>
        <v>2.129216</v>
      </c>
      <c r="H23" s="52">
        <f>'4.6.1.3-4 Direct N20'!H111</f>
        <v>1.8138719999999999</v>
      </c>
      <c r="I23" s="2" t="s">
        <v>168</v>
      </c>
      <c r="M23" s="52" t="str">
        <f>'Input - Poultry'!$D$33</f>
        <v>Pasture range and paddock</v>
      </c>
      <c r="N23" s="52">
        <f>'4.6.1.3-4 Direct N20'!O111</f>
        <v>1.6993600000000004</v>
      </c>
      <c r="O23" s="52">
        <f>'4.6.1.3-4 Direct N20'!P111</f>
        <v>1.8138719999999999</v>
      </c>
      <c r="P23" s="52">
        <f>'4.6.1.3-4 Direct N20'!Q111</f>
        <v>2.129216</v>
      </c>
      <c r="Q23" s="52">
        <f>'4.6.1.3-4 Direct N20'!R111</f>
        <v>1.8138719999999999</v>
      </c>
      <c r="R23" s="2" t="s">
        <v>168</v>
      </c>
    </row>
    <row r="24" spans="1:18" ht="20.100000000000001" customHeight="1" x14ac:dyDescent="0.25">
      <c r="A24" s="17" t="str">
        <f>HYPERLINK("#'Acknowledgements'!A1", "Acknowledgements")</f>
        <v>Acknowledgements</v>
      </c>
    </row>
    <row r="25" spans="1:18" ht="20.100000000000001" customHeight="1" x14ac:dyDescent="0.25">
      <c r="D25" s="99" t="s">
        <v>330</v>
      </c>
      <c r="M25" s="99" t="s">
        <v>334</v>
      </c>
    </row>
    <row r="26" spans="1:18" ht="20.100000000000001" customHeight="1" x14ac:dyDescent="0.25">
      <c r="D26" s="98" t="s">
        <v>322</v>
      </c>
      <c r="M26" s="98" t="s">
        <v>323</v>
      </c>
    </row>
    <row r="27" spans="1:18" ht="20.100000000000001" customHeight="1" x14ac:dyDescent="0.25">
      <c r="D27" s="51" t="s">
        <v>143</v>
      </c>
      <c r="E27" s="51" t="s">
        <v>209</v>
      </c>
      <c r="F27" s="51" t="s">
        <v>210</v>
      </c>
      <c r="G27" s="51" t="s">
        <v>224</v>
      </c>
      <c r="H27" s="51" t="s">
        <v>225</v>
      </c>
      <c r="M27" s="51" t="s">
        <v>143</v>
      </c>
      <c r="N27" s="51" t="s">
        <v>209</v>
      </c>
      <c r="O27" s="51" t="s">
        <v>210</v>
      </c>
      <c r="P27" s="51" t="s">
        <v>224</v>
      </c>
      <c r="Q27" s="51" t="s">
        <v>225</v>
      </c>
    </row>
    <row r="28" spans="1:18" ht="20.100000000000001" customHeight="1" x14ac:dyDescent="0.25">
      <c r="D28" s="52" t="str">
        <f>'Input - Poultry'!$D$33</f>
        <v>Pasture range and paddock</v>
      </c>
      <c r="E28" s="52" cm="1">
        <f t="array" ref="E28">MMS_Poultry_Soil_LeachingAndRunoff_Equations.VEERG_4_6_1_14__2_MassOfNitrogenLostToLeachingAndRunoffFromPoultryManureOnPasture(E23,$H$14,$H$15)</f>
        <v>3.3987200000000009E-2</v>
      </c>
      <c r="F28" s="52" cm="1">
        <f t="array" ref="F28">MMS_Poultry_Soil_LeachingAndRunoff_Equations.VEERG_4_6_1_14__2_MassOfNitrogenLostToLeachingAndRunoffFromPoultryManureOnPasture(F23,$H$14,$H$15)</f>
        <v>3.6277440000000001E-2</v>
      </c>
      <c r="G28" s="52" cm="1">
        <f t="array" ref="G28">MMS_Poultry_Soil_LeachingAndRunoff_Equations.VEERG_4_6_1_14__2_MassOfNitrogenLostToLeachingAndRunoffFromPoultryManureOnPasture(G23,$H$14,$H$15)</f>
        <v>4.2584320000000002E-2</v>
      </c>
      <c r="H28" s="52" cm="1">
        <f t="array" ref="H28">MMS_Poultry_Soil_LeachingAndRunoff_Equations.VEERG_4_6_1_14__2_MassOfNitrogenLostToLeachingAndRunoffFromPoultryManureOnPasture(H23,$H$14,$H$15)</f>
        <v>3.6277440000000001E-2</v>
      </c>
      <c r="I28" s="2" t="str">
        <f>$E$11</f>
        <v>kg N</v>
      </c>
      <c r="M28" s="52" t="str">
        <f>'Input - Poultry'!$D$33</f>
        <v>Pasture range and paddock</v>
      </c>
      <c r="N28" s="52" cm="1">
        <f t="array" ref="N28">MMS_Poultry_Soil_LeachingAndRunoff_Equations.VEERG_4_6_1_14__2_MassOfNitrogenLostToLeachingAndRunoffFromPoultryManureOnPasture(N23,$H$14,$H$15)</f>
        <v>3.3987200000000009E-2</v>
      </c>
      <c r="O28" s="52" cm="1">
        <f t="array" ref="O28">MMS_Poultry_Soil_LeachingAndRunoff_Equations.VEERG_4_6_1_14__2_MassOfNitrogenLostToLeachingAndRunoffFromPoultryManureOnPasture(O23,$H$14,$H$15)</f>
        <v>3.6277440000000001E-2</v>
      </c>
      <c r="P28" s="52" cm="1">
        <f t="array" ref="P28">MMS_Poultry_Soil_LeachingAndRunoff_Equations.VEERG_4_6_1_14__2_MassOfNitrogenLostToLeachingAndRunoffFromPoultryManureOnPasture(P23,$H$14,$H$15)</f>
        <v>4.2584320000000002E-2</v>
      </c>
      <c r="Q28" s="52" cm="1">
        <f t="array" ref="Q28">MMS_Poultry_Soil_LeachingAndRunoff_Equations.VEERG_4_6_1_14__2_MassOfNitrogenLostToLeachingAndRunoffFromPoultryManureOnPasture(Q23,$H$14,$H$15)</f>
        <v>3.6277440000000001E-2</v>
      </c>
      <c r="R28" s="2" t="str">
        <f>$E$11</f>
        <v>kg N</v>
      </c>
    </row>
    <row r="29" spans="1:18" ht="20.100000000000001" customHeight="1" x14ac:dyDescent="0.25"/>
    <row r="30" spans="1:18" ht="20.100000000000001" customHeight="1" x14ac:dyDescent="0.25">
      <c r="D30" s="113" t="s">
        <v>333</v>
      </c>
      <c r="E30" s="45">
        <f>SUM(E28:H28)</f>
        <v>0.14912640000000002</v>
      </c>
      <c r="F30" s="105" t="str">
        <f>$E$11</f>
        <v>kg N</v>
      </c>
      <c r="M30" s="113" t="s">
        <v>333</v>
      </c>
      <c r="N30" s="45">
        <f>SUM(N28:Q28)</f>
        <v>0.14912640000000002</v>
      </c>
      <c r="O30" s="105" t="str">
        <f>$E$11</f>
        <v>kg N</v>
      </c>
    </row>
    <row r="31" spans="1:18" ht="20.100000000000001" customHeight="1" x14ac:dyDescent="0.25"/>
    <row r="32" spans="1:18" ht="20.100000000000001" customHeight="1" x14ac:dyDescent="0.25"/>
    <row r="33" spans="3:19" ht="20.100000000000001" customHeight="1" x14ac:dyDescent="0.25">
      <c r="C33" s="141"/>
      <c r="D33" s="141"/>
      <c r="E33" s="141"/>
      <c r="F33" s="141"/>
      <c r="G33" s="141"/>
      <c r="H33" s="141"/>
      <c r="I33" s="141"/>
      <c r="J33" s="141"/>
      <c r="L33" s="141"/>
      <c r="M33" s="141"/>
      <c r="N33" s="141"/>
      <c r="O33" s="141"/>
      <c r="P33" s="141"/>
      <c r="Q33" s="141"/>
      <c r="R33" s="141"/>
      <c r="S33" s="141"/>
    </row>
    <row r="34" spans="3:19" ht="20.100000000000001" customHeight="1" x14ac:dyDescent="0.25"/>
    <row r="35" spans="3:19" ht="20.100000000000001" customHeight="1" x14ac:dyDescent="0.25">
      <c r="D35" s="6" t="str" cm="1">
        <f t="array" ref="D35">MMS_Poultry_Soil_LeachingAndRunoff_Equations.VEERG_4_6_1_14__1_LeachingAndRunoffEmissionsFromPoultryManureOnPasture_Title()</f>
        <v>Leaching and runoff emissions from poultry manure deposited on pasture</v>
      </c>
    </row>
    <row r="36" spans="3:19" ht="20.100000000000001" customHeight="1" x14ac:dyDescent="0.25">
      <c r="D36" s="5" t="str" cm="1">
        <f t="array" ref="D36">MMS_Poultry_Soil_LeachingAndRunoff_Equations.VEERG_4_6_1_14__1_LeachingAndRunoffEmissionsFromPoultryManureOnPasture_Source()</f>
        <v>VEERG 2026: 4.6.1.14, Equation (1)</v>
      </c>
    </row>
    <row r="37" spans="3:19" ht="20.100000000000001" customHeight="1" x14ac:dyDescent="0.25">
      <c r="D37" s="13" t="s">
        <v>26</v>
      </c>
      <c r="E37" s="13" t="str" cm="1">
        <f t="array" aca="1" ref="E37" ca="1">Common_InputFunctions.Utility_DisplayFunctionName(E47)</f>
        <v>=MMS_Poultry_Soil_LeachingAndRunoff_Equations.VEERG_4_6_1_14__1_LeachingAndRunoffEmissionsFromPoultryManureOnPasture</v>
      </c>
    </row>
    <row r="38" spans="3:19" ht="20.100000000000001" customHeight="1" x14ac:dyDescent="0.25"/>
    <row r="39" spans="3:19" ht="20.100000000000001" customHeight="1" x14ac:dyDescent="0.25"/>
    <row r="40" spans="3:19" ht="20.100000000000001" customHeight="1" x14ac:dyDescent="0.25">
      <c r="D40" s="53" t="s">
        <v>29</v>
      </c>
      <c r="E40" s="1" t="str" cm="1">
        <f t="array" ref="E40">MMS_Poultry_Soil_LeachingAndRunoff_Equations.VEERG_4_6_1_14__1_LeachingAndRunoffEmissionsFromPoultryManureOnPasture_Variable()</f>
        <v>E_N2Oleach</v>
      </c>
    </row>
    <row r="41" spans="3:19" ht="20.100000000000001" customHeight="1" x14ac:dyDescent="0.25">
      <c r="D41" s="53" t="s">
        <v>19</v>
      </c>
      <c r="E41" s="54" t="str" cm="1">
        <f t="array" ref="E41">MMS_Poultry_Soil_LeachingAndRunoff_Equations.VEERG_4_6_1_14__1_LeachingAndRunoffEmissionsFromPoultryManureOnPasture_Unit()</f>
        <v>t N2O</v>
      </c>
    </row>
    <row r="42" spans="3:19" ht="20.100000000000001" customHeight="1" x14ac:dyDescent="0.25"/>
    <row r="43" spans="3:19" ht="20.100000000000001" customHeight="1" x14ac:dyDescent="0.25">
      <c r="D43" s="57" t="str" cm="1">
        <f t="array" ref="D43:E45">MMS_Poultry_Soil_LeachingAndRunoff_Equations.VEERG_4_6_1_14__1_LeachingAndRunoffEmissionsFromPoultryManureOnPasture_Arguments()</f>
        <v>M_leach_m14</v>
      </c>
      <c r="E43" s="58" t="str">
        <v>mass of nitrogen lost to leaching and runoff from poultry manure deposited on pasture (kg N)</v>
      </c>
      <c r="F43" s="100"/>
      <c r="G43" s="59"/>
      <c r="H43" s="57">
        <f>E30</f>
        <v>0.14912640000000002</v>
      </c>
      <c r="M43" s="57" t="str" cm="1">
        <f t="array" ref="M43:N45">MMS_Poultry_Soil_LeachingAndRunoff_Equations.VEERG_4_6_1_14__1_LeachingAndRunoffEmissionsFromPoultryManureOnPasture_Arguments()</f>
        <v>M_leach_m14</v>
      </c>
      <c r="N43" s="58" t="str">
        <v>mass of nitrogen lost to leaching and runoff from poultry manure deposited on pasture (kg N)</v>
      </c>
      <c r="O43" s="100"/>
      <c r="P43" s="59"/>
      <c r="Q43" s="57">
        <f>N30</f>
        <v>0.14912640000000002</v>
      </c>
    </row>
    <row r="44" spans="3:19" ht="20.100000000000001" customHeight="1" x14ac:dyDescent="0.25">
      <c r="D44" s="57" t="str">
        <v>EF_leach</v>
      </c>
      <c r="E44" s="58" t="str">
        <v>emission factor for leaching and runoff (kg N2O-N/kg N)</v>
      </c>
      <c r="F44" s="100"/>
      <c r="G44" s="59"/>
      <c r="H44" s="57">
        <f>'Constants - Common'!$E$170</f>
        <v>1.0999999999999999E-2</v>
      </c>
      <c r="M44" s="57" t="str">
        <v>EF_leach</v>
      </c>
      <c r="N44" s="58" t="str">
        <v>emission factor for leaching and runoff (kg N2O-N/kg N)</v>
      </c>
      <c r="O44" s="100"/>
      <c r="P44" s="59"/>
      <c r="Q44" s="57"/>
    </row>
    <row r="45" spans="3:19" ht="20.100000000000001" customHeight="1" x14ac:dyDescent="0.25">
      <c r="D45" s="57" t="str">
        <v>C_N2O</v>
      </c>
      <c r="E45" s="58" t="str">
        <v>factor to convert elemental mass of N2O to molecular mass</v>
      </c>
      <c r="F45" s="100"/>
      <c r="G45" s="59"/>
      <c r="H45" s="57">
        <f>Common_InputFunctions.Utility_LookupValueInTableNumber("N2O",Table_GasToMolecularConversionFactor[Gas],Table_GasToMolecularConversionFactor[Conversion factor combined])</f>
        <v>1.5714285714285714</v>
      </c>
      <c r="M45" s="57" t="str">
        <v>C_N2O</v>
      </c>
      <c r="N45" s="58" t="str">
        <v>factor to convert elemental mass of N2O to molecular mass</v>
      </c>
      <c r="O45" s="100"/>
      <c r="P45" s="59"/>
      <c r="Q45" s="57"/>
    </row>
    <row r="46" spans="3:19" ht="20.100000000000001" customHeight="1" x14ac:dyDescent="0.25"/>
    <row r="47" spans="3:19" ht="20.100000000000001" customHeight="1" x14ac:dyDescent="0.25">
      <c r="D47" s="101" t="s">
        <v>303</v>
      </c>
      <c r="E47" s="102" cm="1">
        <f t="array" ref="E47">MMS_Poultry_Soil_LeachingAndRunoff_Equations.VEERG_4_6_1_14__1_LeachingAndRunoffEmissionsFromPoultryManureOnPasture(H43,$H$44,$H$45)</f>
        <v>2.5777563428571431E-6</v>
      </c>
      <c r="F47" s="103" t="str">
        <f>$E$41</f>
        <v>t N2O</v>
      </c>
      <c r="M47" s="101" t="s">
        <v>303</v>
      </c>
      <c r="N47" s="102" cm="1">
        <f t="array" ref="N47">MMS_Poultry_Soil_LeachingAndRunoff_Equations.VEERG_4_6_1_14__1_LeachingAndRunoffEmissionsFromPoultryManureOnPasture(Q43,$H$44,$H$45)</f>
        <v>2.5777563428571431E-6</v>
      </c>
      <c r="O47" s="103" t="str">
        <f>$E$41</f>
        <v>t N2O</v>
      </c>
    </row>
    <row r="48" spans="3:19" ht="20.100000000000001" customHeight="1" x14ac:dyDescent="0.25"/>
    <row r="49" spans="4:16" ht="20.100000000000001" customHeight="1" x14ac:dyDescent="0.25">
      <c r="D49" s="57" t="str" cm="1">
        <f t="array" ref="D49:E50">Common_Equations.Common_ConvertN2OToCO2e_Arguments()</f>
        <v>EN2O</v>
      </c>
      <c r="E49" s="58" t="str">
        <v>Nitrous oxide emissions (t N2O)</v>
      </c>
      <c r="F49" s="104"/>
      <c r="G49" s="52">
        <f>E47</f>
        <v>2.5777563428571431E-6</v>
      </c>
      <c r="M49" s="57" t="str" cm="1">
        <f t="array" ref="M49:N50">Common_Equations.Common_ConvertN2OToCO2e_Arguments()</f>
        <v>EN2O</v>
      </c>
      <c r="N49" s="58" t="str">
        <v>Nitrous oxide emissions (t N2O)</v>
      </c>
      <c r="O49" s="104"/>
      <c r="P49" s="52">
        <f>N47</f>
        <v>2.5777563428571431E-6</v>
      </c>
    </row>
    <row r="50" spans="4:16" ht="20.100000000000001" customHeight="1" x14ac:dyDescent="0.25">
      <c r="D50" s="57" t="str">
        <v>GWPN2O</v>
      </c>
      <c r="E50" s="58" t="str">
        <v>Global warming potential for nitrous oxide (t CO2-e / t N2O)</v>
      </c>
      <c r="F50" s="104"/>
      <c r="G50" s="52">
        <f>Common_InputFunctions.Utility_LookupValueInTableNumber("N2O",[3]!Table_GWPData[Gas],[3]!Table_GWPData[CO2-e factor])</f>
        <v>265</v>
      </c>
      <c r="M50" s="57" t="str">
        <v>GWPN2O</v>
      </c>
      <c r="N50" s="58" t="str">
        <v>Global warming potential for nitrous oxide (t CO2-e / t N2O)</v>
      </c>
      <c r="O50" s="104"/>
      <c r="P50" s="52">
        <f>Common_InputFunctions.Utility_LookupValueInTableNumber("N2O",[3]!Table_GWPData[Gas],[3]!Table_GWPData[CO2-e factor])</f>
        <v>265</v>
      </c>
    </row>
    <row r="51" spans="4:16" ht="20.100000000000001" customHeight="1" x14ac:dyDescent="0.25"/>
    <row r="52" spans="4:16" ht="20.100000000000001" customHeight="1" x14ac:dyDescent="0.25">
      <c r="D52" s="45" t="s">
        <v>100</v>
      </c>
      <c r="E52" s="45" cm="1">
        <f t="array" ref="E52">Common_Equations.Common_ConvertN2OToCO2e(G49,G50)</f>
        <v>6.8310543085714286E-4</v>
      </c>
      <c r="F52" s="105" t="str" cm="1">
        <f t="array" ref="F52">Common_Equations.Common_ConvertN2OToCO2e_Unit()</f>
        <v>t CO2e</v>
      </c>
      <c r="M52" s="45" t="s">
        <v>100</v>
      </c>
      <c r="N52" s="45" cm="1">
        <f t="array" ref="N52">Common_Equations.Common_ConvertN2OToCO2e(P49,P50)</f>
        <v>6.8310543085714286E-4</v>
      </c>
      <c r="O52" s="105" t="str" cm="1">
        <f t="array" ref="O52">Common_Equations.Common_ConvertN2OToCO2e_Unit()</f>
        <v>t CO2e</v>
      </c>
    </row>
    <row r="53" spans="4:16" ht="20.100000000000001" customHeight="1" x14ac:dyDescent="0.25"/>
    <row r="54" spans="4:16" ht="20.100000000000001" customHeight="1" x14ac:dyDescent="0.25"/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zoomScale="85" zoomScaleNormal="85" workbookViewId="0">
      <selection activeCell="A21" sqref="A2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207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tr" cm="1">
        <f t="array" ref="D5">SourceData_Poultry.SourceData_Poultry_DietProperties_Title()</f>
        <v>Poultry - Diet properties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SourceData_Poultry.SourceData_Poultry_DietProperties_Source()</f>
        <v>VEERG 2026: Table A.1.7.1: Poultry - Diet properties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Poultry'!A1", "Poultry")</f>
        <v>Poultry</v>
      </c>
      <c r="D8" s="37" t="s">
        <v>208</v>
      </c>
      <c r="E8" s="37" t="s">
        <v>209</v>
      </c>
      <c r="F8" s="37" t="s">
        <v>210</v>
      </c>
      <c r="G8" s="37" t="s">
        <v>211</v>
      </c>
      <c r="H8" s="37" t="s">
        <v>212</v>
      </c>
      <c r="M8" s="1"/>
    </row>
    <row r="9" spans="1:21" ht="20.100000000000001" customHeight="1" x14ac:dyDescent="0.25">
      <c r="A9" s="17"/>
      <c r="D9" s="37" t="str" cm="1">
        <f t="array" ref="D9">Common_InputFunctions.Utility_DisplayArrayInTable(SourceData_Poultry.SourceData_Poultry_DietProperties_Data(), Table_SourceData_Poultry_DietProperties[[#Headers],[Nutrient analysis]], 0)</f>
        <v>Dry matter intake (kg/head/day)</v>
      </c>
      <c r="E9" s="37" cm="1">
        <f t="array" ref="E9">Common_InputFunctions.Utility_DisplayArrayInTable(SourceData_Poultry.SourceData_Poultry_DietProperties_Data(), Table_SourceData_Poultry_DietProperties[[#Headers],[Nutrient analysis]], 0)</f>
        <v>8.5999999999999993E-2</v>
      </c>
      <c r="F9" s="37" cm="1">
        <f t="array" ref="F9">Common_InputFunctions.Utility_DisplayArrayInTable(SourceData_Poultry.SourceData_Poultry_DietProperties_Data(), Table_SourceData_Poultry_DietProperties[[#Headers],[Nutrient analysis]], 0)</f>
        <v>9.2999999999999999E-2</v>
      </c>
      <c r="G9" s="37" cm="1">
        <f t="array" ref="G9">Common_InputFunctions.Utility_DisplayArrayInTable(SourceData_Poultry.SourceData_Poultry_DietProperties_Data(), Table_SourceData_Poultry_DietProperties[[#Headers],[Nutrient analysis]], 0)</f>
        <v>0.10299999999999999</v>
      </c>
      <c r="H9" s="37" cm="1">
        <f t="array" ref="H9">Common_InputFunctions.Utility_DisplayArrayInTable(SourceData_Poultry.SourceData_Poultry_DietProperties_Data(), Table_SourceData_Poultry_DietProperties[[#Headers],[Nutrient analysis]], 0)</f>
        <v>9.2999999999999999E-2</v>
      </c>
      <c r="M9" s="1"/>
    </row>
    <row r="10" spans="1:21" ht="20.100000000000001" customHeight="1" x14ac:dyDescent="0.25">
      <c r="A10" s="19" t="s">
        <v>76</v>
      </c>
      <c r="D10" s="1" t="str" cm="1">
        <f t="array" ref="D10">Common_InputFunctions.Utility_DisplayArrayInTable(SourceData_Poultry.SourceData_Poultry_DietProperties_Data(), Table_SourceData_Poultry_DietProperties[[#Headers],[Nutrient analysis]], 0)</f>
        <v>Dry matter digestibility</v>
      </c>
      <c r="E10" s="37" cm="1">
        <f t="array" ref="E10">Common_InputFunctions.Utility_DisplayArrayInTable(SourceData_Poultry.SourceData_Poultry_DietProperties_Data(), Table_SourceData_Poultry_DietProperties[[#Headers],[Nutrient analysis]], 0)</f>
        <v>0.8</v>
      </c>
      <c r="F10" s="37" cm="1">
        <f t="array" ref="F10">Common_InputFunctions.Utility_DisplayArrayInTable(SourceData_Poultry.SourceData_Poultry_DietProperties_Data(), Table_SourceData_Poultry_DietProperties[[#Headers],[Nutrient analysis]], 0)</f>
        <v>0.8</v>
      </c>
      <c r="G10" s="37" cm="1">
        <f t="array" ref="G10">Common_InputFunctions.Utility_DisplayArrayInTable(SourceData_Poultry.SourceData_Poultry_DietProperties_Data(), Table_SourceData_Poultry_DietProperties[[#Headers],[Nutrient analysis]], 0)</f>
        <v>0.8</v>
      </c>
      <c r="H10" s="37" cm="1">
        <f t="array" ref="H10">Common_InputFunctions.Utility_DisplayArrayInTable(SourceData_Poultry.SourceData_Poultry_DietProperties_Data(), Table_SourceData_Poultry_DietProperties[[#Headers],[Nutrient analysis]], 0)</f>
        <v>0.8</v>
      </c>
      <c r="M10" s="1"/>
    </row>
    <row r="11" spans="1:21" ht="20.100000000000001" customHeight="1" x14ac:dyDescent="0.25">
      <c r="A11" s="17" t="str">
        <f>HYPERLINK("#'4.6.1.1-2 Methane'!A1", "4.6.1.1-2 Methane")</f>
        <v>4.6.1.1-2 Methane</v>
      </c>
      <c r="D11" s="1" t="str" cm="1">
        <f t="array" ref="D11">Common_InputFunctions.Utility_DisplayArrayInTable(SourceData_Poultry.SourceData_Poultry_DietProperties_Data(), Table_SourceData_Poultry_DietProperties[[#Headers],[Nutrient analysis]], 0)</f>
        <v>Crude protein</v>
      </c>
      <c r="E11" s="37" cm="1">
        <f t="array" ref="E11">Common_InputFunctions.Utility_DisplayArrayInTable(SourceData_Poultry.SourceData_Poultry_DietProperties_Data(), Table_SourceData_Poultry_DietProperties[[#Headers],[Nutrient analysis]], 0)</f>
        <v>0.19</v>
      </c>
      <c r="F11" s="37" cm="1">
        <f t="array" ref="F11">Common_InputFunctions.Utility_DisplayArrayInTable(SourceData_Poultry.SourceData_Poultry_DietProperties_Data(), Table_SourceData_Poultry_DietProperties[[#Headers],[Nutrient analysis]], 0)</f>
        <v>0.23</v>
      </c>
      <c r="G11" s="37" cm="1">
        <f t="array" ref="G11">Common_InputFunctions.Utility_DisplayArrayInTable(SourceData_Poultry.SourceData_Poultry_DietProperties_Data(), Table_SourceData_Poultry_DietProperties[[#Headers],[Nutrient analysis]], 0)</f>
        <v>0.19</v>
      </c>
      <c r="H11" s="37" cm="1">
        <f t="array" ref="H11">Common_InputFunctions.Utility_DisplayArrayInTable(SourceData_Poultry.SourceData_Poultry_DietProperties_Data(), Table_SourceData_Poultry_DietProperties[[#Headers],[Nutrient analysis]], 0)</f>
        <v>0.23</v>
      </c>
      <c r="M11" s="1"/>
    </row>
    <row r="12" spans="1:21" ht="20.100000000000001" customHeight="1" x14ac:dyDescent="0.25">
      <c r="A12" s="17" t="str">
        <f>HYPERLINK("#'4.6.1.3-4 Direct N20'!A1", "4.6.1.3-4 Direct N2O")</f>
        <v>4.6.1.3-4 Direct N2O</v>
      </c>
      <c r="D12" s="1" t="str" cm="1">
        <f t="array" ref="D12">Common_InputFunctions.Utility_DisplayArrayInTable(SourceData_Poultry.SourceData_Poultry_DietProperties_Data(), Table_SourceData_Poultry_DietProperties[[#Headers],[Nutrient analysis]], 0)</f>
        <v>Nitrogen retention rate</v>
      </c>
      <c r="E12" s="37" cm="1">
        <f t="array" ref="E12">Common_InputFunctions.Utility_DisplayArrayInTable(SourceData_Poultry.SourceData_Poultry_DietProperties_Data(), Table_SourceData_Poultry_DietProperties[[#Headers],[Nutrient analysis]], 0)</f>
        <v>0.35</v>
      </c>
      <c r="F12" s="37" cm="1">
        <f t="array" ref="F12">Common_InputFunctions.Utility_DisplayArrayInTable(SourceData_Poultry.SourceData_Poultry_DietProperties_Data(), Table_SourceData_Poultry_DietProperties[[#Headers],[Nutrient analysis]], 0)</f>
        <v>0.47</v>
      </c>
      <c r="G12" s="37" cm="1">
        <f t="array" ref="G12">Common_InputFunctions.Utility_DisplayArrayInTable(SourceData_Poultry.SourceData_Poultry_DietProperties_Data(), Table_SourceData_Poultry_DietProperties[[#Headers],[Nutrient analysis]], 0)</f>
        <v>0.32</v>
      </c>
      <c r="H12" s="37" cm="1">
        <f t="array" ref="H12">Common_InputFunctions.Utility_DisplayArrayInTable(SourceData_Poultry.SourceData_Poultry_DietProperties_Data(), Table_SourceData_Poultry_DietProperties[[#Headers],[Nutrient analysis]], 0)</f>
        <v>0.47</v>
      </c>
      <c r="M12" s="1"/>
    </row>
    <row r="13" spans="1:21" ht="20.100000000000001" customHeight="1" x14ac:dyDescent="0.25">
      <c r="A13" s="17" t="str">
        <f>HYPERLINK("#'4.6.1.5-6 Atmos Dep'!A1", "4.6.1.5-6 Soil atm. deposition")</f>
        <v>4.6.1.5-6 Soil atm. deposition</v>
      </c>
      <c r="D13" s="1" t="str" cm="1">
        <f t="array" ref="D13">Common_InputFunctions.Utility_DisplayArrayInTable(SourceData_Poultry.SourceData_Poultry_DietProperties_Data(), Table_SourceData_Poultry_DietProperties[[#Headers],[Nutrient analysis]], 0)</f>
        <v>Manure ash</v>
      </c>
      <c r="E13" s="37" cm="1">
        <f t="array" ref="E13">Common_InputFunctions.Utility_DisplayArrayInTable(SourceData_Poultry.SourceData_Poultry_DietProperties_Data(), Table_SourceData_Poultry_DietProperties[[#Headers],[Nutrient analysis]], 0)</f>
        <v>0.18</v>
      </c>
      <c r="F13" s="37" cm="1">
        <f t="array" ref="F13">Common_InputFunctions.Utility_DisplayArrayInTable(SourceData_Poultry.SourceData_Poultry_DietProperties_Data(), Table_SourceData_Poultry_DietProperties[[#Headers],[Nutrient analysis]], 0)</f>
        <v>0.15</v>
      </c>
      <c r="G13" s="37" cm="1">
        <f t="array" ref="G13">Common_InputFunctions.Utility_DisplayArrayInTable(SourceData_Poultry.SourceData_Poultry_DietProperties_Data(), Table_SourceData_Poultry_DietProperties[[#Headers],[Nutrient analysis]], 0)</f>
        <v>0.18</v>
      </c>
      <c r="H13" s="37" cm="1">
        <f t="array" ref="H13">Common_InputFunctions.Utility_DisplayArrayInTable(SourceData_Poultry.SourceData_Poultry_DietProperties_Data(), Table_SourceData_Poultry_DietProperties[[#Headers],[Nutrient analysis]], 0)</f>
        <v>0.15</v>
      </c>
      <c r="M13" s="1"/>
    </row>
    <row r="14" spans="1:21" ht="20.100000000000001" customHeight="1" x14ac:dyDescent="0.25">
      <c r="A14" s="17" t="str">
        <f>HYPERLINK("#'4.6.1.7-8 Leaching and runoff'!A1", "4.6.1.7-8 Leaching &amp; runoff")</f>
        <v>4.6.1.7-8 Leaching &amp; runoff</v>
      </c>
      <c r="M14" s="1"/>
    </row>
    <row r="15" spans="1:21" ht="20.100000000000001" customHeight="1" x14ac:dyDescent="0.25">
      <c r="A15" s="17" t="str">
        <f>HYPERLINK("#'4.6.1.9 Manure applied to soils'!A1", "4.6.1.9 Manure applied to soils")</f>
        <v>4.6.1.9 Manure applied to soils</v>
      </c>
      <c r="M15" s="1"/>
    </row>
    <row r="16" spans="1:21" ht="20.100000000000001" customHeight="1" x14ac:dyDescent="0.25">
      <c r="A16" s="17" t="str">
        <f>HYPERLINK("#'4.6.1.10-11 Soil direct N2O'!A1", "4.6.1.10-11 Soil direct N2O")</f>
        <v>4.6.1.10-11 Soil direct N2O</v>
      </c>
      <c r="M16" s="1"/>
    </row>
    <row r="17" spans="1:13" ht="20.100000000000001" customHeight="1" x14ac:dyDescent="0.25">
      <c r="A17" s="17" t="str">
        <f>HYPERLINK("#'4.6.1.12-13 Soil atmos dep'!A1", "4.6.1.12-13 Soil Atm. deposition")</f>
        <v>4.6.1.12-13 Soil Atm. deposition</v>
      </c>
      <c r="D17" s="6" t="str" cm="1">
        <f t="array" ref="D17">SourceData_Poultry.SourceData_Poultry_MethaneEmissionsPotential_Title()</f>
        <v>Poultry - Methane emissions potential per class</v>
      </c>
      <c r="M17" s="1"/>
    </row>
    <row r="18" spans="1:13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5" t="str" cm="1">
        <f t="array" ref="D18">SourceData_Poultry.SourceData_Poultry_MethaneEmissionsPotential_Source()</f>
        <v>VEERG 2026: 4.6.2.3 CONSTANT: Poultry - Methane emissions potential per class</v>
      </c>
      <c r="M18" s="1"/>
    </row>
    <row r="19" spans="1:13" ht="20.100000000000001" customHeight="1" x14ac:dyDescent="0.25">
      <c r="D19" s="37" t="s">
        <v>213</v>
      </c>
      <c r="E19" s="37" t="s">
        <v>214</v>
      </c>
      <c r="M19" s="1"/>
    </row>
    <row r="20" spans="1:13" ht="20.100000000000001" customHeight="1" x14ac:dyDescent="0.25">
      <c r="A20" s="18" t="s">
        <v>4</v>
      </c>
      <c r="D20" s="37" t="str" cm="1">
        <f t="array" ref="D20">Common_InputFunctions.Utility_DisplayArrayInTable(SourceData_Poultry.SourceData_Poultry_MethaneEmissionsPotential_Data(), Table_SourceData_Poultry_MethaneEmissionsPotential[[#Headers],[Poultry class]], 0)</f>
        <v>Layers</v>
      </c>
      <c r="E20" s="37" cm="1">
        <f t="array" ref="E20">Common_InputFunctions.Utility_DisplayArrayInTable(SourceData_Poultry.SourceData_Poultry_MethaneEmissionsPotential_Data(), Table_SourceData_Poultry_MethaneEmissionsPotential[[#Headers],[Poultry class]], 0)</f>
        <v>0.39</v>
      </c>
      <c r="M20" s="1"/>
    </row>
    <row r="21" spans="1:13" ht="20.100000000000001" customHeight="1" x14ac:dyDescent="0.25">
      <c r="A21" s="137" t="str">
        <f>HYPERLINK("#'Constants - Poultry'!A1", "Constants - Poultry")</f>
        <v>Constants - Poultry</v>
      </c>
      <c r="D21" s="1" t="str" cm="1">
        <f t="array" ref="D21">Common_InputFunctions.Utility_DisplayArrayInTable(SourceData_Poultry.SourceData_Poultry_MethaneEmissionsPotential_Data(), Table_SourceData_Poultry_MethaneEmissionsPotential[[#Headers],[Poultry class]], 0)</f>
        <v>Meat chickens</v>
      </c>
      <c r="E21" s="37" cm="1">
        <f t="array" ref="E21">Common_InputFunctions.Utility_DisplayArrayInTable(SourceData_Poultry.SourceData_Poultry_MethaneEmissionsPotential_Data(), Table_SourceData_Poultry_MethaneEmissionsPotential[[#Headers],[Poultry class]], 0)</f>
        <v>0.36</v>
      </c>
      <c r="M21" s="1"/>
    </row>
    <row r="22" spans="1:13" ht="20.100000000000001" customHeight="1" x14ac:dyDescent="0.25">
      <c r="A22" s="17" t="str">
        <f>HYPERLINK("#'Constants - Livestock'!A1", "Constants - Livestock")</f>
        <v>Constants - Livestock</v>
      </c>
      <c r="M22" s="1"/>
    </row>
    <row r="23" spans="1:13" ht="20.100000000000001" customHeight="1" x14ac:dyDescent="0.25">
      <c r="A23" s="17" t="str">
        <f>HYPERLINK("#'Constants - Common'!A1", "Constants - Common")</f>
        <v>Constants - Common</v>
      </c>
      <c r="M23" s="1"/>
    </row>
    <row r="24" spans="1:13" ht="20.100000000000001" customHeight="1" x14ac:dyDescent="0.25">
      <c r="A24" s="17" t="str">
        <f>HYPERLINK("#'Acknowledgements'!A1", "Acknowledgements")</f>
        <v>Acknowledgements</v>
      </c>
      <c r="M24" s="1"/>
    </row>
    <row r="25" spans="1:13" ht="20.100000000000001" customHeight="1" x14ac:dyDescent="0.25">
      <c r="M25" s="1"/>
    </row>
    <row r="26" spans="1:13" ht="20.100000000000001" customHeight="1" x14ac:dyDescent="0.25">
      <c r="D26" s="6" t="s">
        <v>215</v>
      </c>
      <c r="G26" s="6" t="s">
        <v>216</v>
      </c>
      <c r="J26" s="6" t="s">
        <v>217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120" t="s">
        <v>67</v>
      </c>
      <c r="E28" s="37" t="s">
        <v>81</v>
      </c>
      <c r="G28" s="120" t="s">
        <v>67</v>
      </c>
      <c r="H28" s="37" t="s">
        <v>81</v>
      </c>
      <c r="J28" s="120" t="s">
        <v>67</v>
      </c>
      <c r="K28" s="37" t="s">
        <v>81</v>
      </c>
      <c r="M28" s="1"/>
    </row>
    <row r="29" spans="1:13" ht="20.100000000000001" customHeight="1" x14ac:dyDescent="0.25">
      <c r="D29" s="37" t="str">
        <f>'[1]Constants - Livestock'!$E$21</f>
        <v>Poultry manure with bedding</v>
      </c>
      <c r="E29" s="37" t="str">
        <f>'[1]Constants - Livestock'!$F$21</f>
        <v>Poultry manure with bedding (m=10)</v>
      </c>
      <c r="G29" s="37" t="str">
        <f>'[1]Constants - Livestock'!$E$21</f>
        <v>Poultry manure with bedding</v>
      </c>
      <c r="H29" s="37" t="str">
        <f>'[1]Constants - Livestock'!$F$21</f>
        <v>Poultry manure with bedding (m=10)</v>
      </c>
      <c r="J29" s="37" t="str">
        <f>'[1]Constants - Livestock'!$E$15</f>
        <v>Solid storage</v>
      </c>
      <c r="K29" s="37" t="str">
        <f>'[1]Constants - Livestock'!$F$15</f>
        <v>Solid storage (m=4)</v>
      </c>
      <c r="M29" s="1"/>
    </row>
    <row r="30" spans="1:13" ht="20.100000000000001" customHeight="1" x14ac:dyDescent="0.25">
      <c r="D30" s="37" t="str">
        <f>'[1]Constants - Livestock'!$E$23</f>
        <v>Belt manure removal</v>
      </c>
      <c r="E30" s="37" t="str">
        <f>'[1]Constants - Livestock'!$F$23</f>
        <v>Belt manure removal (m=11a)</v>
      </c>
      <c r="G30" s="37" t="str">
        <f>'[1]Constants - Livestock'!$E$23</f>
        <v>Belt manure removal</v>
      </c>
      <c r="H30" s="37" t="str">
        <f>'[1]Constants - Livestock'!$F$23</f>
        <v>Belt manure removal (m=11a)</v>
      </c>
      <c r="J30" s="37" t="str">
        <f>'[1]Constants - Livestock'!$E$17</f>
        <v>Composting (passive windrow)</v>
      </c>
      <c r="K30" s="37" t="str">
        <f>'[1]Constants - Livestock'!$F$17</f>
        <v>Composting (passive windrow) (m=6)</v>
      </c>
      <c r="M30" s="1"/>
    </row>
    <row r="31" spans="1:13" ht="20.100000000000001" customHeight="1" x14ac:dyDescent="0.25">
      <c r="D31" s="37" t="str">
        <f>'[1]Constants - Livestock'!$E$24</f>
        <v>Manure stored in house</v>
      </c>
      <c r="E31" s="37" t="str">
        <f>'[1]Constants - Livestock'!$F$24</f>
        <v>Manure stored in house (m=11b)</v>
      </c>
      <c r="G31" s="37" t="str">
        <f>'[1]Constants - Livestock'!$E$24</f>
        <v>Manure stored in house</v>
      </c>
      <c r="H31" s="37" t="str">
        <f>'[1]Constants - Livestock'!$F$24</f>
        <v>Manure stored in house (m=11b)</v>
      </c>
      <c r="J31" s="1" t="str">
        <f>'[1]Constants - Livestock'!$E$18</f>
        <v>Digester / covered lagoons</v>
      </c>
      <c r="K31" s="1" t="str">
        <f>'[1]Constants - Livestock'!$F$18</f>
        <v>Digester / covered lagoons (m=7)</v>
      </c>
      <c r="M31" s="1"/>
    </row>
    <row r="32" spans="1:13" ht="20.100000000000001" customHeight="1" x14ac:dyDescent="0.25">
      <c r="D32" s="37" t="str">
        <f>'[1]Constants - Livestock'!$E$27</f>
        <v>Pasture range and paddock</v>
      </c>
      <c r="E32" s="37" t="str">
        <f>'[1]Constants - Livestock'!$F$27</f>
        <v>Pasture range and paddock (m=14)</v>
      </c>
      <c r="G32" s="37" t="str">
        <f>'[1]Constants - Livestock'!$E$27</f>
        <v>Pasture range and paddock</v>
      </c>
      <c r="H32" s="37" t="str">
        <f>'[1]Constants - Livestock'!$F$27</f>
        <v>Pasture range and paddock (m=14)</v>
      </c>
      <c r="J32" s="37" t="str">
        <f>'[1]Constants - Livestock'!$E$25</f>
        <v>Direct processing</v>
      </c>
      <c r="K32" s="37" t="str">
        <f>'[1]Constants - Livestock'!$F$25</f>
        <v>Direct processing (m=12)</v>
      </c>
      <c r="M32" s="1"/>
    </row>
    <row r="33" spans="4:13" ht="20.100000000000001" customHeight="1" x14ac:dyDescent="0.25">
      <c r="D33" s="37" t="str">
        <f>'[1]Constants - Livestock'!$E$15</f>
        <v>Solid storage</v>
      </c>
      <c r="E33" s="37" t="str">
        <f>'[1]Constants - Livestock'!$F$15</f>
        <v>Solid storage (m=4)</v>
      </c>
      <c r="G33" s="1" t="s">
        <v>218</v>
      </c>
      <c r="H33" s="37" t="s">
        <v>218</v>
      </c>
      <c r="J33" s="37" t="str">
        <f>'[1]Constants - Livestock'!$E$26</f>
        <v>Direct application</v>
      </c>
      <c r="K33" s="37" t="str">
        <f>'[1]Constants - Livestock'!$F$26</f>
        <v>Direct application (m=13)</v>
      </c>
      <c r="M33" s="1"/>
    </row>
    <row r="34" spans="4:13" ht="20.100000000000001" customHeight="1" x14ac:dyDescent="0.25">
      <c r="D34" s="37" t="str">
        <f>'[1]Constants - Livestock'!$E$17</f>
        <v>Composting (passive windrow)</v>
      </c>
      <c r="E34" s="37" t="str">
        <f>'[1]Constants - Livestock'!$F$17</f>
        <v>Composting (passive windrow) (m=6)</v>
      </c>
      <c r="J34" s="1" t="s">
        <v>218</v>
      </c>
      <c r="K34" s="37" t="s">
        <v>218</v>
      </c>
      <c r="M34" s="1"/>
    </row>
    <row r="35" spans="4:13" ht="20.100000000000001" customHeight="1" x14ac:dyDescent="0.25">
      <c r="D35" s="1" t="str">
        <f>'[1]Constants - Livestock'!$E$18</f>
        <v>Digester / covered lagoons</v>
      </c>
      <c r="E35" s="1" t="str">
        <f>'[1]Constants - Livestock'!$F$18</f>
        <v>Digester / covered lagoons (m=7)</v>
      </c>
      <c r="M35" s="1"/>
    </row>
    <row r="36" spans="4:13" ht="20.100000000000001" customHeight="1" x14ac:dyDescent="0.25">
      <c r="D36" s="37" t="str">
        <f>'[1]Constants - Livestock'!$E$25</f>
        <v>Direct processing</v>
      </c>
      <c r="E36" s="37" t="str">
        <f>'[1]Constants - Livestock'!$F$25</f>
        <v>Direct processing (m=12)</v>
      </c>
      <c r="M36" s="1"/>
    </row>
    <row r="37" spans="4:13" ht="20.100000000000001" customHeight="1" x14ac:dyDescent="0.25">
      <c r="D37" s="37" t="str">
        <f>'[1]Constants - Livestock'!$E$26</f>
        <v>Direct application</v>
      </c>
      <c r="E37" s="37" t="str">
        <f>'[1]Constants - Livestock'!$F$26</f>
        <v>Direct application (m=13)</v>
      </c>
      <c r="M37" s="1"/>
    </row>
    <row r="38" spans="4:13" ht="20.100000000000001" customHeight="1" x14ac:dyDescent="0.25">
      <c r="D38" s="1" t="s">
        <v>218</v>
      </c>
      <c r="E38" s="37" t="s">
        <v>218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">
        <v>219</v>
      </c>
      <c r="M42" s="1"/>
    </row>
    <row r="43" spans="4:13" ht="20.100000000000001" customHeight="1" x14ac:dyDescent="0.25">
      <c r="M43" s="1"/>
    </row>
    <row r="44" spans="4:13" ht="20.100000000000001" customHeight="1" x14ac:dyDescent="0.25">
      <c r="D44" s="37" t="s">
        <v>112</v>
      </c>
      <c r="M44" s="1"/>
    </row>
    <row r="45" spans="4:13" ht="20.100000000000001" customHeight="1" x14ac:dyDescent="0.25">
      <c r="D45" s="37" t="str" cm="1">
        <f t="array" ref="D45">Common_InputFunctions.Utility_DisplayArrayInTable(SourceData_Poultry.SourceData_Poultry_ProductionSystems_Data(), Table_SourceData_Poultry_ProductionSystems[[#Headers],[Production system]], 0)</f>
        <v>Free range</v>
      </c>
      <c r="M45" s="1"/>
    </row>
    <row r="46" spans="4:13" ht="20.100000000000001" customHeight="1" x14ac:dyDescent="0.25">
      <c r="D46" s="1" t="str" cm="1">
        <f t="array" ref="D46">Common_InputFunctions.Utility_DisplayArrayInTable(SourceData_Poultry.SourceData_Poultry_ProductionSystems_Data(), Table_SourceData_Poultry_ProductionSystems[[#Headers],[Production system]], 0)</f>
        <v>Barn</v>
      </c>
      <c r="M46" s="1"/>
    </row>
    <row r="47" spans="4:13" ht="20.100000000000001" customHeight="1" x14ac:dyDescent="0.25">
      <c r="D47" s="1" t="str" cm="1">
        <f t="array" ref="D47">Common_InputFunctions.Utility_DisplayArrayInTable(SourceData_Poultry.SourceData_Poultry_ProductionSystems_Data(), Table_SourceData_Poultry_ProductionSystems[[#Headers],[Production system]], 0)</f>
        <v>Cage</v>
      </c>
      <c r="M47" s="1"/>
    </row>
    <row r="48" spans="4:13" ht="20.100000000000001" customHeight="1" x14ac:dyDescent="0.25">
      <c r="M48" s="1"/>
    </row>
    <row r="49" spans="4:14" ht="20.100000000000001" customHeight="1" x14ac:dyDescent="0.25">
      <c r="M49" s="1"/>
    </row>
    <row r="50" spans="4:14" ht="20.100000000000001" customHeight="1" x14ac:dyDescent="0.25">
      <c r="M50" s="1"/>
    </row>
    <row r="51" spans="4:14" ht="20.100000000000001" customHeight="1" x14ac:dyDescent="0.25">
      <c r="D51" s="6" t="str" cm="1">
        <f t="array" ref="D51">SourceData_Poultry.SourceData_Poultry_MCF_Title()</f>
        <v>Poultry - MCFs</v>
      </c>
      <c r="M51" s="1"/>
    </row>
    <row r="52" spans="4:14" ht="20.100000000000001" customHeight="1" x14ac:dyDescent="0.25">
      <c r="D52" s="5" t="str" cm="1">
        <f t="array" ref="D52">SourceData_Poultry.SourceData_Poultry_MCF_Source()</f>
        <v>VEERG 2026: Table A.1.7.4: Poultry - MCFs</v>
      </c>
      <c r="M52" s="1"/>
    </row>
    <row r="53" spans="4:14" ht="20.100000000000001" customHeight="1" x14ac:dyDescent="0.25">
      <c r="D53" s="55" t="str" cm="1">
        <f t="array" ref="D53:D57">SourceData_Poultry.SourceData_Poultry_MCF_Variation()</f>
        <v>VARIATION ON SOURCE:</v>
      </c>
      <c r="M53" s="1"/>
    </row>
    <row r="54" spans="4:14" ht="20.100000000000001" customHeight="1" x14ac:dyDescent="0.25">
      <c r="D54" s="55" t="str">
        <v>Split NSW and ACT into separate states. Split QLD and NT into separate states.</v>
      </c>
      <c r="M54" s="1"/>
    </row>
    <row r="55" spans="4:14" ht="20.100000000000001" customHeight="1" x14ac:dyDescent="0.25">
      <c r="D55" s="55" t="str">
        <v>Included values for each state when 'All states' value is given.</v>
      </c>
      <c r="M55" s="1"/>
    </row>
    <row r="56" spans="4:14" ht="20.100000000000001" customHeight="1" x14ac:dyDescent="0.25">
      <c r="D56" s="55" t="str">
        <v>Added 'NIR definition' column with MMS names that match NIR definitions.</v>
      </c>
      <c r="M56" s="1"/>
    </row>
    <row r="57" spans="4:14" ht="20.100000000000001" customHeight="1" x14ac:dyDescent="0.25">
      <c r="D57" s="55" t="str">
        <v>Duplicated 'Poultry manure without litter' row for NIR MMS 'Belt manure removal' and 'Manure stored in house'</v>
      </c>
      <c r="M57" s="1"/>
    </row>
    <row r="58" spans="4:14" ht="20.100000000000001" customHeight="1" x14ac:dyDescent="0.25">
      <c r="M58" s="1"/>
    </row>
    <row r="59" spans="4:14" ht="20.100000000000001" customHeight="1" x14ac:dyDescent="0.25">
      <c r="D59" s="37" t="s">
        <v>220</v>
      </c>
      <c r="E59" s="37" t="s">
        <v>221</v>
      </c>
      <c r="F59" s="37" t="s">
        <v>83</v>
      </c>
      <c r="G59" s="37" t="s">
        <v>82</v>
      </c>
      <c r="H59" s="37" t="s">
        <v>85</v>
      </c>
      <c r="I59" s="37" t="s">
        <v>84</v>
      </c>
      <c r="J59" s="37" t="s">
        <v>88</v>
      </c>
      <c r="K59" s="37" t="s">
        <v>86</v>
      </c>
      <c r="L59" s="37" t="s">
        <v>89</v>
      </c>
      <c r="M59" s="37" t="s">
        <v>87</v>
      </c>
      <c r="N59" s="37" t="s">
        <v>135</v>
      </c>
    </row>
    <row r="60" spans="4:14" ht="20.100000000000001" customHeight="1" x14ac:dyDescent="0.25">
      <c r="D60" s="37" t="str" cm="1">
        <f t="array" ref="D60">Common_InputFunctions.Utility_DisplayArrayInTable(SourceData_Poultry.SourceData_Poultry_MCF_Data(), Table_SourceData_Poultry_MMSMCF[[#Headers],[MMS m]], 0)</f>
        <v>Poultry manure with litter</v>
      </c>
      <c r="E60" s="37" cm="1">
        <f t="array" ref="E60">Common_InputFunctions.Utility_DisplayArrayInTable(SourceData_Poultry.SourceData_Poultry_MCF_Data(), Table_SourceData_Poultry_MMSMCF[[#Headers],[MMS m]], 0)</f>
        <v>1.4999999999999999E-2</v>
      </c>
      <c r="F60" s="37" cm="1">
        <f t="array" ref="F60">Common_InputFunctions.Utility_DisplayArrayInTable(SourceData_Poultry.SourceData_Poultry_MCF_Data(), Table_SourceData_Poultry_MMSMCF[[#Headers],[MMS m]], 0)</f>
        <v>1.4999999999999999E-2</v>
      </c>
      <c r="G60" s="37" cm="1">
        <f t="array" ref="G60">Common_InputFunctions.Utility_DisplayArrayInTable(SourceData_Poultry.SourceData_Poultry_MCF_Data(), Table_SourceData_Poultry_MMSMCF[[#Headers],[MMS m]], 0)</f>
        <v>1.4999999999999999E-2</v>
      </c>
      <c r="H60" s="37" cm="1">
        <f t="array" ref="H60">Common_InputFunctions.Utility_DisplayArrayInTable(SourceData_Poultry.SourceData_Poultry_MCF_Data(), Table_SourceData_Poultry_MMSMCF[[#Headers],[MMS m]], 0)</f>
        <v>1.4999999999999999E-2</v>
      </c>
      <c r="I60" s="37" cm="1">
        <f t="array" ref="I60">Common_InputFunctions.Utility_DisplayArrayInTable(SourceData_Poultry.SourceData_Poultry_MCF_Data(), Table_SourceData_Poultry_MMSMCF[[#Headers],[MMS m]], 0)</f>
        <v>1.4999999999999999E-2</v>
      </c>
      <c r="J60" s="37" cm="1">
        <f t="array" ref="J60">Common_InputFunctions.Utility_DisplayArrayInTable(SourceData_Poultry.SourceData_Poultry_MCF_Data(), Table_SourceData_Poultry_MMSMCF[[#Headers],[MMS m]], 0)</f>
        <v>1.4999999999999999E-2</v>
      </c>
      <c r="K60" s="37" cm="1">
        <f t="array" ref="K60">Common_InputFunctions.Utility_DisplayArrayInTable(SourceData_Poultry.SourceData_Poultry_MCF_Data(), Table_SourceData_Poultry_MMSMCF[[#Headers],[MMS m]], 0)</f>
        <v>1.4999999999999999E-2</v>
      </c>
      <c r="L60" s="37" cm="1">
        <f t="array" ref="L60">Common_InputFunctions.Utility_DisplayArrayInTable(SourceData_Poultry.SourceData_Poultry_MCF_Data(), Table_SourceData_Poultry_MMSMCF[[#Headers],[MMS m]], 0)</f>
        <v>1.4999999999999999E-2</v>
      </c>
      <c r="M60" s="37" cm="1">
        <f t="array" ref="M60">Common_InputFunctions.Utility_DisplayArrayInTable(SourceData_Poultry.SourceData_Poultry_MCF_Data(), Table_SourceData_Poultry_MMSMCF[[#Headers],[MMS m]], 0)</f>
        <v>1.4999999999999999E-2</v>
      </c>
      <c r="N60" s="37" t="str" cm="1">
        <f t="array" ref="N60">Common_InputFunctions.Utility_DisplayArrayInTable(SourceData_Poultry.SourceData_Poultry_MCF_Data(), Table_SourceData_Poultry_MMSMCF[[#Headers],[MMS m]], 0)</f>
        <v>Poultry manure with bedding</v>
      </c>
    </row>
    <row r="61" spans="4:14" ht="20.100000000000001" customHeight="1" x14ac:dyDescent="0.25">
      <c r="D61" s="1" t="str" cm="1">
        <f t="array" ref="D61">Common_InputFunctions.Utility_DisplayArrayInTable(SourceData_Poultry.SourceData_Poultry_MCF_Data(), Table_SourceData_Poultry_MMSMCF[[#Headers],[MMS m]], 0)</f>
        <v>Poultry manure without litter</v>
      </c>
      <c r="E61" s="37" cm="1">
        <f t="array" ref="E61">Common_InputFunctions.Utility_DisplayArrayInTable(SourceData_Poultry.SourceData_Poultry_MCF_Data(), Table_SourceData_Poultry_MMSMCF[[#Headers],[MMS m]], 0)</f>
        <v>1.4999999999999999E-2</v>
      </c>
      <c r="F61" s="37" cm="1">
        <f t="array" ref="F61">Common_InputFunctions.Utility_DisplayArrayInTable(SourceData_Poultry.SourceData_Poultry_MCF_Data(), Table_SourceData_Poultry_MMSMCF[[#Headers],[MMS m]], 0)</f>
        <v>1.4999999999999999E-2</v>
      </c>
      <c r="G61" s="37" cm="1">
        <f t="array" ref="G61">Common_InputFunctions.Utility_DisplayArrayInTable(SourceData_Poultry.SourceData_Poultry_MCF_Data(), Table_SourceData_Poultry_MMSMCF[[#Headers],[MMS m]], 0)</f>
        <v>1.4999999999999999E-2</v>
      </c>
      <c r="H61" s="37" cm="1">
        <f t="array" ref="H61">Common_InputFunctions.Utility_DisplayArrayInTable(SourceData_Poultry.SourceData_Poultry_MCF_Data(), Table_SourceData_Poultry_MMSMCF[[#Headers],[MMS m]], 0)</f>
        <v>1.4999999999999999E-2</v>
      </c>
      <c r="I61" s="37" cm="1">
        <f t="array" ref="I61">Common_InputFunctions.Utility_DisplayArrayInTable(SourceData_Poultry.SourceData_Poultry_MCF_Data(), Table_SourceData_Poultry_MMSMCF[[#Headers],[MMS m]], 0)</f>
        <v>1.4999999999999999E-2</v>
      </c>
      <c r="J61" s="37" cm="1">
        <f t="array" ref="J61">Common_InputFunctions.Utility_DisplayArrayInTable(SourceData_Poultry.SourceData_Poultry_MCF_Data(), Table_SourceData_Poultry_MMSMCF[[#Headers],[MMS m]], 0)</f>
        <v>1.4999999999999999E-2</v>
      </c>
      <c r="K61" s="37" cm="1">
        <f t="array" ref="K61">Common_InputFunctions.Utility_DisplayArrayInTable(SourceData_Poultry.SourceData_Poultry_MCF_Data(), Table_SourceData_Poultry_MMSMCF[[#Headers],[MMS m]], 0)</f>
        <v>1.4999999999999999E-2</v>
      </c>
      <c r="L61" s="37" cm="1">
        <f t="array" ref="L61">Common_InputFunctions.Utility_DisplayArrayInTable(SourceData_Poultry.SourceData_Poultry_MCF_Data(), Table_SourceData_Poultry_MMSMCF[[#Headers],[MMS m]], 0)</f>
        <v>1.4999999999999999E-2</v>
      </c>
      <c r="M61" s="37" cm="1">
        <f t="array" ref="M61">Common_InputFunctions.Utility_DisplayArrayInTable(SourceData_Poultry.SourceData_Poultry_MCF_Data(), Table_SourceData_Poultry_MMSMCF[[#Headers],[MMS m]], 0)</f>
        <v>1.4999999999999999E-2</v>
      </c>
      <c r="N61" s="37" t="str" cm="1">
        <f t="array" ref="N61">Common_InputFunctions.Utility_DisplayArrayInTable(SourceData_Poultry.SourceData_Poultry_MCF_Data(), Table_SourceData_Poultry_MMSMCF[[#Headers],[MMS m]], 0)</f>
        <v>Belt manure removal</v>
      </c>
    </row>
    <row r="62" spans="4:14" ht="20.100000000000001" customHeight="1" x14ac:dyDescent="0.25">
      <c r="D62" s="1" t="str" cm="1">
        <f t="array" ref="D62">Common_InputFunctions.Utility_DisplayArrayInTable(SourceData_Poultry.SourceData_Poultry_MCF_Data(), Table_SourceData_Poultry_MMSMCF[[#Headers],[MMS m]], 0)</f>
        <v>Poultry manure without litter</v>
      </c>
      <c r="E62" s="37" cm="1">
        <f t="array" ref="E62">Common_InputFunctions.Utility_DisplayArrayInTable(SourceData_Poultry.SourceData_Poultry_MCF_Data(), Table_SourceData_Poultry_MMSMCF[[#Headers],[MMS m]], 0)</f>
        <v>1.4999999999999999E-2</v>
      </c>
      <c r="F62" s="37" cm="1">
        <f t="array" ref="F62">Common_InputFunctions.Utility_DisplayArrayInTable(SourceData_Poultry.SourceData_Poultry_MCF_Data(), Table_SourceData_Poultry_MMSMCF[[#Headers],[MMS m]], 0)</f>
        <v>1.4999999999999999E-2</v>
      </c>
      <c r="G62" s="37" cm="1">
        <f t="array" ref="G62">Common_InputFunctions.Utility_DisplayArrayInTable(SourceData_Poultry.SourceData_Poultry_MCF_Data(), Table_SourceData_Poultry_MMSMCF[[#Headers],[MMS m]], 0)</f>
        <v>1.4999999999999999E-2</v>
      </c>
      <c r="H62" s="37" cm="1">
        <f t="array" ref="H62">Common_InputFunctions.Utility_DisplayArrayInTable(SourceData_Poultry.SourceData_Poultry_MCF_Data(), Table_SourceData_Poultry_MMSMCF[[#Headers],[MMS m]], 0)</f>
        <v>1.4999999999999999E-2</v>
      </c>
      <c r="I62" s="37" cm="1">
        <f t="array" ref="I62">Common_InputFunctions.Utility_DisplayArrayInTable(SourceData_Poultry.SourceData_Poultry_MCF_Data(), Table_SourceData_Poultry_MMSMCF[[#Headers],[MMS m]], 0)</f>
        <v>1.4999999999999999E-2</v>
      </c>
      <c r="J62" s="37" cm="1">
        <f t="array" ref="J62">Common_InputFunctions.Utility_DisplayArrayInTable(SourceData_Poultry.SourceData_Poultry_MCF_Data(), Table_SourceData_Poultry_MMSMCF[[#Headers],[MMS m]], 0)</f>
        <v>1.4999999999999999E-2</v>
      </c>
      <c r="K62" s="37" cm="1">
        <f t="array" ref="K62">Common_InputFunctions.Utility_DisplayArrayInTable(SourceData_Poultry.SourceData_Poultry_MCF_Data(), Table_SourceData_Poultry_MMSMCF[[#Headers],[MMS m]], 0)</f>
        <v>1.4999999999999999E-2</v>
      </c>
      <c r="L62" s="37" cm="1">
        <f t="array" ref="L62">Common_InputFunctions.Utility_DisplayArrayInTable(SourceData_Poultry.SourceData_Poultry_MCF_Data(), Table_SourceData_Poultry_MMSMCF[[#Headers],[MMS m]], 0)</f>
        <v>1.4999999999999999E-2</v>
      </c>
      <c r="M62" s="37" cm="1">
        <f t="array" ref="M62">Common_InputFunctions.Utility_DisplayArrayInTable(SourceData_Poultry.SourceData_Poultry_MCF_Data(), Table_SourceData_Poultry_MMSMCF[[#Headers],[MMS m]], 0)</f>
        <v>1.4999999999999999E-2</v>
      </c>
      <c r="N62" s="37" t="str" cm="1">
        <f t="array" ref="N62">Common_InputFunctions.Utility_DisplayArrayInTable(SourceData_Poultry.SourceData_Poultry_MCF_Data(), Table_SourceData_Poultry_MMSMCF[[#Headers],[MMS m]], 0)</f>
        <v>Manure stored in house</v>
      </c>
    </row>
    <row r="63" spans="4:14" ht="20.100000000000001" customHeight="1" x14ac:dyDescent="0.25">
      <c r="D63" s="1" t="str" cm="1">
        <f t="array" ref="D63">Common_InputFunctions.Utility_DisplayArrayInTable(SourceData_Poultry.SourceData_Poultry_MCF_Data(), Table_SourceData_Poultry_MMSMCF[[#Headers],[MMS m]], 0)</f>
        <v>Pasture range and paddock</v>
      </c>
      <c r="E63" s="37" t="str" cm="1">
        <f t="array" ref="E63">Common_InputFunctions.Utility_DisplayArrayInTable(SourceData_Poultry.SourceData_Poultry_MCF_Data(), Table_SourceData_Poultry_MMSMCF[[#Headers],[MMS m]], 0)</f>
        <v>n/a</v>
      </c>
      <c r="F63" s="37" cm="1">
        <f t="array" ref="F63">Common_InputFunctions.Utility_DisplayArrayInTable(SourceData_Poultry.SourceData_Poultry_MCF_Data(), Table_SourceData_Poultry_MMSMCF[[#Headers],[MMS m]], 0)</f>
        <v>0.01</v>
      </c>
      <c r="G63" s="37" cm="1">
        <f t="array" ref="G63">Common_InputFunctions.Utility_DisplayArrayInTable(SourceData_Poultry.SourceData_Poultry_MCF_Data(), Table_SourceData_Poultry_MMSMCF[[#Headers],[MMS m]], 0)</f>
        <v>0.01</v>
      </c>
      <c r="H63" s="37" cm="1">
        <f t="array" ref="H63">Common_InputFunctions.Utility_DisplayArrayInTable(SourceData_Poultry.SourceData_Poultry_MCF_Data(), Table_SourceData_Poultry_MMSMCF[[#Headers],[MMS m]], 0)</f>
        <v>0.03</v>
      </c>
      <c r="I63" s="37" cm="1">
        <f t="array" ref="I63">Common_InputFunctions.Utility_DisplayArrayInTable(SourceData_Poultry.SourceData_Poultry_MCF_Data(), Table_SourceData_Poultry_MMSMCF[[#Headers],[MMS m]], 0)</f>
        <v>0.03</v>
      </c>
      <c r="J63" s="37" cm="1">
        <f t="array" ref="J63">Common_InputFunctions.Utility_DisplayArrayInTable(SourceData_Poultry.SourceData_Poultry_MCF_Data(), Table_SourceData_Poultry_MMSMCF[[#Headers],[MMS m]], 0)</f>
        <v>0.01</v>
      </c>
      <c r="K63" s="37" cm="1">
        <f t="array" ref="K63">Common_InputFunctions.Utility_DisplayArrayInTable(SourceData_Poultry.SourceData_Poultry_MCF_Data(), Table_SourceData_Poultry_MMSMCF[[#Headers],[MMS m]], 0)</f>
        <v>0.01</v>
      </c>
      <c r="L63" s="37" cm="1">
        <f t="array" ref="L63">Common_InputFunctions.Utility_DisplayArrayInTable(SourceData_Poultry.SourceData_Poultry_MCF_Data(), Table_SourceData_Poultry_MMSMCF[[#Headers],[MMS m]], 0)</f>
        <v>0.01</v>
      </c>
      <c r="M63" s="37" cm="1">
        <f t="array" ref="M63">Common_InputFunctions.Utility_DisplayArrayInTable(SourceData_Poultry.SourceData_Poultry_MCF_Data(), Table_SourceData_Poultry_MMSMCF[[#Headers],[MMS m]], 0)</f>
        <v>0.01</v>
      </c>
      <c r="N63" s="37" t="str" cm="1">
        <f t="array" ref="N63">Common_InputFunctions.Utility_DisplayArrayInTable(SourceData_Poultry.SourceData_Poultry_MCF_Data(), Table_SourceData_Poultry_MMSMCF[[#Headers],[MMS m]], 0)</f>
        <v>Pasture range and paddock</v>
      </c>
    </row>
    <row r="64" spans="4:14" ht="20.100000000000001" customHeight="1" x14ac:dyDescent="0.25">
      <c r="D64" s="1" t="str" cm="1">
        <f t="array" ref="D64">Common_InputFunctions.Utility_DisplayArrayInTable(SourceData_Poultry.SourceData_Poultry_MCF_Data(), Table_SourceData_Poultry_MMSMCF[[#Headers],[MMS m]], 0)</f>
        <v>Solid storage</v>
      </c>
      <c r="E64" s="37" cm="1">
        <f t="array" ref="E64">Common_InputFunctions.Utility_DisplayArrayInTable(SourceData_Poultry.SourceData_Poultry_MCF_Data(), Table_SourceData_Poultry_MMSMCF[[#Headers],[MMS m]], 0)</f>
        <v>0.02</v>
      </c>
      <c r="F64" s="37" cm="1">
        <f t="array" ref="F64">Common_InputFunctions.Utility_DisplayArrayInTable(SourceData_Poultry.SourceData_Poultry_MCF_Data(), Table_SourceData_Poultry_MMSMCF[[#Headers],[MMS m]], 0)</f>
        <v>0.02</v>
      </c>
      <c r="G64" s="37" cm="1">
        <f t="array" ref="G64">Common_InputFunctions.Utility_DisplayArrayInTable(SourceData_Poultry.SourceData_Poultry_MCF_Data(), Table_SourceData_Poultry_MMSMCF[[#Headers],[MMS m]], 0)</f>
        <v>0.02</v>
      </c>
      <c r="H64" s="37" cm="1">
        <f t="array" ref="H64">Common_InputFunctions.Utility_DisplayArrayInTable(SourceData_Poultry.SourceData_Poultry_MCF_Data(), Table_SourceData_Poultry_MMSMCF[[#Headers],[MMS m]], 0)</f>
        <v>0.02</v>
      </c>
      <c r="I64" s="37" cm="1">
        <f t="array" ref="I64">Common_InputFunctions.Utility_DisplayArrayInTable(SourceData_Poultry.SourceData_Poultry_MCF_Data(), Table_SourceData_Poultry_MMSMCF[[#Headers],[MMS m]], 0)</f>
        <v>0.02</v>
      </c>
      <c r="J64" s="37" cm="1">
        <f t="array" ref="J64">Common_InputFunctions.Utility_DisplayArrayInTable(SourceData_Poultry.SourceData_Poultry_MCF_Data(), Table_SourceData_Poultry_MMSMCF[[#Headers],[MMS m]], 0)</f>
        <v>0.02</v>
      </c>
      <c r="K64" s="37" cm="1">
        <f t="array" ref="K64">Common_InputFunctions.Utility_DisplayArrayInTable(SourceData_Poultry.SourceData_Poultry_MCF_Data(), Table_SourceData_Poultry_MMSMCF[[#Headers],[MMS m]], 0)</f>
        <v>0.02</v>
      </c>
      <c r="L64" s="37" cm="1">
        <f t="array" ref="L64">Common_InputFunctions.Utility_DisplayArrayInTable(SourceData_Poultry.SourceData_Poultry_MCF_Data(), Table_SourceData_Poultry_MMSMCF[[#Headers],[MMS m]], 0)</f>
        <v>0.02</v>
      </c>
      <c r="M64" s="37" cm="1">
        <f t="array" ref="M64">Common_InputFunctions.Utility_DisplayArrayInTable(SourceData_Poultry.SourceData_Poultry_MCF_Data(), Table_SourceData_Poultry_MMSMCF[[#Headers],[MMS m]], 0)</f>
        <v>0.02</v>
      </c>
      <c r="N64" s="37" t="str" cm="1">
        <f t="array" ref="N64">Common_InputFunctions.Utility_DisplayArrayInTable(SourceData_Poultry.SourceData_Poultry_MCF_Data(), Table_SourceData_Poultry_MMSMCF[[#Headers],[MMS m]], 0)</f>
        <v>Solid storage</v>
      </c>
    </row>
    <row r="65" spans="4:22" ht="20.100000000000001" customHeight="1" x14ac:dyDescent="0.25">
      <c r="D65" s="1" t="str" cm="1">
        <f t="array" ref="D65">Common_InputFunctions.Utility_DisplayArrayInTable(SourceData_Poultry.SourceData_Poultry_MCF_Data(), Table_SourceData_Poultry_MMSMCF[[#Headers],[MMS m]], 0)</f>
        <v>Composting (passive windrow)</v>
      </c>
      <c r="E65" s="37" t="str" cm="1">
        <f t="array" ref="E65">Common_InputFunctions.Utility_DisplayArrayInTable(SourceData_Poultry.SourceData_Poultry_MCF_Data(), Table_SourceData_Poultry_MMSMCF[[#Headers],[MMS m]], 0)</f>
        <v>n/a</v>
      </c>
      <c r="F65" s="37" cm="1">
        <f t="array" ref="F65">Common_InputFunctions.Utility_DisplayArrayInTable(SourceData_Poultry.SourceData_Poultry_MCF_Data(), Table_SourceData_Poultry_MMSMCF[[#Headers],[MMS m]], 0)</f>
        <v>0.01</v>
      </c>
      <c r="G65" s="37" cm="1">
        <f t="array" ref="G65">Common_InputFunctions.Utility_DisplayArrayInTable(SourceData_Poultry.SourceData_Poultry_MCF_Data(), Table_SourceData_Poultry_MMSMCF[[#Headers],[MMS m]], 0)</f>
        <v>0.01</v>
      </c>
      <c r="H65" s="37" cm="1">
        <f t="array" ref="H65">Common_InputFunctions.Utility_DisplayArrayInTable(SourceData_Poultry.SourceData_Poultry_MCF_Data(), Table_SourceData_Poultry_MMSMCF[[#Headers],[MMS m]], 0)</f>
        <v>0.01</v>
      </c>
      <c r="I65" s="37" cm="1">
        <f t="array" ref="I65">Common_InputFunctions.Utility_DisplayArrayInTable(SourceData_Poultry.SourceData_Poultry_MCF_Data(), Table_SourceData_Poultry_MMSMCF[[#Headers],[MMS m]], 0)</f>
        <v>0.01</v>
      </c>
      <c r="J65" s="37" cm="1">
        <f t="array" ref="J65">Common_InputFunctions.Utility_DisplayArrayInTable(SourceData_Poultry.SourceData_Poultry_MCF_Data(), Table_SourceData_Poultry_MMSMCF[[#Headers],[MMS m]], 0)</f>
        <v>0.01</v>
      </c>
      <c r="K65" s="37" cm="1">
        <f t="array" ref="K65">Common_InputFunctions.Utility_DisplayArrayInTable(SourceData_Poultry.SourceData_Poultry_MCF_Data(), Table_SourceData_Poultry_MMSMCF[[#Headers],[MMS m]], 0)</f>
        <v>0.01</v>
      </c>
      <c r="L65" s="37" cm="1">
        <f t="array" ref="L65">Common_InputFunctions.Utility_DisplayArrayInTable(SourceData_Poultry.SourceData_Poultry_MCF_Data(), Table_SourceData_Poultry_MMSMCF[[#Headers],[MMS m]], 0)</f>
        <v>0.01</v>
      </c>
      <c r="M65" s="37" cm="1">
        <f t="array" ref="M65">Common_InputFunctions.Utility_DisplayArrayInTable(SourceData_Poultry.SourceData_Poultry_MCF_Data(), Table_SourceData_Poultry_MMSMCF[[#Headers],[MMS m]], 0)</f>
        <v>5.0000000000000001E-3</v>
      </c>
      <c r="N65" s="37" t="str" cm="1">
        <f t="array" ref="N65">Common_InputFunctions.Utility_DisplayArrayInTable(SourceData_Poultry.SourceData_Poultry_MCF_Data(), Table_SourceData_Poultry_MMSMCF[[#Headers],[MMS m]], 0)</f>
        <v>Composting (passive windrow)</v>
      </c>
    </row>
    <row r="66" spans="4:22" ht="20.100000000000001" customHeight="1" x14ac:dyDescent="0.25">
      <c r="D66" s="1" t="str" cm="1">
        <f t="array" ref="D66">Common_InputFunctions.Utility_DisplayArrayInTable(SourceData_Poultry.SourceData_Poultry_MCF_Data(), Table_SourceData_Poultry_MMSMCF[[#Headers],[MMS m]], 0)</f>
        <v>Anaerobic digester / Covered pond</v>
      </c>
      <c r="E66" s="37" cm="1">
        <f t="array" ref="E66">Common_InputFunctions.Utility_DisplayArrayInTable(SourceData_Poultry.SourceData_Poultry_MCF_Data(), Table_SourceData_Poultry_MMSMCF[[#Headers],[MMS m]], 0)</f>
        <v>0.1</v>
      </c>
      <c r="F66" s="37" cm="1">
        <f t="array" ref="F66">Common_InputFunctions.Utility_DisplayArrayInTable(SourceData_Poultry.SourceData_Poultry_MCF_Data(), Table_SourceData_Poultry_MMSMCF[[#Headers],[MMS m]], 0)</f>
        <v>0.1</v>
      </c>
      <c r="G66" s="37" cm="1">
        <f t="array" ref="G66">Common_InputFunctions.Utility_DisplayArrayInTable(SourceData_Poultry.SourceData_Poultry_MCF_Data(), Table_SourceData_Poultry_MMSMCF[[#Headers],[MMS m]], 0)</f>
        <v>0.1</v>
      </c>
      <c r="H66" s="37" cm="1">
        <f t="array" ref="H66">Common_InputFunctions.Utility_DisplayArrayInTable(SourceData_Poultry.SourceData_Poultry_MCF_Data(), Table_SourceData_Poultry_MMSMCF[[#Headers],[MMS m]], 0)</f>
        <v>0.1</v>
      </c>
      <c r="I66" s="37" cm="1">
        <f t="array" ref="I66">Common_InputFunctions.Utility_DisplayArrayInTable(SourceData_Poultry.SourceData_Poultry_MCF_Data(), Table_SourceData_Poultry_MMSMCF[[#Headers],[MMS m]], 0)</f>
        <v>0.1</v>
      </c>
      <c r="J66" s="37" cm="1">
        <f t="array" ref="J66">Common_InputFunctions.Utility_DisplayArrayInTable(SourceData_Poultry.SourceData_Poultry_MCF_Data(), Table_SourceData_Poultry_MMSMCF[[#Headers],[MMS m]], 0)</f>
        <v>0.1</v>
      </c>
      <c r="K66" s="37" cm="1">
        <f t="array" ref="K66">Common_InputFunctions.Utility_DisplayArrayInTable(SourceData_Poultry.SourceData_Poultry_MCF_Data(), Table_SourceData_Poultry_MMSMCF[[#Headers],[MMS m]], 0)</f>
        <v>0.1</v>
      </c>
      <c r="L66" s="37" cm="1">
        <f t="array" ref="L66">Common_InputFunctions.Utility_DisplayArrayInTable(SourceData_Poultry.SourceData_Poultry_MCF_Data(), Table_SourceData_Poultry_MMSMCF[[#Headers],[MMS m]], 0)</f>
        <v>0.1</v>
      </c>
      <c r="M66" s="37" cm="1">
        <f t="array" ref="M66">Common_InputFunctions.Utility_DisplayArrayInTable(SourceData_Poultry.SourceData_Poultry_MCF_Data(), Table_SourceData_Poultry_MMSMCF[[#Headers],[MMS m]], 0)</f>
        <v>0.1</v>
      </c>
      <c r="N66" s="37" t="str" cm="1">
        <f t="array" ref="N66">Common_InputFunctions.Utility_DisplayArrayInTable(SourceData_Poultry.SourceData_Poultry_MCF_Data(), Table_SourceData_Poultry_MMSMCF[[#Headers],[MMS m]], 0)</f>
        <v>Digester / covered lagoons</v>
      </c>
    </row>
    <row r="67" spans="4:22" ht="20.100000000000001" customHeight="1" x14ac:dyDescent="0.25">
      <c r="D67" s="1" t="str" cm="1">
        <f t="array" ref="D67">Common_InputFunctions.Utility_DisplayArrayInTable(SourceData_Poultry.SourceData_Poultry_MCF_Data(), Table_SourceData_Poultry_MMSMCF[[#Headers],[MMS m]], 0)</f>
        <v>Direct processing</v>
      </c>
      <c r="E67" s="37" cm="1">
        <f t="array" ref="E67">Common_InputFunctions.Utility_DisplayArrayInTable(SourceData_Poultry.SourceData_Poultry_MCF_Data(), Table_SourceData_Poultry_MMSMCF[[#Headers],[MMS m]], 0)</f>
        <v>0</v>
      </c>
      <c r="F67" s="37" cm="1">
        <f t="array" ref="F67">Common_InputFunctions.Utility_DisplayArrayInTable(SourceData_Poultry.SourceData_Poultry_MCF_Data(), Table_SourceData_Poultry_MMSMCF[[#Headers],[MMS m]], 0)</f>
        <v>0</v>
      </c>
      <c r="G67" s="37" cm="1">
        <f t="array" ref="G67">Common_InputFunctions.Utility_DisplayArrayInTable(SourceData_Poultry.SourceData_Poultry_MCF_Data(), Table_SourceData_Poultry_MMSMCF[[#Headers],[MMS m]], 0)</f>
        <v>0</v>
      </c>
      <c r="H67" s="37" cm="1">
        <f t="array" ref="H67">Common_InputFunctions.Utility_DisplayArrayInTable(SourceData_Poultry.SourceData_Poultry_MCF_Data(), Table_SourceData_Poultry_MMSMCF[[#Headers],[MMS m]], 0)</f>
        <v>0</v>
      </c>
      <c r="I67" s="37" cm="1">
        <f t="array" ref="I67">Common_InputFunctions.Utility_DisplayArrayInTable(SourceData_Poultry.SourceData_Poultry_MCF_Data(), Table_SourceData_Poultry_MMSMCF[[#Headers],[MMS m]], 0)</f>
        <v>0</v>
      </c>
      <c r="J67" s="37" cm="1">
        <f t="array" ref="J67">Common_InputFunctions.Utility_DisplayArrayInTable(SourceData_Poultry.SourceData_Poultry_MCF_Data(), Table_SourceData_Poultry_MMSMCF[[#Headers],[MMS m]], 0)</f>
        <v>0</v>
      </c>
      <c r="K67" s="37" cm="1">
        <f t="array" ref="K67">Common_InputFunctions.Utility_DisplayArrayInTable(SourceData_Poultry.SourceData_Poultry_MCF_Data(), Table_SourceData_Poultry_MMSMCF[[#Headers],[MMS m]], 0)</f>
        <v>0</v>
      </c>
      <c r="L67" s="37" cm="1">
        <f t="array" ref="L67">Common_InputFunctions.Utility_DisplayArrayInTable(SourceData_Poultry.SourceData_Poultry_MCF_Data(), Table_SourceData_Poultry_MMSMCF[[#Headers],[MMS m]], 0)</f>
        <v>0</v>
      </c>
      <c r="M67" s="37" cm="1">
        <f t="array" ref="M67">Common_InputFunctions.Utility_DisplayArrayInTable(SourceData_Poultry.SourceData_Poultry_MCF_Data(), Table_SourceData_Poultry_MMSMCF[[#Headers],[MMS m]], 0)</f>
        <v>0</v>
      </c>
      <c r="N67" s="37" t="str" cm="1">
        <f t="array" ref="N67">Common_InputFunctions.Utility_DisplayArrayInTable(SourceData_Poultry.SourceData_Poultry_MCF_Data(), Table_SourceData_Poultry_MMSMCF[[#Headers],[MMS m]], 0)</f>
        <v>Direct processing</v>
      </c>
    </row>
    <row r="68" spans="4:22" ht="20.100000000000001" customHeight="1" x14ac:dyDescent="0.25">
      <c r="D68" s="1" t="str" cm="1">
        <f t="array" ref="D68">Common_InputFunctions.Utility_DisplayArrayInTable(SourceData_Poultry.SourceData_Poultry_MCF_Data(), Table_SourceData_Poultry_MMSMCF[[#Headers],[MMS m]], 0)</f>
        <v>Direct application to soil</v>
      </c>
      <c r="E68" s="37" cm="1">
        <f t="array" ref="E68">Common_InputFunctions.Utility_DisplayArrayInTable(SourceData_Poultry.SourceData_Poultry_MCF_Data(), Table_SourceData_Poultry_MMSMCF[[#Headers],[MMS m]], 0)</f>
        <v>0</v>
      </c>
      <c r="F68" s="37" cm="1">
        <f t="array" ref="F68">Common_InputFunctions.Utility_DisplayArrayInTable(SourceData_Poultry.SourceData_Poultry_MCF_Data(), Table_SourceData_Poultry_MMSMCF[[#Headers],[MMS m]], 0)</f>
        <v>0</v>
      </c>
      <c r="G68" s="37" cm="1">
        <f t="array" ref="G68">Common_InputFunctions.Utility_DisplayArrayInTable(SourceData_Poultry.SourceData_Poultry_MCF_Data(), Table_SourceData_Poultry_MMSMCF[[#Headers],[MMS m]], 0)</f>
        <v>0</v>
      </c>
      <c r="H68" s="37" cm="1">
        <f t="array" ref="H68">Common_InputFunctions.Utility_DisplayArrayInTable(SourceData_Poultry.SourceData_Poultry_MCF_Data(), Table_SourceData_Poultry_MMSMCF[[#Headers],[MMS m]], 0)</f>
        <v>0</v>
      </c>
      <c r="I68" s="37" cm="1">
        <f t="array" ref="I68">Common_InputFunctions.Utility_DisplayArrayInTable(SourceData_Poultry.SourceData_Poultry_MCF_Data(), Table_SourceData_Poultry_MMSMCF[[#Headers],[MMS m]], 0)</f>
        <v>0</v>
      </c>
      <c r="J68" s="37" cm="1">
        <f t="array" ref="J68">Common_InputFunctions.Utility_DisplayArrayInTable(SourceData_Poultry.SourceData_Poultry_MCF_Data(), Table_SourceData_Poultry_MMSMCF[[#Headers],[MMS m]], 0)</f>
        <v>0</v>
      </c>
      <c r="K68" s="37" cm="1">
        <f t="array" ref="K68">Common_InputFunctions.Utility_DisplayArrayInTable(SourceData_Poultry.SourceData_Poultry_MCF_Data(), Table_SourceData_Poultry_MMSMCF[[#Headers],[MMS m]], 0)</f>
        <v>0</v>
      </c>
      <c r="L68" s="37" cm="1">
        <f t="array" ref="L68">Common_InputFunctions.Utility_DisplayArrayInTable(SourceData_Poultry.SourceData_Poultry_MCF_Data(), Table_SourceData_Poultry_MMSMCF[[#Headers],[MMS m]], 0)</f>
        <v>0</v>
      </c>
      <c r="M68" s="37" cm="1">
        <f t="array" ref="M68">Common_InputFunctions.Utility_DisplayArrayInTable(SourceData_Poultry.SourceData_Poultry_MCF_Data(), Table_SourceData_Poultry_MMSMCF[[#Headers],[MMS m]], 0)</f>
        <v>0</v>
      </c>
      <c r="N68" s="37" t="str" cm="1">
        <f t="array" ref="N68">Common_InputFunctions.Utility_DisplayArrayInTable(SourceData_Poultry.SourceData_Poultry_MCF_Data(), Table_SourceData_Poultry_MMSMCF[[#Headers],[MMS m]], 0)</f>
        <v>Direct application</v>
      </c>
    </row>
    <row r="69" spans="4:22" ht="20.100000000000001" customHeight="1" x14ac:dyDescent="0.25">
      <c r="M69" s="1"/>
    </row>
    <row r="70" spans="4:22" ht="20.100000000000001" customHeight="1" x14ac:dyDescent="0.25">
      <c r="M70" s="1"/>
    </row>
    <row r="71" spans="4:22" ht="20.100000000000001" customHeight="1" x14ac:dyDescent="0.25">
      <c r="M71" s="1"/>
      <c r="V71" s="1"/>
    </row>
    <row r="72" spans="4:22" ht="20.100000000000001" customHeight="1" x14ac:dyDescent="0.25">
      <c r="D72" s="6" t="str" cm="1">
        <f t="array" ref="D72">SourceData_Poultry.SourceData_Poultry_VSL_Title()</f>
        <v>Poultry - Fraction of volatile solids lost in the primary MMS</v>
      </c>
      <c r="M72" s="1"/>
      <c r="V72" s="1"/>
    </row>
    <row r="73" spans="4:22" ht="20.100000000000001" customHeight="1" x14ac:dyDescent="0.25">
      <c r="D73" s="5" t="str" cm="1">
        <f t="array" ref="D73">SourceData_Poultry.SourceData_Poultry_VSL_Source()</f>
        <v>VEERG 2026: 4.6.2.3 CONSTANT</v>
      </c>
      <c r="M73" s="1"/>
      <c r="V73" s="1"/>
    </row>
    <row r="74" spans="4:22" ht="20.100000000000001" customHeight="1" x14ac:dyDescent="0.25">
      <c r="D74" s="55" t="str" cm="1">
        <f t="array" ref="D74">SourceData_Poultry.SourceData_Poultry_VSL_Variation()</f>
        <v>VARIATION ON SOURCE: Table generated from line items. Added 'NIR definition column'.</v>
      </c>
      <c r="M74" s="1"/>
      <c r="V74" s="1"/>
    </row>
    <row r="75" spans="4:22" ht="20.100000000000001" customHeight="1" x14ac:dyDescent="0.25">
      <c r="D75" s="107" t="s">
        <v>222</v>
      </c>
      <c r="M75" s="1"/>
      <c r="V75" s="1"/>
    </row>
    <row r="76" spans="4:22" ht="20.100000000000001" customHeight="1" x14ac:dyDescent="0.25">
      <c r="D76" s="37" t="s">
        <v>67</v>
      </c>
      <c r="E76" s="37" t="s">
        <v>136</v>
      </c>
      <c r="F76" s="37" t="s">
        <v>135</v>
      </c>
      <c r="M76" s="1"/>
      <c r="V76" s="1"/>
    </row>
    <row r="77" spans="4:22" ht="20.100000000000001" customHeight="1" x14ac:dyDescent="0.25">
      <c r="D77" s="37" t="str" cm="1">
        <f t="array" ref="D77">Common_InputFunctions.Utility_DisplayArrayInTable(SourceData_Poultry.SourceData_Poultry_VSL_Data(), Table_SourceData_Poultry_MMSVSL[[#Headers],[MMS]], 0)</f>
        <v>Poultry manure with litter</v>
      </c>
      <c r="E77" s="37" cm="1">
        <f t="array" ref="E77">Common_InputFunctions.Utility_DisplayArrayInTable(SourceData_Poultry.SourceData_Poultry_VSL_Data(), Table_SourceData_Poultry_MMSVSL[[#Headers],[MMS]], 0)</f>
        <v>0.15</v>
      </c>
      <c r="F77" s="37" t="str" cm="1">
        <f t="array" ref="F77">Common_InputFunctions.Utility_DisplayArrayInTable(SourceData_Poultry.SourceData_Poultry_VSL_Data(), Table_SourceData_Poultry_MMSVSL[[#Headers],[MMS]], 0)</f>
        <v>Poultry manure with bedding</v>
      </c>
      <c r="M77" s="1"/>
      <c r="V77" s="1"/>
    </row>
    <row r="78" spans="4:22" ht="20.100000000000001" customHeight="1" x14ac:dyDescent="0.25">
      <c r="D78" s="1" t="str" cm="1">
        <f t="array" ref="D78">Common_InputFunctions.Utility_DisplayArrayInTable(SourceData_Poultry.SourceData_Poultry_VSL_Data(), Table_SourceData_Poultry_MMSVSL[[#Headers],[MMS]], 0)</f>
        <v>Poultry manure without litter - stored in house</v>
      </c>
      <c r="E78" s="37" cm="1">
        <f t="array" ref="E78">Common_InputFunctions.Utility_DisplayArrayInTable(SourceData_Poultry.SourceData_Poultry_VSL_Data(), Table_SourceData_Poultry_MMSVSL[[#Headers],[MMS]], 0)</f>
        <v>0.2</v>
      </c>
      <c r="F78" s="37" t="str" cm="1">
        <f t="array" ref="F78">Common_InputFunctions.Utility_DisplayArrayInTable(SourceData_Poultry.SourceData_Poultry_VSL_Data(), Table_SourceData_Poultry_MMSVSL[[#Headers],[MMS]], 0)</f>
        <v>Manure stored in house</v>
      </c>
      <c r="M78" s="1"/>
      <c r="V78" s="1"/>
    </row>
    <row r="79" spans="4:22" ht="20.100000000000001" customHeight="1" x14ac:dyDescent="0.25">
      <c r="D79" s="1" t="str" cm="1">
        <f t="array" ref="D79">Common_InputFunctions.Utility_DisplayArrayInTable(SourceData_Poultry.SourceData_Poultry_VSL_Data(), Table_SourceData_Poultry_MMSVSL[[#Headers],[MMS]], 0)</f>
        <v>Poultry manure without litter - belt removal</v>
      </c>
      <c r="E79" s="37" cm="1">
        <f t="array" ref="E79">Common_InputFunctions.Utility_DisplayArrayInTable(SourceData_Poultry.SourceData_Poultry_VSL_Data(), Table_SourceData_Poultry_MMSVSL[[#Headers],[MMS]], 0)</f>
        <v>0</v>
      </c>
      <c r="F79" s="37" t="str" cm="1">
        <f t="array" ref="F79">Common_InputFunctions.Utility_DisplayArrayInTable(SourceData_Poultry.SourceData_Poultry_VSL_Data(), Table_SourceData_Poultry_MMSVSL[[#Headers],[MMS]], 0)</f>
        <v>Belt manure removal</v>
      </c>
      <c r="M79" s="1"/>
      <c r="V79" s="1"/>
    </row>
    <row r="80" spans="4:22" ht="20.100000000000001" customHeight="1" x14ac:dyDescent="0.25">
      <c r="M80" s="1"/>
      <c r="V80" s="1"/>
    </row>
    <row r="81" spans="4:23" ht="20.100000000000001" customHeight="1" x14ac:dyDescent="0.25">
      <c r="M81" s="1"/>
      <c r="V81" s="1"/>
    </row>
    <row r="82" spans="4:23" ht="20.100000000000001" customHeight="1" x14ac:dyDescent="0.25">
      <c r="D82" s="6" t="str" cm="1">
        <f t="array" ref="D82">SourceData_Poultry.SourceData_Poultry_FracGASMmT_Title()</f>
        <v>Poultry - Fraction of N volatilised by MMS ((kg NH3-N + NOx-N)/kgN) (FracGASMmT)</v>
      </c>
      <c r="M82" s="1"/>
      <c r="V82" s="1"/>
    </row>
    <row r="83" spans="4:23" ht="20.100000000000001" customHeight="1" x14ac:dyDescent="0.25">
      <c r="D83" s="5" t="str" cm="1">
        <f t="array" ref="D83">SourceData_Poultry.SourceData_Poultry_FracGASMmT_Source()</f>
        <v>VEERG 2026: Table A.1.7.2</v>
      </c>
      <c r="M83" s="1"/>
    </row>
    <row r="84" spans="4:23" ht="20.100000000000001" customHeight="1" x14ac:dyDescent="0.25">
      <c r="D84" s="55" t="str" cm="1">
        <f t="array" ref="D84">SourceData_Poultry.SourceData_Poultry_FracGASMmT_Variation()</f>
        <v>VARIATION ON SOURCE: Added 'NIR definition column'.</v>
      </c>
      <c r="M84" s="1"/>
    </row>
    <row r="85" spans="4:23" ht="20.100000000000001" customHeight="1" x14ac:dyDescent="0.25">
      <c r="D85" s="132" t="s">
        <v>158</v>
      </c>
      <c r="E85" s="132" t="s">
        <v>159</v>
      </c>
      <c r="F85" s="132" t="s">
        <v>160</v>
      </c>
      <c r="M85" s="1"/>
      <c r="V85" s="1"/>
    </row>
    <row r="86" spans="4:23" ht="20.100000000000001" customHeight="1" x14ac:dyDescent="0.25">
      <c r="D86" s="132" t="str" cm="1">
        <f t="array" ref="D86">Common_InputFunctions.Utility_DisplayArrayInTable(SourceData_Poultry.SourceData_Poultry_FracGASMmT_Data(), Table_SourceData_Poultry_FracGASM[[#Headers],[MMSm]], 0)</f>
        <v>Poultry manure with litter (housing)</v>
      </c>
      <c r="E86" s="132" cm="1">
        <f t="array" ref="E86">Common_InputFunctions.Utility_DisplayArrayInTable(SourceData_Poultry.SourceData_Poultry_FracGASMmT_Data(), Table_SourceData_Poultry_FracGASM[[#Headers],[MMSm]], 0)</f>
        <v>0.3</v>
      </c>
      <c r="F86" s="132" t="str" cm="1">
        <f t="array" ref="F86">Common_InputFunctions.Utility_DisplayArrayInTable(SourceData_Poultry.SourceData_Poultry_FracGASMmT_Data(), Table_SourceData_Poultry_FracGASM[[#Headers],[MMSm]], 0)</f>
        <v>Poultry manure with bedding</v>
      </c>
      <c r="M86" s="1"/>
      <c r="V86" s="1"/>
    </row>
    <row r="87" spans="4:23" ht="20.100000000000001" customHeight="1" x14ac:dyDescent="0.25">
      <c r="D87" s="1" t="str" cm="1">
        <f t="array" ref="D87">Common_InputFunctions.Utility_DisplayArrayInTable(SourceData_Poultry.SourceData_Poultry_FracGASMmT_Data(), Table_SourceData_Poultry_FracGASM[[#Headers],[MMSm]], 0)</f>
        <v>Poultry manure without litter (housing) Belt manure removal</v>
      </c>
      <c r="E87" s="37" cm="1">
        <f t="array" ref="E87">Common_InputFunctions.Utility_DisplayArrayInTable(SourceData_Poultry.SourceData_Poultry_FracGASMmT_Data(), Table_SourceData_Poultry_FracGASM[[#Headers],[MMSm]], 0)</f>
        <v>0.05</v>
      </c>
      <c r="F87" s="37" t="str" cm="1">
        <f t="array" ref="F87">Common_InputFunctions.Utility_DisplayArrayInTable(SourceData_Poultry.SourceData_Poultry_FracGASMmT_Data(), Table_SourceData_Poultry_FracGASM[[#Headers],[MMSm]], 0)</f>
        <v>Belt manure removal</v>
      </c>
      <c r="M87" s="1"/>
      <c r="V87" s="1"/>
    </row>
    <row r="88" spans="4:23" ht="20.100000000000001" customHeight="1" x14ac:dyDescent="0.25">
      <c r="D88" s="1" t="str" cm="1">
        <f t="array" ref="D88">Common_InputFunctions.Utility_DisplayArrayInTable(SourceData_Poultry.SourceData_Poultry_FracGASMmT_Data(), Table_SourceData_Poultry_FracGASM[[#Headers],[MMSm]], 0)</f>
        <v>Poultry manure without litter (housing) Manure stored in house under cages or slat</v>
      </c>
      <c r="E88" s="37" cm="1">
        <f t="array" ref="E88">Common_InputFunctions.Utility_DisplayArrayInTable(SourceData_Poultry.SourceData_Poultry_FracGASMmT_Data(), Table_SourceData_Poultry_FracGASM[[#Headers],[MMSm]], 0)</f>
        <v>0.4</v>
      </c>
      <c r="F88" s="37" t="str" cm="1">
        <f t="array" ref="F88">Common_InputFunctions.Utility_DisplayArrayInTable(SourceData_Poultry.SourceData_Poultry_FracGASMmT_Data(), Table_SourceData_Poultry_FracGASM[[#Headers],[MMSm]], 0)</f>
        <v>Manure stored in house</v>
      </c>
      <c r="M88" s="1"/>
      <c r="V88" s="1"/>
    </row>
    <row r="89" spans="4:23" ht="20.100000000000001" customHeight="1" x14ac:dyDescent="0.25">
      <c r="D89" s="1" t="str" cm="1">
        <f t="array" ref="D89">Common_InputFunctions.Utility_DisplayArrayInTable(SourceData_Poultry.SourceData_Poultry_FracGASMmT_Data(), Table_SourceData_Poultry_FracGASM[[#Headers],[MMSm]], 0)</f>
        <v>Solid storage (stockpile)</v>
      </c>
      <c r="E89" s="37" cm="1">
        <f t="array" ref="E89">Common_InputFunctions.Utility_DisplayArrayInTable(SourceData_Poultry.SourceData_Poultry_FracGASMmT_Data(), Table_SourceData_Poultry_FracGASM[[#Headers],[MMSm]], 0)</f>
        <v>0.2</v>
      </c>
      <c r="F89" s="37" t="str" cm="1">
        <f t="array" ref="F89">Common_InputFunctions.Utility_DisplayArrayInTable(SourceData_Poultry.SourceData_Poultry_FracGASMmT_Data(), Table_SourceData_Poultry_FracGASM[[#Headers],[MMSm]], 0)</f>
        <v>Solid storage</v>
      </c>
      <c r="M89" s="1"/>
      <c r="V89" s="1"/>
      <c r="W89" s="1"/>
    </row>
    <row r="90" spans="4:23" ht="20.100000000000001" customHeight="1" x14ac:dyDescent="0.25">
      <c r="D90" s="1" t="str" cm="1">
        <f t="array" ref="D90">Common_InputFunctions.Utility_DisplayArrayInTable(SourceData_Poultry.SourceData_Poultry_FracGASMmT_Data(), Table_SourceData_Poultry_FracGASM[[#Headers],[MMSm]], 0)</f>
        <v>Composting (passive windrow)</v>
      </c>
      <c r="E90" s="37" cm="1">
        <f t="array" ref="E90">Common_InputFunctions.Utility_DisplayArrayInTable(SourceData_Poultry.SourceData_Poultry_FracGASMmT_Data(), Table_SourceData_Poultry_FracGASM[[#Headers],[MMSm]], 0)</f>
        <v>0.2</v>
      </c>
      <c r="F90" s="37" t="str" cm="1">
        <f t="array" ref="F90">Common_InputFunctions.Utility_DisplayArrayInTable(SourceData_Poultry.SourceData_Poultry_FracGASMmT_Data(), Table_SourceData_Poultry_FracGASM[[#Headers],[MMSm]], 0)</f>
        <v>Composting (passive windrow)</v>
      </c>
      <c r="M90" s="1"/>
      <c r="V90" s="1"/>
      <c r="W90" s="1"/>
    </row>
    <row r="91" spans="4:23" ht="20.100000000000001" customHeight="1" x14ac:dyDescent="0.25">
      <c r="D91" s="1" t="str" cm="1">
        <f t="array" ref="D91">Common_InputFunctions.Utility_DisplayArrayInTable(SourceData_Poultry.SourceData_Poultry_FracGASMmT_Data(), Table_SourceData_Poultry_FracGASM[[#Headers],[MMSm]], 0)</f>
        <v>Direct processing</v>
      </c>
      <c r="E91" s="37" cm="1">
        <f t="array" ref="E91">Common_InputFunctions.Utility_DisplayArrayInTable(SourceData_Poultry.SourceData_Poultry_FracGASMmT_Data(), Table_SourceData_Poultry_FracGASM[[#Headers],[MMSm]], 0)</f>
        <v>0</v>
      </c>
      <c r="F91" s="37" t="str" cm="1">
        <f t="array" ref="F91">Common_InputFunctions.Utility_DisplayArrayInTable(SourceData_Poultry.SourceData_Poultry_FracGASMmT_Data(), Table_SourceData_Poultry_FracGASM[[#Headers],[MMSm]], 0)</f>
        <v>Direct processing</v>
      </c>
      <c r="M91" s="1"/>
      <c r="V91" s="1"/>
    </row>
    <row r="92" spans="4:23" ht="20.100000000000001" customHeight="1" x14ac:dyDescent="0.25">
      <c r="D92" s="1" t="str" cm="1">
        <f t="array" ref="D92">Common_InputFunctions.Utility_DisplayArrayInTable(SourceData_Poultry.SourceData_Poultry_FracGASMmT_Data(), Table_SourceData_Poultry_FracGASM[[#Headers],[MMSm]], 0)</f>
        <v>Anaerobic digester / covered pond</v>
      </c>
      <c r="E92" s="37" cm="1">
        <f t="array" ref="E92">Common_InputFunctions.Utility_DisplayArrayInTable(SourceData_Poultry.SourceData_Poultry_FracGASMmT_Data(), Table_SourceData_Poultry_FracGASM[[#Headers],[MMSm]], 0)</f>
        <v>0</v>
      </c>
      <c r="F92" s="37" t="str" cm="1">
        <f t="array" ref="F92">Common_InputFunctions.Utility_DisplayArrayInTable(SourceData_Poultry.SourceData_Poultry_FracGASMmT_Data(), Table_SourceData_Poultry_FracGASM[[#Headers],[MMSm]], 0)</f>
        <v>Digester / covered lagoons</v>
      </c>
      <c r="M92" s="1"/>
      <c r="V92" s="1"/>
    </row>
    <row r="93" spans="4:23" ht="20.100000000000001" customHeight="1" x14ac:dyDescent="0.25">
      <c r="M93" s="1"/>
      <c r="V93" s="1"/>
    </row>
    <row r="94" spans="4:23" ht="20.100000000000001" customHeight="1" x14ac:dyDescent="0.25">
      <c r="M94" s="1"/>
    </row>
    <row r="95" spans="4:23" ht="20.100000000000001" customHeight="1" x14ac:dyDescent="0.25">
      <c r="D95" s="6" t="str" cm="1">
        <f t="array" ref="D95">SourceData_Poultry.SourceData_Poultry_EFmT_Title()</f>
        <v>Poultry - Nitrous oxide EFs by MMS (kgN2O-N/kgN) (EFmT)</v>
      </c>
      <c r="M95" s="1"/>
    </row>
    <row r="96" spans="4:23" ht="20.100000000000001" customHeight="1" x14ac:dyDescent="0.25">
      <c r="D96" s="5" t="str" cm="1">
        <f t="array" ref="D96">SourceData_Poultry.SourceData_Poultry_EFmT_Source()</f>
        <v>VEERG 2026: Table A.1.7.3</v>
      </c>
      <c r="M96" s="1"/>
    </row>
    <row r="97" spans="4:13" ht="20.100000000000001" customHeight="1" x14ac:dyDescent="0.25">
      <c r="D97" s="55" t="str" cm="1">
        <f t="array" ref="D97">SourceData_Poultry.SourceData_Poultry_EFmT_Variation()</f>
        <v>VARIATION ON SOURCE: Added 'NIR definition column'. Duplicated 'Poultry manure without litter' row for NIR MMS 'Belt manure removal' and 'Manure stored in house'.</v>
      </c>
      <c r="M97" s="1"/>
    </row>
    <row r="98" spans="4:13" ht="20.100000000000001" customHeight="1" x14ac:dyDescent="0.25">
      <c r="D98" s="132" t="s">
        <v>158</v>
      </c>
      <c r="E98" s="132" t="s">
        <v>162</v>
      </c>
      <c r="F98" s="132" t="s">
        <v>160</v>
      </c>
      <c r="M98" s="1"/>
    </row>
    <row r="99" spans="4:13" ht="20.100000000000001" customHeight="1" x14ac:dyDescent="0.25">
      <c r="D99" s="132" t="str" cm="1">
        <f t="array" ref="D99">Common_InputFunctions.Utility_DisplayArrayInTable(SourceData_Poultry.SourceData_Poultry_EFmT_Data(),Table_SourceData_Poultry_EFmT[[#Headers],[MMSm]], 0)</f>
        <v>Poultry manure with litter (housing)</v>
      </c>
      <c r="E99" s="132" cm="1">
        <f t="array" ref="E99">Common_InputFunctions.Utility_DisplayArrayInTable(SourceData_Poultry.SourceData_Poultry_EFmT_Data(),Table_SourceData_Poultry_EFmT[[#Headers],[MMSm]], 0)</f>
        <v>1E-3</v>
      </c>
      <c r="F99" s="132" t="str" cm="1">
        <f t="array" ref="F99">Common_InputFunctions.Utility_DisplayArrayInTable(SourceData_Poultry.SourceData_Poultry_EFmT_Data(),Table_SourceData_Poultry_EFmT[[#Headers],[MMSm]], 0)</f>
        <v>Poultry manure with bedding</v>
      </c>
      <c r="M99" s="1"/>
    </row>
    <row r="100" spans="4:13" ht="20.100000000000001" customHeight="1" x14ac:dyDescent="0.25">
      <c r="D100" s="1" t="str" cm="1">
        <f t="array" ref="D100">Common_InputFunctions.Utility_DisplayArrayInTable(SourceData_Poultry.SourceData_Poultry_EFmT_Data(),Table_SourceData_Poultry_EFmT[[#Headers],[MMSm]], 0)</f>
        <v>Poultry manure without litter (housing)</v>
      </c>
      <c r="E100" s="37" cm="1">
        <f t="array" ref="E100">Common_InputFunctions.Utility_DisplayArrayInTable(SourceData_Poultry.SourceData_Poultry_EFmT_Data(),Table_SourceData_Poultry_EFmT[[#Headers],[MMSm]], 0)</f>
        <v>1E-3</v>
      </c>
      <c r="F100" s="37" t="str" cm="1">
        <f t="array" ref="F100">Common_InputFunctions.Utility_DisplayArrayInTable(SourceData_Poultry.SourceData_Poultry_EFmT_Data(),Table_SourceData_Poultry_EFmT[[#Headers],[MMSm]], 0)</f>
        <v>Belt manure removal</v>
      </c>
      <c r="M100" s="1"/>
    </row>
    <row r="101" spans="4:13" ht="20.100000000000001" customHeight="1" x14ac:dyDescent="0.25">
      <c r="D101" s="1" t="str" cm="1">
        <f t="array" ref="D101">Common_InputFunctions.Utility_DisplayArrayInTable(SourceData_Poultry.SourceData_Poultry_EFmT_Data(),Table_SourceData_Poultry_EFmT[[#Headers],[MMSm]], 0)</f>
        <v>Poultry manure without litter (housing)</v>
      </c>
      <c r="E101" s="37" cm="1">
        <f t="array" ref="E101">Common_InputFunctions.Utility_DisplayArrayInTable(SourceData_Poultry.SourceData_Poultry_EFmT_Data(),Table_SourceData_Poultry_EFmT[[#Headers],[MMSm]], 0)</f>
        <v>1E-3</v>
      </c>
      <c r="F101" s="37" t="str" cm="1">
        <f t="array" ref="F101">Common_InputFunctions.Utility_DisplayArrayInTable(SourceData_Poultry.SourceData_Poultry_EFmT_Data(),Table_SourceData_Poultry_EFmT[[#Headers],[MMSm]], 0)</f>
        <v>Manure stored in house</v>
      </c>
      <c r="M101" s="1"/>
    </row>
    <row r="102" spans="4:13" ht="20.100000000000001" customHeight="1" x14ac:dyDescent="0.25">
      <c r="D102" s="1" t="str" cm="1">
        <f t="array" ref="D102">Common_InputFunctions.Utility_DisplayArrayInTable(SourceData_Poultry.SourceData_Poultry_EFmT_Data(),Table_SourceData_Poultry_EFmT[[#Headers],[MMSm]], 0)</f>
        <v>Pasture range and paddock (free range)</v>
      </c>
      <c r="E102" s="37" cm="1">
        <f t="array" ref="E102">Common_InputFunctions.Utility_DisplayArrayInTable(SourceData_Poultry.SourceData_Poultry_EFmT_Data(),Table_SourceData_Poultry_EFmT[[#Headers],[MMSm]], 0)</f>
        <v>0.02</v>
      </c>
      <c r="F102" s="37" t="str" cm="1">
        <f t="array" ref="F102">Common_InputFunctions.Utility_DisplayArrayInTable(SourceData_Poultry.SourceData_Poultry_EFmT_Data(),Table_SourceData_Poultry_EFmT[[#Headers],[MMSm]], 0)</f>
        <v>Pasture range and paddock</v>
      </c>
      <c r="M102" s="1"/>
    </row>
    <row r="103" spans="4:13" ht="20.100000000000001" customHeight="1" x14ac:dyDescent="0.25">
      <c r="D103" s="1" t="str" cm="1">
        <f t="array" ref="D103">Common_InputFunctions.Utility_DisplayArrayInTable(SourceData_Poultry.SourceData_Poultry_EFmT_Data(),Table_SourceData_Poultry_EFmT[[#Headers],[MMSm]], 0)</f>
        <v>Solid storage (stockpile)</v>
      </c>
      <c r="E103" s="37" cm="1">
        <f t="array" ref="E103">Common_InputFunctions.Utility_DisplayArrayInTable(SourceData_Poultry.SourceData_Poultry_EFmT_Data(),Table_SourceData_Poultry_EFmT[[#Headers],[MMSm]], 0)</f>
        <v>5.0000000000000001E-3</v>
      </c>
      <c r="F103" s="37" t="str" cm="1">
        <f t="array" ref="F103">Common_InputFunctions.Utility_DisplayArrayInTable(SourceData_Poultry.SourceData_Poultry_EFmT_Data(),Table_SourceData_Poultry_EFmT[[#Headers],[MMSm]], 0)</f>
        <v>Solid storage</v>
      </c>
      <c r="M103" s="1"/>
    </row>
    <row r="104" spans="4:13" ht="20.100000000000001" customHeight="1" x14ac:dyDescent="0.25">
      <c r="D104" s="1" t="str" cm="1">
        <f t="array" ref="D104">Common_InputFunctions.Utility_DisplayArrayInTable(SourceData_Poultry.SourceData_Poultry_EFmT_Data(),Table_SourceData_Poultry_EFmT[[#Headers],[MMSm]], 0)</f>
        <v>Composting (passive windrow)</v>
      </c>
      <c r="E104" s="37" cm="1">
        <f t="array" ref="E104">Common_InputFunctions.Utility_DisplayArrayInTable(SourceData_Poultry.SourceData_Poultry_EFmT_Data(),Table_SourceData_Poultry_EFmT[[#Headers],[MMSm]], 0)</f>
        <v>0.01</v>
      </c>
      <c r="F104" s="37" t="str" cm="1">
        <f t="array" ref="F104">Common_InputFunctions.Utility_DisplayArrayInTable(SourceData_Poultry.SourceData_Poultry_EFmT_Data(),Table_SourceData_Poultry_EFmT[[#Headers],[MMSm]], 0)</f>
        <v>Composting (passive windrow)</v>
      </c>
      <c r="M104" s="1"/>
    </row>
    <row r="105" spans="4:13" ht="20.100000000000001" customHeight="1" x14ac:dyDescent="0.25">
      <c r="D105" s="1" t="str" cm="1">
        <f t="array" ref="D105">Common_InputFunctions.Utility_DisplayArrayInTable(SourceData_Poultry.SourceData_Poultry_EFmT_Data(),Table_SourceData_Poultry_EFmT[[#Headers],[MMSm]], 0)</f>
        <v>Direct processing</v>
      </c>
      <c r="E105" s="37" cm="1">
        <f t="array" ref="E105">Common_InputFunctions.Utility_DisplayArrayInTable(SourceData_Poultry.SourceData_Poultry_EFmT_Data(),Table_SourceData_Poultry_EFmT[[#Headers],[MMSm]], 0)</f>
        <v>0</v>
      </c>
      <c r="F105" s="37" t="str" cm="1">
        <f t="array" ref="F105">Common_InputFunctions.Utility_DisplayArrayInTable(SourceData_Poultry.SourceData_Poultry_EFmT_Data(),Table_SourceData_Poultry_EFmT[[#Headers],[MMSm]], 0)</f>
        <v>Direct processing</v>
      </c>
      <c r="M105" s="1"/>
    </row>
    <row r="106" spans="4:13" ht="20.100000000000001" customHeight="1" x14ac:dyDescent="0.25">
      <c r="D106" s="1" t="str" cm="1">
        <f t="array" ref="D106">Common_InputFunctions.Utility_DisplayArrayInTable(SourceData_Poultry.SourceData_Poultry_EFmT_Data(),Table_SourceData_Poultry_EFmT[[#Headers],[MMSm]], 0)</f>
        <v>Anaerobic digester / covered pond</v>
      </c>
      <c r="E106" s="37" cm="1">
        <f t="array" ref="E106">Common_InputFunctions.Utility_DisplayArrayInTable(SourceData_Poultry.SourceData_Poultry_EFmT_Data(),Table_SourceData_Poultry_EFmT[[#Headers],[MMSm]], 0)</f>
        <v>0</v>
      </c>
      <c r="F106" s="37" t="str" cm="1">
        <f t="array" ref="F106">Common_InputFunctions.Utility_DisplayArrayInTable(SourceData_Poultry.SourceData_Poultry_EFmT_Data(),Table_SourceData_Poultry_EFmT[[#Headers],[MMSm]], 0)</f>
        <v>Digester / covered lagoons</v>
      </c>
      <c r="M106" s="1"/>
    </row>
    <row r="107" spans="4:13" ht="20.100000000000001" customHeight="1" x14ac:dyDescent="0.25">
      <c r="M107" s="1"/>
    </row>
    <row r="108" spans="4:13" ht="20.100000000000001" customHeight="1" x14ac:dyDescent="0.25">
      <c r="M108" s="1"/>
    </row>
    <row r="109" spans="4:13" ht="20.100000000000001" customHeight="1" x14ac:dyDescent="0.25">
      <c r="D109" s="6" t="str" cm="1">
        <f t="array" ref="D109">SourceData_Poultry.SourceData_Poultry_FractionOfNitrogenLostThroughLeachingAndRunoff_Title()</f>
        <v>Fraction of N that is lost through leaching and runoff</v>
      </c>
      <c r="M109" s="1"/>
    </row>
    <row r="110" spans="4:13" ht="20.100000000000001" customHeight="1" x14ac:dyDescent="0.25">
      <c r="D110" s="5" t="str" cm="1">
        <f t="array" ref="D110">SourceData_Poultry.SourceData_Poultry_FractionOfNitrogenLostThroughLeachingAndRunoff_Source()</f>
        <v>VEERG 2026: 4.6.2.3 CONSTANTS</v>
      </c>
      <c r="M110" s="1"/>
    </row>
    <row r="111" spans="4:13" ht="20.100000000000001" customHeight="1" x14ac:dyDescent="0.25">
      <c r="D111" s="53" t="str" cm="1">
        <f t="array" ref="D111">SourceData_Poultry.SourceData_Poultry_FractionOfNitrogenLostThroughLeachingAndRunoff_Variable()</f>
        <v>Frac_LEACH_MS</v>
      </c>
      <c r="E111" s="1" cm="1">
        <f t="array" ref="E111">SourceData_Poultry.SourceData_Poultry_FractionOfNitrogenLostThroughLeachingAndRunoff_Data()</f>
        <v>0.02</v>
      </c>
      <c r="M111" s="1"/>
    </row>
    <row r="112" spans="4:13" ht="20.100000000000001" customHeight="1" x14ac:dyDescent="0.25">
      <c r="M112" s="1"/>
    </row>
    <row r="113" spans="13:22" ht="20.100000000000001" customHeight="1" x14ac:dyDescent="0.25">
      <c r="M113" s="1"/>
    </row>
    <row r="114" spans="13:22" ht="20.100000000000001" customHeight="1" x14ac:dyDescent="0.25">
      <c r="M114" s="1"/>
    </row>
    <row r="115" spans="13:22" ht="20.100000000000001" customHeight="1" x14ac:dyDescent="0.25">
      <c r="M115" s="1"/>
      <c r="V115" s="1"/>
    </row>
    <row r="116" spans="13:22" ht="20.100000000000001" customHeight="1" x14ac:dyDescent="0.25">
      <c r="M116" s="1"/>
      <c r="V116" s="1"/>
    </row>
    <row r="117" spans="13:22" ht="20.100000000000001" customHeight="1" x14ac:dyDescent="0.25">
      <c r="M117" s="1"/>
      <c r="V117" s="1"/>
    </row>
    <row r="118" spans="13:22" ht="20.100000000000001" customHeight="1" x14ac:dyDescent="0.25">
      <c r="M118" s="1"/>
    </row>
    <row r="119" spans="13:22" ht="20.100000000000001" customHeight="1" x14ac:dyDescent="0.25">
      <c r="M119" s="1"/>
    </row>
    <row r="120" spans="13:22" ht="20.100000000000001" customHeight="1" x14ac:dyDescent="0.25">
      <c r="M120" s="1"/>
    </row>
    <row r="121" spans="13:22" ht="20.100000000000001" customHeight="1" x14ac:dyDescent="0.25">
      <c r="M121" s="1"/>
    </row>
    <row r="122" spans="13:22" ht="20.100000000000001" customHeight="1" x14ac:dyDescent="0.25">
      <c r="M122" s="1"/>
    </row>
    <row r="123" spans="13:22" ht="20.100000000000001" customHeight="1" x14ac:dyDescent="0.25">
      <c r="M123" s="1"/>
    </row>
    <row r="124" spans="13:22" ht="20.100000000000001" customHeight="1" x14ac:dyDescent="0.25">
      <c r="M124" s="1"/>
    </row>
    <row r="125" spans="13:22" ht="20.100000000000001" customHeight="1" x14ac:dyDescent="0.25">
      <c r="M125" s="1"/>
      <c r="V125" s="1"/>
    </row>
    <row r="126" spans="13:22" ht="20.100000000000001" customHeight="1" x14ac:dyDescent="0.25">
      <c r="M126" s="1"/>
      <c r="V126" s="1"/>
    </row>
    <row r="127" spans="13:22" ht="20.100000000000001" customHeight="1" x14ac:dyDescent="0.25">
      <c r="M127" s="1"/>
      <c r="V127" s="1"/>
    </row>
    <row r="128" spans="13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120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108</v>
      </c>
      <c r="E186" s="37" t="s">
        <v>109</v>
      </c>
      <c r="F186" s="37" t="s">
        <v>110</v>
      </c>
      <c r="G186" s="37" t="s">
        <v>111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122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117</v>
      </c>
      <c r="E212" s="37" t="s">
        <v>127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tabSelected="1" workbookViewId="0">
      <selection activeCell="A22" sqref="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Poultry'!A1", "Poultry")</f>
        <v>Poultry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HYPERLINK("#'4.6.1.1-2 Methane'!A1", "4.6.1.1-2 Methane")</f>
        <v>4.6.1.1-2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HYPERLINK("#'4.6.1.3-4 Direct N20'!A1", "4.6.1.3-4 Direct N2O")</f>
        <v>4.6.1.3-4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HYPERLINK("#'4.6.1.5-6 Atmos Dep'!A1", "4.6.1.5-6 Soil atm. deposition")</f>
        <v>4.6.1.5-6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HYPERLINK("#'4.6.1.7-8 Leaching and runoff'!A1", "4.6.1.7-8 Leaching &amp; runoff")</f>
        <v>4.6.1.7-8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HYPERLINK("#'4.6.1.9 Manure applied to soils'!A1", "4.6.1.9 Manure applied to soils")</f>
        <v>4.6.1.9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7" t="str">
        <f>HYPERLINK("#'4.6.1.10-11 Soil direct N2O'!A1", "4.6.1.10-11 Soil direct N2O")</f>
        <v>4.6.1.10-11 Soil direct N2O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HYPERLINK("#'4.6.1.12-13 Soil atmos dep'!A1", "4.6.1.12-13 Soil Atm. deposition")</f>
        <v>4.6.1.12-13 Soil Atm. deposition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HYPERLINK("#'4.6.1.14-15 Soil leach runoff'!A1", "4.6.1.14-15 Soil leach &amp; runoff")</f>
        <v>4.6.1.14-15 Soil leach &amp; runoff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8" t="s">
        <v>4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HYPERLINK("#'Constants - Poultry'!A1", "Constants - Poultry")</f>
        <v>Constants - Poultry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37" t="str">
        <f>HYPERLINK("#'Constants - Livestock'!A1", "Constants - Livestock")</f>
        <v>Constants - Livestock</v>
      </c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 t="str">
        <f>HYPERLINK("#'Constants - Common'!A1", "Constants - Common")</f>
        <v>Constants - Common</v>
      </c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 t="str">
        <f>HYPERLINK("#'Acknowledgements'!A1", "Acknowledgements")</f>
        <v>Acknowledgements</v>
      </c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AnAE4ASQBSACAAZABlAGYAaQBuAGkAdABpAG8AbgAgAGMAbwBsAHUAbQBuAC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AnAE4ASQBSACAAZABlAGYAaQBuAGkAdABpAG8AbgAgAGMAbwBsAHUAbQBuACcALgAg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Mg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CAAOgAgAGsAZwAgAE4AXAAiADsAXABuACAAIAAgACAAIAAgACAAIAAgACAAXAAiAEUARgBfAGoAbQBcACIALABcACIAbgBpAHQAcgBvAHUAcwAgAG8AeABpAGQAZQAgAGUAbQBpAHMAcwBpAG8AbgAgAGYAYQBjAHQAbwByACAAZgBvAHIAIABNAE0AUwAgADoAIABrAGcAIABOADIATwAtAE4ALwBrAGcAIABOAFwAIgA7AFwAbgAgACAAIAAgACAAIAAgACAAIAAgAFwAIgBDAF8ATgAyAE8AXAAiACwAXAAiAGYAYQBjAHQAbwByACAAdABvACAAYwBvAG4AdgBlAHIAdAAgAGUAbABlAG0AZQBuAHQAYQBsACAAbQBhAHMAcwAgAG8AZgAgAG4AaQB0AHIAbwB1AHMAIABvAHgAaQBkAGU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IAXwBTAHQAYQBnAGUAMQBOAGkAdAByAG8AZwBlAG4ASQBuAE0ATQBTAFwAbgBOAGkAdAByAG8AZwBlAG4AIABpAG4AIAB0AHIAZQBhAHQAbQBlAG4AdAAgAHMAdABhAGcAZQAgADEAIABNAE0AUwBcAG4ATQBOAF8AagBrAG0AVAAxAFwAbgBrAGcAIABOAFwAbgBNAE4AXwB7AGoAawBtACwAVAA9ADEAfQA9AEEARQBfAHsAagBrAH0AXABcAHQAaQBtAGUAcwAgAE0ATQBTAF8AewBqAG0ALABUAD0AMQB9AFwAbgBBAEUAXwBqAGsAIAA9ACAAdABvAHQAYQBsACAAbgBpAHQAcgBvAGcAZQBuACAAZQB4AGMAcgBlAHQAZQBkACAAYgB5ACAAZQBhAGMAaAAgAHAAbwB1AGwAdAByAHkAIABjAGwAYQBzAHMAIABhAG4AZAAgAHMAdQBiAGMAbABhAHMAcwAgADoAIABrAGcAIABOAFwAbgBNAE0AUwBfAGoAbQBUADEAIAA9ACAAZgByAGEAYwB0AGkAbwBuACAAbwBmACAAbQBhAG4AdQByAGUAIABpAG4AIABlAGEAYwBoACAAcAByAGkAbQBhAHIAeQAgAHMAeQBzAHQAZQBtACAAOgAgAGYAcgBhAGMAdABpAG8AbgBcAG4ALQAtAC0ALQAtAC0ALQAtAC0ALQAtAC0ALQAtAC0ALQAtAC0ALQAtAC0ALQAtAC0ALQAtAC0ALQAtAC0ALQAtAC0ALQAtAC0ALQAtAFwAbgAqAC8AXABuAFwAbgBWAEUARQBSAEcAXwA0AF8ANgBfADEAXwAzAF8AXwAyAF8AUwB0AGEAZwBlADEATgBpAHQAcgBvAGcAZQBuAEkAbgBNAE0AUwBcAG4AIAAgAD0ATABBAE0AQgBEAEEAKABcAG4AIAAgACAAIABBAEUAXwBqAGsALAAgAE0ATQBTAF8AagBtAFQAMQAsAFwAbgAgACAAIAAgAEEARQBfAGoAawAgACoAIABNAE0AUwBfAGoAbQBUADEAXABuACAAIAApADsAXABuAFwAbgBWAEUARQBSAEcAXwA0AF8ANgBfADEAXwAzAF8AXwAyAF8AUwB0AGEAZwBlADEATgBpAHQAcgBvAGcAZQBuAEkAbgBNAE0AUwBfAFQAaQB0AGwAZQBcAG4AIAAgAD0ATABBAE0AQgBEAEEAKABcACIATgBpAHQAcgBvAGcAZQBuACAAaQBuACAAdAByAGUAYQB0AG0AZQBuAHQAIABzAHQAYQBnAGUAIAAxACAATQBNAFMAXAAiACkAOwBcAG4AXABuAFYARQBFAFIARwBfADQAXwA2AF8AMQBfADMAXwBfADIAXwBTAHQAYQBnAGUAMQBOAGkAdAByAG8AZwBlAG4ASQBuAE0ATQBTAF8AVgBhAHIAaQBhAGIAbABlAFwAbgAgACAAPQBMAEEATQBCAEQAQQAoAFwAIgBNAE4AXwBqAGsAbQBUADEAXAAiACkAOwBcAG4AXABuAFYARQBFAFIARwBfADQAXwA2AF8AMQBfADMAXwBfADIAXwBTAHQAYQBnAGUAMQBOAGkAdAByAG8AZwBlAG4ASQBuAE0ATQBTAF8AVQBuAGkAdABcAG4AIAAgAD0ATABBAE0AQgBEAEEAKABcACIAawBnACAATgBcACIAKQA7AFwAbgBcAG4AVgBFAEUAUgBHAF8ANABfADYAXwAxAF8AMwBfAF8AMgBfAFMAdABhAGcAZQAxAE4AaQB0AHIAbwBnAGUAbgBJAG4ATQBNAFMAXwBTAG8AdQByAGMAZQBcAG4AIAAgAD0ATABBAE0AQgBEAEEAKABcACIAVgBFAEUAUgBHACAAMgAwADIANgA6ACAANAAuADYALgAxAC4AMwAsACAARQBxAHUAYQB0AGkAbwBuACAAKAAyACkAXAAiACkAOwBcAG4AXABuAFYARQBFAFIARwBfADQAXwA2AF8AMQBfADMAXwBfADIAXwBTAHQAYQBnAGUAMQBOAGkAdAByAG8AZwBlAG4ASQBuAE0ATQBTAF8ATgBJAFIAUgBlAGYAZQByAGUAbgBjAGUAXABuACAAIAA9AEwAQQBNAEIARABBACgAXAAiAFwAIgApADsAXABuAFwAbgBWAEUARQBSAEcAXwA0AF8ANgBfADEAXwAzAF8AXwAyAF8AUwB0AGEAZwBlADEATgBpAHQAcgBvAGcAZQBuAEkAbgBNAE0AUwBfAEwAYQB0AGUAeABFAHEAdQBhAHQAaQBvAG4AXABuACAAIAA9AEwAQQBNAEIARABBACgAXAAiAE0ATgBfAHsAagBrAG0ALABUAD0AMQB9AD0AQQBFAF8AewBqAGsAfQBcAFwAdABpAG0AZQBzACAATQBNAFMAXwB7AGoAbQAsAFQAPQAxAH0AXAAiACkAOwBcAG4AXABuAFYARQBFAFIARwBfADQAXwA2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awBcACIALABcACIAdABvAHQAYQBsACAAbgBpAHQAcgBvAGcAZQBuACAAZQB4AGMAcgBlAHQAZQBkACAAYgB5ACAAZQBhAGMAaAAgAHAAbwB1AGwAdAByAHkAIABjAGwAYQBzAHMAIABhAG4AZAAgAHMAdQBiAGMAbABhAHMAcwAgADoAIABrAGcAIABOAFwAIgA7AFwAbgAgACAAIAAgACAAIAAgACAAIAAgAFwAIgBNAE0AUwBfAGoAbQBUADEAXAAiACwAXAAiAGYAcgBhAGMAdABpAG8AbgAgAG8AZgAgAG0AYQBuAHUAcgBlACAAaQBuACAAZQBhAGMAaAAgAHAAcgBpAG0AYQByAHkAIABzAHkAcwB0AGUAb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awBcACIALABcACIAbgB1AG0AYgBlAHIAIABvAGYAIABwAG8AdQBsAHQAcgB5ACAAaQBuACAAZQBhAGMAaAAgAGMAbABhAHMAcwAgAGEAbgBkACAAcwB1AGIAYwBsAGEAcwBzACAAOgAgAGIAaQByAGQAXAAiADsAXABuACAAIAAgACAAIAAgACAAIAAgACAAXAAiAE4ARQBfAGoAawBcACIALABcACIAbgBpAHQAcgBvAGcAZQBuACAAZQB4AGMAcgBlAHQAaQBvAG4AIAA6ACAAawBnACAATgAvAGIAaQByAGQALwBkAGEAeQBcACIAOwBcAG4AIAAgACAAIAAgACAAIAAgACAAIABcACIARABfAGoAawBcACIALABcACIAZAB1AHIAYQB0AGkAbwBuACAAbwBmACAAcwB0AGEAeQAgAG8AZgAgAGUAYQBjAGgAIABjAGwAYQBzAHMAIABhAG4AZAAgAHMAdQBiAGMAbABhAHMAcwAgADoAIABkAGEAeQBz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QAXwBOAGkAdAByAG8AZwBlAG4ARQB4AGMAcgBlAHQAaQBvAG4AUABlAHIAQgBpAHIAZABcAG4ATgBpAHQAcgBvAGcAZQBuACAAZQB4AGMAcgBlAHQAaQBvAG4AIABwAGUAcgAgAGIAaQByAGQAIABwAGUAcgAgAGQAYQB5AFwAbgBOAEUAXwBqAGsAXABuAGsAZwAgAE4ALwBiAGkAcgBkAC8AZABhAHkAXABuAE4ARQBfAHsAagBrAH0APQBOAEkAXwB7AGoAawB9AFwAXAB0AGkAbQBlAHMAKAAxAC0ATgBSAF8AewBqAGsAfQApAFwAbgBOAEkAXwBqAGsAIAA9ACAAbgBpAHQAcgBvAGcAZQBuACAAaQBuAHQAYQBrAGUAIAA6ACAAawBnACAATgAvAGIAaQByAGQALwBkAGEAeQBcAG4ATgBSAF8AagBr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2AF8AMQBfADMAXwBfADQAXwBOAGkAdAByAG8AZwBlAG4ARQB4AGMAcgBlAHQAaQBvAG4AUABlAHIAQgBpAHIAZABcAG4AIAAgAD0ATABBAE0AQgBEAEEAKABcAG4AIAAgACAAIABOAEkAXwBqAGsALAAgAE4AUgBfAGoAawAsAFwAbgAgACAAIAAgAE4ASQBfAGoAawAgACoAIAAoADEAIAAtACAATgBSAF8AagBrACkAXABuACAAIAApADsAXABuAFwAbgBWAEUARQBSAEcAXwA0AF8ANgBfADEAXwAzAF8AXwA0AF8ATgBpAHQAcgBvAGcAZQBuAEUAeABjAHIAZQB0AGkAbwBuAFAAZQByAEIAaQByAGQAXwBUAGkAdABsAGUAXABuACAAIAA9AEwAQQBNAEIARABBACgAXAAiAE4AaQB0AHIAbwBnAGUAbgAgAGUAeABjAHIAZQB0AGkAbwBuACAAcABlAHIAIABiAGkAcgBkACAAcABlAHIAIABkAGEAeQBcACIAKQA7AFwAbgBcAG4AVgBFAEUAUgBHAF8ANABfADYAXwAxAF8AMwBfAF8ANABfAE4AaQB0AHIAbwBnAGUAbgBFAHgAYwByAGUAdABpAG8AbgBQAGUAcgBCAGkAcgBkAF8AVgBhAHIAaQBhAGIAbABlAFwAbgAgACAAPQBMAEEATQBCAEQAQQAoAFwAIgBOAEUAXwBqAGsAXAAiACkAOwBcAG4AXABuAFYARQBFAFIARwBfADQAXwA2AF8AMQBfADMAXwBfADQAXwBOAGkAdAByAG8AZwBlAG4ARQB4AGMAcgBlAHQAaQBvAG4AUABlAHIAQgBpAHIAZABfAFUAbgBpAHQAXABuACAAIAA9AEwAQQBNAEIARABBACgAXAAiAGsAZwAgAE4ALwBiAGkAcgBkAC8AZABhAHkAXAAiACkAOwBcAG4AXABuAFYARQBFAFIARwBfADQAXwA2AF8AMQBfADMAXwBfADQAXwBOAGkAdAByAG8AZwBlAG4ARQB4AGMAcgBlAHQAaQBvAG4AUABlAHIAQgBpAHIAZABfAFMAbwB1AHIAYwBlAFwAbgAgACAAPQBMAEEATQBCAEQAQQAoAFwAIgBWAEUARQBSAEcAIAAyADAAMgA2ADoAIAA0AC4ANgAuADEALgAzACwAIABFAHEAdQBhAHQAaQBvAG4AIAAoADQAKQBcACIAKQA7AFwAbgBcAG4AVgBFAEUAUgBHAF8ANABfADYAXwAxAF8AMwBfAF8ANABfAE4AaQB0AHIAbwBnAGUAbgBFAHgAYwByAGUAdABpAG8AbgBQAGUAcgBCAGkAcgBkAF8ATgBJAFIAUgBlAGYAZQByAGUAbgBjAGUAXABuACAAIAA9AEwAQQBNAEIARABBACgAXAAiAFwAIgApADsAXABuAFwAbgBWAEUARQBSAEcAXwA0AF8ANgBfADEAXwAzAF8AXwA0AF8ATgBpAHQAcgBvAGcAZQBuAEUAeABjAHIAZQB0AGkAbwBuAFAAZQByAEIAaQByAGQAXwBMAGEAdABlAHgARQBxAHUAYQB0AGkAbwBuAFwAbgAgACAAPQBMAEEATQBCAEQAQQAoAFwAIgBOAEUAXwB7AGoAawB9AD0ATgBJAF8AewBqAGsAfQBcAFwAdABpAG0AZQBzACgAMQAtAE4AUgBfAHsAagBrAH0AKQBcACIAKQA7AFwAbgBcAG4AVgBFAEUAUgBHAF8ANABfADYAXwAxAF8AMwBfAF8ANABfAE4AaQB0AHIAbwBnAGUAbgBFAHgAYwByAGUAdABpAG8AbgBQAGUAcgBCAGkAcgBkAF8AQQByAGcAdQBtAGUAbgB0AHMAXABuACAAIAA9AEwAQQBNAEIARABBACgAXABuACAAIAAgACAATQBBAEsARQBBAFIAUgBBAFkAKAAyACwAIAAyACwAXABuACAAIAAgACAAIAAgAEwAQQBNAEIARABBACgAcgAsAGMALABcAG4AIAAgACAAIAAgACAAIAAgAEkATgBEAEUAWAAoAHsAXABuACAAIAAgACAAIAAgACAAIAAgACAAXAAiAE4ASQBfAGoAawBcACIALABcACIAbgBpAHQAcgBvAGcAZQBuACAAaQBuAHQAYQBrAGUAIAA6ACAAawBnACAATgAvAGIAaQByAGQALwBkAGEAeQBcACIAOwBcAG4AIAAgACAAIAAgACAAIAAgACAAIABcACIATgBSAF8AagBrAFwAIgAsAFwAIgBuAGkAdAByAG8AZwBlAG4AIAByAGUAdABlAG4AdABpAG8AbgAgAGUAeABwAHIAZQBzAHMAZQBkACAAYQBzACAAYQAgAGYAcgBhAGMAdABpAG8AbgAgAG8AZgAgAGkAbgB0AGEAawBl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Mg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AgADoAIABrAGcAIABEAE0ALwBiAGkAcgBkAC8AZABhAHkAXAAiADsAXABuACAAIAAgACAAIAAgACAAIAAgACAAXAAiAEMAUABfAGoAawBcACIALABcACIAYwByAHUAZABlACAAcAByAG8AdABlAGkAbgAgAGMAbwBuAHQAZQBuAHQAIABvAGYAIABmAGUAZQBkACAAOgAgAGYAcgBhAGMAdABpAG8AbgBcACIAOwBcAG4AIAAgACAAIAAgACAAIAAgACAAIABcACIANgAuADIANQBcACIALABcACIAZgBhAGMAdABvAHIAIABmAG8AcgAgAGMAbwBuAHYAZQByAHQAaQBuAGcAIABjAHIAdQBkAGUAIABwAHIAbwB0AGUAaQBuACAAaQBuAHQAbwAgAG4AaQB0AHIAbwBnAGUAbg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Mg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AgADoAIABrAGcAIABOAFwAIgA7AFwAbgAgACAAIAAgACAAIAAgACAAIAAgAFwAIgBNAE0AUwBfAG0AVAAyAFwAIgAsAFwAIgBmAHIAYQBjAHQAaQBvAG4AIABvAGYAIABtAGEAbgB1AHIAZQAgAGkAbgAgAGUAYQBjAGgAIABzAGUAYwBvAG4AZA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3AF8ATgBpAHQAcgBvAGcAZQBuAFQAcgBhAG4AcwBmAGUAcgByAGUAZABUAG8AUwB0AGEAZwBlADIATQBNAFMAXABuAE4AaQB0AHIAbwBnAGUAbgAgAHQAcgBhAG4AcwBmAGUAcgByAGUAZAAgAHQAbwAgAHQAcgBlAGEAdABtAGUAbgB0ACAAcwB0AGEAZwBlACAAMgAgAE0ATQBTAFwAbgBOAFQAXwBqAGsAbQBUADIAXABuAGsAZwAgAE4AXABuAE4AVABfAHsAagBrAG0ALABUAD0AMgB9AD0ATQBOAF8AewBqAGsAbQAsAFQAPQAxAH0AXABcAHQAaQBtAGUAcwAoADEALQBGAHIAYQBjAEcAQQBTAE0AXwB7AG0ALABUAD0AMQB9AC0ARQBGAF8AewBtACwAVAA9ADEAfQApAFwAbgBNAE4AXwBqAGsAbQBUADEAIAA9ACAAbgBpAHQAcgBvAGcAZQBuACAAaQBuACAATQBNAFMAIAB0AHIAZQBhAHQAbQBlAG4AdAAgAHMAdABhAGcAZQAgADEAIAA6ACAAawBnACAATgBcAG4ARgByAGEAYwBHAEEAUwBNAF8AbQBUADEAIAA9ACAAZgByAGEAYwB0AGkAbwBuACAAbwBmACAATgAgAHYAbwBsAGEAdABpAGwAaQBzAGUAZAAgAGYAcgBvAG0AIABNAE0AUwAgAHQAcgBlAGEAdABtAGUAbgB0ACAAYQB0ACAAcwB0AGEAZwBlACAAMQAgADoAIABmAHIAYQBjAHQAaQBvAG4AXABuAEUARgBfAG0AVAAxACAAPQAgAG4AaQB0AHIAbwB1AHMAIABvAHgAaQBkAGUAIABlAG0AaQBzAHMAaQBvAG4AIABmAGEAYwB0AG8AcgAgAGYAbwByACAATQBNAFMAIAB0AHIAZQBhAHQAbQBlAG4AdAAgAGEAdAAgAHMAdABhAGcAZQAgADEAIAA6ACAAawBnACAATgAyAE8ALQBOAC8AawBnACAATgBcAG4ALQAtAC0ALQAtAC0ALQAtAC0ALQAtAC0ALQAtAC0ALQAtAC0ALQAtAC0ALQAtAC0ALQAtAC0ALQAtAC0ALQAtAC0ALQAtAC0ALQAtAFwAbgAqAC8AXABuAFwAbgBWAEUARQBSAEcAXwA0AF8ANgBfADEAXwAzAF8AXwA3AF8ATgBpAHQAcgBvAGcAZQBuAFQAcgBhAG4AcwBmAGUAcgByAGUAZABUAG8AUwB0AGEAZwBlADIATQBNAFMAXABuACAAIAA9AEwAQQBNAEIARABBACgAXABuACAAIAAgACAATQBOAF8AagBrAG0AVAAxACwAIABGAHIAYQBjAEcAQQBTAE0AXwBtAFQAMQAsACAARQBGAF8AbQBUADEALABcAG4AIAAgACAAIABNAE4AXwBqAGsAbQBUADEAIAAqACAAKAAxACAALQAgAEYAcgBhAGMARwBBAFMATQBfAG0AVAAxACAALQAgAEUARgBfAG0AVAAxACkAXABuACAAIAApADsAXABuAFwAbgBWAEUARQBSAEcAXwA0AF8ANg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gBfADEAXwAzAF8AXwA3AF8ATgBpAHQAcgBvAGcAZQBuAFQAcgBhAG4AcwBmAGUAcgByAGUAZABUAG8AUwB0AGEAZwBlADIATQBNAFMAXwBWAGEAcgBpAGEAYgBsAGUAXABuACAAIAA9AEwAQQBNAEIARABBACgAXAAiAE4AVABfAGoAawBtAFQAMgBcACIAKQA7AFwAbgBcAG4AVgBFAEUAUgBHAF8ANABfADYAXwAxAF8AMwBfAF8ANwBfAE4AaQB0AHIAbwBnAGUAbgBUAHIAYQBuAHMAZgBlAHIAcgBlAGQAVABvAFMAdABhAGcAZQAyAE0ATQBTAF8AVQBuAGkAdABcAG4AIAAgAD0ATABBAE0AQgBEAEEAKABcACIAawBnACAATgBcACIAKQA7AFwAbgBcAG4AVgBFAEUAUgBHAF8ANABfADYAXwAxAF8AMwBfAF8ANwBfAE4AaQB0AHIAbwBnAGUAbgBUAHIAYQBuAHMAZgBlAHIAcgBlAGQAVABvAFMAdABhAGcAZQAyAE0ATQBTAF8AUwBvAHUAcgBjAGUAXABuACAAIAA9AEwAQQBNAEIARABBACgAXAAiAFYARQBFAFIARwAgADIAMAAyADYAOgAgADQALgA2AC4AMQAuADMALAAgAEUAcQB1AGEAdABpAG8AbgAgACgANwApAFwAIgApADsAXABuAFwAbgBWAEUARQBSAEcAXwA0AF8ANgBfADEAXwAzAF8AXwA3AF8ATgBpAHQAcgBvAGcAZQBuAFQAcgBhAG4AcwBmAGUAcgByAGUAZABUAG8AUwB0AGEAZwBlADIATQBNAFMAXwBOAEkAUgBSAGUAZgBlAHIAZQBuAGMAZQBcAG4AIAAgAD0ATABBAE0AQgBEAEEAKABcACIAXAAiACkAOwBcAG4AXABuAFYARQBFAFIARwBfADQAXwA2AF8AMQBfADMAXwBfADcAXwBOAGkAdAByAG8AZwBlAG4AVAByAGEAbgBzAGYAZQByAHIAZQBkAFQAbwBTAHQAYQBnAGUAMgBNAE0AUwBfAEwAYQB0AGUAeABFAHEAdQBhAHQAaQBvAG4AXABuACAAIAA9AEwAQQBNAEIARABBACgAXAAiAE4AVABfAHsAagBrAG0ALABUAD0AMgB9AD0ATQBOAF8AewBqAGsAbQAsAFQAPQAxAH0AXABcAHQAaQBtAGUAcwAoADEALQBGAHIAYQBjAEcAQQBTAE0AXwB7AG0ALABUAD0AMQB9AC0ARQBGAF8AewBtACwAVAA9ADEAfQApAFwAIgApADsAXABuAFwAbgBWAEUARQBSAEcAXwA0AF8ANg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rAG0AVAAxAFwAIgAsAFwAIgBuAGkAdAByAG8AZwBlAG4AIABpAG4AIABNAE0AUwAgAHQAcgBlAGEAdABtAGUAbgB0ACAAcwB0AGEAZwBlACAAMQAgADoAIABrAGcAIABOAFwAIgA7AFwAbgAgACAAIAAgACAAIAAgACAAIAAgAFwAIgBGAHIAYQBjAEcAQQBTAE0AXwBtAFQAMQBcACIALABcACIAZgByAGEAYwB0AGkAbwBuACAAbwBmACAATgAgAHYAbwBsAGEAdABpAGwAaQBzAGUAZAAgAGYAcgBvAG0AIABNAE0AUwAgAHQAcgBlAGEAdABtAGUAbgB0ACAAYQB0ACAAcwB0AGEAZwBlACAAMQAgADoAIABmAHIAYQBjAHQAaQBvAG4AXAAiADsAXABuACAAIAAgACAAIAAgACAAIAAgACAAXAAiAEUARgBfAG0AVAAxAFwAIgAsAFwAIgBuAGkAdAByAG8AdQBzACAAbwB4AGkAZABlACAAZQBtAGkAcwBzAGkAbwBuACAAZgBhAGMAdABvAHIAIABmAG8AcgAgAE0ATQBTACAAdAByAGUAYQB0AG0AZQBuAHQAIABhAHQAIABzAHQAYQBnAGUAIAAxACAAOgAgAGsAZwAgAE4AMgBPAC0ATgAvAGsAZwAgAE4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yACwAXABuACAAIAAgACAAIAAgAEwAQQBNAEIARABBACgAcgAsAGMALABcAG4AIAAgACAAIAAgACAAIAAgAEkATgBEAEUAWAAoAHsAXABuACAAIAAgACAAIAAgACAAIAAgACAAXAAiAE0ATQBTAF8AQQBUAE0ATwBTAFwAIgAsAFwAIgBtAGEAcwBzACAAbwBmACAATgAgAHYAbwBsAGEAdABpAGwAaQBzAGUAZAAgAGYAcgBvAG0AIABNAE0AUwAgADoAIABrAGcAIABOAFwAIgA7AFwAbgAgACAAIAAgACAAIAAgACAAIAAgAFwAIgBFAEYAXwBOADIATwBcACIALABcACIAbgBpAHQAcgBvAHUAcwAgAG8AeABpAGQAZQAgAGUAbQBpAHMAcwBpAG8AbgAgAGYAYQBjAHQAbwByACAAZgBvAHIAIABhAHQAbQBvAHMAcABoAGUAcgBpAGMAIABkAGUAcABvAHMAaQB0AGkAbwBu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I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CAAOgAgAGsAZwAgAE4AXAAiADsAXABuACAAIAAgACAAIAAgACAAIAAgACAAXAAiAEYAcgBhAGMARwBBAFMATQBfAG0AVABcACIALABcACIAZgByAGEAYwB0AGkAbwBuACAAbwBmACAATgAgAHYAbwBsAGEAdABpAGwAaQBzAGUAZAAgAGkAbgAgAGUAYQBjAGgAIABNAE0AUwAgADoAIAAoAGsAZwAgAE4ASAAzAC0ATgAgACsAIABOAE8AeAAtAE4AKQAvAGsAZwAgAE4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AgADoAIABrAGcAIABOAFwAIgA7AFwAbgAgACAAIAAgACAAIAAgACAAIAAgAFwAIgBFAEYAXwBsAGUAYQBjAGgAXAAiACwAXAAiAGUAbQBpAHMAcwBpAG8AbgAgAGYAYQBjAHQAbwByACAAZgBvAHIAIABsAGUAYQBjAGgAaQBuAGcAIABhAG4AZAAgAHIAdQBuAG8AZgBmACAAOgAgAGsAZwAgAE4AMgBPAC0ATgAvAGsAZwAgAE4AXAAiADsAXABuACAAIAAgACAAIAAgACAAIAAgACAAXAAiAEMAXwBOADIATwBcACIALABcACIAZgBhAGMAdABvAHIAIAB0AG8AIABjAG8AbgB2AGUAcgB0ACAAZQBsAGUAbQBlAG4AdABhAGwAIABtAGEAcwBzACAAbwBmACAATgAyAE8AIAB0AG8AIABtAG8AbABlAGMAdQBsAGEAcgAgAG0AYQBzAHMAIAA6ACAAcgBhAHQAaQBv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EALAAgAEYAcgBhAGMAVwBFAFQALAAgAEYAcgBhAGMATABFAEEAQwBIAF8ATQBTACwAXABuACAAIAAgACAATQBOAF8AagBrAG0ANABUADE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x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MgAsAFwAbgAgACAAIAAgACAAIABMAEEATQBCAEQAQQAoAHIALABjACwAXABuACAAIAAgACAAIAAgACAAIABJAE4ARABFAFgAKAB7AFwAbgAgACAAIAAgACAAIAAgACAAIAAgAFwAIgBNAE4AXwBqAGsAbQA0AFQAMQBcACIALABcACIAbgBpAHQAcgBvAGcAZQBuACAAaQBuACAAcwBvAGwAaQBkACAAcwB0AG8AcgBhAGcAZQAgAE0ATQBTACAAdAByAGUAYQB0AG0AZQBuAHQAIABzAHQAYQBnAGUAIAAxACAAOgAgAGsAZwAgAE4AXAAiADsAXABuACAAIAAgACAAIAAgACAAIAAgACAAXAAiAEYAcgBhAGMAVwBFAFQAXAAiACwAXAAiAGYAcgBhAGMAdABpAG8AbgAgAG8AZgAgAE4AIABhAHYAYQBpAGwAYQBiAGwAZQAgAGYAbwByACAAbABlAGEAYwBoAGkAbgBnACAAYQBuAGQAIAByAHUAbgBvAGYAZgAgADoAIABmAHIAYQBjAHQAaQBvAG4AXAAiADsAXABuACAAIAAgACAAIAAgACAAIAAgACAAXAAiAEYAcgBhAGMATABFAEEAQwBIAF8ATQBTAFwAIgAsAFwAIgBmAHIAYQBjAHQAaQBvAG4AIABvAGYAIABOACAAbABvAHMAdAAgAHQAaAByAG8AdQBnAGgAIABsAGUAYQBjAGgAaQBuAGcAIABhAG4AZAAgAHIAdQBuAG8AZgBmACAAOgAgAGYAcgBhAGMAdABpAG8Ab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FAAbwB1AGwAdA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CAATQBlAHQAaABvAGQAIAAxACAALQAgAE0AYQBuAHUAcgBlACAATQBlAHQAaABhAG4AZQ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EUAXwB7AEMASAA0AH0APQBcAFwAcwB1AG0AXwB7AGoAfQBcAFwAcwB1AG0AXwB7AGsAfQBcAFwAcwB1AG0AXwB7AG0AfQBcAFwAcwB1AG0AXwB7AFQAfQAoAEQAXwB7AGoAawB9AFwAXAB0AGkAbQBlAHMAIABNAF8AewBqAGsAbQBUAH0AXABcAHQAaQBtAGUAcwAgAE4AXwB7AGoAawB9ACkAXABcAHQAaQBtAGUAcwAxADAAXgB7AC0AMwB9AFwAbgBEAF8AagBrACAAPQAgAGQAdQByAGEAdABpAG8AbgAgAG8AZgAgAHMAdABhAHkAIABvAGYAIABlAGEAYwBoACAAYwBsAGEAcwBzACAAYQBuAGQAIABzAHUAYgBjAGwAYQBzAHMAIABvAGYAIABwAG8AdQBsAHQAcgB5ACAAOgAgAGQAYQB5AHMAXABuAE0AXwBqAGsAbQBUACAAPQAgAG0AZQB0AGgAYQBuAGUAIABwAHIAbwBkAHUAYwB0AGkAbwBuACAAZgByAG8AbQAgAG0AYQBuAHUAcgBlACAAcABlAHIAIABjAGwAYQBzAHMALAAgAHMAdQBiAGMAbABhAHMAcwAsACAATQBNAFMALAAgAGEAbgBkACAAdAByAGUAYQB0AG0AZQBuAHQAIABzAHQAYQBnAGUAIAA6ACAAawBnACAAQwBIADQALwBiAGkAcgBkAC8AZABhAHkAXABuAE4AXwBqAGsAIAA9ACAAbgB1AG0AYgBlAHIAcwAgAG8AZgAgAHAAbwB1AGwAdAByAHkAIABpAG4AIABlAGEAYwBoACAAYwBsAGEAcwBzACAAYQBuAGQAIABzAHUAYgBjAGwAYQBzAHMAIAA6ACAAYgBpAHI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fAGoAawAsACAATQBfAGoAawBtAFQALAAgAE4AXwBqAGsALABcAG4AIAAgACAAIAAoAEQAXwBqAGsAIAAqACAATQBfAGoAawBtAFQAIAAqACAATgBf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F8AQwBIADQAXAAiACkAOwBcAG4AXABuAFYARQBFAFIARwBfADQAXwA2AF8AMQBfADEAXwBfADEAXwBUAG8AdABhAGwAQQBuAG4AdQBhAGwATQBlAHQAaABhAG4AZQBFAG0AaQBzAHMAaQBvAG4AcwBfAFUAbgBpAHQAXABuACAAIAA9AEwAQQBNAEIARABBACgAXAAiAHQAIABDAEgANABcACIAKQA7AFwAbgBcAG4AVgBFAEUAUgBHAF8ANABfADYAXwAxAF8AMQBfAF8AMQBfAFQAbwB0AGEAbABBAG4AbgB1AGEAbABNAGUAdABoAGEAbgBlAEUAbQBpAHMAcwBpAG8AbgBzAF8AUwBvAHUAcgBjAGUAXABuACAAIAA9AEwAQQBNAEIARABBACgAXAAiAFYARQBFAFIARwAgADIAMAAyADYAOgAgADQALgA0AC4AMQAuADEALAAgAEUAcQB1AGEAdABpAG8AbgAgACgAMQApAFwAIgApADsAXABuAFwAbgBWAEUARQBSAEcAXwA0AF8ANgBfADEAXwAxAF8AXwAxAF8AVABvAHQAYQBsAEEAbgBuAHUAYQBsAE0AZQB0AGgAYQBuAGUARQBtAGkAcwBzAGkAbwBuAHMAXwBOAEkAUgBSAGUAZgBlAHIAZQBuAGMAZQBcAG4AIAAgAD0ATABBAE0AQgBEAEEAKABcACIAXAAiACkAOwBcAG4AXABuAFYARQBFAFIARwBfADQAXwA2AF8AMQBfADEAXwBfADEAXwBUAG8AdABhAGwAQQBuAG4AdQBhAGwATQBlAHQAaABhAG4AZQBFAG0AaQBzAHMAaQBvAG4AcwBfAEwAYQB0AGUAeABFAHEAdQBhAHQAaQBvAG4AXABuACAAIAA9AEwAQQBNAEIARABBACgAXAAiAEUAXwB7AEMASAA0AH0APQBcAFwAcwB1AG0AXwB7AGoAfQBcAFwAcwB1AG0AXwB7AGsAfQBcAFwAcwB1AG0AXwB7AG0AfQBcAFwAcwB1AG0AXwB7AFQAfQAoAEQAXwB7AGoAawB9AFwAXAB0AGkAbQBlAHMAIABNAF8AewBqAGsAbQBU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awBcACIALABcACIAZAB1AHIAYQB0AGkAbwBuACAAbwBmACAAcwB0AGEAeQAgAG8AZgAgAGUAYQBjAGgAIABjAGwAYQBzAHMAIABhAG4AZAAgAHMAdQBiAGMAbABhAHMAcwAgAG8AZgAgAHAAbwB1AGwAdAByAHkAIAA6ACAAZABhAHkAcwBcACIAOwBcAG4AIAAgACAAIAAgACAAIAAgACAAIABcACIATQBfAGoAawBtAFQAXAAiACwAXAAiAG0AZQB0AGgAYQBuAGUAIABwAHIAbwBkAHUAYwB0AGkAbwBuACAAZgByAG8AbQAgAG0AYQBuAHUAcgBlACAAcABlAHIAIABjAGwAYQBzAHMALAAgAHMAdQBiAGMAbABhAHMAcwAsACAATQBNAFMALAAgAGEAbgBkACAAdAByAGUAYQB0AG0AZQBuAHQAIABzAHQAYQBnAGUAIAA6ACAAawBnACAAQwBIADQALwBiAGkAcgBkAC8AZABhAHkAXAAiADsAXABuACAAIAAgACAAIAAgACAAIAAgACAAXAAiAE4AXwBqAGsAXAAiACwAXAAiAG4AdQBtAGIAZQByAHMAIABvAGYAIABwAG8AdQBsAHQAcgB5ACAAaQBuACAAZQBhAGMAaAAgAGMAbABhAHMAcwAgAGEAbgBkACAAcwB1AGIAYwBsAGEAcwBzACAAOgAgAGIAaQByAG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awBcACIALABcACIAdgBvAGwAYQB0AGkAbABlACAAcwBvAGwAaQBkACAAcAByAG8AZAB1AGMAdABpAG8AbgAgAHAAbwB1AGwAdAByAHkAIABjAGwAYQBzAHMAZQBzACAAOgAgAGsAZwAgAFYAUwAvAGIAaQByAGQALwBkAGEAeQBcACIAOwBcAG4AIAAgACAAIAAgACAAIAAgACAAIABcACIAQgBPAF8AagBcACIALABcACIAZQBtAGkAcwBzAGkAbwBuAHMAIABwAG8AdABlAG4AdABpAGEAbAAgAHAAZQByACAAYwBsAGEAcwBzACAAOgAgAG0AMwAgAEMASAA0AC8AawBnACAAVgBTAFwAIgA7AFwAbgAgACAAIAAgACAAIAAgACAAIAAgAFwAIgBNAE0AUwBfAGoAbQBUADEAXAAiACwAXAAiAGYAcgBhAGMAdABpAG8AbgAgAG8AZgAgAG0AYQBuAHUAcgBlACAAaQBuACAAZQBhAGMAaAAgAHAAcgBpAG0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AgADoAIABrAGcAIABWAFMALwBiAGkAcgBkAC8AZABhAHkAXAAiADsAXABuACAAIAAgACAAIAAgACAAIAAgACAAXAAiAEIATwBcACIALABcACIAZQBtAGkAcwBzAGkAbwBuAHMAIABwAG8AdABlAG4AdABpAGEAbAAgADoAIABtADMAIABDAEgANAAvAGsAZwAgAFYAUwBcACIAOwBcAG4AIAAgACAAIAAgACAAIAAgACAAIABcACIATQBNAFMAXwBqAG0AVAAyAFwAIgAsAFwAIgBmAHIAYQBjAHQAaQBvAG4AIABvAGYAIABtAGEAbgB1AHIAZQAgAGkAbgAgAGUAYQBjAGgAIABzAGUAYwBvAG4AZABhAHIAeQAgAHMAeQBzAHQAZQBtACAAOgAgAGYAcgBhAGMAdABpAG8AbgBcACIAOwBcAG4AIAAgACAAIAAgACAAIAAgACAAIABcACIATQBDAEYAXw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IALABcAG4AIAAgACAAIAAgACAATABBAE0AQgBEAEEAKAByACwAYwAsAFwAbgAgACAAIAAgACAAIAAgACAASQBOAEQARQBYACgAewBcAG4AIAAgACAAIAAgACAAIAAgACAAIABcACIAVgBTAF8AagBrAFwAIgAsAFwAIgB2AG8AbABhAHQAaQBsAGUAIABzAG8AbABpAGQAIABwAHIAbwBkAHUAYwB0AGkAbwBuACAAcABvAHUAbAB0AHIAeQAgAGMAbABhAHMAcwBlAHMAIAA6ACAAawBnACAAVgBTAC8AYgBpAHIAZAAvAGQAYQB5AFwAIgA7AFwAbgAgACAAIAAgACAAIAAgACAAIAAgAFwAIgBNAE0AUwBfAGoAbQBUADEAXAAiACwAXAAiAGYAcgBhAGMAdABpAG8AbgAgAG8AZgAgAG0AYQBuAHUAcgBlACAAaQBuACAAZQBhAGMAaAAgAHAAcgBpAG0AYQByAHkAIABzAHkAcwB0AGUAbQAgADoAIABmAHIAYQBjAHQAaQBvAG4AXAAiADsAXABuACAAIAAgACAAIAAgACAAIAAgACAAXAAiAFYAUwBMAF8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CAAOgAgAGsAZwAgAEQATQAvAGIAaQByAGQALwBkAGEAeQBcACIAOwBcAG4AIAAgACAAIAAgACAAIAAgACAAIABcACIARABNAEQAXwBqAGsAXAAiACwAXAAiAGQAcgB5ACAAbQBhAHQAdABlAHIAIABkAGkAZwBlAHMAdABpAGIAaQBsAGkAdAB5ACAAZgBvAHIAIABlAGEAYwBoACAAYwBsAGEAcwBzACAAYQBuAGQAIABzAHUAYgBjAGwAYQBzAHMAIAA6ACAAZgByAGEAYwB0AGkAbwBuAFwAIgA7AFwAbgAgACAAIAAgACAAIAAgACAAIAAgAFwAIgBBAF8AagBcACIALABcACIAYQBzAGgAIABjAG8AbgB0AGUAbgB0ACAAbwBmACAAbQBhAG4AdQByAGUAIABmAG8AcgAgAGUAYQBjAGgAIABjAGwAYQBzAHMAIABhAG4AZAAgAHMAdQBiAGMAbABhAHMAcwAgADoAIABmAHIAYQBjAHQAaQBvAG4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y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AgADoAIABrAGcAIABOAFwAIgA7AFwAbgAgACAAIAAgACAAIAAgACAAIAAgAFwAIgBFAEYAXwBtAFQAMgBcACIALABcACIAbgBpAHQAcgBvAHUAcwAgAG8AeABpAGQAZQAgAGUAbQBpAHMAcwBpAG8AbgAgAGYAYQBjAHQAbwByACAAZgBvAHIAIABlAGEAYwBoACAATQBNAFMAIAA6ACAAawBnACAATgAyAE8ALQBOAC8AawBnACAATgBcACIAOwBcAG4AIAAgACAAIAAgACAAIAAgACAAIABcACIARgByAGEAYwBHAEEAUwBNAF8AbQBUADIAXAAiACwAXAAiAGYAcgBhAGMAdABpAG8AbgAgAG8AZgAgAGEAbgBpAG0AYQBsACAAdwBhAHMAdABlACAATgAgAHYAbwBsAGEAdABpAGwAaQBzAGUAZAAgAGkAbgAgAGUAYQBjAGgAIABNAE0AUwAgADoAIAAoAGsAZwAgAE4ASAAzAC0ATgAgACsAIABOAE8AeAAtAE4AKQAvAGsAZwAgAE4AXAAiADsAXABuACAAIAAgACAAIAAgACAAIAAgACAAXAAiAE0ATgBMAGUAYQBjAGgAXwBNAE0AUwBcACIALABcACIAbQBhAHMAcwAgAG8AZgAgAE4AIABsAG8AcwB0ACAAdABoAHIAbwB1AGcAaAAgAGwAZQBhAGMAaABpAG4AZwAgAGEAbgBkACAAcgB1AG4AbwBmAGYAIABmAHIAbwBtACAATQBNAFMAIAA6ACAAawBnACAATgBcACIAOwBcAG4AIAAgACAAIAAgACAAIAAgACAAIABcACIAUABGAFwAIgAsAFwAIgBmAHIAYQBjAHQAaQBvAG4AIABvAGYAIABtAGEAbgB1AHIAZQAgAGEAcABwAGwAaQBlAGQAIAB0AG8AIABzAG8AaQBsACAAdwBpAHQAaABpAG4AIAB0AGgAZQAgAGYAYQByAG0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IAA6ACAAawBnACAATgBcACIAOwBcAG4AIAAgACAAIAAgACAAIAAgACAAIABcACIARQBGAF8AbQBUADIAXAAiACwAXAAiAG4AaQB0AHIAbwB1AHMAIABvAHgAaQBkAGUAIABlAG0AaQBzAHMAaQBvAG4AIABmAGEAYwB0AG8AcgAgAGYAbwByACAAZQBhAGMAaAAgAE0ATQBTACAAOgAgAGsAZwAgAE4AMgBPAC0ATgAvAGsAZwAgAE4AXAAiADsAXABuACAAIAAgACAAIAAgACAAIAAgACAAXAAiAEYAcgBhAGMARwBBAFMATQBfAG0AVAAyAFwAIgAsAFwAIgBmAHIAYQBjAHQAaQBvAG4AIABvAGYAIABhAG4AaQBtAGEAbAAgAHcAYQBzAHQAZQAgAE4AIAB2AG8AbABhAHQAaQBsAGkAcwBlAGQAIABpAG4AIABlAGEAYwBoACAATQBNAFMAIAA6ACAAKABrAGcAIABOAEgAMwAtAE4AIAArACAATgBPAHgALQBOACkALwBrAGcAIABOAFwAIgA7AFwAbgAgACAAIAAgACAAIAAgACAAIAAgAFwAIgBNAE4ATABlAGEAYwBoAF8ATQBNAFMAXAAiACwAXAAiAG0AYQBzAHMAIABvAGYAIABOACAAbABvAHMAdAAgAHQAaAByAG8AdQBnAGgAIABsAGUAYQBjAGgAaQBuAGcAIABhAG4AZAAgAHIAdQBuAG8AZgBmACAAZgByAG8AbQAgAE0ATQBTACAAOgAgAGsAZwAgAE4AXAAiADsAXABuACAAIAAgACAAIAAgACAAIAAgACAAXAAiAFAARgBcACIALABcACIAZgByAGEAYwB0AGkAbwBuACAAbwBmACAAbQBhAG4AdQByAGUAIABhAHAAcABsAGkAZQBkACAAdABvACAAcwBvAGkAbAAgAHcAaQB0AGgAaQBuACAAdABoAGUAIABmAGEAcgBtACAAYgBvAHUAbgBkAGEAcgB5ACAAOgAgAGYAcgBhAGMAdABpAG8Abg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Mg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CAAKABrAGcAIABOACkAXAAiADsAXABuACAAIAAgACAAIAAgACAAIAAgACAAXAAiAEUARgBfAFAAUgBQAFwAIgAsACAAXAAiAG4AaQB0AHIAbwB1AHMAIABvAHgAaQBkAGUAIABlAG0AaQBzAHMAaQBvAG4AIABmAGEAYwB0AG8AcgAgAGYAbwByACAAbQBhAG4AdQByAGUAIABkAGUAcABvAHMAaQB0AGUAZAAgAG8AbgAgAHAAYQBzAHQAdQByAGUAIAAoAGsAZwAgAE4AMgBPAC0ATgAvAGsAZwAgAE4AIABkAGUAcABvAHMAaQB0AGUAZA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Mg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CAAKABrAGcAIABOACkAXAAiADsAXABuACAAIAAgACAAIAAgACAAIAAgACAAXAAiAEUARgBfAE4AMgBPAFwAIgAsACAAXAAi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YAXwAxAF8AMQAyAF8AXwAyAF8ATQBhAHMAcwBPAGYATgBpAHQAcgBvAGcAZQBuAFYAbwBsAGEAdABpAGwAaQBzAGUAZABGAHIAbwBtAFAAbwB1AGwAdAByAHkATQBhAG4AdQByAGUATwBuAFAAYQBzAHQAdQByAGUAXABuAE0AYQBzAHMAIABvAGYAIABuAGkAdAByAG8AZwBlAG4AIAB2AG8AbABhAHQAaQBsAGkAcwBlAGQAIABmAHIAbwBtACAAcABvAHUAbAB0AHIAeQAgAG0AYQBuAHUAcgBlACAAZABlAHAAbwBzAGkAdABlAGQAIABvAG4AIABwAGEAcwB0AHUAcgBlAFwAbgBNAF8AdgBvAGwAXwBtADEANABcAG4AawBnACAATgBcAG4ATQBfAHsAdgBvAGwALABtAD0AMQA0AH0APQBNAE4AXwB7AGoAawBtAD0AMQA0ACwAVAA9ADEAfQBcAFwAdABpAG0AZQBzACAARgByAGEAYwBHAEEAUwBNAHMAbwBpAGwAXABuAE0ATgBfAGoAawBtADEANABUADEAIAA9ACAAbQBhAHMAcwAgAG8AZgAgAG4AaQB0AHIAbwBnAGUAbgAgAGUAeABjAHIAZQB0AGUAZAAgAGQAaQByAGUAYwB0AGwAeQAgAG8AbgAgAHAAYQBzAHQAdQByAGUAIABiAHkAIABwAG8AdQBsAHQAcgB5ACAAYwBsAGEAcwBzACAAYQBuAGQAIABzAHUAYgBjAGwAYQBzAHMAIAAoAGsAZwAgAE4AKQBcAG4ARgByAGEAYwBHAEEAUwBNAHMAbwBpAGwAIAA9ACAAZgByAGEAYwB0AGkAbwBuACAAbwBmACAAbgBpAHQAcgBvAGcAZQBuACAAdgBvAGwAYQB0AGkAbABpAHMAZQBkACAAZgByAG8AbQAgAG0AYQBuAHUAcgBlACAAZABlAHAAbwBzAGkAdABlAGQAIABvAG4AIABwAGEAcwB0AHUAcgBlACAAKAAoAGsAZwAgAE4ASAAzAC0ATgAgACsAIABOAE8AeAAtAE4AKQAvAGsAZwAgAE4AKQBcAG4ALQAtAC0ALQAtAC0ALQAtAC0ALQAtAC0ALQAtAC0ALQAtAC0ALQAtAC0ALQAtAC0ALQAtAC0ALQAtAC0ALQAtAC0ALQAtAC0ALQAtAFwAbgAqAC8AXABuAFwAbgBWAEUARQBSAEcAXwA0AF8ANgBfADEAXwAxADIAXwBfADIAXwBNAGEAcwBzAE8AZgBOAGkAdAByAG8AZwBlAG4AVgBvAGwAYQB0AGkAbABpAHMAZQBkAEYAcgBvAG0AUABvAHUAbAB0AHIAeQBNAGEAbgB1AHIAZQBPAG4AUABhAHMAdAB1AHIAZQBcAG4AIAAgAD0ATABBAE0AQgBEAEEAKABcAG4AIAAgACAAIABNAE4AXwBqAGsAbQAxADQAVAAxACwAIABGAHIAYQBjAEcAQQBTAE0AcwBvAGkAbAAsAFwAbgAgACAAIAAgAE0ATgBfAGoAawBtADEANABUADEAIAAqACAARgByAGEAYwBHAEEAUwBNAHMAbwBpAGwAXABuACAAIAApADsAXABuAFwAbgBWAEUARQBSAEcAXwA0AF8ANgBfADEAXwAxADIAXwBfADIAXwBNAGEAcwBzAE8AZgBOAGkAdAByAG8AZwBlAG4AVgBvAGwAYQB0AGkAbABpAHMAZQBkAEYAcgBvAG0AUABvAHUAbAB0AHIAeQBNAGEAbgB1AHIAZQBPAG4AUABhAHMAdAB1AHIAZQBfAFQAaQB0AGwAZQBcAG4AIAAgAD0ATABBAE0AQgBEAEEAKABcACIATQBhAHMAcwAgAG8AZgAgAG4AaQB0AHIAbwBnAGUAbgAgAHYAbwBsAGEAdABpAGwAaQBzAGUAZAAgAGYAcgBvAG0AIABwAG8AdQBsAHQAcgB5ACAAbQBhAG4AdQByAGUAIABkAGUAcABvAHMAaQB0AGUAZAAgAG8AbgAgAHAAYQBzAHQAdQByAGUAXAAiACkAOwBcAG4AXABuAFYARQBFAFIARwBfADQAXwA2AF8AMQBfADEAMgBfAF8AMgBfAE0AYQBzAHMATwBmAE4AaQB0AHIAbwBnAGUAbgBWAG8AbABhAHQAaQBsAGkAcwBlAGQARgByAG8AbQBQAG8AdQBsAHQAcgB5AE0AYQBuAHUAcgBlAE8AbgBQAGEAcwB0AHUAcgBlAF8AVgBhAHIAaQBhAGIAbABlAFwAbgAgACAAPQBMAEEATQBCAEQAQQAoAFwAIgBNAF8AdgBvAGwAXwBtADEANABcACIAKQA7AFwAbgBcAG4AVgBFAEUAUgBHAF8ANABfADYAXwAxAF8AMQAyAF8AXwAyAF8ATQBhAHMAcwBPAGYATgBpAHQAcgBvAGcAZQBuAFYAbwBsAGEAdABpAGwAaQBzAGUAZABGAHIAbwBtAFAAbwB1AGwAdAByAHkATQBhAG4AdQByAGUATwBuAFAAYQBzAHQAdQByAGUAXwBVAG4AaQB0AFwAbgAgACAAPQBMAEEATQBCAEQAQQAoAFwAIgBrAGcAIABOAFwAIgApADsAXABuAFwAbgBWAEUARQBSAEcAXwA0AF8ANgBfADEAXwAxADIAXwBfADIAXwBNAGEAcwBzAE8AZgBOAGkAdAByAG8AZwBlAG4AVgBvAGwAYQB0AGkAbABpAHMAZQBkAEYAcgBvAG0AUABvAHUAbAB0AHIAeQBNAGEAbgB1AHIAZQBPAG4AUABhAHMAdAB1AHIAZQBfAFMAbwB1AHIAYwBlAFwAbgAgACAAPQBMAEEATQBCAEQAQQAoAFwAIgBWAEUARQBSAEcAIAAyADAAMgA2ADoAIAA0AC4ANgAuADEALgAxADIALAAgAEUAcQB1AGEAdABpAG8AbgAgACgAMgApAFwAIgApADsAXABuAFwAbgBWAEUARQBSAEcAXwA0AF8ANgBfADEAXwAxADIAXwBfADIAXwBNAGEAcwBzAE8AZgBOAGkAdAByAG8AZwBlAG4AVgBvAGwAYQB0AGkAbABpAHMAZQBkAEYAcgBvAG0AUABvAHUAbAB0AHIAeQBNAGEAbgB1AHIAZQBPAG4AUABhAHMAdAB1AHIAZQBfAE4ASQBSAFIAZQBmAGUAcgBlAG4AYwBlAFwAbgAgACAAPQBMAEEATQBCAEQAQQAoAFwAIgBcACIAKQA7AFwAbgBcAG4AVgBFAEUAUgBHAF8ANABfADYAXwAxAF8AMQAyAF8AXwAyAF8ATQBhAHMAcwBPAGYATgBpAHQAcgBvAGcAZQBuAFYAbwBsAGEAdABpAGwAaQBzAGUAZABGAHIAbwBtAFAAbwB1AGwAdAByAHkATQBhAG4AdQByAGUATwBuAFAAYQBzAHQAdQByAGUAXwBMAGEAdABlAHgARQBxAHUAYQB0AGkAbwBuAFwAbgAgACAAPQBMAEEATQBCAEQAQQAoAFwAIgBNAF8AewB2AG8AbAAsAG0APQAxADQAfQA9AFwAXABzAHUAbQBfAHsAagB9AFwAXABzAHUAbQBfAHsAawB9ACgATQBOAF8AewBqAGsAbQA9ADEANAAsAFQAPQAxAH0AXABcAHQAaQBtAGUAcwAgAEYAcgBhAGMARwBBAFMATQBzAG8AaQBsACkAXAAiACkAOwBcAG4AXABuAFYARQBFAFIARwBfADQAXwA2AF8AMQBfADEAMgBfAF8AMgBfAE0AYQBzAHMATwBmAE4AaQB0AHIAbwBnAGUAbgBWAG8AbABhAHQAaQBsAGkAcwBlAGQARgByAG8AbQBQAG8AdQBsAHQAcgB5AE0AYQBuAHUAcgBlAE8AbgBQAGEAcwB0AHUAcgBlAF8AQQByAGcAdQBtAGUAbgB0AHMAXABuACAAIAA9AEwAQQBNAEIARABBACgAXABuACAAIAAgACAATQBBAEsARQBBAFIAUgBBAFkAKAAyACwAIAAy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IAAoAGsAZwAgAE4AKQBcACIAOwBcAG4AIAAgACAAIAAgACAAIAAgACAAIABcACIARgByAGEAYwBHAEEAUwBNAHMAbwBpAGwAXAAiACwAIABcACIAZgByAGEAYwB0AGkAbwBuACAAbwBmACAAbgBpAHQAcgBvAGcAZQBuACAAdgBvAGwAYQB0AGkAbABpAHMAZQBkACAAZgByAG8AbQAgAG0AYQBuAHUAcgBl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NgBfADEAXwAxADQAXwBfADIAXwBNAGEAcwBzAE8AZgBOAGkAdAByAG8AZwBlAG4ATABvAHMAdABUAG8ATABlAGEAYwBoAGkAbgBnAEEAbgBkAFIAdQBuAG8AZgBmAEYAcgBvAG0AUABvAHUAbAB0AHIAeQBNAGEAbgB1AHIAZQBPAG4AUABhAHMAdAB1AHIAZQBcAG4ATQBhAHMAcwAgAG8AZgAgAG4AaQB0AHIAbwBnAGUAbgAgAGwAbwBzAHQAIAB0AG8AIABsAGUAYQBjAGgAaQBuAGcAIABhAG4AZAAgAHIAdQBuAG8AZgBmACAAZgByAG8AbQAgAHAAbwB1AGwAdAByAHkAIABtAGEAbgB1AHIAZQAgAGQAZQBwAG8AcwBpAHQAZQBkACAAbwBuACAAcABhAHMAdAB1AHIAZQBcAG4ATQBfAGwAZQBhAGMAaABfAG0AMQA0AFwAbgBrAGcAIABOAFwAbgBNAF8AewBsAGUAYQBjAGgALABtAD0AMQA0AH0APQBNAE4AXwB7AGoAawBtAD0AMQA0ACwAVAA9ADEAfQBcAFwAdABpAG0AZQBzACAARgByAGEAYwBXAGUAdABcAFwAdABpAG0AZQBzACAARgByAGEAYwBMAEUAQQBDAEgAXwBNAFMAXABuAE0ATgBfAGoAawBtADEANABUADEAIAA9ACAAbQBhAHMAcwAgAG8AZgAgAG4AaQB0AHIAbwBnAGUAbgAgAGUAeABjAHIAZQB0AGUAZAAgAGQAaQByAGUAYwB0AGwAeQAgAG8AbgAgAHAAYQBzAHQAdQByAGUAIABiAHkAIABwAG8AdQBsAHQAcgB5ACAAYwBsAGEAcwBzACAAYQBuAGQAIABzAHUAYgBjAGwAYQBzAHMAIAAoAGsAZwAgAE4AKQBcAG4ARgByAGEAYwBXAGUAdAAgAD0AIABmAHIAYQBjAHQAaQBvAG4AIABvAGYAIABOACAAYQB2AGEAaQBsAGEAYgBsAGUAIABmAG8AcgAgAGwAZQBhAGMAaABpAG4AZwAgAGEAbgBkACAAcgB1AG4AbwBmAGYAXABuAEYAcgBhAGMATABFAEEAQwBIAF8ATQBTACAAPQAgAGYAcgBhAGMAdABpAG8AbgAgAG8AZgAgAE4AIAB0AGgAYQB0ACAAaQBzACAAbABvAHMAdAAgAHQAaAByAG8AdQBnAGgAIABsAGUAYQBjAGgAaQBuAGcAIABhAG4AZAAgAHIAdQBuAG8AZgBmAFwAbgAtAC0ALQAtAC0ALQAtAC0ALQAtAC0ALQAtAC0ALQAtAC0ALQAtAC0ALQAtAC0ALQAtAC0ALQAtAC0ALQAtAC0ALQAtAC0ALQAtAC0AXABuACoALwBcAG4AXABuAFYARQBFAFIARwBfADQAXwA2AF8AMQBfADEANABfAF8AMgBfAE0AYQBzAHMATwBmAE4AaQB0AHIAbwBnAGUAbgBMAG8AcwB0AFQAbwBMAGUAYQBjAGgAaQBuAGcAQQBuAGQAUgB1AG4AbwBmAGYARgByAG8AbQBQAG8AdQBsAHQAcgB5AE0AYQBuAHUAcgBlAE8AbgBQAGEAcwB0AHUAcgBlAFwAbgAgACAAPQBMAEEATQBCAEQAQQAoAFwAbgAgACAAIAAgAE0ATgBfAGoAawBtADEANABUADEALAAgAEYAcgBhAGMAVwBlAHQALAAgAEYAcgBhAGMATABFAEEAQwBIAF8ATQBTACwAXABuACAAIAAgACAATQBOAF8AagBrAG0AMQA0AFQAMQAgACoAIABGAHIAYQBjAFcAZQB0ACAAKgAgAEYAcgBhAGMATABFAEEAQwBIAF8ATQBTAFwAbgAgACAAKQA7AFwAbgBcAG4AVgBFAEUAUgBHAF8ANABfADYAXwAxAF8AMQA0AF8AXwAyAF8ATQBhAHMAcwBPAGYATgBpAHQAcgBvAGcAZQBuAEwAbwBzAHQAVABvAEwAZQBhAGMAaABpAG4AZwBBAG4AZABSAHUAbgBvAGYAZgBGAHIAbwBtAFAAbwB1AGwAdAByAHkATQBhAG4AdQByAGUATwBuAFAAYQBzAHQAdQByAGUAXwBUAGkAdABsAGUAXABuACAAIAA9AEwAQQBNAEIARABBACgAXAAiAE0AYQBzAHMAIABvAGYAIABuAGkAdAByAG8AZwBlAG4AIABsAG8AcwB0ACAAdABvACAAbABlAGEAYwBoAGkAbgBnACAAYQBuAGQAIAByAHUAbgBvAGYAZgAgAGYAcgBvAG0AIABwAG8AdQBsAHQAcgB5ACAAbQBhAG4AdQByAGUAIABkAGUAcABvAHMAaQB0AGUAZAAgAG8AbgAgAHAAYQBzAHQAdQByAGUAXAAiACkAOwBcAG4AXABuAFYARQBFAFIARwBfADQAXwA2AF8AMQBfADEANABfAF8AMgBfAE0AYQBzAHMATwBmAE4AaQB0AHIAbwBnAGUAbgBMAG8AcwB0AFQAbwBMAGUAYQBjAGgAaQBuAGcAQQBuAGQAUgB1AG4AbwBmAGYARgByAG8AbQBQAG8AdQBsAHQAcgB5AE0AYQBuAHUAcgBlAE8AbgBQAGEAcwB0AHUAcgBlAF8AVgBhAHIAaQBhAGIAbABlAFwAbgAgACAAPQBMAEEATQBCAEQAQQAoAFwAIgBNAF8AbABlAGEAYwBoAF8AbQAxADQAXAAiACkAOwBcAG4AXABuAFYARQBFAFIARwBfADQAXwA2AF8AMQBfADEANABfAF8AMgBfAE0AYQBzAHMATwBmAE4AaQB0AHIAbwBnAGUAbgBMAG8AcwB0AFQAbwBMAGUAYQBjAGgAaQBuAGcAQQBuAGQAUgB1AG4AbwBmAGYARgByAG8AbQBQAG8AdQBsAHQAcgB5AE0AYQBuAHUAcgBlAE8AbgBQAGEAcwB0AHUAcgBlAF8AVQBuAGkAdABcAG4AIAAgAD0ATABBAE0AQgBEAEEAKABcACIAawBnACAATgBcACIAKQA7AFwAbgBcAG4AVgBFAEUAUgBHAF8ANABfADYAXwAxAF8AMQA0AF8AXwAyAF8ATQBhAHMAcwBPAGYATgBpAHQAcgBvAGcAZQBuAEwAbwBzAHQAVABvAEwAZQBhAGMAaABpAG4AZwBBAG4AZABSAHUAbgBvAGYAZgBGAHIAbwBtAFAAbwB1AGwAdAByAHkATQBhAG4AdQByAGUATwBuAFAAYQBzAHQAdQByAGUAXwBTAG8AdQByAGMAZQBcAG4AIAAgAD0ATABBAE0AQgBEAEEAKABcACIAVgBFAEUAUgBHACAAMgAwADIANgA6ACAANAAuADYALgAxAC4AMQA0ACwAIABFAHEAdQBhAHQAaQBvAG4AIAAoADIAKQBcACIAKQA7AFwAbgBcAG4AVgBFAEUAUgBHAF8ANABfADYAXwAxAF8AMQA0AF8AXwAyAF8ATQBhAHMAcwBPAGYATgBpAHQAcgBvAGcAZQBuAEwAbwBzAHQAVABvAEwAZQBhAGMAaABpAG4AZwBBAG4AZABSAHUAbgBvAGYAZgBGAHIAbwBtAFAAbwB1AGwAdAByAHkATQBhAG4AdQByAGUATwBuAFAAYQBzAHQAdQByAGUAXwBOAEkAUgBSAGUAZgBlAHIAZQBuAGMAZQBcAG4AIAAgAD0ATABBAE0AQgBEAEEAKABcACIAXAAiACkAOwBcAG4AXABuAFYARQBFAFIARwBfADQAXwA2AF8AMQBfADEANABfAF8AMgBfAE0AYQBzAHMATwBmAE4AaQB0AHIAbwBnAGUAbgBMAG8AcwB0AFQAbwBMAGUAYQBjAGgAaQBuAGcAQQBuAGQAUgB1AG4AbwBmAGYARgByAG8AbQBQAG8AdQBsAHQAcgB5AE0AYQBuAHUAcgBlAE8AbgBQAGEAcwB0AHUAcgBlAF8ATABhAHQAZQB4AEUAcQB1AGEAdABpAG8AbgBcAG4AIAAgAD0ATABBAE0AQgBEAEEAKABcACIATQBfAHsAbABlAGEAYwBoACwAbQA9ADEANAB9AD0AXABcAHMAdQBtAF8AewBqAH0AXABcAHMAdQBtAF8AewBrAH0AKABNAE4AXwB7AGoAawBtAD0AMQA0ACwAVAA9ADEAfQBcAFwAdABpAG0AZQBzACAARgByAGEAYwBXAGUAdABcAFwAdABpAG0AZQBzACAARgByAGEAYwBMAEUAQQBDAEgAXwBNAFMAKQBcACIAKQA7AFwAbgBcAG4AVgBFAEUAUgBHAF8ANABfADYAXwAxAF8AMQA0AF8AXwAyAF8ATQBhAHMAcwBPAGYATgBpAHQAcgBvAGcAZQBuAEwAbwBzAHQAVABvAEwAZQBhAGMAaABpAG4AZwBBAG4AZABSAHUAbgBvAGYAZgBGAHIAbwBtAFAAbwB1AGwAdAByAHkATQBhAG4AdQByAGU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AgACgAawBnACAATgApAFwAIgA7AFwAbgAgACAAIAAgACAAIAAgACAAIAAgAFwAIgBGAHIAYQBjAFcAZQB0AFwAIgAsACAAXAAiAGYAcgBhAGMAdABpAG8AbgAgAG8AZgAgAE4AIABhAHYAYQBpAGwAYQBiAGwAZQAgAGYAbwByACAAbABlAGEAYwBoAGkAbgBnACAAYQBuAGQAIAByAHUAbgBvAGYAZgBcACIAOwBcAG4AIAAgACAAIAAgACAAIAAgACAAIABcACIARgByAGEAYwBMAEUAQQBDAEgAXwBNAFMAXAAiACwAIABcACIAZgByAGEAYwB0AGkAbwBuACAAbwBm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E0ATQBTAF8AUABvAHUAbAB0AHIAeQBfAE4AMgBPAEQAaQByAGUAYwB0AF8ARQBxAHUAYQB0AGkAbwBuAHMALgBWAEUARQBSAEcAXwA0AF8ANgBfADEAXwAzAF8AXwAxAF8AVABvAHQAYQBsAEEAbgBuAHUAYQBsAEQAaQByAGUAYwB0AE4AaQB0AHIAbwB1AHMATwB4AGkAZABlAEUAbQBpAHMAcwBpAG8AbgBzAEYAcgBvAG0ATQBNAFMAIgAsACIATQBNAFMAXwBQAG8AdQBsAHQAcgB5AF8ATgAyAE8ARABpAHIAZQBjAHQAXwBFAHEAdQBhAHQAaQBvAG4AcwAuAFYARQBFAFIARwBfADQAXwA2AF8AMQBfADMAXwBfADEAXwBUAG8AdABhAGwAQQBuAG4AdQBhAGwARABpAHIAZQBjAHQATgBpAHQAcgBvAHUAcwBPAHgAaQBkAGUARQBtAGkAcwBzAGkAbwBuAHMARgByAG8AbQBNAE0AUwBfAFQAaQB0AGwAZQAiACwAIgBNAE0AUwBfAFAAbwB1AGwAdAByAHkAXwBOADIATwBEAGkAcgBlAGMAdABfAEUAcQB1AGEAdABpAG8AbgBzAC4AVgBFAEUAUgBHAF8ANABfADYAXwAxAF8AMwBfAF8AMQBfAFQAbwB0AGEAbABBAG4AbgB1AGEAbABEAGkAcgBlAGMAdABOAGkAdAByAG8AdQBzAE8AeABpAGQAZQBFAG0AaQBzAHMAaQBvAG4AcwBGAHIAbwBtAE0ATQBTAF8AVgBhAHIAaQBhAGIAbABlACIALAAiAE0ATQBTAF8AUABvAHUAbAB0AHIAeQBfAE4AMgBPAEQAaQByAGUAYwB0AF8ARQBxAHUAYQB0AGkAbwBuAHMALgBWAEUARQBSAEcAXwA0AF8ANgBfADEAXwAzAF8AXwAxAF8AVABvAHQAYQBsAEEAbgBuAHUAYQBsAEQAaQByAGUAYwB0AE4AaQB0AHIAbwB1AHMATwB4AGkAZABlAEUAbQBpAHMAcwBpAG8AbgBzAEYAcgBvAG0ATQBNAFMAXwBVAG4AaQB0ACIALAAiAE0ATQBTAF8AUABvAHUAbAB0AHIAeQBfAE4AMgBPAEQAaQByAGUAYwB0AF8ARQBxAHUAYQB0AGkAbwBuAHMALgBWAEUARQBSAEcAXwA0AF8ANgBfADEAXwAzAF8AXwAxAF8AVABvAHQAYQBsAEEAbgBuAHUAYQBsAEQAaQByAGUAYwB0AE4AaQB0AHIAbwB1AHMATwB4AGkAZABlAEUAbQBpAHMAcwBpAG8AbgBzAEYAcgBvAG0ATQBNAFMAXwBTAG8AdQByAGMAZQAiACwAIgBNAE0AUwBfAFAAbwB1AGwAdAByAHkAXwBOADIATwBEAGkAcgBlAGMAdABfAEUAcQB1AGEAdABpAG8AbgBzAC4AVgBFAEUAUgBHAF8ANABfADYAXwAxAF8AMwBfAF8AMQBfAFQAbwB0AGEAbABBAG4AbgB1AGEAbABEAGkAcgBlAGMAdABOAGkAdAByAG8AdQBzAE8AeABpAGQAZQBFAG0AaQBzAHMAaQBvAG4AcwBGAHIAbwBtAE0ATQBTAF8ATgBJAFIAUgBlAGYAZQByAGUAbgBjAGUAIgAsACIATQBNAFMAXwBQAG8AdQBsAHQAcgB5AF8ATgAyAE8ARABpAHIAZQBjAHQAXwBFAHEAdQBhAHQAaQBvAG4AcwAuAFYARQBFAFIARwBfADQAXwA2AF8AMQBfADMAXwBfADEAXwBUAG8AdABhAGwAQQBuAG4AdQBhAGwARABpAHIAZQBjAHQATgBpAHQAcgBvAHUAcwBPAHgAaQBkAGUARQBtAGkAcwBzAGkAbwBuAHMARgByAG8AbQBNAE0AUwBfAEwAYQB0AGUAeABFAHEAdQBhAHQAaQBvAG4AIgAsACIATQBNAFMAXwBQAG8AdQBsAHQAcgB5AF8ATgAyAE8ARABpAHIAZQBjAHQAXwBFAHEAdQBhAHQAaQBvAG4AcwAuAFYARQBFAFIARwBfADQAXwA2AF8AMQBfADMAXwBfADEAXwBUAG8AdABhAGwAQQBuAG4AdQBhAGwARABpAHIAZQBjAHQATgBpAHQAcgBvAHUAcwBPAHgAaQBkAGUARQBtAGkAcwBzAGkAbwBuAHMARgByAG8AbQBNAE0AUwBfAEEAcgBnAHUAbQBlAG4AdABzACIALAAiAE0ATQBTAF8AUABvAHUAbAB0AHIAeQBfAE4AMgBPAEQAaQByAGUAYwB0AF8ARQBxAHUAYQB0AGkAbwBuAHMALgBWAEUARQBSAEcAXwA0AF8ANgBfADEAXwAzAF8AXwAyAF8AUwB0AGEAZwBlADEATgBpAHQAcgBvAGcAZQBuAEkAbgBNAE0AUwAiACwAIgBNAE0AUwBfAFAAbwB1AGwAdAByAHkAXwBOADIATwBEAGkAcgBlAGMAdABfAEUAcQB1AGEAdABpAG8AbgBzAC4AVgBFAEUAUgBHAF8ANABfADYAXwAxAF8AMwBfAF8AMgBfAFMAdABhAGcAZQAxAE4AaQB0AHIAbwBnAGUAbgBJAG4ATQBNAFMAXwBUAGkAdABsAGUAIgAsACIATQBNAFMAXwBQAG8AdQBsAHQAcgB5AF8ATgAyAE8ARABpAHIAZQBjAHQAXwBFAHEAdQBhAHQAaQBvAG4AcwAuAFYARQBFAFIARwBfADQAXwA2AF8AMQBfADMAXwBfADIAXwBTAHQAYQBnAGUAMQBOAGkAdAByAG8AZwBlAG4ASQBuAE0ATQBTAF8AVgBhAHIAaQBhAGIAbABlACIALAAiAE0ATQBTAF8AUABvAHUAbAB0AHIAeQBfAE4AMgBPAEQAaQByAGUAYwB0AF8ARQBxAHUAYQB0AGkAbwBuAHMALgBWAEUARQBSAEcAXwA0AF8ANgBfADEAXwAzAF8AXwAyAF8AUwB0AGEAZwBlADEATgBpAHQAcgBvAGcAZQBuAEkAbgBNAE0AUwBfAFUAbgBpAHQAIgAsACIATQBNAFMAXwBQAG8AdQBsAHQAcgB5AF8ATgAyAE8ARABpAHIAZQBjAHQAXwBFAHEAdQBhAHQAaQBvAG4AcwAuAFYARQBFAFIARwBfADQAXwA2AF8AMQBfADMAXwBfADIAXwBTAHQAYQBnAGUAMQBOAGkAdAByAG8AZwBlAG4ASQBuAE0ATQBTAF8AUwBvAHUAcgBjAGUAIgAsACIATQBNAFMAXwBQAG8AdQBsAHQAcgB5AF8ATgAyAE8ARABpAHIAZQBjAHQAXwBFAHEAdQBhAHQAaQBvAG4AcwAuAFYARQBFAFIARwBfADQAXwA2AF8AMQBfADMAXwBfADIAXwBTAHQAYQBnAGUAMQBOAGkAdAByAG8AZwBlAG4ASQBuAE0ATQBTAF8ATgBJAFIAUgBlAGYAZQByAGUAbgBjAGUAIgAsACIATQBNAFMAXwBQAG8AdQBsAHQAcgB5AF8ATgAyAE8ARABpAHIAZQBjAHQAXwBFAHEAdQBhAHQAaQBvAG4AcwAuAFYARQBFAFIARwBfADQAXwA2AF8AMQBfADMAXwBfADIAXwBTAHQAYQBnAGUAMQBOAGkAdAByAG8AZwBlAG4ASQBuAE0ATQBTAF8ATABhAHQAZQB4AEUAcQB1AGEAdABpAG8AbgAiACwAIgBNAE0AUwBfAFAAbwB1AGwAdAByAHkAXwBOADIATwBEAGkAcgBlAGMAdABfAEUAcQB1AGEAdABpAG8AbgBzAC4AVgBFAEUAUgBHAF8ANABfADYAXwAxAF8AMwBfAF8AMgBfAFMAdABhAGcAZQAxAE4AaQB0AHIAbwBnAGUAbgBJAG4ATQBNAFMAXwBBAHIAZwB1AG0AZQBuAHQAcwAiACwAIgBNAE0AUwBfAFAAbwB1AGwAdAByAHkAXwBOADIATwBEAGkAcgBlAGMAdABfAEUAcQB1AGEAdABpAG8AbgBzAC4AVgBFAEUAUgBHAF8ANABfADYAXwAxAF8AMwBfAF8AMwBfAEEAbgBuAHUAYQBsAE4AaQB0AHIAbwBnAGUAbgBFAHgAYwByAGUAdABpAG8AbgAiACwAIgBNAE0AUwBfAFAAbwB1AGwAdAByAHkAXwBOADIATwBEAGkAcgBlAGMAdABfAEUAcQB1AGEAdABpAG8AbgBzAC4AVgBFAEUAUgBHAF8ANABfADYAXwAxAF8AMwBfAF8AMwBfAEEAbgBuAHUAYQBsAE4AaQB0AHIAbwBnAGUAbgBFAHgAYwByAGUAdABpAG8AbgBfAFQAaQB0AGwAZQAiACwAIgBNAE0AUwBfAFAAbwB1AGwAdAByAHkAXwBOADIATwBEAGkAcgBlAGMAdABfAEUAcQB1AGEAdABpAG8AbgBzAC4AVgBFAEUAUgBHAF8ANABfADYAXwAxAF8AMwBfAF8AMwBfAEEAbgBuAHUAYQBsAE4AaQB0AHIAbwBnAGUAbgBFAHgAYwByAGUAdABpAG8AbgBfAFYAYQByAGkAYQBiAGwAZQAiACwAIgBNAE0AUwBfAFAAbwB1AGwAdAByAHkAXwBOADIATwBEAGkAcgBlAGMAdABfAEUAcQB1AGEAdABpAG8AbgBzAC4AVgBFAEUAUgBHAF8ANABfADYAXwAxAF8AMwBfAF8AMwBfAEEAbgBuAHUAYQBsAE4AaQB0AHIAbwBnAGUAbgBFAHgAYwByAGUAdABpAG8AbgBfAFUAbgBpAHQAIgAsACIATQBNAFMAXwBQAG8AdQBsAHQAcgB5AF8ATgAyAE8ARABpAHIAZQBjAHQAXwBFAHEAdQBhAHQAaQBvAG4AcwAuAFYARQBFAFIARwBfADQAXwA2AF8AMQBfADMAXwBfADMAXwBBAG4AbgB1AGEAbABOAGkAdAByAG8AZwBlAG4ARQB4AGMAcgBlAHQAaQBvAG4AXwBTAG8AdQByAGMAZQAiACwAIgBNAE0AUwBfAFAAbwB1AGwAdAByAHkAXwBOADIATwBEAGkAcgBlAGMAdABfAEUAcQB1AGEAdABpAG8AbgBzAC4AVgBFAEUAUgBHAF8ANABfADYAXwAxAF8AMwBfAF8AMwBfAEEAbgBuAHUAYQBsAE4AaQB0AHIAbwBnAGUAbgBFAHgAYwByAGUAdABpAG8AbgBfAE4ASQBSAFIAZQBmAGUAcgBlAG4AYwBlACIALAAiAE0ATQBTAF8AUABvAHUAbAB0AHIAeQBfAE4AMgBPAEQAaQByAGUAYwB0AF8ARQBxAHUAYQB0AGkAbwBuAHMALgBWAEUARQBSAEcAXwA0AF8ANgBfADEAXwAzAF8AXwAzAF8AQQBuAG4AdQBhAGwATgBpAHQAcgBvAGcAZQBuAEUAeABjAHIAZQB0AGkAbwBuAF8ATABhAHQAZQB4AEUAcQB1AGEAdABpAG8AbgAiACwAIgBNAE0AUwBfAFAAbwB1AGwAdAByAHkAXwBOADIATwBEAGkAcgBlAGMAdABfAEUAcQB1AGEAdABpAG8AbgBzAC4AVgBFAEUAUgBHAF8ANABfADYAXwAxAF8AMwBfAF8AMwBfAEEAbgBuAHUAYQBsAE4AaQB0AHIAbwBnAGUAbgBFAHgAYwByAGUAdABpAG8AbgBfAEEAcgBnAHUAbQBlAG4AdABzACIALAAiAE0ATQBTAF8AUABvAHUAbAB0AHIAeQBfAE4AMgBPAEQAaQByAGUAYwB0AF8ARQBxAHUAYQB0AGkAbwBuAHMALgBWAEUARQBSAEcAXwA0AF8ANgBfADEAXwAzAF8AXwA0AF8ATgBpAHQAcgBvAGcAZQBuAEUAeABjAHIAZQB0AGkAbwBuAFAAZQByAEIAaQByAGQAIgAsACIATQBNAFMAXwBQAG8AdQBsAHQAcgB5AF8ATgAyAE8ARABpAHIAZQBjAHQAXwBFAHEAdQBhAHQAaQBvAG4AcwAuAFYARQBFAFIARwBfADQAXwA2AF8AMQBfADMAXwBfADQAXwBOAGkAdAByAG8AZwBlAG4ARQB4AGMAcgBlAHQAaQBvAG4AUABlAHIAQgBpAHIAZABfAFQAaQB0AGwAZQAiACwAIgBNAE0AUwBfAFAAbwB1AGwAdAByAHkAXwBOADIATwBEAGkAcgBlAGMAdABfAEUAcQB1AGEAdABpAG8AbgBzAC4AVgBFAEUAUgBHAF8ANABfADYAXwAxAF8AMwBfAF8ANABfAE4AaQB0AHIAbwBnAGUAbgBFAHgAYwByAGUAdABpAG8AbgBQAGUAcgBCAGkAcgBkAF8AVgBhAHIAaQBhAGIAbABlACIALAAiAE0ATQBTAF8AUABvAHUAbAB0AHIAeQBfAE4AMgBPAEQAaQByAGUAYwB0AF8ARQBxAHUAYQB0AGkAbwBuAHMALgBWAEUARQBSAEcAXwA0AF8ANgBfADEAXwAzAF8AXwA0AF8ATgBpAHQAcgBvAGcAZQBuAEUAeABjAHIAZQB0AGkAbwBuAFAAZQByAEIAaQByAGQAXwBVAG4AaQB0ACIALAAiAE0ATQBTAF8AUABvAHUAbAB0AHIAeQBfAE4AMgBPAEQAaQByAGUAYwB0AF8ARQBxAHUAYQB0AGkAbwBuAHMALgBWAEUARQBSAEcAXwA0AF8ANgBfADEAXwAzAF8AXwA0AF8ATgBpAHQAcgBvAGcAZQBuAEUAeABjAHIAZQB0AGkAbwBuAFAAZQByAEIAaQByAGQAXwBTAG8AdQByAGMAZQAiACwAIgBNAE0AUwBfAFAAbwB1AGwAdAByAHkAXwBOADIATwBEAGkAcgBlAGMAdABfAEUAcQB1AGEAdABpAG8AbgBzAC4AVgBFAEUAUgBHAF8ANABfADYAXwAxAF8AMwBfAF8ANABfAE4AaQB0AHIAbwBnAGUAbgBFAHgAYwByAGUAdABpAG8AbgBQAGUAcgBCAGkAcgBkAF8ATgBJAFIAUgBlAGYAZQByAGUAbgBjAGUAIgAsACIATQBNAFMAXwBQAG8AdQBsAHQAcgB5AF8ATgAyAE8ARABpAHIAZQBjAHQAXwBFAHEAdQBhAHQAaQBvAG4AcwAuAFYARQBFAFIARwBfADQAXwA2AF8AMQBfADMAXwBfADQAXwBOAGkAdAByAG8AZwBlAG4ARQB4AGMAcgBlAHQAaQBvAG4AUABlAHIAQgBpAHIAZABfAEwAYQB0AGUAeABFAHEAdQBhAHQAaQBvAG4AIgAsACIATQBNAFMAXwBQAG8AdQBsAHQAcgB5AF8ATgAyAE8ARABpAHIAZQBjAHQAXwBFAHEAdQBhAHQAaQBvAG4AcwAuAFYARQBFAFIARwBfADQAXwA2AF8AMQBfADMAXwBfADQAXwBOAGkAdAByAG8AZwBlAG4ARQB4AGMAcgBlAHQAaQBvAG4AUABlAHIAQgBpAHIAZABfAEEAcgBnAHUAbQBlAG4AdABzACIALAAiAE0ATQBTAF8AUABvAHUAbAB0AHIAeQBfAE4AMgBPAEQAaQByAGUAYwB0AF8ARQBxAHUAYQB0AGkAbwBuAHMALgBWAEUARQBSAEcAXwA0AF8ANgBfADEAXwAzAF8AXwA1AF8ATgBpAHQAcgBvAGcAZQBuAEkAbgB0AGEAawBlACIALAAiAE0ATQBTAF8AUABvAHUAbAB0AHIAeQBfAE4AMgBPAEQAaQByAGUAYwB0AF8ARQBxAHUAYQB0AGkAbwBuAHMALgBWAEUARQBSAEcAXwA0AF8ANgBfADEAXwAzAF8AXwA1AF8ATgBpAHQAcgBvAGcAZQBuAEkAbgB0AGEAawBlAF8AVABpAHQAbABlACIALAAiAE0ATQBTAF8AUABvAHUAbAB0AHIAeQBfAE4AMgBPAEQAaQByAGUAYwB0AF8ARQBxAHUAYQB0AGkAbwBuAHMALgBWAEUARQBSAEcAXwA0AF8ANgBfADEAXwAzAF8AXwA1AF8ATgBpAHQAcgBvAGcAZQBuAEkAbgB0AGEAawBlAF8AVgBhAHIAaQBhAGIAbABlACIALAAiAE0ATQBTAF8AUABvAHUAbAB0AHIAeQBfAE4AMgBPAEQAaQByAGUAYwB0AF8ARQBxAHUAYQB0AGkAbwBuAHMALgBWAEUARQBSAEcAXwA0AF8ANgBfADEAXwAzAF8AXwA1AF8ATgBpAHQAcgBvAGcAZQBuAEkAbgB0AGEAawBlAF8AVQBuAGkAdAAiACwAIgBNAE0AUwBfAFAAbwB1AGwAdAByAHkAXwBOADIATwBEAGkAcgBlAGMAdABfAEUAcQB1AGEAdABpAG8AbgBzAC4AVgBFAEUAUgBHAF8ANABfADYAXwAxAF8AMwBfAF8ANQBfAE4AaQB0AHIAbwBnAGUAbgBJAG4AdABhAGsAZQBfAFMAbwB1AHIAYwBlACIALAAiAE0ATQBTAF8AUABvAHUAbAB0AHIAeQBfAE4AMgBPAEQAaQByAGUAYwB0AF8ARQBxAHUAYQB0AGkAbwBuAHMALgBWAEUARQBSAEcAXwA0AF8ANgBfADEAXwAzAF8AXwA1AF8ATgBpAHQAcgBvAGcAZQBuAEkAbgB0AGEAawBlAF8ATgBJAFIAUgBlAGYAZQByAGUAbgBjAGUAIgAsACIATQBNAFMAXwBQAG8AdQBsAHQAcgB5AF8ATgAyAE8ARABpAHIAZQBjAHQAXwBFAHEAdQBhAHQAaQBvAG4AcwAuAFYARQBFAFIARwBfADQAXwA2AF8AMQBfADMAXwBfADUAXwBOAGkAdAByAG8AZwBlAG4ASQBuAHQAYQBrAGUAXwBMAGEAdABlAHgARQBxAHUAYQB0AGkAbwBuACIALAAiAE0ATQBTAF8AUABvAHUAbAB0AHIAeQBfAE4AMgBPAEQAaQByAGUAYwB0AF8ARQBxAHUAYQB0AGkAbwBuAHMALgBWAEUARQBSAEcAXwA0AF8ANgBfADEAXwAzAF8AXwA1AF8ATgBpAHQAcgBvAGcAZQBuAEkAbgB0AGEAawBlAF8AQQByAGcAdQBtAGUAbgB0AHMAIgAsACIATQBNAFMAXwBQAG8AdQBsAHQAcgB5AF8ATgAyAE8ARABpAHIAZQBjAHQAXwBFAHEAdQBhAHQAaQBvAG4AcwAuAFYARQBFAFIARwBfADQAXwA2AF8AMQBfADMAXwBfADYAXwBTAHQAYQBnAGUAMgBOAGkAdAByAG8AZwBlAG4ASQBuAE0ATQBTACIALAAiAE0ATQBTAF8AUABvAHUAbAB0AHIAeQBfAE4AMgBPAEQAaQByAGUAYwB0AF8ARQBxAHUAYQB0AGkAbwBuAHMALgBWAEUARQBSAEcAXwA0AF8ANgBfADEAXwAzAF8AXwA2AF8AUwB0AGEAZwBlADIATgBpAHQAcgBvAGcAZQBuAEkAbgBNAE0AUwBfAFQAaQB0AGwAZQAiACwAIgBNAE0AUwBfAFAAbwB1AGwAdAByAHkAXwBOADIATwBEAGkAcgBlAGMAdABfAEUAcQB1AGEAdABpAG8AbgBzAC4AVgBFAEUAUgBHAF8ANABfADYAXwAxAF8AMwBfAF8ANgBfAFMAdABhAGcAZQAyAE4AaQB0AHIAbwBnAGUAbgBJAG4ATQBNAFMAXwBWAGEAcgBpAGEAYgBsAGUAIgAsACIATQBNAFMAXwBQAG8AdQBsAHQAcgB5AF8ATgAyAE8ARABpAHIAZQBjAHQAXwBFAHEAdQBhAHQAaQBvAG4AcwAuAFYARQBFAFIARwBfADQAXwA2AF8AMQBfADMAXwBfADYAXwBTAHQAYQBnAGUAMgBOAGkAdAByAG8AZwBlAG4ASQBuAE0ATQBTAF8AVQBuAGkAdAAiACwAIgBNAE0AUwBfAFAAbwB1AGwAdAByAHkAXwBOADIATwBEAGkAcgBlAGMAdABfAEUAcQB1AGEAdABpAG8AbgBzAC4AVgBFAEUAUgBHAF8ANABfADYAXwAxAF8AMwBfAF8ANgBfAFMAdABhAGcAZQAyAE4AaQB0AHIAbwBnAGUAbgBJAG4ATQBNAFMAXwBTAG8AdQByAGMAZQAiACwAIgBNAE0AUwBfAFAAbwB1AGwAdAByAHkAXwBOADIATwBEAGkAcgBlAGMAdABfAEUAcQB1AGEAdABpAG8AbgBzAC4AVgBFAEUAUgBHAF8ANABfADYAXwAxAF8AMwBfAF8ANgBfAFMAdABhAGcAZQAyAE4AaQB0AHIAbwBnAGUAbgBJAG4ATQBNAFMAXwBOAEkAUgBSAGUAZgBlAHIAZQBuAGMAZQAiACwAIgBNAE0AUwBfAFAAbwB1AGwAdAByAHkAXwBOADIATwBEAGkAcgBlAGMAdABfAEUAcQB1AGEAdABpAG8AbgBzAC4AVgBFAEUAUgBHAF8ANABfADYAXwAxAF8AMwBfAF8ANgBfAFMAdABhAGcAZQAyAE4AaQB0AHIAbwBnAGUAbgBJAG4ATQBNAFMAXwBMAGEAdABlAHgARQBxAHUAYQB0AGkAbwBuACIALAAiAE0ATQBTAF8AUABvAHUAbAB0AHIAeQBfAE4AMgBPAEQAaQByAGUAYwB0AF8ARQBxAHUAYQB0AGkAbwBuAHMALgBWAEUARQBSAEcAXwA0AF8ANgBfADEAXwAzAF8AXwA2AF8AUwB0AGEAZwBlADIATgBpAHQAcgBvAGcAZQBuAEkAbgBNAE0AUwBfAEEAcgBnAHUAbQBlAG4AdABzACIALAAiAE0ATQBTAF8AUABvAHUAbAB0AHIAeQBfAE4AMgBPAEQAaQByAGUAYwB0AF8ARQBxAHUAYQB0AGkAbwBuAHMALgBWAEUARQBSAEcAXwA0AF8ANgBfADEAXwAzAF8AXwA3AF8ATgBpAHQAcgBvAGcAZQBuAFQAcgBhAG4AcwBmAGUAcgByAGUAZABUAG8AUwB0AGEAZwBlADIATQBNAFMAIgAsACIATQBNAFMAXwBQAG8AdQBsAHQAcgB5AF8ATgAyAE8ARABpAHIAZQBjAHQAXwBFAHEAdQBhAHQAaQBvAG4AcwAuAFYARQBFAFIARwBfADQAXwA2AF8AMQBfADMAXwBfADcAXwBOAGkAdAByAG8AZwBlAG4AVAByAGEAbgBzAGYAZQByAHIAZQBkAFQAbwBTAHQAYQBnAGUAMgBNAE0AUwBfAFQAaQB0AGwAZQAiACwAIgBNAE0AUwBfAFAAbwB1AGwAdAByAHkAXwBOADIATwBEAGkAcgBlAGMAdABfAEUAcQB1AGEAdABpAG8AbgBzAC4AVgBFAEUAUgBHAF8ANABfADYAXwAxAF8AMwBfAF8ANwBfAE4AaQB0AHIAbwBnAGUAbgBUAHIAYQBuAHMAZgBlAHIAcgBlAGQAVABvAFMAdABhAGcAZQAyAE0ATQBTAF8AVgBhAHIAaQBhAGIAbABlACIALAAiAE0ATQBTAF8AUABvAHUAbAB0AHIAeQBfAE4AMgBPAEQAaQByAGUAYwB0AF8ARQBxAHUAYQB0AGkAbwBuAHMALgBWAEUARQBSAEcAXwA0AF8ANgBfADEAXwAzAF8AXwA3AF8ATgBpAHQAcgBvAGcAZQBuAFQAcgBhAG4AcwBmAGUAcgByAGUAZABUAG8AUwB0AGEAZwBlADIATQBNAFMAXwBVAG4AaQB0ACIALAAiAE0ATQBTAF8AUABvAHUAbAB0AHIAeQBfAE4AMgBPAEQAaQByAGUAYwB0AF8ARQBxAHUAYQB0AGkAbwBuAHMALgBWAEUARQBSAEcAXwA0AF8ANgBfADEAXwAzAF8AXwA3AF8ATgBpAHQAcgBvAGcAZQBuAFQAcgBhAG4AcwBmAGUAcgByAGUAZABUAG8AUwB0AGEAZwBlADIATQBNAFMAXwBTAG8AdQByAGMAZQAiACwAIgBNAE0AUwBfAFAAbwB1AGwAdAByAHkAXwBOADIATwBEAGkAcgBlAGMAdABfAEUAcQB1AGEAdABpAG8AbgBzAC4AVgBFAEUAUgBHAF8ANABfADYAXwAxAF8AMwBfAF8ANwBfAE4AaQB0AHIAbwBnAGUAbgBUAHIAYQBuAHMAZgBlAHIAcgBlAGQAVABvAFMAdABhAGcAZQAyAE0ATQBTAF8ATgBJAFIAUgBlAGYAZQByAGUAbgBjAGUAIgAsACIATQBNAFMAXwBQAG8AdQBsAHQAcgB5AF8ATgAyAE8ARABpAHIAZQBjAHQAXwBFAHEAdQBhAHQAaQBvAG4AcwAuAFYARQBFAFIARwBfADQAXwA2AF8AMQBfADMAXwBfADcAXwBOAGkAdAByAG8AZwBlAG4AVAByAGEAbgBzAGYAZQByAHIAZQBkAFQAbwBTAHQAYQBnAGUAMgBNAE0AUwBfAEwAYQB0AGUAeABFAHEAdQBhAHQAaQBvAG4AIgAsACIATQBNAFMAXwBQAG8AdQBsAHQAcgB5AF8ATgAyAE8ARABpAHIAZQBjAHQAXwBFAHEAdQBhAHQAaQBvAG4AcwAuAFYARQBFAFIARwBfADQAXwA2AF8AMQBfADMAXwBfADcAXwBOAGkAdAByAG8AZwBlAG4AVAByAGEAbgBzAGYAZQByAHIAZQBkAFQAbwBTAHQAYQBnAGUAMgBNAE0AUwBfAEEAcgBnAHUAbQBlAG4AdABz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QAaQB0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gBhAHIAaQBhAGI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VAG4AaQB0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TAG8AdQBy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gBJAFIAUgBlAGYAZQByAGUAb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wAYQB0AGUAeABFAHEAdQBhAHQAaQBvAG4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EAcgBnAHUAbQBlAG4AdABzACIALAAiAE0ATQBTAF8AUABvAHUAbAB0AHIAeQBfAEEAdABtAG8AcwBwAGgAZQByAGkAYwBEAGUAcABvAHMAaQB0AGkAbwBuAF8ARQBxAHUAYQB0AGkAbwBuAHMALgBWAEUARQBSAEcAXwA0AF8ANgBfADEAXwA1AF8AXwAyAF8AVABvAHQAYQBsAE4AaQB0AHIAbwBnAGUAbgBWAG8AbABhAHQAaQBsAGkAcwBlAGQARgByAG8AbQBNAE0AUwAiACwAIgBNAE0AUwBfAFAAbwB1AGwAdAByAHkAXwBBAHQAbQBvAHMAcABoAGUAcgBpAGMARABlAHAAbwBzAGkAdABpAG8AbgBfAEUAcQB1AGEAdABpAG8AbgBzAC4AVgBFAEUAUgBHAF8ANABfADYAXwAxAF8ANQBfAF8AMgBfAFQAbwB0AGEAbABOAGkAdAByAG8AZwBlAG4AVgBvAGwAYQB0AGkAbABpAHMAZQBkAEYAcgBvAG0ATQBNAFMAXwBUAGkAdABsAGUAIgAsACIATQBNAFMAXwBQAG8AdQBsAHQAcgB5AF8AQQB0AG0AbwBzAHAAaABlAHIAaQBjAEQAZQBwAG8AcwBpAHQAaQBvAG4AXwBFAHEAdQBhAHQAaQBvAG4AcwAuAFYARQBFAFIARwBfADQAXwA2AF8AMQBfADUAXwBfADIAXwBUAG8AdABhAGwATgBpAHQAcgBvAGcAZQBuAFYAbwBsAGEAdABpAGwAaQBzAGUAZABGAHIAbwBtAE0ATQBTAF8AVgBhAHIAaQBhAGIAbABlACIALAAiAE0ATQBTAF8AUABvAHUAbAB0AHIAeQBfAEEAdABtAG8AcwBwAGgAZQByAGkAYwBEAGUAcABvAHMAaQB0AGkAbwBuAF8ARQBxAHUAYQB0AGkAbwBuAHMALgBWAEUARQBSAEcAXwA0AF8ANgBfADEAXwA1AF8AXwAyAF8AVABvAHQAYQBsAE4AaQB0AHIAbwBnAGUAbgBWAG8AbABhAHQAaQBsAGkAcwBlAGQARgByAG8AbQBNAE0AUwBfAFUAbgBpAHQAIgAsACIATQBNAFMAXwBQAG8AdQBsAHQAcgB5AF8AQQB0AG0AbwBzAHAAaABlAHIAaQBjAEQAZQBwAG8AcwBpAHQAaQBvAG4AXwBFAHEAdQBhAHQAaQBvAG4AcwAuAFYARQBFAFIARwBfADQAXwA2AF8AMQBfADUAXwBfADIAXwBUAG8AdABhAGwATgBpAHQAcgBvAGcAZQBuAFYAbwBsAGEAdABpAGwAaQBzAGUAZABGAHIAbwBtAE0ATQBTAF8AUwBvAHUAcgBjAGUAIgAsACIATQBNAFMAXwBQAG8AdQBsAHQAcgB5AF8AQQB0AG0AbwBzAHAAaABlAHIAaQBjAEQAZQBwAG8AcwBpAHQAaQBvAG4AXwBFAHEAdQBhAHQAaQBvAG4AcwAuAFYARQBFAFIARwBfADQAXwA2AF8AMQBfADUAXwBfADIAXwBUAG8AdABhAGwATgBpAHQAcgBvAGcAZQBuAFYAbwBsAGEAdABpAGwAaQBzAGUAZABGAHIAbwBtAE0ATQBTAF8ATgBJAFIAUgBlAGYAZQByAGUAbgBjAGUAIgAsACIATQBNAFMAXwBQAG8AdQBsAHQAcgB5AF8AQQB0AG0AbwBzAHAAaABlAHIAaQBjAEQAZQBwAG8AcwBpAHQAaQBvAG4AXwBFAHEAdQBhAHQAaQBvAG4AcwAuAFYARQBFAFIARwBfADQAXwA2AF8AMQBfADUAXwBfADIAXwBUAG8AdABhAGwATgBpAHQAcgBvAGcAZQBuAFYAbwBsAGEAdABpAGwAaQBzAGUAZABGAHIAbwBtAE0ATQBTAF8ATABhAHQAZQB4AEUAcQB1AGEAdABpAG8AbgAiACwAIgBNAE0AUwBfAFAAbwB1AGwAdAByAHkAXwBBAHQAbQBvAHMAcABoAGUAcgBpAGMARABlAHAAbwBzAGkAdABpAG8AbgBfAEUAcQB1AGEAdABpAG8AbgBzAC4AVgBFAEUAUgBHAF8ANABfADYAXwAxAF8ANQBfAF8AMgBfAFQAbwB0AGEAbABOAGkAdAByAG8AZwBlAG4AVgBvAGwAYQB0AGkAbABpAHMAZQBkAEYAcgBvAG0ATQBNAFMAXwBBAHIAZwB1AG0AZQBuAHQAcwAiACwAIgBNAE0AUwBfAFAAbwB1AGwAdAByAHkAXwBMAGUAYQBjAGgAaQBuAGcAQQBuAGQAUgB1AG4AbwBmAGYAXwBFAHEAdQBhAHQAaQBvAG4AcwAuAFYARQBFAFIARwBfADQAXwA2AF8AMQBfADcAXwBfADEAXwBBAG4AbgB1AGEAbABFAG0AaQBzAHMAaQBvAG4AcwBGAHIAbwBtAEwAZQBhAGMAaABpAG4AZwBBAG4AZABSAHUAbgBvAGYAZgBGAHIAbwBtAE0ATQBTACIALAAiAE0ATQBTAF8AUABvAHUAbAB0AHIAeQBfAEwAZQBhAGMAaABpAG4AZwBBAG4AZABSAHUAbgBvAGYAZgBfAEUAcQB1AGEAdABpAG8AbgBzAC4AVgBFAEUAUgBHAF8ANABfADYAXwAxAF8ANwBfAF8AMQBfAEEAbgBuAHUAYQBsAEUAbQBpAHMAcwBpAG8AbgBzAEYAcgBvAG0ATABlAGEAYwBoAGkAbgBnAEEAbgBkAFIAdQBuAG8AZgBmAEYAcgBvAG0ATQBNAFMAXwBUAGkAdA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YAYQByAGkAYQBi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QBuAGkAdAAiACwAIgBNAE0AUwBfAFAAbwB1AGwAdAByAHkAXwBMAGUAYQBjAGgAaQBuAGcAQQBuAGQAUgB1AG4AbwBmAGYAXwBFAHEAdQBhAHQAaQBvAG4AcwAuAFYARQBFAFIARwBfADQAXwA2AF8AMQBfADcAXwBfADEAXwBBAG4AbgB1AGEAbABFAG0AaQBzAHMAaQBvAG4AcwBGAHIAbwBtAEwAZQBhAGMAaABpAG4AZwBBAG4AZABSAHUAbgBvAGYAZgBGAHIAbwBtAE0ATQBTAF8AUwBvAHUAc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4ASQBSAFIAZQBmAGUAcgBlAG4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MAGEAdABlAHgARQBxAHUAYQB0AGkAbwBuACIALAAiAE0ATQBTAF8AUABvAHUAbAB0AHIAeQBfAEwAZQBhAGMAaABpAG4AZwBBAG4AZABSAHUAbgBvAGYAZgBfAEUAcQB1AGEAdABpAG8AbgBzAC4AVgBFAEUAUgBHAF8ANABfADYAXwAxAF8ANwBfAF8AMQBfAEEAbgBuAHUAYQBsAEUAbQBpAHMAcwBpAG8AbgBzAEYAcgBvAG0ATABlAGEAYwBoAGkAbgBnAEEAbgBkAFIAdQBuAG8AZgBmAEYAcgBvAG0ATQBNAFMAXwBBAHIAZwB1AG0AZQBuAHQAcw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ABpAHQ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YAYQByAGkAYQBi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VAG4AaQB0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MAbwB1AHI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4ASQBSAFIAZQBmAGUAcgBlAG4AY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wAYQB0AGUAeABFAHEAdQBhAHQAaQBvAG4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QQByAGcAdQBtAGUAbgB0AHMAIgAsACIATQBNAFMAXwBQAG8AdQBsAHQAcgB5AF8ATQBlAHQAaABhAG4AZQBfAEUAcQB1AGEAdABpAG8AbgBzAC4AVgBFAEUAUgBHAF8ANABfADYAXwAxAF8AMQBfAF8AMQBfAFQAbwB0AGEAbABBAG4AbgB1AGEAbABNAGUAdABoAGEAbgBlAEUAbQBpAHMAcwBpAG8AbgBzACIALAAiAE0ATQBTAF8AUABvAHUAbAB0AHIAeQBfAE0AZQB0AGgAYQBuAGUAXwBFAHEAdQBhAHQAaQBvAG4AcwAuAFYARQBFAFIARwBfADQAXwA2AF8AMQBfADEAXwBfADEAXwBUAG8AdABhAGwAQQBuAG4AdQBhAGwATQBlAHQAaABhAG4AZQBFAG0AaQBzAHMAaQBvAG4AcwBfAFQAaQB0AGwAZQAiACwAIgBNAE0AUwBfAFAAbwB1AGwAdAByAHkAXwBNAGUAdABoAGEAbgBlAF8ARQBxAHUAYQB0AGkAbwBuAHMALgBWAEUARQBSAEcAXwA0AF8ANgBfADEAXwAxAF8AXwAxAF8AVABvAHQAYQBsAEEAbgBuAHUAYQBsAE0AZQB0AGgAYQBuAGUARQBtAGkAcwBzAGkAbwBuAHMAXwBWAGEAcgBpAGEAYgBsAGUAIgAsACIATQBNAFMAXwBQAG8AdQBsAHQAcgB5AF8ATQBlAHQAaABhAG4AZQBfAEUAcQB1AGEAdABpAG8AbgBzAC4AVgBFAEUAUgBHAF8ANABfADYAXwAxAF8AMQBfAF8AMQBfAFQAbwB0AGEAbABBAG4AbgB1AGEAbABNAGUAdABoAGEAbgBlAEUAbQBpAHMAcwBpAG8AbgBzAF8AVQBuAGkAdAAiACwAIgBNAE0AUwBfAFAAbwB1AGwAdAByAHkAXwBNAGUAdABoAGEAbgBlAF8ARQBxAHUAYQB0AGkAbwBuAHMALgBWAEUARQBSAEcAXwA0AF8ANgBfADEAXwAxAF8AXwAxAF8AVABvAHQAYQBsAEEAbgBuAHUAYQBsAE0AZQB0AGgAYQBuAGUARQBtAGkAcwBzAGkAbwBuAHMAXwBTAG8AdQByAGMAZQAiACwAIgBNAE0AUwBfAFAAbwB1AGwAdAByAHkAXwBNAGUAdABoAGEAbgBlAF8ARQBxAHUAYQB0AGkAbwBuAHMALgBWAEUARQBSAEcAXwA0AF8ANgBfADEAXwAxAF8AXwAxAF8AVABvAHQAYQBsAEEAbgBuAHUAYQBsAE0AZQB0AGgAYQBuAGUARQBtAGkAcwBzAGkAbwBuAHMAXwBOAEkAUgBSAGUAZgBlAHIAZQBuAGMAZQAiACwAIgBNAE0AUwBfAFAAbwB1AGwAdAByAHkAXwBNAGUAdABoAGEAbgBlAF8ARQBxAHUAYQB0AGkAbwBuAHMALgBWAEUARQBSAEcAXwA0AF8ANgBfADEAXwAxAF8AXwAxAF8AVABvAHQAYQBsAEEAbgBuAHUAYQBsAE0AZQB0AGgAYQBuAGUARQBtAGkAcwBzAGkAbwBuAHMAXwBMAGEAdABlAHgARQBxAHUAYQB0AGkAbwBuACIALAAiAE0ATQBTAF8AUABvAHUAbAB0AHIAeQBfAE0AZQB0AGgAYQBuAGUAXwBFAHEAdQBhAHQAaQBvAG4AcwAuAFYARQBFAFIARwBfADQAXwA2AF8AMQBfADEAXwBfADEAXwBUAG8AdABhAGwAQQBuAG4AdQBhAGwATQBlAHQAaABhAG4AZQBFAG0AaQBzAHMAaQBvAG4AcwBfAEEAcgBnAHUAbQBlAG4AdABzACIALAAiAE0ATQBTAF8AUABvAHUAbAB0AHIAeQBfAE0AZQB0AGgAYQBuAGUAXwBFAHEAdQBhAHQAaQBvAG4AcwAuAFYARQBFAFIARwBfADQAXwA2AF8AMQBfADEAXwBfADIAXwBTAHQAYQBnAGUAMQBNAGUAdABoAGEAbgBlAFAAcgBvAGQAdQBjAHQAaQBvAG4AIgAsACIATQBNAFMAXwBQAG8AdQBsAHQAcgB5AF8ATQBlAHQAaABhAG4AZQBfAEUAcQB1AGEAdABpAG8AbgBzAC4AVgBFAEUAUgBHAF8ANABfADYAXwAxAF8AMQBfAF8AMgBfAFMAdABhAGcAZQAxAE0AZQB0AGgAYQBuAGUAUAByAG8AZAB1AGMAdABpAG8AbgBfAFQAaQB0AGwAZQAiACwAIgBNAE0AUwBfAFAAbwB1AGwAdAByAHkAXwBNAGUAdABoAGEAbgBlAF8ARQBxAHUAYQB0AGkAbwBuAHMALgBWAEUARQBSAEcAXwA0AF8ANgBfADEAXwAxAF8AXwAyAF8AUwB0AGEAZwBlADEATQBlAHQAaABhAG4AZQBQAHIAbwBkAHUAYwB0AGkAbwBuAF8AVgBhAHIAaQBhAGIAbABlACIALAAiAE0ATQBTAF8AUABvAHUAbAB0AHIAeQBfAE0AZQB0AGgAYQBuAGUAXwBFAHEAdQBhAHQAaQBvAG4AcwAuAFYARQBFAFIARwBfADQAXwA2AF8AMQBfADEAXwBfADIAXwBTAHQAYQBnAGUAMQBNAGUAdABoAGEAbgBlAFAAcgBvAGQAdQBjAHQAaQBvAG4AXwBVAG4AaQB0ACIALAAiAE0ATQBTAF8AUABvAHUAbAB0AHIAeQBfAE0AZQB0AGgAYQBuAGUAXwBFAHEAdQBhAHQAaQBvAG4AcwAuAFYARQBFAFIARwBfADQAXwA2AF8AMQBfADEAXwBfADIAXwBTAHQAYQBnAGUAMQBNAGUAdABoAGEAbgBlAFAAcgBvAGQAdQBjAHQAaQBvAG4AXwBTAG8AdQByAGMAZQAiACwAIgBNAE0AUwBfAFAAbwB1AGwAdAByAHkAXwBNAGUAdABoAGEAbgBlAF8ARQBxAHUAYQB0AGkAbwBuAHMALgBWAEUARQBSAEcAXwA0AF8ANgBfADEAXwAxAF8AXwAyAF8AUwB0AGEAZwBlADEATQBlAHQAaABhAG4AZQBQAHIAbwBkAHUAYwB0AGkAbwBuAF8ATgBJAFIAUgBlAGYAZQByAGUAbgBjAGUAIgAsACIATQBNAFMAXwBQAG8AdQBsAHQAcgB5AF8ATQBlAHQAaABhAG4AZQBfAEUAcQB1AGEAdABpAG8AbgBzAC4AVgBFAEUAUgBHAF8ANABfADYAXwAxAF8AMQBfAF8AMgBfAFMAdABhAGcAZQAxAE0AZQB0AGgAYQBuAGUAUAByAG8AZAB1AGMAdABpAG8AbgBfAEwAYQB0AGUAeABFAHEAdQBhAHQAaQBvAG4AIgAsACIATQBNAFMAXwBQAG8AdQBsAHQAcgB5AF8ATQBlAHQAaABhAG4AZQBfAEUAcQB1AGEAdABpAG8AbgBzAC4AVgBFAEUAUgBHAF8ANABfADYAXwAxAF8AMQBfAF8AMgBfAFMAdABhAGcAZQAxAE0AZQB0AGgAYQBuAGUAUAByAG8AZAB1AGMAdABpAG8AbgBfAEEAcgBnAHUAbQBlAG4AdABzACIALAAiAE0ATQBTAF8AUABvAHUAbAB0AHIAeQBfAE0AZQB0AGgAYQBuAGUAXwBFAHEAdQBhAHQAaQBvAG4AcwAuAFYARQBFAFIARwBfADQAXwA2AF8AMQBfADEAXwBfADMAXwBTAHQAYQBnAGUAMgBNAGUAdABoAGEAbgBlAFAAcgBvAGQAdQBjAHQAaQBvAG4AIgAsACIATQBNAFMAXwBQAG8AdQBsAHQAcgB5AF8ATQBlAHQAaABhAG4AZQBfAEUAcQB1AGEAdABpAG8AbgBzAC4AVgBFAEUAUgBHAF8ANABfADYAXwAxAF8AMQBfAF8AMwBfAFMAdABhAGcAZQAyAE0AZQB0AGgAYQBuAGUAUAByAG8AZAB1AGMAdABpAG8AbgBfAFQAaQB0AGwAZQAiACwAIgBNAE0AUwBfAFAAbwB1AGwAdAByAHkAXwBNAGUAdABoAGEAbgBlAF8ARQBxAHUAYQB0AGkAbwBuAHMALgBWAEUARQBSAEcAXwA0AF8ANgBfADEAXwAxAF8AXwAzAF8AUwB0AGEAZwBlADIATQBlAHQAaABhAG4AZQBQAHIAbwBkAHUAYwB0AGkAbwBuAF8AVgBhAHIAaQBhAGIAbABlACIALAAiAE0ATQBTAF8AUABvAHUAbAB0AHIAeQBfAE0AZQB0AGgAYQBuAGUAXwBFAHEAdQBhAHQAaQBvAG4AcwAuAFYARQBFAFIARwBfADQAXwA2AF8AMQBfADEAXwBfADMAXwBTAHQAYQBnAGUAMgBNAGUAdABoAGEAbgBlAFAAcgBvAGQAdQBjAHQAaQBvAG4AXwBVAG4AaQB0ACIALAAiAE0ATQBTAF8AUABvAHUAbAB0AHIAeQBfAE0AZQB0AGgAYQBuAGUAXwBFAHEAdQBhAHQAaQBvAG4AcwAuAFYARQBFAFIARwBfADQAXwA2AF8AMQBfADEAXwBfADMAXwBTAHQAYQBnAGUAMgBNAGUAdABoAGEAbgBlAFAAcgBvAGQAdQBjAHQAaQBvAG4AXwBTAG8AdQByAGMAZQAiACwAIgBNAE0AUwBfAFAAbwB1AGwAdAByAHkAXwBNAGUAdABoAGEAbgBlAF8ARQBxAHUAYQB0AGkAbwBuAHMALgBWAEUARQBSAEcAXwA0AF8ANgBfADEAXwAxAF8AXwAzAF8AUwB0AGEAZwBlADIATQBlAHQAaABhAG4AZQBQAHIAbwBkAHUAYwB0AGkAbwBuAF8ATgBJAFIAUgBlAGYAZQByAGUAbgBjAGUAIgAsACIATQBNAFMAXwBQAG8AdQBsAHQAcgB5AF8ATQBlAHQAaABhAG4AZQBfAEUAcQB1AGEAdABpAG8AbgBzAC4AVgBFAEUAUgBHAF8ANABfADYAXwAxAF8AMQBfAF8AMwBfAFMAdABhAGcAZQAyAE0AZQB0AGgAYQBuAGUAUAByAG8AZAB1AGMAdABpAG8AbgBfAEwAYQB0AGUAeABFAHEAdQBhAHQAaQBvAG4AIgAsACIATQBNAFMAXwBQAG8AdQBsAHQAcgB5AF8ATQBlAHQAaABhAG4AZQBfAEUAcQB1AGEAdABpAG8AbgBzAC4AVgBFAEUAUgBHAF8ANABfADYAXwAxAF8AMQBfAF8AMwBfAFMAdABhAGcAZQAyAE0AZQB0AGgAYQBuAGUAUAByAG8AZAB1AGMAdABpAG8AbgBfAEEAcgBnAHUAbQBlAG4AdABzACIALAAiAE0ATQBTAF8AUABvAHUAbAB0AHIAeQBfAE0AZQB0AGgAYQBuAGUAXwBFAHEAdQBhAHQAaQBvAG4AcwAuAFYARQBFAFIARwBfADQAXwA2AF8AMQBfADEAXwBfADQAXwBWAG8AbABhAHQAaQBsAGUAUwBvAGwAaQBkAHMAVAByAGEAbgBzAGYAZQByAHIAZQBkACIALAAiAE0ATQBTAF8AUABvAHUAbAB0AHIAeQBfAE0AZQB0AGgAYQBuAGUAXwBFAHEAdQBhAHQAaQBvAG4AcwAuAFYARQBFAFIARwBfADQAXwA2AF8AMQBfADEAXwBfADQAXwBWAG8AbABhAHQAaQBsAGUAUwBvAGwAaQBkAHMAVAByAGEAbgBzAGYAZQByAHIAZQBkAF8AVABpAHQAbABlACIALAAiAE0ATQBTAF8AUABvAHUAbAB0AHIAeQBfAE0AZQB0AGgAYQBuAGUAXwBFAHEAdQBhAHQAaQBvAG4AcwAuAFYARQBFAFIARwBfADQAXwA2AF8AMQBfADEAXwBfADQAXwBWAG8AbABhAHQAaQBsAGUAUwBvAGwAaQBkAHMAVAByAGEAbgBzAGYAZQByAHIAZQBkAF8AVgBhAHIAaQBhAGIAbABlACIALAAiAE0ATQBTAF8AUABvAHUAbAB0AHIAeQBfAE0AZQB0AGgAYQBuAGUAXwBFAHEAdQBhAHQAaQBvAG4AcwAuAFYARQBFAFIARwBfADQAXwA2AF8AMQBfADEAXwBfADQAXwBWAG8AbABhAHQAaQBsAGUAUwBvAGwAaQBkAHMAVAByAGEAbgBzAGYAZQByAHIAZQBkAF8AVQBuAGkAdAAiACwAIgBNAE0AUwBfAFAAbwB1AGwAdAByAHkAXwBNAGUAdABoAGEAbgBlAF8ARQBxAHUAYQB0AGkAbwBuAHMALgBWAEUARQBSAEcAXwA0AF8ANgBfADEAXwAxAF8AXwA0AF8AVgBvAGwAYQB0AGkAbABlAFMAbwBsAGkAZABzAFQAcgBhAG4AcwBmAGUAcgByAGUAZABfAFMAbwB1AHIAYwBlACIALAAiAE0ATQBTAF8AUABvAHUAbAB0AHIAeQBfAE0AZQB0AGgAYQBuAGUAXwBFAHEAdQBhAHQAaQBvAG4AcwAuAFYARQBFAFIARwBfADQAXwA2AF8AMQBfADEAXwBfADQAXwBWAG8AbABhAHQAaQBsAGUAUwBvAGwAaQBkAHMAVAByAGEAbgBzAGYAZQByAHIAZQBkAF8ATgBJAFIAUgBlAGYAZQByAGUAbgBjAGUAIgAsACIATQBNAFMAXwBQAG8AdQBsAHQAcgB5AF8ATQBlAHQAaABhAG4AZQBfAEUAcQB1AGEAdABpAG8AbgBzAC4AVgBFAEUAUgBHAF8ANABfADYAXwAxAF8AMQBfAF8ANABfAFYAbwBsAGEAdABpAGwAZQBTAG8AbABpAGQAcwBUAHIAYQBuAHMAZgBlAHIAcgBlAGQAXwBMAGEAdABlAHgARQBxAHUAYQB0AGkAbwBuACIALAAiAE0ATQBTAF8AUABvAHUAbAB0AHIAeQBfAE0AZQB0AGgAYQBuAGUAXwBFAHEAdQBhAHQAaQBvAG4AcwAuAFYARQBFAFIARwBfADQAXwA2AF8AMQBfADEAXwBfADQAXwBWAG8AbABhAHQAaQBsAGUAUwBvAGwAaQBkAHMAVAByAGEAbgBzAGYAZQByAHIAZQBkAF8AQQByAGcAdQBtAGUAbgB0AHMAIgAsACIATQBNAFMAXwBQAG8AdQBsAHQAcgB5AF8ATQBlAHQAaABhAG4AZQBfAEUAcQB1AGEAdABpAG8AbgBzAC4AVgBFAEUAUgBHAF8ANABfADYAXwAxAF8AMQBfAF8ANQBfAFYAbwBsAGEAdABpAGwAZQBTAG8AbABpAGQAUAByAG8AZAB1AGMAdABpAG8AbgAiACwAIgBNAE0AUwBfAFAAbwB1AGwAdAByAHkAXwBNAGUAdABoAGEAbgBlAF8ARQBxAHUAYQB0AGkAbwBuAHMALgBWAEUARQBSAEcAXwA0AF8ANgBfADEAXwAxAF8AXwA1AF8AVgBvAGwAYQB0AGkAbABlAFMAbwBsAGkAZABQAHIAbwBkAHUAYwB0AGkAbwBuAF8AVABpAHQAbABlACIALAAiAE0ATQBTAF8AUABvAHUAbAB0AHIAeQBfAE0AZQB0AGgAYQBuAGUAXwBFAHEAdQBhAHQAaQBvAG4AcwAuAFYARQBFAFIARwBfADQAXwA2AF8AMQBfADEAXwBfADUAXwBWAG8AbABhAHQAaQBsAGUAUwBvAGwAaQBkAFAAcgBvAGQAdQBjAHQAaQBvAG4AXwBWAGEAcgBpAGEAYgBsAGUAIgAsACIATQBNAFMAXwBQAG8AdQBsAHQAcgB5AF8ATQBlAHQAaABhAG4AZQBfAEUAcQB1AGEAdABpAG8AbgBzAC4AVgBFAEUAUgBHAF8ANABfADYAXwAxAF8AMQBfAF8ANQBfAFYAbwBsAGEAdABpAGwAZQBTAG8AbABpAGQAUAByAG8AZAB1AGMAdABpAG8AbgBfAFUAbgBpAHQAIgAsACIATQBNAFMAXwBQAG8AdQBsAHQAcgB5AF8ATQBlAHQAaABhAG4AZQBfAEUAcQB1AGEAdABpAG8AbgBzAC4AVgBFAEUAUgBHAF8ANABfADYAXwAxAF8AMQBfAF8ANQBfAFYAbwBsAGEAdABpAGwAZQBTAG8AbABpAGQAUAByAG8AZAB1AGMAdABpAG8AbgBfAFMAbwB1AHIAYwBlACIALAAiAE0ATQBTAF8AUABvAHUAbAB0AHIAeQBfAE0AZQB0AGgAYQBuAGUAXwBFAHEAdQBhAHQAaQBvAG4AcwAuAFYARQBFAFIARwBfADQAXwA2AF8AMQBfADEAXwBfADUAXwBWAG8AbABhAHQAaQBsAGUAUwBvAGwAaQBkAFAAcgBvAGQAdQBjAHQAaQBvAG4AXwBOAEkAUgBSAGUAZgBlAHIAZQBuAGMAZQAiACwAIgBNAE0AUwBfAFAAbwB1AGwAdAByAHkAXwBNAGUAdABoAGEAbgBlAF8ARQBxAHUAYQB0AGkAbwBuAHMALgBWAEUARQBSAEcAXwA0AF8ANgBfADEAXwAxAF8AXwA1AF8AVgBvAGwAYQB0AGkAbABlAFMAbwBsAGkAZABQAHIAbwBkAHUAYwB0AGkAbwBuAF8ATABhAHQAZQB4AEUAcQB1AGEAdABpAG8AbgAiACwAIgBNAE0AUwBfAFAAbwB1AGwAdAByAHkAXwBNAGUAdABoAGEAbgBlAF8ARQBxAHUAYQB0AGkAbwBuAHMALgBWAEUARQBSAEcAXwA0AF8ANgBfADEAXwAxAF8AXwA1AF8AVgBvAGwAYQB0AGkAbABlAFMAbwBsAGkAZABQAHIAbwBkAHUAYwB0AGkAbwBuAF8AQQByAGcAdQBtAGUAbgB0AHMAIgAsACIATQBNAFMAXwBQAG8AdQBsAHQAcgB5AF8ATQBhAG4AdQByAGUAQQBwAHAAbABpAGUAZABUAG8AUwBvAGkAbABzAF8ARQBxAHUAYQB0AGkAbwBuAHMALgBWAEUARQBSAEcAXwA0AF8ANgBfADEAXwA5AF8AXwAxAF8ATQBhAHMAcwBPAGYATgBpAHQAcgBvAGcAZQBuAEEAcABwAGwAaQBlAGQAVABvAFMAbwBpAGwAcwBTAGMAbwBwAGUAMQAiACwAIgBNAE0AUwBfAFAAbwB1AGwAdAByAHkAXwBNAGEAbgB1AHIAZQBBAHAAcABsAGkAZQBkAFQAbwBTAG8AaQBsAHMAXwBFAHEAdQBhAHQAaQBvAG4AcwAuAFYARQBFAFIARwBfADQAXwA2AF8AMQBfADkAXwBfADEAXwBNAGEAcwBzAE8AZgBOAGkAdAByAG8AZwBlAG4AQQBwAHAAbABpAGUAZABUAG8AUwBvAGkAbABzAFMAYwBvAHAAZQAxAF8AVABpAHQAbABlACIALAAiAE0ATQBTAF8AUABvAHUAbAB0AHIAeQBfAE0AYQBuAHUAcgBlAEEAcABwAGwAaQBlAGQAVABvAFMAbwBpAGwAcwBfAEUAcQB1AGEAdABpAG8AbgBzAC4AVgBFAEUAUgBHAF8ANABfADYAXwAxAF8AOQBfAF8AMQBfAE0AYQBzAHMATwBmAE4AaQB0AHIAbwBnAGUAbgBBAHAAcABsAGkAZQBkAFQAbwBTAG8AaQBsAHMAUwBjAG8AcABlADEAXwBWAGEAcgBpAGEAYgBsAGUAIgAsACIATQBNAFMAXwBQAG8AdQBsAHQAcgB5AF8ATQBhAG4AdQByAGUAQQBwAHAAbABpAGUAZABUAG8AUwBvAGkAbABzAF8ARQBxAHUAYQB0AGkAbwBuAHMALgBWAEUARQBSAEcAXwA0AF8ANgBfADEAXwA5AF8AXwAxAF8ATQBhAHMAcwBPAGYATgBpAHQAcgBvAGcAZQBuAEEAcABwAGwAaQBlAGQAVABvAFMAbwBpAGwAcwBTAGMAbwBwAGUAMQBfAFUAbgBpAHQAIgAsACIATQBNAFMAXwBQAG8AdQBsAHQAcgB5AF8ATQBhAG4AdQByAGUAQQBwAHAAbABpAGUAZABUAG8AUwBvAGkAbABzAF8ARQBxAHUAYQB0AGkAbwBuAHMALgBWAEUARQBSAEcAXwA0AF8ANgBfADEAXwA5AF8AXwAxAF8ATQBhAHMAcwBPAGYATgBpAHQAcgBvAGcAZQBuAEEAcABwAGwAaQBlAGQAVABvAFMAbwBpAGwAcwBTAGMAbwBwAGUAMQBfAFMAbwB1AHIAYwBlACIALAAiAE0ATQBTAF8AUABvAHUAbAB0AHIAeQBfAE0AYQBuAHUAcgBlAEEAcABwAGwAaQBlAGQAVABvAFMAbwBpAGwAcwBfAEUAcQB1AGEAdABpAG8AbgBzAC4AVgBFAEUAUgBHAF8ANABfADYAXwAxAF8AOQBfAF8AMQBfAE0AYQBzAHMATwBmAE4AaQB0AHIAbwBnAGUAbgBBAHAAcABsAGkAZQBkAFQAbwBTAG8AaQBsAHMAUwBjAG8AcABlADEAXwBOAEkAUgBSAGUAZgBlAHIAZQBuAGMAZQAiACwAIgBNAE0AUwBfAFAAbwB1AGwAdAByAHkAXwBNAGEAbgB1AHIAZQBBAHAAcABsAGkAZQBkAFQAbwBTAG8AaQBsAHMAXwBFAHEAdQBhAHQAaQBvAG4AcwAuAFYARQBFAFIARwBfADQAXwA2AF8AMQBfADkAXwBfADEAXwBNAGEAcwBzAE8AZgBOAGkAdAByAG8AZwBlAG4AQQBwAHAAbABpAGUAZABUAG8AUwBvAGkAbABzAFMAYwBvAHAAZQAxAF8ATABhAHQAZQB4AEUAcQB1AGEAdABpAG8AbgAiACwAIgBNAE0AUwBfAFAAbwB1AGwAdAByAHkAXwBNAGEAbgB1AHIAZQBBAHAAcABsAGkAZQBkAFQAbwBTAG8AaQBsAHMAXwBFAHEAdQBhAHQAaQBvAG4AcwAuAFYARQBFAFIARwBfADQAXwA2AF8AMQBfADkAXwBfADEAXwBNAGEAcwBzAE8AZgBOAGkAdAByAG8AZwBlAG4AQQBwAHAAbABpAGUAZABUAG8AUwBvAGkAbABzAFMAYwBvAHAAZQAxAF8AQQByAGcAdQBtAGUAbgB0AHMAIgAsACIATQBNAFMAXwBQAG8AdQBsAHQAcgB5AF8ATQBhAG4AdQByAGUAQQBwAHAAbABpAGUAZABUAG8AUwBvAGkAbABzAF8ARQBxAHUAYQB0AGkAbwBuAHMALgBWAEUARQBSAEcAXwA0AF8ANgBfADEAXwA5AF8AXwAyAF8ATQBhAHMAcwBPAGYATgBpAHQAcgBvAGcAZQBuAEEAcABwAGwAaQBlAGQAVABvAFMAbwBpAGwAcwBTAGMAbwBwAGUAMwAiACwAIgBNAE0AUwBfAFAAbwB1AGwAdAByAHkAXwBNAGEAbgB1AHIAZQBBAHAAcABsAGkAZQBkAFQAbwBTAG8AaQBsAHMAXwBFAHEAdQBhAHQAaQBvAG4AcwAuAFYARQBFAFIARwBfADQAXwA2AF8AMQBfADkAXwBfADIAXwBNAGEAcwBzAE8AZgBOAGkAdAByAG8AZwBlAG4AQQBwAHAAbABpAGUAZABUAG8AUwBvAGkAbABzAFMAYwBvAHAAZQAzAF8AVABpAHQAbABlACIALAAiAE0ATQBTAF8AUABvAHUAbAB0AHIAeQBfAE0AYQBuAHUAcgBlAEEAcABwAGwAaQBlAGQAVABvAFMAbwBpAGwAcwBfAEUAcQB1AGEAdABpAG8AbgBzAC4AVgBFAEUAUgBHAF8ANABfADYAXwAxAF8AOQBfAF8AMgBfAE0AYQBzAHMATwBmAE4AaQB0AHIAbwBnAGUAbgBBAHAAcABsAGkAZQBkAFQAbwBTAG8AaQBsAHMAUwBjAG8AcABlADMAXwBWAGEAcgBpAGEAYgBsAGUAIgAsACIATQBNAFMAXwBQAG8AdQBsAHQAcgB5AF8ATQBhAG4AdQByAGUAQQBwAHAAbABpAGUAZABUAG8AUwBvAGkAbABzAF8ARQBxAHUAYQB0AGkAbwBuAHMALgBWAEUARQBSAEcAXwA0AF8ANgBfADEAXwA5AF8AXwAyAF8ATQBhAHMAcwBPAGYATgBpAHQAcgBvAGcAZQBuAEEAcABwAGwAaQBlAGQAVABvAFMAbwBpAGwAcwBTAGMAbwBwAGUAMwBfAFUAbgBpAHQAIgAsACIATQBNAFMAXwBQAG8AdQBsAHQAcgB5AF8ATQBhAG4AdQByAGUAQQBwAHAAbABpAGUAZABUAG8AUwBvAGkAbABzAF8ARQBxAHUAYQB0AGkAbwBuAHMALgBWAEUARQBSAEcAXwA0AF8ANgBfADEAXwA5AF8AXwAyAF8ATQBhAHMAcwBPAGYATgBpAHQAcgBvAGcAZQBuAEEAcABwAGwAaQBlAGQAVABvAFMAbwBpAGwAcwBTAGMAbwBwAGUAMwBfAFMAbwB1AHIAYwBlACIALAAiAE0ATQBTAF8AUABvAHUAbAB0AHIAeQBfAE0AYQBuAHUAcgBlAEEAcABwAGwAaQBlAGQAVABvAFMAbwBpAGwAcwBfAEUAcQB1AGEAdABpAG8AbgBzAC4AVgBFAEUAUgBHAF8ANABfADYAXwAxAF8AOQBfAF8AMgBfAE0AYQBzAHMATwBmAE4AaQB0AHIAbwBnAGUAbgBBAHAAcABsAGkAZQBkAFQAbwBTAG8AaQBsAHMAUwBjAG8AcABlADMAXwBOAEkAUgBSAGUAZgBlAHIAZQBuAGMAZQAiACwAIgBNAE0AUwBfAFAAbwB1AGwAdAByAHkAXwBNAGEAbgB1AHIAZQBBAHAAcABsAGkAZQBkAFQAbwBTAG8AaQBsAHMAXwBFAHEAdQBhAHQAaQBvAG4AcwAuAFYARQBFAFIARwBfADQAXwA2AF8AMQBfADkAXwBfADIAXwBNAGEAcwBzAE8AZgBOAGkAdAByAG8AZwBlAG4AQQBwAHAAbABpAGUAZABUAG8AUwBvAGkAbABzAFMAYwBvAHAAZQAzAF8ATABhAHQAZQB4AEUAcQB1AGEAdABpAG8AbgAiACwAIgBNAE0AUwBfAFAAbwB1AGwAdAByAHkAXwBNAGEAbgB1AHIAZQBBAHAAcABsAGkAZQBkAFQAbwBTAG8AaQBsAHMAXwBFAHEAdQBhAHQAaQBvAG4AcwAuAFYARQBFAFIARwBfADQAXwA2AF8AMQBfADkAXwBfADIAXwBNAGEAcwBzAE8AZgBOAGkAdAByAG8AZwBlAG4AQQBwAHAAbABpAGUAZABUAG8AUwBvAGkAbABzAFMAYwBvAHAAZQAzAF8AQQByAGcAdQBtAGUAbgB0AHMAIgAsACIATQBNAFMAXwBQAG8AdQBsAHQAcgB5AF8AUwBvAGkAbABfAE4AMgBPAEQAaQByAGUAYwB0AF8ARQBxAHUAYQB0AGkAbwBuAHMALgBWAEUARQBSAEcAXwA0AF8ANgBfADEAXwAxADAAXwBfADEAXwBEAGkAcgBlAGMAdABOAGkAdAByAG8AdQBzAE8AeABpAGQAZQBFAG0AaQBzAHMAaQBvAG4AcwBGAHIAbwBtAFAAbwB1AGwAdAByAHkATQBhAG4AdQByAGUAIgAsACIATQBNAFMAXwBQAG8AdQBsAHQAcgB5AF8AUwBvAGkAbABfAE4AMgBPAEQAaQByAGUAYwB0AF8ARQBxAHUAYQB0AGkAbwBuAHMALgBWAEUARQBSAEcAXwA0AF8ANgBfADEAXwAxADAAXwBfADEAXwBEAGkAcgBlAGMAdABOAGkAdAByAG8AdQBzAE8AeABpAGQAZQBFAG0AaQBzAHMAaQBvAG4AcwBGAHIAbwBtAFAAbwB1AGwAdAByAHkATQBhAG4AdQByAGUAXwBUAGkAdA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WAGEAcgBpAGEAYgBsAGUAIgAsACIATQBNAFMAXwBQAG8AdQBsAHQAcgB5AF8AUwBvAGkAbABfAE4AMgBPAEQAaQByAGUAYwB0AF8ARQBxAHUAYQB0AGkAbwBuAHMALgBWAEUARQBSAEcAXwA0AF8ANgBfADEAXwAxADAAXwBfADEAXwBEAGkAcgBlAGMAdABOAGkAdAByAG8AdQBzAE8AeABpAGQAZQBFAG0AaQBzAHMAaQBvAG4AcwBGAHIAbwBtAFAAbwB1AGwAdAByAHkATQBhAG4AdQByAGUAXwBVAG4AaQB0ACIALAAiAE0ATQBTAF8AUABvAHUAbAB0AHIAeQBfAFMAbwBpAGwAXwBOADIATwBEAGkAcgBlAGMAdABfAEUAcQB1AGEAdABpAG8AbgBzAC4AVgBFAEUAUgBHAF8ANABfADYAXwAxAF8AMQAwAF8AXwAxAF8ARABpAHIAZQBjAHQATgBpAHQAcgBvAHUAcwBPAHgAaQBkAGUARQBtAGkAcwBzAGkAbwBuAHMARgByAG8AbQBQAG8AdQBsAHQAcgB5AE0AYQBuAHUAcgBlAF8AUwBvAHUAc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OAEkAUgBSAGUAZgBlAHIAZQBu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wAYQB0AGUAeABFAHEAdQBhAHQAaQBvAG4AIgAsACIATQBNAFMAXwBQAG8AdQBsAHQAcgB5AF8AUwBvAGkAbABfAE4AMgBPAEQAaQByAGUAYwB0AF8ARQBxAHUAYQB0AGkAbwBuAHMALgBWAEUARQBSAEcAXwA0AF8ANgBfADEAXwAxADAAXwBfADEAXwBEAGkAcgBlAGMAdABOAGkAdAByAG8AdQBzAE8AeABpAGQAZQBFAG0AaQBzAHMAaQBvAG4AcwBGAHIAbwBtAFAAbwB1AGwAdAByAHkATQBhAG4AdQByAGUAXwBBAHIAZwB1AG0AZQBuAHQAcw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QAaQB0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YAYQByAGkAYQBiAGw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UAbgBpAHQ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TAG8AdQBy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EAcgBnAHUAbQBlAG4AdABz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QAaQB0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gBhAHIAaQBhAGI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VAG4AaQB0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TAG8AdQBy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EAcgBnAHUAbQBlAG4AdABz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QAaQB0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gBhAHIAaQBhAGI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VAG4AaQB0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TAG8AdQBy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gBJAFIAUgBlAGYAZQByAGUAb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wAYQB0AGUAeABFAHEAdQBhAHQAaQBvAG4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EAcgBnAHUAbQBlAG4AdABz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ABpAHQ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gBhAHIAaQBhAGIAbA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VQBuAGkAdA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MAbwB1AHI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gBJAFIAUgBlAGYAZQByAGUAb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MAGEAdABlAHgARQBxAHUAYQB0AGkAbwBu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Home</vt:lpstr>
      <vt:lpstr>Results</vt:lpstr>
      <vt:lpstr>Input - Site</vt:lpstr>
      <vt:lpstr>Input - Poultry</vt:lpstr>
      <vt:lpstr>4.6.1.1-2 Methane</vt:lpstr>
      <vt:lpstr>4.6.1.3-4 Direct N20</vt:lpstr>
      <vt:lpstr>4.6.1.5-6 Atmos Dep</vt:lpstr>
      <vt:lpstr>4.6.1.7-8 Leaching and runoff</vt:lpstr>
      <vt:lpstr>4.6.1.9 Manure applied to soils</vt:lpstr>
      <vt:lpstr>4.6.1.10-11 Soil direct N2O</vt:lpstr>
      <vt:lpstr>4.6.1.12-13 Soil atmos dep</vt:lpstr>
      <vt:lpstr>4.6.1.14-15 Soil leach runoff</vt:lpstr>
      <vt:lpstr>Constants - Poultry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2026-04-15T05:06:02Z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