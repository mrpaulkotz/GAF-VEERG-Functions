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348E5AF-FF1B-46F9-AEB6-3639704044E4}" xr6:coauthVersionLast="47" xr6:coauthVersionMax="47" xr10:uidLastSave="{00000000-0000-0000-0000-000000000000}"/>
  <bookViews>
    <workbookView xWindow="2340" yWindow="2340" windowWidth="28800" windowHeight="15345" firstSheet="14" activeTab="1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externalReferences>
    <externalReference r:id="rId19"/>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79" l="1"/>
  <c r="G8" i="79"/>
  <c r="I222" i="69"/>
  <c r="P232" i="69"/>
  <c r="P231" i="69"/>
  <c r="P230" i="69"/>
  <c r="P229" i="69"/>
  <c r="J44" i="96"/>
  <c r="I14" i="98"/>
  <c r="J14" i="95"/>
  <c r="I39" i="97"/>
  <c r="I62" i="82"/>
  <c r="E30" i="15"/>
  <c r="E33" i="15"/>
  <c r="E32" i="15"/>
  <c r="E31" i="15"/>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E83" i="70"/>
  <c r="E93" i="70"/>
  <c r="E88" i="70"/>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F55" i="70" s="1"/>
  <c r="D226" i="79" a="1"/>
  <c r="D226" i="79" s="1"/>
  <c r="D225" i="79" a="1"/>
  <c r="D225" i="79" s="1"/>
  <c r="D224" i="79" a="1"/>
  <c r="D224" i="79" s="1"/>
  <c r="D223" i="79" a="1"/>
  <c r="D223" i="79" s="1"/>
  <c r="F56" i="70" l="1"/>
  <c r="E56" i="70"/>
  <c r="E55" i="70"/>
  <c r="I39" i="69" s="1"/>
  <c r="D71" i="76" a="1"/>
  <c r="D71" i="76" s="1"/>
  <c r="I80" i="76" a="1"/>
  <c r="I80" i="76" s="1"/>
  <c r="I78" i="76"/>
  <c r="G78" i="76" a="1"/>
  <c r="G78" i="76" s="1"/>
  <c r="D78" i="76" a="1"/>
  <c r="D78" i="76" s="1"/>
  <c r="T39" i="69"/>
  <c r="T40"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M120" i="70"/>
  <c r="F71" i="81" s="1"/>
  <c r="M115" i="70"/>
  <c r="F70" i="81" s="1"/>
  <c r="M110" i="70"/>
  <c r="F69" i="81" s="1"/>
  <c r="M105" i="70"/>
  <c r="F68" i="81" s="1"/>
  <c r="M96" i="70"/>
  <c r="F67" i="81" s="1"/>
  <c r="M91" i="70"/>
  <c r="F66" i="81" s="1"/>
  <c r="M86" i="70"/>
  <c r="F65" i="81" s="1"/>
  <c r="M81" i="70"/>
  <c r="F64" i="81" s="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6" i="95" a="1"/>
  <c r="E55" i="82" a="1"/>
  <c r="E7" i="98" a="1"/>
  <c r="E7" i="96" a="1"/>
  <c r="E32" i="97" a="1"/>
  <c r="E7" i="97" a="1"/>
  <c r="E7" i="95" a="1"/>
  <c r="E7" i="81" a="1"/>
  <c r="E37" i="98" a="1"/>
  <c r="E91" i="81" a="1"/>
  <c r="E37" i="96"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E37" i="70" s="1"/>
  <c r="D19" i="69" s="1"/>
  <c r="D159" i="79" a="1"/>
  <c r="D159" i="79" s="1"/>
  <c r="D158" i="79" a="1"/>
  <c r="D158" i="79" s="1"/>
  <c r="D157" i="79" a="1"/>
  <c r="D157" i="79" s="1"/>
  <c r="D156" i="79" a="1"/>
  <c r="D156" i="79" s="1"/>
  <c r="D150" i="79" a="1"/>
  <c r="D150" i="79" s="1"/>
  <c r="D151" i="79" a="1"/>
  <c r="D151" i="79" s="1"/>
  <c r="D152" i="79" a="1"/>
  <c r="D152" i="79" s="1"/>
  <c r="D153" i="79" a="1"/>
  <c r="D153" i="79" s="1"/>
  <c r="F38" i="70" s="1"/>
  <c r="E121" i="76" s="1"/>
  <c r="D149" i="79" a="1"/>
  <c r="D149" i="79" s="1"/>
  <c r="D119" i="69" a="1"/>
  <c r="D119" i="69" s="1"/>
  <c r="E123" i="69" a="1"/>
  <c r="E123" i="69" s="1"/>
  <c r="E124" i="69" a="1"/>
  <c r="E124" i="69" s="1"/>
  <c r="I133" i="69" s="1"/>
  <c r="D118" i="69" a="1"/>
  <c r="D118" i="69" s="1"/>
  <c r="E118" i="70"/>
  <c r="Q168" i="69" s="1"/>
  <c r="E117" i="70"/>
  <c r="F168" i="69" s="1"/>
  <c r="E113" i="70"/>
  <c r="Q167" i="69" s="1"/>
  <c r="E112" i="70"/>
  <c r="F167" i="69" s="1"/>
  <c r="E108" i="70"/>
  <c r="E107" i="70"/>
  <c r="D77" i="70"/>
  <c r="D101" i="70"/>
  <c r="E7" i="76" a="1"/>
  <c r="E186" i="69" a="1"/>
  <c r="E153" i="76" a="1"/>
  <c r="E109" i="76" a="1"/>
  <c r="E219" i="76" a="1"/>
  <c r="E35" i="76" a="1"/>
  <c r="E7" i="82" a="1"/>
  <c r="E120" i="69" a="1"/>
  <c r="E72" i="76" a="1"/>
  <c r="E256" i="76" a="1"/>
  <c r="E252" i="69" a="1"/>
  <c r="E183" i="76" a="1"/>
  <c r="E212" i="69" a="1"/>
  <c r="E139" i="69" a="1"/>
  <c r="E8" i="69" a="1"/>
  <c r="E85" i="69" a="1"/>
  <c r="E56" i="69" a="1"/>
  <c r="E132" i="76" a="1"/>
  <c r="V40" i="82" l="1"/>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F37" i="70"/>
  <c r="E19" i="69" s="1"/>
  <c r="V205" i="69"/>
  <c r="K206" i="69"/>
  <c r="K205" i="69"/>
  <c r="G37" i="70"/>
  <c r="F19" i="69" s="1"/>
  <c r="H37" i="70"/>
  <c r="G19" i="69" s="1"/>
  <c r="G38" i="70"/>
  <c r="F121" i="76" s="1"/>
  <c r="I38" i="70"/>
  <c r="H121" i="76" s="1"/>
  <c r="H38" i="70"/>
  <c r="G121" i="76" s="1"/>
  <c r="E38" i="70"/>
  <c r="D121" i="76" s="1"/>
  <c r="I37"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a="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a="1"/>
  <c r="I173" i="69" s="1"/>
  <c r="F70" i="70" a="1"/>
  <c r="F70" i="70" s="1"/>
  <c r="G65" i="70" a="1"/>
  <c r="G65" i="70" s="1"/>
  <c r="H151" i="69" s="1"/>
  <c r="H173" i="69" s="1" a="1"/>
  <c r="H173" i="69" s="1"/>
  <c r="I72" i="70" a="1"/>
  <c r="I72" i="70" s="1"/>
  <c r="E70" i="70" a="1"/>
  <c r="E70" i="70" s="1"/>
  <c r="F65" i="70" a="1"/>
  <c r="F65" i="70" s="1"/>
  <c r="G151" i="69" s="1"/>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E29" i="15"/>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P68" i="82" a="1"/>
  <c r="P68" i="82" s="1"/>
  <c r="F9"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13" i="15"/>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300" i="69" l="1"/>
  <c r="R302" i="69" s="1"/>
  <c r="P305" i="69" s="1" a="1"/>
  <c r="P305" i="69" s="1"/>
  <c r="I7" i="13" s="1"/>
  <c r="E300" i="69"/>
  <c r="G302" i="69" s="1"/>
  <c r="E305" i="69" s="1" a="1"/>
  <c r="E305" i="69" s="1"/>
  <c r="H7" i="13" s="1"/>
  <c r="E85" i="81"/>
  <c r="E20" i="13" s="1"/>
  <c r="P115" i="81"/>
  <c r="E115" i="81"/>
  <c r="E22" i="13" s="1"/>
  <c r="E148" i="81"/>
  <c r="E21" i="13" s="1"/>
  <c r="P148" i="8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<sst xmlns="http://schemas.openxmlformats.org/spreadsheetml/2006/main" count="1638" uniqueCount="476">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</sst>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431</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441</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430</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8" sqref="E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321</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142</v>
      </c>
      <c r="E6" s="122" t="s">
        <v>386</v>
      </c>
      <c r="F6" s="122" t="s">
        <v>387</v>
      </c>
      <c r="G6" s="122" t="s">
        <v>159</v>
      </c>
      <c r="H6" s="122" t="s">
        <v>392</v>
      </c>
      <c r="I6" s="122" t="s">
        <v>393</v>
      </c>
      <c r="J6" s="122" t="s">
        <v>160</v>
      </c>
      <c r="K6" s="24"/>
    </row>
    <row r="7" spans="1:11" ht="20.100000000000001" customHeight="1" x14ac:dyDescent="0.25">
      <c r="A7" s="20" t="s">
        <v>3</v>
      </c>
      <c r="C7" s="24"/>
      <c r="D7" s="1" t="s">
        <v>388</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389</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390</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391</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358</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374</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375</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157</v>
      </c>
      <c r="E14" s="25"/>
      <c r="F14" s="25"/>
      <c r="G14" s="31"/>
      <c r="H14" s="119">
        <f>SUM(H7:H13)</f>
        <v>382.04838578730676</v>
      </c>
      <c r="I14" s="119">
        <f>SUM(I7:I13)</f>
        <v>391.18649633201073</v>
      </c>
      <c r="J14" s="112" t="s">
        <v>356</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344</v>
      </c>
      <c r="E16" s="1"/>
      <c r="F16" s="1"/>
      <c r="G16" s="1"/>
      <c r="H16" s="26"/>
      <c r="I16" s="1"/>
      <c r="J16" s="1"/>
      <c r="K16" s="24"/>
    </row>
    <row r="17" spans="1:11" ht="20.100000000000001" customHeight="1" x14ac:dyDescent="0.25">
      <c r="A17" s="17" t="str">
        <f>HYPERLINK("#'4.3.1.9 Soil direct N2O'!A1", "4.3.1.9 Soil direct N2O")</f>
        <v>4.3.1.9 Soil direct N2O</v>
      </c>
      <c r="C17" s="24"/>
      <c r="D17" s="113" t="s">
        <v>165</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171</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166</v>
      </c>
      <c r="E19" s="122" t="s">
        <v>163</v>
      </c>
      <c r="F19" s="122" t="s">
        <v>164</v>
      </c>
      <c r="G19" s="122" t="s">
        <v>158</v>
      </c>
      <c r="H19" s="122" t="s">
        <v>170</v>
      </c>
      <c r="I19" s="1"/>
      <c r="J19" s="1"/>
      <c r="K19" s="24"/>
    </row>
    <row r="20" spans="1:11" ht="20.100000000000001" customHeight="1" x14ac:dyDescent="0.25">
      <c r="A20" s="17"/>
      <c r="C20" s="24"/>
      <c r="D20" s="1" t="s">
        <v>400</v>
      </c>
      <c r="E20" s="121">
        <f>'4.3.1.8 Manure applied to soils'!$E$85</f>
        <v>12417.473379475077</v>
      </c>
      <c r="F20" s="57" t="s">
        <v>133</v>
      </c>
      <c r="G20" s="1" t="s">
        <v>394</v>
      </c>
      <c r="H20" s="1" t="s">
        <v>169</v>
      </c>
      <c r="I20" s="1"/>
      <c r="J20" s="1"/>
      <c r="K20" s="24"/>
    </row>
    <row r="21" spans="1:11" ht="20.100000000000001" customHeight="1" x14ac:dyDescent="0.25">
      <c r="A21" s="18" t="s">
        <v>4</v>
      </c>
      <c r="C21" s="24"/>
      <c r="D21" s="1" t="s">
        <v>167</v>
      </c>
      <c r="E21" s="121">
        <f>'4.3.1.8 Manure applied to soils'!$E$148</f>
        <v>4139.1577931583588</v>
      </c>
      <c r="F21" s="57" t="s">
        <v>133</v>
      </c>
      <c r="G21" s="1" t="s">
        <v>394</v>
      </c>
      <c r="H21" s="1" t="s">
        <v>169</v>
      </c>
      <c r="I21" s="24"/>
      <c r="J21" s="1"/>
      <c r="K21" s="24"/>
    </row>
    <row r="22" spans="1:11" ht="20.100000000000001" customHeight="1" x14ac:dyDescent="0.25">
      <c r="A22" s="17" t="str">
        <f>HYPERLINK("#'Constants - Dairy'!A1", "Constants - Dairy")</f>
        <v>Constants - Dairy</v>
      </c>
      <c r="C22" s="24"/>
      <c r="D22" s="1" t="s">
        <v>161</v>
      </c>
      <c r="E22" s="121">
        <f>'4.3.1.8 Manure applied to soils'!$E$115</f>
        <v>4139.1577931583588</v>
      </c>
      <c r="F22" s="57" t="s">
        <v>133</v>
      </c>
      <c r="G22" s="1" t="s">
        <v>162</v>
      </c>
      <c r="H22" s="1" t="s">
        <v>168</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105</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196</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106</v>
      </c>
      <c r="N5" s="3"/>
      <c r="R5" s="7"/>
    </row>
    <row r="6" spans="1:23" ht="20.100000000000001" customHeight="1" x14ac:dyDescent="0.25">
      <c r="A6" s="16"/>
      <c r="N6" s="3"/>
      <c r="R6" s="7"/>
    </row>
    <row r="7" spans="1:23" ht="20.100000000000001" customHeight="1" x14ac:dyDescent="0.25">
      <c r="A7" s="20" t="s">
        <v>3</v>
      </c>
      <c r="D7" s="1" t="s">
        <v>174</v>
      </c>
      <c r="E7" s="42" t="s">
        <v>219</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175</v>
      </c>
      <c r="F9" s="41" t="s">
        <v>192</v>
      </c>
      <c r="G9" s="41" t="s">
        <v>193</v>
      </c>
      <c r="H9" s="41" t="s">
        <v>194</v>
      </c>
      <c r="I9" s="41" t="s">
        <v>195</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216</v>
      </c>
      <c r="R12" s="7"/>
    </row>
    <row r="13" spans="1:23" ht="20.100000000000001" customHeight="1" x14ac:dyDescent="0.25">
      <c r="A13" s="17" t="str">
        <f>HYPERLINK("#'4.3.1.3-4 Direct N20'!A1", "4.3.1.3-4 Direct N2O")</f>
        <v>4.3.1.3-4 Direct N2O</v>
      </c>
      <c r="D13" s="66" t="s">
        <v>208</v>
      </c>
      <c r="E13" s="41" t="s">
        <v>175</v>
      </c>
      <c r="F13" s="41" t="s">
        <v>192</v>
      </c>
      <c r="G13" s="41" t="s">
        <v>193</v>
      </c>
      <c r="H13" s="41" t="s">
        <v>194</v>
      </c>
      <c r="I13" s="41" t="s">
        <v>195</v>
      </c>
      <c r="R13" s="40"/>
    </row>
    <row r="14" spans="1:23" ht="20.100000000000001" customHeight="1" x14ac:dyDescent="0.25">
      <c r="A14" s="17" t="str">
        <f>HYPERLINK("#'4.3.1.5 Atmos Deposition'!A1", "4.3.1.5 Atmospheric deposition")</f>
        <v>4.3.1.5 Atmospheric deposition</v>
      </c>
      <c r="D14" s="1" t="s">
        <v>217</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197</v>
      </c>
      <c r="K14" s="2"/>
      <c r="L14" s="2"/>
      <c r="M14" s="2"/>
      <c r="R14" s="40"/>
    </row>
    <row r="15" spans="1:23" ht="20.100000000000001" customHeight="1" x14ac:dyDescent="0.25">
      <c r="A15" s="17" t="str">
        <f>HYPERLINK("#'4.3.1.6-7 Leaching and runoff'!A1", "4.3.1.6-7 Leaching and runoff")</f>
        <v>4.3.1.6-7 Leaching and runoff</v>
      </c>
      <c r="D15" s="1" t="s">
        <v>218</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198</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207</v>
      </c>
      <c r="E17" s="41" t="s">
        <v>175</v>
      </c>
      <c r="F17" s="41" t="s">
        <v>192</v>
      </c>
      <c r="G17" s="41" t="s">
        <v>193</v>
      </c>
      <c r="H17" s="41" t="s">
        <v>194</v>
      </c>
      <c r="I17" s="41" t="s">
        <v>195</v>
      </c>
      <c r="R17" s="7"/>
    </row>
    <row r="18" spans="1:18" ht="20.100000000000001" customHeight="1" x14ac:dyDescent="0.25">
      <c r="A18" s="17" t="str">
        <f>HYPERLINK("#'4.3.1.10-11 Soil Atmos Dep'!A1", "4.3.1.10-11 Soil atm. deposition")</f>
        <v>4.3.1.10-11 Soil atm. deposition</v>
      </c>
      <c r="D18" s="1" t="s">
        <v>217</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197</v>
      </c>
      <c r="K18" s="2"/>
      <c r="L18" s="2"/>
      <c r="M18" s="2"/>
      <c r="R18" s="7"/>
    </row>
    <row r="19" spans="1:18" ht="20.100000000000001" customHeight="1" x14ac:dyDescent="0.25">
      <c r="A19" s="17" t="str">
        <f>HYPERLINK("#'4.3.1.12-13 Soil leach runoff'!A1", "4.3.1.12-13 Soil leach &amp; runoff")</f>
        <v>4.3.1.12-13 Soil leach &amp; runoff</v>
      </c>
      <c r="D19" s="1" t="s">
        <v>218</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198</v>
      </c>
      <c r="K19" s="2"/>
      <c r="L19" s="2"/>
      <c r="M19" s="2"/>
      <c r="R19" s="7"/>
    </row>
    <row r="20" spans="1:18" ht="20.100000000000001" customHeight="1" x14ac:dyDescent="0.25">
      <c r="A20" s="17"/>
      <c r="R20" s="7"/>
    </row>
    <row r="21" spans="1:18" ht="20.100000000000001" customHeight="1" x14ac:dyDescent="0.25">
      <c r="A21" s="18" t="s">
        <v>4</v>
      </c>
      <c r="D21" s="51" t="s">
        <v>107</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208</v>
      </c>
      <c r="E23" s="41" t="s">
        <v>175</v>
      </c>
      <c r="F23" s="41" t="s">
        <v>192</v>
      </c>
      <c r="G23" s="41" t="s">
        <v>193</v>
      </c>
      <c r="H23" s="41" t="s">
        <v>194</v>
      </c>
      <c r="I23" s="41" t="s">
        <v>195</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R25" s="7"/>
    </row>
    <row r="26" spans="1:18" ht="20.100000000000001" customHeight="1" x14ac:dyDescent="0.25">
      <c r="R26" s="7"/>
    </row>
    <row r="27" spans="1:18" ht="20.100000000000001" customHeight="1" x14ac:dyDescent="0.25">
      <c r="D27" s="66" t="s">
        <v>207</v>
      </c>
      <c r="E27" s="41" t="s">
        <v>175</v>
      </c>
      <c r="F27" s="41" t="s">
        <v>192</v>
      </c>
      <c r="G27" s="41" t="s">
        <v>193</v>
      </c>
      <c r="H27" s="41" t="s">
        <v>194</v>
      </c>
      <c r="I27" s="41" t="s">
        <v>195</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214</v>
      </c>
      <c r="R33" s="7"/>
    </row>
    <row r="34" spans="1:18" ht="20.100000000000001" customHeight="1" x14ac:dyDescent="0.25">
      <c r="D34" s="51"/>
      <c r="R34" s="7"/>
    </row>
    <row r="35" spans="1:18" ht="20.100000000000001" customHeight="1" x14ac:dyDescent="0.25">
      <c r="D35" s="66" t="s">
        <v>208</v>
      </c>
      <c r="E35" s="41" t="s">
        <v>175</v>
      </c>
      <c r="F35" s="41" t="s">
        <v>192</v>
      </c>
      <c r="G35" s="41" t="s">
        <v>193</v>
      </c>
      <c r="H35" s="41" t="s">
        <v>194</v>
      </c>
      <c r="I35" s="41" t="s">
        <v>195</v>
      </c>
      <c r="R35" s="7"/>
    </row>
    <row r="36" spans="1:18" ht="20.100000000000001" customHeight="1" x14ac:dyDescent="0.25">
      <c r="D36" s="1" t="s">
        <v>213</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215</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101</v>
      </c>
      <c r="K37" s="2"/>
      <c r="L37" s="2"/>
      <c r="M37" s="2"/>
      <c r="R37" s="7"/>
    </row>
    <row r="38" spans="1:18" ht="20.100000000000001" customHeight="1" x14ac:dyDescent="0.25">
      <c r="D38" s="1" t="s">
        <v>113</v>
      </c>
      <c r="E38" s="55">
        <f>'Constants - Dairy'!$D$153</f>
        <v>0.2</v>
      </c>
      <c r="F38" s="55">
        <f>'Constants - Dairy'!$D$153</f>
        <v>0.2</v>
      </c>
      <c r="G38" s="55">
        <f>'Constants - Dairy'!$D$153</f>
        <v>0.2</v>
      </c>
      <c r="H38" s="55">
        <f>'Constants - Dairy'!$D$153</f>
        <v>0.2</v>
      </c>
      <c r="I38" s="55">
        <f>'Constants - Dairy'!$D$153</f>
        <v>0.2</v>
      </c>
      <c r="J38" s="2" t="s">
        <v>101</v>
      </c>
      <c r="K38" s="2"/>
      <c r="L38" s="2"/>
      <c r="M38" s="2"/>
      <c r="R38" s="7"/>
    </row>
    <row r="39" spans="1:18" ht="20.100000000000001" customHeight="1" x14ac:dyDescent="0.25">
      <c r="A39" s="17"/>
      <c r="R39" s="7"/>
    </row>
    <row r="40" spans="1:18" ht="20.100000000000001" customHeight="1" x14ac:dyDescent="0.25">
      <c r="D40" s="66" t="s">
        <v>207</v>
      </c>
      <c r="E40" s="41" t="s">
        <v>175</v>
      </c>
      <c r="F40" s="41" t="s">
        <v>192</v>
      </c>
      <c r="G40" s="41" t="s">
        <v>193</v>
      </c>
      <c r="H40" s="41" t="s">
        <v>194</v>
      </c>
      <c r="I40" s="41" t="s">
        <v>195</v>
      </c>
      <c r="R40" s="7"/>
    </row>
    <row r="41" spans="1:18" ht="20.100000000000001" customHeight="1" x14ac:dyDescent="0.25">
      <c r="A41" s="47"/>
      <c r="D41" s="1" t="s">
        <v>213</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215</v>
      </c>
      <c r="K41" s="2"/>
      <c r="L41" s="2"/>
      <c r="M41" s="2"/>
      <c r="R41" s="7"/>
    </row>
    <row r="42" spans="1:18" ht="20.100000000000001" customHeight="1" x14ac:dyDescent="0.25">
      <c r="D42" s="1" t="s">
        <v>19</v>
      </c>
      <c r="E42" s="69">
        <v>0.75</v>
      </c>
      <c r="F42" s="69">
        <v>0.75</v>
      </c>
      <c r="G42" s="69">
        <v>0.75</v>
      </c>
      <c r="H42" s="69">
        <v>0.75</v>
      </c>
      <c r="I42" s="69">
        <v>0.75</v>
      </c>
      <c r="J42" s="2" t="s">
        <v>101</v>
      </c>
      <c r="K42" s="2"/>
      <c r="L42" s="2"/>
      <c r="M42" s="2"/>
      <c r="R42" s="7"/>
    </row>
    <row r="43" spans="1:18" ht="20.100000000000001" customHeight="1" x14ac:dyDescent="0.25">
      <c r="D43" s="1" t="s">
        <v>113</v>
      </c>
      <c r="E43" s="69">
        <v>0.2</v>
      </c>
      <c r="F43" s="69">
        <v>0.2</v>
      </c>
      <c r="G43" s="69">
        <v>0.2</v>
      </c>
      <c r="H43" s="69">
        <v>0.2</v>
      </c>
      <c r="I43" s="69">
        <v>0.2</v>
      </c>
      <c r="J43" s="2" t="s">
        <v>101</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199</v>
      </c>
      <c r="E47" s="3"/>
      <c r="F47" s="3"/>
      <c r="G47" s="3"/>
      <c r="H47" s="3"/>
      <c r="I47" s="3"/>
      <c r="J47" s="3"/>
      <c r="K47" s="3"/>
      <c r="L47" s="3"/>
      <c r="M47" s="3"/>
      <c r="R47" s="7"/>
    </row>
    <row r="48" spans="1:18" ht="20.100000000000001" customHeight="1" x14ac:dyDescent="0.25">
      <c r="D48" s="23" t="s">
        <v>458</v>
      </c>
      <c r="G48" s="6"/>
      <c r="H48" s="6"/>
      <c r="I48" s="6"/>
      <c r="J48" s="126"/>
      <c r="K48" s="126"/>
      <c r="L48" s="126"/>
      <c r="M48" s="126"/>
      <c r="R48" s="7"/>
    </row>
    <row r="49" spans="3:18" ht="20.100000000000001" customHeight="1" x14ac:dyDescent="0.25">
      <c r="D49" s="1" t="s">
        <v>443</v>
      </c>
      <c r="E49" s="42" t="s">
        <v>456</v>
      </c>
      <c r="F49" s="2" t="s">
        <v>11</v>
      </c>
      <c r="R49" s="7"/>
    </row>
    <row r="50" spans="3:18" ht="20.100000000000001" customHeight="1" x14ac:dyDescent="0.25">
      <c r="R50" s="7"/>
    </row>
    <row r="51" spans="3:18" ht="20.100000000000001" customHeight="1" x14ac:dyDescent="0.25">
      <c r="E51" s="41" t="s">
        <v>175</v>
      </c>
      <c r="R51" s="7"/>
    </row>
    <row r="52" spans="3:18" ht="20.100000000000001" customHeight="1" x14ac:dyDescent="0.25">
      <c r="D52" s="1" t="s">
        <v>200</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444</v>
      </c>
      <c r="E54" s="41" t="s">
        <v>445</v>
      </c>
      <c r="F54" s="41" t="s">
        <v>446</v>
      </c>
      <c r="R54" s="7"/>
    </row>
    <row r="55" spans="3:18" ht="20.100000000000001" customHeight="1" x14ac:dyDescent="0.25">
      <c r="D55" s="1" t="s">
        <v>447</v>
      </c>
      <c r="E55" s="140">
        <f>'Constants - Dairy'!$D$227/100</f>
        <v>0.04</v>
      </c>
      <c r="F55" s="155">
        <f>'Constants - Dairy'!$D$227/100</f>
        <v>0.04</v>
      </c>
      <c r="G55" s="2" t="s">
        <v>448</v>
      </c>
      <c r="R55" s="7"/>
    </row>
    <row r="56" spans="3:18" ht="20.100000000000001" customHeight="1" x14ac:dyDescent="0.25">
      <c r="D56" s="1" t="s">
        <v>449</v>
      </c>
      <c r="E56" s="140">
        <f>'Constants - Dairy'!$D$233/100</f>
        <v>3.3000000000000002E-2</v>
      </c>
      <c r="F56" s="155">
        <f>'Constants - Dairy'!$D$233/100</f>
        <v>3.3000000000000002E-2</v>
      </c>
      <c r="G56" s="2" t="s">
        <v>448</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210</v>
      </c>
      <c r="R60" s="7"/>
    </row>
    <row r="61" spans="3:18" ht="20.100000000000001" customHeight="1" x14ac:dyDescent="0.25">
      <c r="D61" s="51" t="s">
        <v>203</v>
      </c>
      <c r="R61" s="7"/>
    </row>
    <row r="62" spans="3:18" ht="20.100000000000001" customHeight="1" x14ac:dyDescent="0.25">
      <c r="D62" s="1" t="s">
        <v>205</v>
      </c>
      <c r="E62" s="42" t="s">
        <v>212</v>
      </c>
      <c r="F62" s="2" t="s">
        <v>11</v>
      </c>
      <c r="N62" s="3"/>
      <c r="R62" s="7"/>
    </row>
    <row r="63" spans="3:18" ht="20.100000000000001" customHeight="1" x14ac:dyDescent="0.25">
      <c r="N63" s="3"/>
      <c r="R63" s="7"/>
    </row>
    <row r="64" spans="3:18" ht="20.100000000000001" customHeight="1" x14ac:dyDescent="0.25">
      <c r="D64" s="66" t="s">
        <v>208</v>
      </c>
      <c r="E64" s="41" t="s">
        <v>175</v>
      </c>
      <c r="F64" s="41" t="s">
        <v>192</v>
      </c>
      <c r="G64" s="41" t="s">
        <v>193</v>
      </c>
      <c r="H64" s="41" t="s">
        <v>194</v>
      </c>
      <c r="I64" s="41" t="s">
        <v>195</v>
      </c>
      <c r="N64" s="3"/>
      <c r="R64" s="7"/>
    </row>
    <row r="65" spans="3:18" ht="20.100000000000001" customHeight="1" x14ac:dyDescent="0.25">
      <c r="D65" s="1" t="s">
        <v>148</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189</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204</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207</v>
      </c>
      <c r="E69" s="41" t="s">
        <v>175</v>
      </c>
      <c r="F69" s="41" t="s">
        <v>192</v>
      </c>
      <c r="G69" s="41" t="s">
        <v>193</v>
      </c>
      <c r="H69" s="41" t="s">
        <v>194</v>
      </c>
      <c r="I69" s="41" t="s">
        <v>195</v>
      </c>
      <c r="N69" s="3"/>
    </row>
    <row r="70" spans="3:18" ht="20.100000000000001" customHeight="1" x14ac:dyDescent="0.25">
      <c r="D70" s="1" t="s">
        <v>148</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189</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204</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103</v>
      </c>
      <c r="E79" s="41" t="s">
        <v>175</v>
      </c>
      <c r="F79" s="41" t="s">
        <v>192</v>
      </c>
      <c r="G79" s="41" t="s">
        <v>193</v>
      </c>
      <c r="H79" s="41" t="s">
        <v>194</v>
      </c>
      <c r="I79" s="41" t="s">
        <v>195</v>
      </c>
      <c r="J79" s="146" t="s">
        <v>433</v>
      </c>
      <c r="K79" s="66" t="s">
        <v>432</v>
      </c>
      <c r="L79" s="66"/>
      <c r="M79" s="41"/>
      <c r="N79" s="3"/>
    </row>
    <row r="80" spans="3:18" ht="20.100000000000001" customHeight="1" x14ac:dyDescent="0.25">
      <c r="K80" s="121" t="s">
        <v>434</v>
      </c>
      <c r="L80" s="121" t="s">
        <v>435</v>
      </c>
      <c r="M80" s="121" t="s">
        <v>436</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f>1-SUM(K81:L81)</f>
        <v>0.5</v>
      </c>
      <c r="N81" s="3"/>
      <c r="R81" s="7"/>
    </row>
    <row r="82" spans="4:18" ht="20.100000000000001" customHeight="1" x14ac:dyDescent="0.25">
      <c r="D82" s="156" t="str">
        <f>"Were solids separated from " &amp; D81 &amp; "?"</f>
        <v>Were solids separated from Anaerobic lagoon?</v>
      </c>
      <c r="E82" s="42" t="s">
        <v>209</v>
      </c>
      <c r="N82" s="3"/>
      <c r="R82" s="7"/>
    </row>
    <row r="83" spans="4:18" ht="20.100000000000001" customHeight="1" x14ac:dyDescent="0.25">
      <c r="D83" s="156" t="str">
        <f>"Percent solids separated from " &amp; D81 &amp; " (Method 1)"</f>
        <v>Percent solids separated from Anaerobic lagoon (Method 1)</v>
      </c>
      <c r="E83" s="101">
        <f>IF(E82="Yes", 20%, 0)</f>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f t="shared" ref="M86" si="1">1-SUM(K86:L86)</f>
        <v>0.5</v>
      </c>
      <c r="R86" s="7"/>
    </row>
    <row r="87" spans="4:18" ht="20.100000000000001" customHeight="1" x14ac:dyDescent="0.25">
      <c r="D87" s="156" t="str">
        <f>"Were solids separated from " &amp; D86 &amp; "?"</f>
        <v>Were solids separated from Sump and dispersal system?</v>
      </c>
      <c r="E87" s="42" t="s">
        <v>209</v>
      </c>
      <c r="R87" s="7"/>
    </row>
    <row r="88" spans="4:18" ht="20.100000000000001" customHeight="1" x14ac:dyDescent="0.25">
      <c r="D88" s="156" t="str">
        <f>"Percent solids separated from " &amp; D86 &amp; " (Method 1)"</f>
        <v>Percent solids separated from Sump and dispersal system (Method 1)</v>
      </c>
      <c r="E88" s="101">
        <f>IF(E87="Yes", 20%, 0)</f>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f>1-SUM(K91:L91)</f>
        <v>0.5</v>
      </c>
      <c r="R91" s="7"/>
    </row>
    <row r="92" spans="4:18" ht="20.100000000000001" customHeight="1" x14ac:dyDescent="0.25">
      <c r="D92" s="156" t="str">
        <f>"Were solids separated from " &amp; D91 &amp; "?"</f>
        <v>Were solids separated from Drains to paddock?</v>
      </c>
      <c r="E92" s="42" t="s">
        <v>209</v>
      </c>
      <c r="R92" s="7"/>
    </row>
    <row r="93" spans="4:18" ht="20.100000000000001" customHeight="1" x14ac:dyDescent="0.25">
      <c r="D93" s="156" t="str">
        <f>"Percent solids separated from " &amp; D91 &amp; " (Method 1)"</f>
        <v>Percent solids separated from Drains to paddock (Method 1)</v>
      </c>
      <c r="E93" s="101">
        <f>IF(E92="Yes", 20%, 0)</f>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f t="shared" ref="M96" si="2">1-SUM(K96:L96)</f>
        <v>0.5</v>
      </c>
      <c r="R96" s="7"/>
    </row>
    <row r="97" spans="4:18" ht="20.100000000000001" customHeight="1" x14ac:dyDescent="0.25">
      <c r="D97" s="150" t="s">
        <v>439</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20</v>
      </c>
      <c r="K97" s="2"/>
      <c r="L97" s="2"/>
      <c r="M97" s="2"/>
      <c r="R97" s="7"/>
    </row>
    <row r="98" spans="4:18" ht="20.100000000000001" customHeight="1" x14ac:dyDescent="0.25">
      <c r="D98" s="150" t="s">
        <v>440</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103</v>
      </c>
      <c r="E103" s="41" t="s">
        <v>175</v>
      </c>
      <c r="F103" s="41" t="s">
        <v>192</v>
      </c>
      <c r="G103" s="41" t="s">
        <v>193</v>
      </c>
      <c r="H103" s="41" t="s">
        <v>194</v>
      </c>
      <c r="I103" s="41" t="s">
        <v>195</v>
      </c>
      <c r="J103" s="146" t="s">
        <v>433</v>
      </c>
      <c r="K103" s="66" t="s">
        <v>432</v>
      </c>
      <c r="L103" s="66"/>
      <c r="M103" s="41"/>
      <c r="R103" s="7"/>
    </row>
    <row r="104" spans="4:18" ht="20.100000000000001" customHeight="1" x14ac:dyDescent="0.25">
      <c r="D104" s="150"/>
      <c r="K104" s="121" t="s">
        <v>434</v>
      </c>
      <c r="L104" s="121" t="s">
        <v>435</v>
      </c>
      <c r="M104" s="121" t="s">
        <v>436</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f>1-SUM(K105:L105)</f>
        <v>0.5</v>
      </c>
      <c r="R105" s="7"/>
    </row>
    <row r="106" spans="4:18" ht="20.100000000000001" customHeight="1" x14ac:dyDescent="0.25">
      <c r="D106" s="156" t="str">
        <f>"Were solids separated from " &amp; D105 &amp; "?"</f>
        <v>Were solids separated from Anaerobic lagoon?</v>
      </c>
      <c r="E106" s="42" t="s">
        <v>211</v>
      </c>
      <c r="R106" s="7"/>
    </row>
    <row r="107" spans="4:18" ht="20.100000000000001" customHeight="1" x14ac:dyDescent="0.25">
      <c r="D107" s="156" t="str">
        <f>"Percent solids separated from " &amp; D105 &amp; " (Method 1)"</f>
        <v>Percent solids separated from Anaerobic lagoon (Method 1)</v>
      </c>
      <c r="E107" s="101">
        <f>IF(E106="Yes", 20%, 0)</f>
        <v>0</v>
      </c>
    </row>
    <row r="108" spans="4:18" ht="20.100000000000001" customHeight="1" x14ac:dyDescent="0.25">
      <c r="D108" s="156" t="str">
        <f>"Percent solids separated from " &amp; D105 &amp; " (Method 2)"</f>
        <v>Percent solids separated from Anaerobic lagoon (Method 2)</v>
      </c>
      <c r="E108" s="49">
        <f>IF(E106="Yes", 20%, 0)</f>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f t="shared" ref="M110" si="3">1-SUM(K110:L110)</f>
        <v>0.5</v>
      </c>
    </row>
    <row r="111" spans="4:18" ht="20.100000000000001" customHeight="1" x14ac:dyDescent="0.25">
      <c r="D111" s="156" t="str">
        <f>"Were solids separated from " &amp; D110 &amp; "?"</f>
        <v>Were solids separated from Sump and dispersal system?</v>
      </c>
      <c r="E111" s="42" t="s">
        <v>209</v>
      </c>
    </row>
    <row r="112" spans="4:18" ht="20.100000000000001" customHeight="1" x14ac:dyDescent="0.25">
      <c r="D112" s="156" t="str">
        <f>"Percent solids separated from " &amp; D110 &amp; " (Method 1)"</f>
        <v>Percent solids separated from Sump and dispersal system (Method 1)</v>
      </c>
      <c r="E112" s="101">
        <f>IF(E111="Yes", 20%, 0)</f>
        <v>0.2</v>
      </c>
    </row>
    <row r="113" spans="4:13" ht="20.100000000000001" customHeight="1" x14ac:dyDescent="0.25">
      <c r="D113" s="156" t="str">
        <f>"Percent solids separated from " &amp; D110 &amp; " (Method 2)"</f>
        <v>Percent solids separated from Sump and dispersal system (Method 2)</v>
      </c>
      <c r="E113" s="49">
        <f>IF(E111="Yes", 20%, 0)</f>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f>1-SUM(K115:L115)</f>
        <v>0.5</v>
      </c>
    </row>
    <row r="116" spans="4:13" ht="20.100000000000001" customHeight="1" x14ac:dyDescent="0.25">
      <c r="D116" s="156" t="str">
        <f>"Were solids separated from " &amp; D115 &amp; "?"</f>
        <v>Were solids separated from Drains to paddock?</v>
      </c>
      <c r="E116" s="42" t="s">
        <v>209</v>
      </c>
    </row>
    <row r="117" spans="4:13" ht="20.100000000000001" customHeight="1" x14ac:dyDescent="0.25">
      <c r="D117" s="156" t="str">
        <f>"Percent solids separated from " &amp; D115 &amp; " (Method 1)"</f>
        <v>Percent solids separated from Drains to paddock (Method 1)</v>
      </c>
      <c r="E117" s="101">
        <f>IF(E116="Yes", 20%, 0)</f>
        <v>0.2</v>
      </c>
    </row>
    <row r="118" spans="4:13" ht="20.100000000000001" customHeight="1" x14ac:dyDescent="0.25">
      <c r="D118" s="156" t="str">
        <f>"Percent solids separated from " &amp; D115 &amp; " (Method 2)"</f>
        <v>Percent solids separated from Drains to paddock (Method 2)</v>
      </c>
      <c r="E118" s="49">
        <f>IF(E116="Yes", 20%, 0)</f>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f>1-SUM(K120:L120)</f>
        <v>0.5</v>
      </c>
    </row>
    <row r="121" spans="4:13" ht="20.100000000000001" customHeight="1" x14ac:dyDescent="0.25">
      <c r="D121" s="150" t="s">
        <v>439</v>
      </c>
      <c r="E121" s="101">
        <f>E120+(E105*$E107)+(E110*$E112)+(E115*$E117)</f>
        <v>0.35</v>
      </c>
      <c r="F121" s="101">
        <f>F120+(F105*$E107)+(F110*$E112)+(F115*$E117)</f>
        <v>0.35</v>
      </c>
      <c r="G121" s="101">
        <f>G120+(G105*$E107)+(G110*$E112)+(G115*$E117)</f>
        <v>0.35</v>
      </c>
      <c r="H121" s="101">
        <f>H120+(H105*$E107)+(H110*$E112)+(H115*$E117)</f>
        <v>0.35</v>
      </c>
      <c r="I121" s="101">
        <f>I120+(I105*$E107)+(I110*$E112)+(I115*$E117)</f>
        <v>0.35</v>
      </c>
      <c r="J121" s="2" t="s">
        <v>20</v>
      </c>
      <c r="K121" s="2"/>
      <c r="L121" s="2"/>
      <c r="M121" s="2"/>
    </row>
    <row r="122" spans="4:13" ht="20.100000000000001" customHeight="1" x14ac:dyDescent="0.25">
      <c r="D122" s="150" t="s">
        <v>440</v>
      </c>
      <c r="E122" s="101">
        <f>E120+(E105*$E108)+(E110*$E113)+(E115*$E118)</f>
        <v>0.35</v>
      </c>
      <c r="F122" s="101">
        <f>F120+(F105*$E108)+(F110*$E113)+(F115*$E118)</f>
        <v>0.35</v>
      </c>
      <c r="G122" s="101">
        <f>G120+(G105*$E108)+(G110*$E113)+(G115*$E118)</f>
        <v>0.35</v>
      </c>
      <c r="H122" s="101">
        <f>H120+(H105*$E108)+(H110*$E113)+(H115*$E118)</f>
        <v>0.35</v>
      </c>
      <c r="I122" s="101">
        <f>I120+(I105*$E108)+(I110*$E113)+(I115*$E118)</f>
        <v>0.35</v>
      </c>
      <c r="J122" s="2" t="s">
        <v>20</v>
      </c>
    </row>
    <row r="123" spans="4:13" ht="20.100000000000001" customHeight="1" x14ac:dyDescent="0.25"/>
    <row r="124" spans="4:13" ht="20.100000000000001" customHeight="1" x14ac:dyDescent="0.25"/>
    <row r="125" spans="4:13" ht="20.100000000000001" customHeight="1" x14ac:dyDescent="0.25">
      <c r="D125" s="1" t="s">
        <v>143</v>
      </c>
      <c r="E125" s="42" t="s">
        <v>148</v>
      </c>
      <c r="F125" s="2" t="s">
        <v>11</v>
      </c>
    </row>
    <row r="126" spans="4:13" ht="20.100000000000001" customHeight="1" x14ac:dyDescent="0.25">
      <c r="E126" s="42" t="s">
        <v>153</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1 J86 F91 J91 F96 J96:J98 K97:M97 F102 J105 J110 J115 J120:J122 K121:M121 K126:M126">
    <cfRule type="cellIs" dxfId="43" priority="30" operator="lessThan">
      <formula>0</formula>
    </cfRule>
  </conditionalFormatting>
  <conditionalFormatting sqref="E14:M15">
    <cfRule type="cellIs" dxfId="42" priority="2" operator="lessThan">
      <formula>0</formula>
    </cfRule>
  </conditionalFormatting>
  <conditionalFormatting sqref="E18:M19">
    <cfRule type="cellIs" dxfId="41" priority="1" operator="lessThan">
      <formula>0</formula>
    </cfRule>
  </conditionalFormatting>
  <conditionalFormatting sqref="E36:M38">
    <cfRule type="cellIs" dxfId="40" priority="6" operator="lessThan">
      <formula>0</formula>
    </cfRule>
  </conditionalFormatting>
  <conditionalFormatting sqref="E41:M43">
    <cfRule type="cellIs" dxfId="39" priority="3" operator="lessThan">
      <formula>0</formula>
    </cfRule>
  </conditionalFormatting>
  <conditionalFormatting sqref="F99">
    <cfRule type="cellIs" dxfId="38" priority="20" operator="lessThan">
      <formula>0</formula>
    </cfRule>
  </conditionalFormatting>
  <conditionalFormatting sqref="J65:M67">
    <cfRule type="cellIs" dxfId="37" priority="24" operator="lessThan">
      <formula>0</formula>
    </cfRule>
  </conditionalFormatting>
  <conditionalFormatting sqref="J70:M72">
    <cfRule type="cellIs" dxfId="36"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63" zoomScale="85" zoomScaleNormal="85" workbookViewId="0">
      <selection activeCell="O172" sqref="O17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285</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126</v>
      </c>
      <c r="O16" s="104" t="s">
        <v>129</v>
      </c>
    </row>
    <row r="17" spans="1:23" ht="20.100000000000001" customHeight="1" x14ac:dyDescent="0.25">
      <c r="A17" s="17" t="str">
        <f>HYPERLINK("#'4.3.1.9 Soil direct N2O'!A1", "4.3.1.9 Soil direct N2O")</f>
        <v>4.3.1.9 Soil direct N2O</v>
      </c>
      <c r="D17" s="103" t="s">
        <v>128</v>
      </c>
      <c r="O17" s="103" t="s">
        <v>241</v>
      </c>
    </row>
    <row r="18" spans="1:23" ht="20.100000000000001" customHeight="1" x14ac:dyDescent="0.25">
      <c r="A18" s="17" t="str">
        <f>HYPERLINK("#'4.3.1.10-11 Soil Atmos Dep'!A1", "4.3.1.10-11 Soil atm. deposition")</f>
        <v>4.3.1.10-11 Soil atm. deposition</v>
      </c>
      <c r="D18" s="41" t="s">
        <v>175</v>
      </c>
      <c r="E18" s="41" t="s">
        <v>192</v>
      </c>
      <c r="F18" s="41" t="s">
        <v>193</v>
      </c>
      <c r="G18" s="41" t="s">
        <v>194</v>
      </c>
      <c r="H18" s="41" t="s">
        <v>195</v>
      </c>
      <c r="O18" s="41" t="s">
        <v>175</v>
      </c>
      <c r="P18" s="41" t="s">
        <v>192</v>
      </c>
      <c r="Q18" s="41" t="s">
        <v>193</v>
      </c>
      <c r="R18" s="41" t="s">
        <v>194</v>
      </c>
      <c r="S18" s="41" t="s">
        <v>195</v>
      </c>
    </row>
    <row r="19" spans="1:23" ht="20.100000000000001" customHeight="1" x14ac:dyDescent="0.25">
      <c r="A19" s="17" t="str">
        <f>HYPERLINK("#'4.3.1.12-13 Soil leach runoff'!A1", "4.3.1.12-13 Soil leach &amp; runoff")</f>
        <v>4.3.1.12-13 Soil leach &amp; runoff</v>
      </c>
      <c r="D19" s="55">
        <f>'Input - Dairy'!$E$37</f>
        <v>0.75</v>
      </c>
      <c r="E19" s="55">
        <f>'Input - Dairy'!$F$37</f>
        <v>0.75</v>
      </c>
      <c r="F19" s="55">
        <f>'Input - Dairy'!$G$37</f>
        <v>0.75</v>
      </c>
      <c r="G19" s="55">
        <f>'Input - Dairy'!$H$37</f>
        <v>0.75</v>
      </c>
      <c r="H19" s="55">
        <f>'Input - Dairy'!$I$37</f>
        <v>0.75</v>
      </c>
      <c r="I19" s="2" t="s">
        <v>230</v>
      </c>
      <c r="J19" s="2"/>
      <c r="K19" s="2"/>
      <c r="O19" s="55">
        <f>'Input - Dairy'!$E$42</f>
        <v>0.75</v>
      </c>
      <c r="P19" s="55">
        <f>'Input - Dairy'!$F$42</f>
        <v>0.75</v>
      </c>
      <c r="Q19" s="55">
        <f>'Input - Dairy'!$G$42</f>
        <v>0.75</v>
      </c>
      <c r="R19" s="55">
        <f>'Input - Dairy'!$H$42</f>
        <v>0.75</v>
      </c>
      <c r="S19" s="55">
        <f>'Input - Dairy'!$I$42</f>
        <v>0.75</v>
      </c>
      <c r="T19" s="2" t="s">
        <v>230</v>
      </c>
      <c r="U19" s="2"/>
      <c r="V19" s="2"/>
    </row>
    <row r="20" spans="1:23" ht="20.100000000000001" customHeight="1" x14ac:dyDescent="0.25">
      <c r="A20" s="17"/>
    </row>
    <row r="21" spans="1:23" ht="20.100000000000001" customHeight="1" x14ac:dyDescent="0.25">
      <c r="A21" s="18" t="s">
        <v>4</v>
      </c>
      <c r="D21" s="104" t="s">
        <v>231</v>
      </c>
      <c r="O21" s="104" t="s">
        <v>233</v>
      </c>
    </row>
    <row r="22" spans="1:23" ht="20.100000000000001" customHeight="1" x14ac:dyDescent="0.25">
      <c r="A22" s="17" t="str">
        <f>HYPERLINK("#'Constants - Dairy'!A1", "Constants - Dairy")</f>
        <v>Constants - Dairy</v>
      </c>
      <c r="D22" s="103" t="s">
        <v>232</v>
      </c>
      <c r="O22" s="103" t="s">
        <v>234</v>
      </c>
    </row>
    <row r="23" spans="1:23" ht="20.100000000000001" customHeight="1" x14ac:dyDescent="0.25">
      <c r="A23" s="17" t="str">
        <f>HYPERLINK("#'Constants - Livestock'!A1", "Constants - Livestock")</f>
        <v>Constants - Livestock</v>
      </c>
      <c r="D23" s="54" t="s">
        <v>175</v>
      </c>
      <c r="E23" s="54" t="s">
        <v>192</v>
      </c>
      <c r="F23" s="54" t="s">
        <v>193</v>
      </c>
      <c r="G23" s="54" t="s">
        <v>194</v>
      </c>
      <c r="H23" s="54" t="s">
        <v>195</v>
      </c>
      <c r="O23" s="54" t="s">
        <v>175</v>
      </c>
      <c r="P23" s="54" t="s">
        <v>192</v>
      </c>
      <c r="Q23" s="54" t="s">
        <v>193</v>
      </c>
      <c r="R23" s="54" t="s">
        <v>194</v>
      </c>
      <c r="S23" s="54" t="s">
        <v>195</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450</v>
      </c>
    </row>
    <row r="43" spans="4:20" ht="20.100000000000001" customHeight="1" x14ac:dyDescent="0.25">
      <c r="D43" s="103" t="s">
        <v>451</v>
      </c>
    </row>
    <row r="44" spans="4:20" ht="20.100000000000001" customHeight="1" x14ac:dyDescent="0.25">
      <c r="D44" s="41" t="s">
        <v>175</v>
      </c>
      <c r="E44" s="41" t="s">
        <v>192</v>
      </c>
      <c r="F44" s="41" t="s">
        <v>193</v>
      </c>
      <c r="G44" s="41" t="s">
        <v>194</v>
      </c>
      <c r="H44" s="41" t="s">
        <v>195</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452</v>
      </c>
      <c r="O47" s="104" t="s">
        <v>454</v>
      </c>
    </row>
    <row r="48" spans="4:20" ht="20.100000000000001" customHeight="1" x14ac:dyDescent="0.25">
      <c r="D48" s="103" t="s">
        <v>453</v>
      </c>
      <c r="O48" s="103" t="s">
        <v>455</v>
      </c>
    </row>
    <row r="49" spans="1:23" ht="20.100000000000001" customHeight="1" x14ac:dyDescent="0.25">
      <c r="D49" s="54" t="s">
        <v>175</v>
      </c>
      <c r="E49" s="54" t="s">
        <v>192</v>
      </c>
      <c r="F49" s="54" t="s">
        <v>193</v>
      </c>
      <c r="G49" s="54" t="s">
        <v>194</v>
      </c>
      <c r="H49" s="54" t="s">
        <v>195</v>
      </c>
      <c r="O49" s="54" t="s">
        <v>175</v>
      </c>
      <c r="P49" s="54" t="s">
        <v>192</v>
      </c>
      <c r="Q49" s="54" t="s">
        <v>193</v>
      </c>
      <c r="R49" s="54" t="s">
        <v>194</v>
      </c>
      <c r="S49" s="54" t="s">
        <v>195</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237</v>
      </c>
      <c r="O50" s="55" cm="1">
        <f t="array" ref="O50">EntericMethane_Dairy_Equations.VEERG_3_3_1_1__5_MilkProductionFromMilkSolids(D45,$T$39,$T$40)</f>
        <v>0</v>
      </c>
      <c r="P50" s="55">
        <v>0</v>
      </c>
      <c r="Q50" s="55">
        <v>0</v>
      </c>
      <c r="R50" s="55">
        <v>0</v>
      </c>
      <c r="S50" s="55">
        <v>0</v>
      </c>
      <c r="T50" s="2" t="s">
        <v>237</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240</v>
      </c>
    </row>
    <row r="72" spans="4:22" ht="20.100000000000001" customHeight="1" x14ac:dyDescent="0.25">
      <c r="D72" s="103" t="s">
        <v>199</v>
      </c>
    </row>
    <row r="73" spans="4:22" ht="20.100000000000001" customHeight="1" x14ac:dyDescent="0.25">
      <c r="D73" s="41" t="s">
        <v>175</v>
      </c>
      <c r="E73" s="41" t="s">
        <v>192</v>
      </c>
      <c r="F73" s="41" t="s">
        <v>193</v>
      </c>
      <c r="G73" s="41" t="s">
        <v>194</v>
      </c>
      <c r="H73" s="41" t="s">
        <v>195</v>
      </c>
    </row>
    <row r="74" spans="4:22" ht="20.100000000000001" customHeight="1" x14ac:dyDescent="0.25">
      <c r="D74" s="55">
        <f>IF(I62="Milk solids", 0, 'Input - Dairy'!$E$52)</f>
        <v>20</v>
      </c>
      <c r="E74" s="55">
        <v>0</v>
      </c>
      <c r="F74" s="55">
        <v>0</v>
      </c>
      <c r="G74" s="55">
        <v>0</v>
      </c>
      <c r="H74" s="55">
        <v>0</v>
      </c>
      <c r="I74" s="2" t="s">
        <v>237</v>
      </c>
      <c r="J74" s="2"/>
      <c r="K74" s="2"/>
    </row>
    <row r="75" spans="4:22" ht="20.100000000000001" customHeight="1" x14ac:dyDescent="0.25"/>
    <row r="76" spans="4:22" ht="20.100000000000001" customHeight="1" x14ac:dyDescent="0.25">
      <c r="D76" s="104" t="s">
        <v>235</v>
      </c>
      <c r="O76" s="104" t="s">
        <v>238</v>
      </c>
    </row>
    <row r="77" spans="4:22" ht="20.100000000000001" customHeight="1" x14ac:dyDescent="0.25">
      <c r="D77" s="103" t="s">
        <v>236</v>
      </c>
      <c r="O77" s="103" t="s">
        <v>239</v>
      </c>
    </row>
    <row r="78" spans="4:22" ht="20.100000000000001" customHeight="1" x14ac:dyDescent="0.25">
      <c r="D78" s="54" t="s">
        <v>175</v>
      </c>
      <c r="E78" s="54" t="s">
        <v>192</v>
      </c>
      <c r="F78" s="54" t="s">
        <v>193</v>
      </c>
      <c r="G78" s="54" t="s">
        <v>194</v>
      </c>
      <c r="H78" s="54" t="s">
        <v>195</v>
      </c>
      <c r="O78" s="54" t="s">
        <v>175</v>
      </c>
      <c r="P78" s="54" t="s">
        <v>192</v>
      </c>
      <c r="Q78" s="54" t="s">
        <v>193</v>
      </c>
      <c r="R78" s="54" t="s">
        <v>194</v>
      </c>
      <c r="S78" s="54" t="s">
        <v>195</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220</v>
      </c>
      <c r="O96" s="104" t="s">
        <v>222</v>
      </c>
    </row>
    <row r="97" spans="1:22" ht="20.100000000000001" customHeight="1" x14ac:dyDescent="0.25">
      <c r="D97" s="103" t="s">
        <v>221</v>
      </c>
      <c r="O97" s="103" t="s">
        <v>223</v>
      </c>
    </row>
    <row r="98" spans="1:22" ht="20.100000000000001" customHeight="1" x14ac:dyDescent="0.25">
      <c r="D98" s="41" t="s">
        <v>175</v>
      </c>
      <c r="E98" s="41" t="s">
        <v>192</v>
      </c>
      <c r="F98" s="41" t="s">
        <v>193</v>
      </c>
      <c r="G98" s="41" t="s">
        <v>194</v>
      </c>
      <c r="H98" s="41" t="s">
        <v>195</v>
      </c>
      <c r="O98" s="41" t="s">
        <v>175</v>
      </c>
      <c r="P98" s="41" t="s">
        <v>192</v>
      </c>
      <c r="Q98" s="41" t="s">
        <v>193</v>
      </c>
      <c r="R98" s="41" t="s">
        <v>194</v>
      </c>
      <c r="S98" s="41" t="s">
        <v>195</v>
      </c>
    </row>
    <row r="99" spans="1:22" ht="20.100000000000001" customHeight="1" x14ac:dyDescent="0.25">
      <c r="D99" s="55">
        <f>'Input - Dairy'!$E$14</f>
        <v>550</v>
      </c>
      <c r="E99" s="55">
        <f>'Input - Dairy'!$F$14</f>
        <v>380</v>
      </c>
      <c r="F99" s="55">
        <f>'Input - Dairy'!$G$14</f>
        <v>155</v>
      </c>
      <c r="G99" s="55">
        <f>'Input - Dairy'!$H$14</f>
        <v>600</v>
      </c>
      <c r="H99" s="55">
        <f>'Input - Dairy'!$I$14</f>
        <v>225</v>
      </c>
      <c r="I99" s="2" t="s">
        <v>197</v>
      </c>
      <c r="J99" s="2"/>
      <c r="K99" s="2"/>
      <c r="O99" s="55">
        <f>'Input - Dairy'!$E$18</f>
        <v>550</v>
      </c>
      <c r="P99" s="55">
        <f>'Input - Dairy'!$F$18</f>
        <v>380</v>
      </c>
      <c r="Q99" s="55">
        <f>'Input - Dairy'!$G$18</f>
        <v>155</v>
      </c>
      <c r="R99" s="55">
        <f>'Input - Dairy'!$H$18</f>
        <v>600</v>
      </c>
      <c r="S99" s="55">
        <f>'Input - Dairy'!$I$18</f>
        <v>225</v>
      </c>
      <c r="T99" s="2" t="s">
        <v>197</v>
      </c>
      <c r="U99" s="2"/>
      <c r="V99" s="2"/>
    </row>
    <row r="100" spans="1:22" ht="20.100000000000001" customHeight="1" x14ac:dyDescent="0.25"/>
    <row r="101" spans="1:22" ht="20.100000000000001" customHeight="1" x14ac:dyDescent="0.25">
      <c r="D101" s="104" t="s">
        <v>224</v>
      </c>
      <c r="O101" s="104" t="s">
        <v>226</v>
      </c>
    </row>
    <row r="102" spans="1:22" ht="20.100000000000001" customHeight="1" x14ac:dyDescent="0.25">
      <c r="D102" s="103" t="s">
        <v>225</v>
      </c>
      <c r="O102" s="103" t="s">
        <v>227</v>
      </c>
    </row>
    <row r="103" spans="1:22" ht="20.100000000000001" customHeight="1" x14ac:dyDescent="0.25">
      <c r="D103" s="41" t="s">
        <v>175</v>
      </c>
      <c r="E103" s="41" t="s">
        <v>192</v>
      </c>
      <c r="F103" s="41" t="s">
        <v>193</v>
      </c>
      <c r="G103" s="41" t="s">
        <v>194</v>
      </c>
      <c r="H103" s="41" t="s">
        <v>195</v>
      </c>
      <c r="O103" s="41" t="s">
        <v>175</v>
      </c>
      <c r="P103" s="41" t="s">
        <v>192</v>
      </c>
      <c r="Q103" s="41" t="s">
        <v>193</v>
      </c>
      <c r="R103" s="41" t="s">
        <v>194</v>
      </c>
      <c r="S103" s="41" t="s">
        <v>195</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198</v>
      </c>
      <c r="J104" s="2"/>
      <c r="K104" s="2"/>
      <c r="O104" s="55">
        <f>'Input - Dairy'!$E$19</f>
        <v>1.6E-2</v>
      </c>
      <c r="P104" s="55">
        <f>'Input - Dairy'!$F$19</f>
        <v>0.6</v>
      </c>
      <c r="Q104" s="55">
        <f>'Input - Dairy'!$G$19</f>
        <v>0.56999999999999995</v>
      </c>
      <c r="R104" s="55">
        <f>'Input - Dairy'!$H$19</f>
        <v>0.1</v>
      </c>
      <c r="S104" s="55">
        <f>'Input - Dairy'!$I$19</f>
        <v>0.8</v>
      </c>
      <c r="T104" s="2" t="s">
        <v>198</v>
      </c>
      <c r="U104" s="2"/>
      <c r="V104" s="2"/>
    </row>
    <row r="105" spans="1:22" ht="20.100000000000001" customHeight="1" x14ac:dyDescent="0.25">
      <c r="A105" s="141" t="str">
        <f>HYPERLINK("#A1", "▲ Back to top")</f>
        <v>▲ Back to top</v>
      </c>
    </row>
    <row r="106" spans="1:22" ht="20.100000000000001" customHeight="1" x14ac:dyDescent="0.25">
      <c r="D106" s="104" t="s">
        <v>228</v>
      </c>
    </row>
    <row r="107" spans="1:22" ht="20.100000000000001" customHeight="1" x14ac:dyDescent="0.25">
      <c r="D107" s="103" t="s">
        <v>229</v>
      </c>
    </row>
    <row r="108" spans="1:22" ht="20.100000000000001" customHeight="1" x14ac:dyDescent="0.25">
      <c r="D108" s="54" t="s">
        <v>175</v>
      </c>
      <c r="E108" s="54" t="s">
        <v>192</v>
      </c>
      <c r="F108" s="54" t="s">
        <v>193</v>
      </c>
      <c r="G108" s="54" t="s">
        <v>194</v>
      </c>
      <c r="H108" s="54" t="s">
        <v>195</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114</v>
      </c>
      <c r="O111" s="104" t="s">
        <v>116</v>
      </c>
    </row>
    <row r="112" spans="1:22" ht="20.100000000000001" customHeight="1" x14ac:dyDescent="0.25">
      <c r="D112" s="103" t="s">
        <v>243</v>
      </c>
      <c r="O112" s="103" t="s">
        <v>242</v>
      </c>
    </row>
    <row r="113" spans="3:23" ht="20.100000000000001" customHeight="1" x14ac:dyDescent="0.25">
      <c r="D113" s="54" t="s">
        <v>175</v>
      </c>
      <c r="E113" s="54" t="s">
        <v>192</v>
      </c>
      <c r="F113" s="54" t="s">
        <v>193</v>
      </c>
      <c r="G113" s="54" t="s">
        <v>194</v>
      </c>
      <c r="H113" s="54" t="s">
        <v>195</v>
      </c>
      <c r="O113" s="54" t="s">
        <v>175</v>
      </c>
      <c r="P113" s="54" t="s">
        <v>192</v>
      </c>
      <c r="Q113" s="54" t="s">
        <v>193</v>
      </c>
      <c r="R113" s="54" t="s">
        <v>194</v>
      </c>
      <c r="S113" s="54" t="s">
        <v>195</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127</v>
      </c>
      <c r="O130" s="104" t="s">
        <v>130</v>
      </c>
    </row>
    <row r="131" spans="3:23" ht="20.100000000000001" customHeight="1" x14ac:dyDescent="0.25">
      <c r="D131" s="103" t="s">
        <v>244</v>
      </c>
      <c r="O131" s="103" t="s">
        <v>245</v>
      </c>
    </row>
    <row r="132" spans="3:23" ht="20.100000000000001" customHeight="1" x14ac:dyDescent="0.25">
      <c r="D132" s="54" t="s">
        <v>175</v>
      </c>
      <c r="E132" s="54" t="s">
        <v>192</v>
      </c>
      <c r="F132" s="54" t="s">
        <v>193</v>
      </c>
      <c r="G132" s="54" t="s">
        <v>194</v>
      </c>
      <c r="H132" s="54" t="s">
        <v>195</v>
      </c>
      <c r="O132" s="54" t="s">
        <v>175</v>
      </c>
      <c r="P132" s="54" t="s">
        <v>192</v>
      </c>
      <c r="Q132" s="54" t="s">
        <v>193</v>
      </c>
      <c r="R132" s="54" t="s">
        <v>194</v>
      </c>
      <c r="S132" s="54" t="s">
        <v>195</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250</v>
      </c>
      <c r="O148" s="104" t="s">
        <v>252</v>
      </c>
    </row>
    <row r="149" spans="1:22" ht="20.100000000000001" customHeight="1" x14ac:dyDescent="0.25">
      <c r="D149" s="103" t="s">
        <v>251</v>
      </c>
      <c r="O149" s="103" t="s">
        <v>253</v>
      </c>
    </row>
    <row r="150" spans="1:22" ht="20.100000000000001" customHeight="1" x14ac:dyDescent="0.25">
      <c r="D150" s="41" t="s">
        <v>149</v>
      </c>
      <c r="E150" s="41" t="s">
        <v>69</v>
      </c>
      <c r="F150" s="41" t="s">
        <v>175</v>
      </c>
      <c r="G150" s="41" t="s">
        <v>192</v>
      </c>
      <c r="H150" s="41" t="s">
        <v>193</v>
      </c>
      <c r="I150" s="41" t="s">
        <v>194</v>
      </c>
      <c r="J150" s="41" t="s">
        <v>195</v>
      </c>
      <c r="O150" s="41" t="s">
        <v>149</v>
      </c>
      <c r="P150" s="41" t="s">
        <v>69</v>
      </c>
      <c r="Q150" s="41" t="s">
        <v>175</v>
      </c>
      <c r="R150" s="41" t="s">
        <v>192</v>
      </c>
      <c r="S150" s="41" t="s">
        <v>193</v>
      </c>
      <c r="T150" s="41" t="s">
        <v>194</v>
      </c>
      <c r="U150" s="41" t="s">
        <v>195</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248</v>
      </c>
      <c r="O159" s="104" t="s">
        <v>254</v>
      </c>
    </row>
    <row r="160" spans="1:22" ht="20.100000000000001" customHeight="1" x14ac:dyDescent="0.25">
      <c r="D160" s="103" t="s">
        <v>257</v>
      </c>
      <c r="O160" s="103" t="s">
        <v>258</v>
      </c>
    </row>
    <row r="161" spans="4:22" ht="20.100000000000001" customHeight="1" x14ac:dyDescent="0.25">
      <c r="D161" s="41" t="s">
        <v>149</v>
      </c>
      <c r="E161" s="41" t="s">
        <v>69</v>
      </c>
      <c r="F161" s="41" t="s">
        <v>249</v>
      </c>
      <c r="O161" s="41" t="s">
        <v>149</v>
      </c>
      <c r="P161" s="41" t="s">
        <v>69</v>
      </c>
      <c r="Q161" s="41" t="s">
        <v>249</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247</v>
      </c>
      <c r="O170" s="104" t="s">
        <v>247</v>
      </c>
    </row>
    <row r="171" spans="4:22" ht="20.100000000000001" customHeight="1" x14ac:dyDescent="0.25">
      <c r="D171" s="103" t="s">
        <v>246</v>
      </c>
      <c r="O171" s="103" t="s">
        <v>459</v>
      </c>
    </row>
    <row r="172" spans="4:22" ht="20.100000000000001" customHeight="1" x14ac:dyDescent="0.25">
      <c r="D172" s="54" t="s">
        <v>149</v>
      </c>
      <c r="E172" s="54" t="s">
        <v>69</v>
      </c>
      <c r="F172" s="54" t="s">
        <v>175</v>
      </c>
      <c r="G172" s="54" t="s">
        <v>192</v>
      </c>
      <c r="H172" s="54" t="s">
        <v>193</v>
      </c>
      <c r="I172" s="54" t="s">
        <v>194</v>
      </c>
      <c r="J172" s="54" t="s">
        <v>195</v>
      </c>
      <c r="O172" s="54" t="s">
        <v>149</v>
      </c>
      <c r="P172" s="54" t="s">
        <v>69</v>
      </c>
      <c r="Q172" s="54" t="s">
        <v>175</v>
      </c>
      <c r="R172" s="54" t="s">
        <v>192</v>
      </c>
      <c r="S172" s="54" t="s">
        <v>193</v>
      </c>
      <c r="T172" s="54" t="s">
        <v>194</v>
      </c>
      <c r="U172" s="54" t="s">
        <v>195</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Dairy'!$D$81</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Dairy'!$D$105</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255</v>
      </c>
      <c r="O196" s="104" t="s">
        <v>261</v>
      </c>
    </row>
    <row r="197" spans="4:22" ht="20.100000000000001" customHeight="1" x14ac:dyDescent="0.25">
      <c r="D197" s="103" t="s">
        <v>256</v>
      </c>
      <c r="O197" s="103" t="s">
        <v>262</v>
      </c>
    </row>
    <row r="198" spans="4:22" ht="20.100000000000001" customHeight="1" x14ac:dyDescent="0.25">
      <c r="D198" s="41" t="s">
        <v>149</v>
      </c>
      <c r="E198" s="41" t="s">
        <v>69</v>
      </c>
      <c r="F198" s="41" t="s">
        <v>175</v>
      </c>
      <c r="G198" s="41" t="s">
        <v>192</v>
      </c>
      <c r="H198" s="41" t="s">
        <v>193</v>
      </c>
      <c r="I198" s="41" t="s">
        <v>194</v>
      </c>
      <c r="J198" s="41" t="s">
        <v>195</v>
      </c>
      <c r="O198" s="41" t="s">
        <v>149</v>
      </c>
      <c r="P198" s="41" t="s">
        <v>69</v>
      </c>
      <c r="Q198" s="41" t="s">
        <v>175</v>
      </c>
      <c r="R198" s="41" t="s">
        <v>192</v>
      </c>
      <c r="S198" s="41" t="s">
        <v>193</v>
      </c>
      <c r="T198" s="41" t="s">
        <v>194</v>
      </c>
      <c r="U198" s="41" t="s">
        <v>195</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101</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101</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101</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101</v>
      </c>
    </row>
    <row r="201" spans="4:22" ht="20.100000000000001" customHeight="1" x14ac:dyDescent="0.25"/>
    <row r="202" spans="4:22" ht="20.100000000000001" customHeight="1" x14ac:dyDescent="0.25">
      <c r="D202" s="104" t="s">
        <v>259</v>
      </c>
      <c r="O202" s="104" t="s">
        <v>263</v>
      </c>
    </row>
    <row r="203" spans="4:22" ht="20.100000000000001" customHeight="1" x14ac:dyDescent="0.25">
      <c r="D203" s="103" t="s">
        <v>260</v>
      </c>
      <c r="O203" s="103" t="s">
        <v>264</v>
      </c>
    </row>
    <row r="204" spans="4:22" ht="20.100000000000001" customHeight="1" x14ac:dyDescent="0.25">
      <c r="D204" s="54" t="s">
        <v>149</v>
      </c>
      <c r="E204" s="54" t="s">
        <v>69</v>
      </c>
      <c r="F204" s="54" t="s">
        <v>175</v>
      </c>
      <c r="G204" s="54" t="s">
        <v>192</v>
      </c>
      <c r="H204" s="54" t="s">
        <v>193</v>
      </c>
      <c r="I204" s="54" t="s">
        <v>194</v>
      </c>
      <c r="J204" s="54" t="s">
        <v>195</v>
      </c>
      <c r="O204" s="54" t="s">
        <v>149</v>
      </c>
      <c r="P204" s="54" t="s">
        <v>69</v>
      </c>
      <c r="Q204" s="54" t="s">
        <v>175</v>
      </c>
      <c r="R204" s="54" t="s">
        <v>192</v>
      </c>
      <c r="S204" s="54" t="s">
        <v>193</v>
      </c>
      <c r="T204" s="54" t="s">
        <v>194</v>
      </c>
      <c r="U204" s="54" t="s">
        <v>195</v>
      </c>
    </row>
    <row r="205" spans="4:22" ht="20.100000000000001" customHeight="1" x14ac:dyDescent="0.25">
      <c r="D205" s="55" t="str">
        <f>'Input - Dairy'!$D$66</f>
        <v>Milking shed</v>
      </c>
      <c r="E205" s="55" t="s">
        <v>411</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411</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411</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411</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NSW</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265</v>
      </c>
      <c r="O225" s="128" t="s">
        <v>422</v>
      </c>
    </row>
    <row r="226" spans="4:22" ht="20.100000000000001" customHeight="1" x14ac:dyDescent="0.25">
      <c r="D226" s="129" t="s">
        <v>266</v>
      </c>
      <c r="O226" s="129" t="s">
        <v>423</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424</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421</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420</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267</v>
      </c>
      <c r="O234" s="128" t="s">
        <v>281</v>
      </c>
    </row>
    <row r="235" spans="4:22" ht="20.100000000000001" customHeight="1" x14ac:dyDescent="0.25">
      <c r="D235" s="129" t="s">
        <v>283</v>
      </c>
      <c r="O235" s="129" t="s">
        <v>282</v>
      </c>
    </row>
    <row r="236" spans="4:22" ht="20.100000000000001" customHeight="1" x14ac:dyDescent="0.25">
      <c r="D236" s="54" t="s">
        <v>149</v>
      </c>
      <c r="E236" s="54" t="s">
        <v>69</v>
      </c>
      <c r="F236" s="54" t="s">
        <v>175</v>
      </c>
      <c r="G236" s="54" t="s">
        <v>192</v>
      </c>
      <c r="H236" s="54" t="s">
        <v>193</v>
      </c>
      <c r="I236" s="54" t="s">
        <v>194</v>
      </c>
      <c r="J236" s="54" t="s">
        <v>195</v>
      </c>
      <c r="O236" s="54" t="s">
        <v>149</v>
      </c>
      <c r="P236" s="54" t="s">
        <v>69</v>
      </c>
      <c r="Q236" s="54" t="s">
        <v>175</v>
      </c>
      <c r="R236" s="54" t="s">
        <v>192</v>
      </c>
      <c r="S236" s="54" t="s">
        <v>193</v>
      </c>
      <c r="T236" s="54" t="s">
        <v>194</v>
      </c>
      <c r="U236" s="54" t="s">
        <v>195</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Dairy'!$D$81</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411</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411</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Dairy'!$D$105</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411</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411</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109</v>
      </c>
    </row>
    <row r="268" spans="4:15" ht="20.100000000000001" customHeight="1" x14ac:dyDescent="0.25">
      <c r="D268" s="103" t="s">
        <v>268</v>
      </c>
    </row>
    <row r="269" spans="4:15" ht="20.100000000000001" customHeight="1" x14ac:dyDescent="0.25">
      <c r="D269" s="41" t="s">
        <v>175</v>
      </c>
      <c r="E269" s="41" t="s">
        <v>192</v>
      </c>
      <c r="F269" s="41" t="s">
        <v>193</v>
      </c>
      <c r="G269" s="41" t="s">
        <v>194</v>
      </c>
      <c r="H269" s="41" t="s">
        <v>195</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110</v>
      </c>
    </row>
    <row r="271" spans="4:15" ht="20.100000000000001" customHeight="1" x14ac:dyDescent="0.25"/>
    <row r="272" spans="4:15" x14ac:dyDescent="0.25">
      <c r="D272" s="104" t="s">
        <v>269</v>
      </c>
      <c r="O272" s="104" t="s">
        <v>279</v>
      </c>
    </row>
    <row r="273" spans="1:20" x14ac:dyDescent="0.25">
      <c r="D273" s="103" t="s">
        <v>277</v>
      </c>
      <c r="O273" s="103" t="s">
        <v>280</v>
      </c>
    </row>
    <row r="274" spans="1:20" x14ac:dyDescent="0.25">
      <c r="D274" s="41" t="s">
        <v>175</v>
      </c>
      <c r="E274" s="41" t="s">
        <v>192</v>
      </c>
      <c r="F274" s="41" t="s">
        <v>193</v>
      </c>
      <c r="G274" s="41" t="s">
        <v>194</v>
      </c>
      <c r="H274" s="41" t="s">
        <v>195</v>
      </c>
      <c r="O274" s="41" t="s">
        <v>175</v>
      </c>
      <c r="P274" s="41" t="s">
        <v>192</v>
      </c>
      <c r="Q274" s="41" t="s">
        <v>193</v>
      </c>
      <c r="R274" s="41" t="s">
        <v>194</v>
      </c>
      <c r="S274" s="41" t="s">
        <v>195</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271</v>
      </c>
    </row>
    <row r="278" spans="1:20" x14ac:dyDescent="0.25">
      <c r="D278" s="103" t="s">
        <v>272</v>
      </c>
    </row>
    <row r="279" spans="1:20" x14ac:dyDescent="0.25">
      <c r="D279" s="54" t="s">
        <v>175</v>
      </c>
      <c r="E279" s="54" t="s">
        <v>192</v>
      </c>
      <c r="F279" s="54" t="s">
        <v>193</v>
      </c>
      <c r="G279" s="54" t="s">
        <v>194</v>
      </c>
      <c r="H279" s="54" t="s">
        <v>195</v>
      </c>
    </row>
    <row r="280" spans="1:20" x14ac:dyDescent="0.25">
      <c r="D280" s="55">
        <v>0</v>
      </c>
      <c r="E280" s="55">
        <v>0</v>
      </c>
      <c r="F280" s="55">
        <f>'Constants - Dairy'!$E$63</f>
        <v>1.7600000000000001E-2</v>
      </c>
      <c r="G280" s="55">
        <v>0</v>
      </c>
      <c r="H280" s="55">
        <f>'Constants - Dairy'!$E$64</f>
        <v>2.0400000000000001E-2</v>
      </c>
      <c r="I280" s="2" t="s">
        <v>274</v>
      </c>
    </row>
    <row r="282" spans="1:20" x14ac:dyDescent="0.25">
      <c r="D282" s="104" t="s">
        <v>270</v>
      </c>
      <c r="O282" s="104" t="s">
        <v>270</v>
      </c>
    </row>
    <row r="283" spans="1:20" x14ac:dyDescent="0.25">
      <c r="D283" s="103" t="s">
        <v>278</v>
      </c>
      <c r="O283" s="103" t="s">
        <v>278</v>
      </c>
    </row>
    <row r="284" spans="1:20" x14ac:dyDescent="0.25">
      <c r="D284" s="54" t="s">
        <v>175</v>
      </c>
      <c r="E284" s="54" t="s">
        <v>192</v>
      </c>
      <c r="F284" s="54" t="s">
        <v>193</v>
      </c>
      <c r="G284" s="54" t="s">
        <v>194</v>
      </c>
      <c r="H284" s="54" t="s">
        <v>195</v>
      </c>
      <c r="O284" s="41" t="s">
        <v>175</v>
      </c>
      <c r="P284" s="41" t="s">
        <v>192</v>
      </c>
      <c r="Q284" s="41" t="s">
        <v>193</v>
      </c>
      <c r="R284" s="41" t="s">
        <v>194</v>
      </c>
      <c r="S284" s="41" t="s">
        <v>195</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273</v>
      </c>
      <c r="O287" s="104" t="s">
        <v>273</v>
      </c>
    </row>
    <row r="288" spans="1:20" x14ac:dyDescent="0.25">
      <c r="D288" s="103" t="s">
        <v>284</v>
      </c>
      <c r="O288" s="103" t="s">
        <v>457</v>
      </c>
    </row>
    <row r="289" spans="4:21" x14ac:dyDescent="0.25">
      <c r="D289" s="54" t="s">
        <v>149</v>
      </c>
      <c r="E289" s="54" t="s">
        <v>69</v>
      </c>
      <c r="F289" s="54" t="s">
        <v>175</v>
      </c>
      <c r="G289" s="54" t="s">
        <v>192</v>
      </c>
      <c r="H289" s="54" t="s">
        <v>193</v>
      </c>
      <c r="I289" s="54" t="s">
        <v>194</v>
      </c>
      <c r="J289" s="54" t="s">
        <v>195</v>
      </c>
      <c r="O289" s="54" t="s">
        <v>149</v>
      </c>
      <c r="P289" s="54" t="s">
        <v>69</v>
      </c>
      <c r="Q289" s="54" t="s">
        <v>175</v>
      </c>
      <c r="R289" s="54" t="s">
        <v>192</v>
      </c>
      <c r="S289" s="54" t="s">
        <v>193</v>
      </c>
      <c r="T289" s="54" t="s">
        <v>194</v>
      </c>
      <c r="U289" s="54" t="s">
        <v>195</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Dairy'!$D$81</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MMS_Dairy_Methane_Equations.VEERG_4_3_1_1__1_TotalAnnualMethaneFromManureManagementVariation(E$270,R238,P$275,0,0,0,0,0)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MMS_Dairy_Methane_Equations.VEERG_4_3_1_1__1_TotalAnnualMethaneFromManureManagementVariation(G$270,T238,R$275,0,0,0,0,0)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411</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411</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MMS_Dairy_Methane_Equations.VEERG_4_3_1_1__1_TotalAnnualMethaneFromManureManagementVariation(E$270,R241,P$275,0,0,0,0,0)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MMS_Dairy_Methane_Equations.VEERG_4_3_1_1__1_TotalAnnualMethaneFromManureManagementVariation(G$270,T241,R$275,0,0,0,0,0)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Dairy'!$D$105</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MMS_Dairy_Methane_Equations.VEERG_4_3_1_1__1_TotalAnnualMethaneFromManureManagementVariation(E$270,R242,P$275,0,0,0,0,0)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MMS_Dairy_Methane_Equations.VEERG_4_3_1_1__1_TotalAnnualMethaneFromManureManagementVariation(G$270,T242,R$275,0,0,0,0,0)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411</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411</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MMS_Dairy_Methane_Equations.VEERG_4_3_1_1__1_TotalAnnualMethaneFromManureManagementVariation(E$270,R245,P$275,0,0,0,0,0)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MMS_Dairy_Methane_Equations.VEERG_4_3_1_1__1_TotalAnnualMethaneFromManureManagementVariation(G$270,T245,R$275,0,0,0,0,0)</f>
        <v>3.5667134980860167E-2</v>
      </c>
      <c r="U298" s="55" cm="1">
        <f t="array" ref="U298">MMS_Dairy_Methane_Equations.VEERG_4_3_1_1__1_TotalAnnualMethaneFromManureManagementVariation(0,0,0,H$270,U245,S$275,H$280,S$285)</f>
        <v>0.18782961212420554</v>
      </c>
    </row>
    <row r="300" spans="4:21" ht="20.25" x14ac:dyDescent="0.25">
      <c r="D300" s="108" t="s">
        <v>131</v>
      </c>
      <c r="E300" s="109">
        <f>SUM(F290:J298)</f>
        <v>10.314345551795777</v>
      </c>
      <c r="F300" s="110" t="str">
        <f>$E$256</f>
        <v>t CH4</v>
      </c>
      <c r="O300" s="108" t="s">
        <v>426</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276</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132</v>
      </c>
      <c r="E305" s="48" cm="1">
        <f t="array" ref="E305">Common_Equations.Common_ConvertCH4ToCO2e(G302,G303)</f>
        <v>288.80167545028172</v>
      </c>
      <c r="F305" s="112" t="str" cm="1">
        <f t="array" ref="F305">Common_Equations.Common_ConvertN2OToCO2e_Unit()</f>
        <v>t CO2e</v>
      </c>
      <c r="O305" s="48" t="s">
        <v>425</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286</v>
      </c>
    </row>
    <row r="2" spans="1:21" s="9" customFormat="1" ht="20.100000000000001" customHeight="1" x14ac:dyDescent="0.25"/>
    <row r="3" spans="1:21" ht="20.100000000000001" customHeight="1" x14ac:dyDescent="0.25">
      <c r="A3" s="17" t="str">
        <f>HYPERLINK("#'Home'!A1", "Home")</f>
        <v>Home</v>
      </c>
      <c r="C3" s="4"/>
      <c r="D3" s="4" t="s">
        <v>121</v>
      </c>
      <c r="E3" s="4"/>
      <c r="F3" s="4"/>
      <c r="G3" s="4"/>
      <c r="H3" s="4"/>
      <c r="I3" s="4"/>
      <c r="J3" s="4"/>
      <c r="K3" s="4"/>
      <c r="M3" s="4"/>
      <c r="N3" s="4" t="s">
        <v>122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220</v>
      </c>
      <c r="N16" s="104" t="s">
        <v>222</v>
      </c>
    </row>
    <row r="17" spans="1:21" ht="20.100000000000001" customHeight="1" x14ac:dyDescent="0.25">
      <c r="A17" s="17" t="str">
        <f>HYPERLINK("#'4.3.1.9 Soil direct N2O'!A1", "4.3.1.9 Soil direct N2O")</f>
        <v>4.3.1.9 Soil direct N2O</v>
      </c>
      <c r="D17" s="103" t="s">
        <v>221</v>
      </c>
      <c r="N17" s="103" t="s">
        <v>223</v>
      </c>
    </row>
    <row r="18" spans="1:21" ht="20.100000000000001" customHeight="1" x14ac:dyDescent="0.25">
      <c r="A18" s="17" t="str">
        <f>HYPERLINK("#'4.3.1.10-11 Soil Atmos Dep'!A1", "4.3.1.10-11 Soil atm. deposition")</f>
        <v>4.3.1.10-11 Soil atm. deposition</v>
      </c>
      <c r="D18" s="41" t="s">
        <v>175</v>
      </c>
      <c r="E18" s="41" t="s">
        <v>192</v>
      </c>
      <c r="F18" s="41" t="s">
        <v>193</v>
      </c>
      <c r="G18" s="41" t="s">
        <v>194</v>
      </c>
      <c r="H18" s="41" t="s">
        <v>195</v>
      </c>
      <c r="N18" s="41" t="s">
        <v>175</v>
      </c>
      <c r="O18" s="41" t="s">
        <v>192</v>
      </c>
      <c r="P18" s="41" t="s">
        <v>193</v>
      </c>
      <c r="Q18" s="41" t="s">
        <v>194</v>
      </c>
      <c r="R18" s="41" t="s">
        <v>195</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197</v>
      </c>
      <c r="N19" s="55">
        <f>'Input - Dairy'!$E$18</f>
        <v>550</v>
      </c>
      <c r="O19" s="55">
        <f>'Input - Dairy'!$F$18</f>
        <v>380</v>
      </c>
      <c r="P19" s="55">
        <f>'Input - Dairy'!$G$18</f>
        <v>155</v>
      </c>
      <c r="Q19" s="55">
        <f>'Input - Dairy'!$H$18</f>
        <v>600</v>
      </c>
      <c r="R19" s="55">
        <f>'Input - Dairy'!$I$18</f>
        <v>225</v>
      </c>
      <c r="S19" s="2" t="s">
        <v>197</v>
      </c>
    </row>
    <row r="20" spans="1:21" ht="20.100000000000001" customHeight="1" x14ac:dyDescent="0.25">
      <c r="A20" s="17"/>
    </row>
    <row r="21" spans="1:21" ht="20.100000000000001" customHeight="1" x14ac:dyDescent="0.25">
      <c r="A21" s="18" t="s">
        <v>4</v>
      </c>
      <c r="D21" s="104" t="s">
        <v>287</v>
      </c>
    </row>
    <row r="22" spans="1:21" ht="20.100000000000001" customHeight="1" x14ac:dyDescent="0.25">
      <c r="A22" s="17" t="str">
        <f>HYPERLINK("#'Constants - Dairy'!A1", "Constants - Dairy")</f>
        <v>Constants - Dairy</v>
      </c>
      <c r="D22" s="103" t="s">
        <v>288</v>
      </c>
    </row>
    <row r="23" spans="1:21" ht="20.100000000000001" customHeight="1" x14ac:dyDescent="0.25">
      <c r="A23" s="17" t="str">
        <f>HYPERLINK("#'Constants - Livestock'!A1", "Constants - Livestock")</f>
        <v>Constants - Livestock</v>
      </c>
      <c r="D23" s="54" t="s">
        <v>175</v>
      </c>
      <c r="E23" s="54" t="s">
        <v>192</v>
      </c>
      <c r="F23" s="54" t="s">
        <v>193</v>
      </c>
      <c r="G23" s="54" t="s">
        <v>194</v>
      </c>
      <c r="H23" s="54" t="s">
        <v>195</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197</v>
      </c>
    </row>
    <row r="25" spans="1:21" ht="20.100000000000001" customHeight="1" x14ac:dyDescent="0.25">
      <c r="A25" s="17" t="str">
        <f>HYPERLINK("#'Acknowledgements'!A1", "Acknowledgements")</f>
        <v>Acknowledgements</v>
      </c>
    </row>
    <row r="26" spans="1:21" ht="20.100000000000001" customHeight="1" x14ac:dyDescent="0.25">
      <c r="D26" s="104" t="s">
        <v>289</v>
      </c>
      <c r="N26" s="104" t="s">
        <v>289</v>
      </c>
    </row>
    <row r="27" spans="1:21" ht="20.100000000000001" customHeight="1" x14ac:dyDescent="0.25">
      <c r="D27" s="103" t="s">
        <v>290</v>
      </c>
      <c r="N27" s="103" t="s">
        <v>470</v>
      </c>
    </row>
    <row r="28" spans="1:21" ht="20.100000000000001" customHeight="1" x14ac:dyDescent="0.25">
      <c r="D28" s="54" t="s">
        <v>175</v>
      </c>
      <c r="E28" s="54" t="s">
        <v>192</v>
      </c>
      <c r="F28" s="54" t="s">
        <v>193</v>
      </c>
      <c r="G28" s="54" t="s">
        <v>194</v>
      </c>
      <c r="H28" s="54" t="s">
        <v>195</v>
      </c>
      <c r="N28" s="54" t="s">
        <v>175</v>
      </c>
      <c r="O28" s="54" t="s">
        <v>192</v>
      </c>
      <c r="P28" s="54" t="s">
        <v>193</v>
      </c>
      <c r="Q28" s="54" t="s">
        <v>194</v>
      </c>
      <c r="R28" s="54" t="s">
        <v>195</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114</v>
      </c>
      <c r="N47" s="104" t="s">
        <v>116</v>
      </c>
    </row>
    <row r="48" spans="4:14" ht="20.100000000000001" customHeight="1" x14ac:dyDescent="0.25">
      <c r="D48" s="103" t="s">
        <v>243</v>
      </c>
      <c r="N48" s="103" t="s">
        <v>242</v>
      </c>
    </row>
    <row r="49" spans="4:19" ht="20.100000000000001" customHeight="1" x14ac:dyDescent="0.25">
      <c r="D49" s="54" t="s">
        <v>175</v>
      </c>
      <c r="E49" s="54" t="s">
        <v>192</v>
      </c>
      <c r="F49" s="54" t="s">
        <v>193</v>
      </c>
      <c r="G49" s="54" t="s">
        <v>194</v>
      </c>
      <c r="H49" s="54" t="s">
        <v>195</v>
      </c>
      <c r="N49" s="54" t="s">
        <v>175</v>
      </c>
      <c r="O49" s="54" t="s">
        <v>192</v>
      </c>
      <c r="P49" s="54" t="s">
        <v>193</v>
      </c>
      <c r="Q49" s="54" t="s">
        <v>194</v>
      </c>
      <c r="R49" s="54" t="s">
        <v>195</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228</v>
      </c>
    </row>
    <row r="53" spans="4:19" ht="20.100000000000001" customHeight="1" x14ac:dyDescent="0.25">
      <c r="D53" s="103" t="s">
        <v>229</v>
      </c>
    </row>
    <row r="54" spans="4:19" ht="20.100000000000001" customHeight="1" x14ac:dyDescent="0.25">
      <c r="D54" s="54" t="s">
        <v>175</v>
      </c>
      <c r="E54" s="54" t="s">
        <v>192</v>
      </c>
      <c r="F54" s="54" t="s">
        <v>193</v>
      </c>
      <c r="G54" s="54" t="s">
        <v>194</v>
      </c>
      <c r="H54" s="54" t="s">
        <v>195</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235</v>
      </c>
    </row>
    <row r="58" spans="4:19" ht="20.100000000000001" customHeight="1" x14ac:dyDescent="0.25">
      <c r="D58" s="103" t="s">
        <v>236</v>
      </c>
    </row>
    <row r="59" spans="4:19" ht="20.100000000000001" customHeight="1" x14ac:dyDescent="0.25">
      <c r="D59" s="54" t="s">
        <v>175</v>
      </c>
      <c r="E59" s="54" t="s">
        <v>192</v>
      </c>
      <c r="F59" s="54" t="s">
        <v>193</v>
      </c>
      <c r="G59" s="54" t="s">
        <v>194</v>
      </c>
      <c r="H59" s="54" t="s">
        <v>195</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291</v>
      </c>
      <c r="N62" s="104" t="s">
        <v>293</v>
      </c>
    </row>
    <row r="63" spans="4:19" ht="20.100000000000001" customHeight="1" x14ac:dyDescent="0.25">
      <c r="D63" s="103" t="s">
        <v>292</v>
      </c>
      <c r="N63" s="103" t="s">
        <v>294</v>
      </c>
    </row>
    <row r="64" spans="4:19" ht="20.100000000000001" customHeight="1" x14ac:dyDescent="0.25">
      <c r="D64" s="54" t="s">
        <v>175</v>
      </c>
      <c r="E64" s="54" t="s">
        <v>192</v>
      </c>
      <c r="F64" s="54" t="s">
        <v>193</v>
      </c>
      <c r="G64" s="54" t="s">
        <v>194</v>
      </c>
      <c r="H64" s="54" t="s">
        <v>195</v>
      </c>
      <c r="N64" s="54" t="s">
        <v>175</v>
      </c>
      <c r="O64" s="54" t="s">
        <v>192</v>
      </c>
      <c r="P64" s="54" t="s">
        <v>193</v>
      </c>
      <c r="Q64" s="54" t="s">
        <v>194</v>
      </c>
      <c r="R64" s="54" t="s">
        <v>195</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452</v>
      </c>
      <c r="N85" s="104" t="s">
        <v>454</v>
      </c>
    </row>
    <row r="86" spans="4:19" ht="20.100000000000001" customHeight="1" x14ac:dyDescent="0.25">
      <c r="D86" s="103" t="s">
        <v>453</v>
      </c>
      <c r="N86" s="103" t="s">
        <v>455</v>
      </c>
    </row>
    <row r="87" spans="4:19" ht="20.100000000000001" customHeight="1" x14ac:dyDescent="0.25">
      <c r="D87" s="54" t="s">
        <v>175</v>
      </c>
      <c r="E87" s="54" t="s">
        <v>192</v>
      </c>
      <c r="F87" s="54" t="s">
        <v>193</v>
      </c>
      <c r="G87" s="54" t="s">
        <v>194</v>
      </c>
      <c r="H87" s="54" t="s">
        <v>195</v>
      </c>
      <c r="N87" s="54" t="s">
        <v>175</v>
      </c>
      <c r="O87" s="54" t="s">
        <v>192</v>
      </c>
      <c r="P87" s="54" t="s">
        <v>193</v>
      </c>
      <c r="Q87" s="54" t="s">
        <v>194</v>
      </c>
      <c r="R87" s="54" t="s">
        <v>195</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240</v>
      </c>
    </row>
    <row r="91" spans="4:19" ht="20.100000000000001" customHeight="1" x14ac:dyDescent="0.25">
      <c r="D91" s="103" t="s">
        <v>199</v>
      </c>
    </row>
    <row r="92" spans="4:19" ht="20.100000000000001" customHeight="1" x14ac:dyDescent="0.25">
      <c r="D92" s="41" t="s">
        <v>175</v>
      </c>
      <c r="E92" s="41" t="s">
        <v>192</v>
      </c>
      <c r="F92" s="41" t="s">
        <v>193</v>
      </c>
      <c r="G92" s="41" t="s">
        <v>194</v>
      </c>
      <c r="H92" s="41" t="s">
        <v>195</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224</v>
      </c>
      <c r="N95" s="104" t="s">
        <v>226</v>
      </c>
    </row>
    <row r="96" spans="4:19" ht="20.100000000000001" customHeight="1" x14ac:dyDescent="0.25">
      <c r="D96" s="103" t="s">
        <v>225</v>
      </c>
      <c r="N96" s="103" t="s">
        <v>227</v>
      </c>
    </row>
    <row r="97" spans="1:21" ht="20.100000000000001" customHeight="1" x14ac:dyDescent="0.25">
      <c r="D97" s="41" t="s">
        <v>175</v>
      </c>
      <c r="E97" s="41" t="s">
        <v>192</v>
      </c>
      <c r="F97" s="41" t="s">
        <v>193</v>
      </c>
      <c r="G97" s="41" t="s">
        <v>194</v>
      </c>
      <c r="H97" s="41" t="s">
        <v>195</v>
      </c>
      <c r="N97" s="41" t="s">
        <v>175</v>
      </c>
      <c r="O97" s="41" t="s">
        <v>192</v>
      </c>
      <c r="P97" s="41" t="s">
        <v>193</v>
      </c>
      <c r="Q97" s="41" t="s">
        <v>194</v>
      </c>
      <c r="R97" s="41" t="s">
        <v>195</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117</v>
      </c>
      <c r="N100" s="104" t="s">
        <v>118</v>
      </c>
    </row>
    <row r="101" spans="1:21" ht="20.100000000000001" customHeight="1" x14ac:dyDescent="0.25">
      <c r="D101" s="103" t="s">
        <v>295</v>
      </c>
      <c r="N101" s="103" t="s">
        <v>296</v>
      </c>
    </row>
    <row r="102" spans="1:21" ht="20.100000000000001" customHeight="1" x14ac:dyDescent="0.25">
      <c r="D102" s="54" t="s">
        <v>175</v>
      </c>
      <c r="E102" s="54" t="s">
        <v>192</v>
      </c>
      <c r="F102" s="54" t="s">
        <v>193</v>
      </c>
      <c r="G102" s="54" t="s">
        <v>194</v>
      </c>
      <c r="H102" s="54" t="s">
        <v>195</v>
      </c>
      <c r="N102" s="54" t="s">
        <v>175</v>
      </c>
      <c r="O102" s="54" t="s">
        <v>192</v>
      </c>
      <c r="P102" s="54" t="s">
        <v>193</v>
      </c>
      <c r="Q102" s="54" t="s">
        <v>194</v>
      </c>
      <c r="R102" s="54" t="s">
        <v>195</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115</v>
      </c>
      <c r="N118" s="104" t="s">
        <v>466</v>
      </c>
    </row>
    <row r="119" spans="1:19" ht="20.100000000000001" customHeight="1" x14ac:dyDescent="0.25">
      <c r="D119" s="103" t="s">
        <v>297</v>
      </c>
      <c r="N119" s="103" t="s">
        <v>467</v>
      </c>
    </row>
    <row r="120" spans="1:19" ht="20.100000000000001" customHeight="1" x14ac:dyDescent="0.25">
      <c r="D120" s="41" t="s">
        <v>175</v>
      </c>
      <c r="E120" s="41" t="s">
        <v>192</v>
      </c>
      <c r="F120" s="41" t="s">
        <v>193</v>
      </c>
      <c r="G120" s="41" t="s">
        <v>194</v>
      </c>
      <c r="H120" s="41" t="s">
        <v>195</v>
      </c>
      <c r="N120" s="41" t="s">
        <v>175</v>
      </c>
      <c r="O120" s="41" t="s">
        <v>192</v>
      </c>
      <c r="P120" s="41" t="s">
        <v>193</v>
      </c>
      <c r="Q120" s="41" t="s">
        <v>194</v>
      </c>
      <c r="R120" s="41" t="s">
        <v>195</v>
      </c>
    </row>
    <row r="121" spans="1:19" ht="20.100000000000001" customHeight="1" x14ac:dyDescent="0.25">
      <c r="A121" s="141" t="str">
        <f>HYPERLINK("#A1", "▲ Back to top")</f>
        <v>▲ Back to top</v>
      </c>
      <c r="D121" s="55">
        <f>'Input - Dairy'!E38</f>
        <v>0.2</v>
      </c>
      <c r="E121" s="55">
        <f>'Input - Dairy'!F38</f>
        <v>0.2</v>
      </c>
      <c r="F121" s="55">
        <f>'Input - Dairy'!G38</f>
        <v>0.2</v>
      </c>
      <c r="G121" s="55">
        <f>'Input - Dairy'!H38</f>
        <v>0.2</v>
      </c>
      <c r="H121" s="55">
        <f>'Input - Dairy'!I38</f>
        <v>0.2</v>
      </c>
      <c r="I121" s="2" t="str">
        <f>$F$116</f>
        <v>fraction</v>
      </c>
      <c r="N121" s="55">
        <f>'Input - Dairy'!E43</f>
        <v>0.2</v>
      </c>
      <c r="O121" s="55">
        <f>'Input - Dairy'!F43</f>
        <v>0.2</v>
      </c>
      <c r="P121" s="55">
        <f>'Input - Dairy'!G43</f>
        <v>0.2</v>
      </c>
      <c r="Q121" s="55">
        <f>'Input - Dairy'!H43</f>
        <v>0.2</v>
      </c>
      <c r="R121" s="55">
        <f>'Input - Dairy'!I43</f>
        <v>0.2</v>
      </c>
      <c r="S121" s="2" t="str">
        <f>$F$116</f>
        <v>fraction</v>
      </c>
    </row>
    <row r="122" spans="1:19" ht="20.100000000000001" customHeight="1" x14ac:dyDescent="0.25"/>
    <row r="123" spans="1:19" ht="20.100000000000001" customHeight="1" x14ac:dyDescent="0.25">
      <c r="D123" s="104" t="s">
        <v>298</v>
      </c>
      <c r="N123" s="104" t="s">
        <v>468</v>
      </c>
    </row>
    <row r="124" spans="1:19" ht="20.100000000000001" customHeight="1" x14ac:dyDescent="0.25">
      <c r="D124" s="103" t="s">
        <v>299</v>
      </c>
      <c r="N124" s="103" t="s">
        <v>469</v>
      </c>
    </row>
    <row r="125" spans="1:19" ht="20.100000000000001" customHeight="1" x14ac:dyDescent="0.25">
      <c r="D125" s="54" t="s">
        <v>175</v>
      </c>
      <c r="E125" s="54" t="s">
        <v>192</v>
      </c>
      <c r="F125" s="54" t="s">
        <v>193</v>
      </c>
      <c r="G125" s="54" t="s">
        <v>194</v>
      </c>
      <c r="H125" s="54" t="s">
        <v>195</v>
      </c>
      <c r="N125" s="54" t="s">
        <v>175</v>
      </c>
      <c r="O125" s="54" t="s">
        <v>192</v>
      </c>
      <c r="P125" s="54" t="s">
        <v>193</v>
      </c>
      <c r="Q125" s="54" t="s">
        <v>194</v>
      </c>
      <c r="R125" s="54" t="s">
        <v>195</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119</v>
      </c>
      <c r="N143" s="104" t="s">
        <v>120</v>
      </c>
    </row>
    <row r="144" spans="1:21" ht="20.100000000000001" customHeight="1" x14ac:dyDescent="0.25">
      <c r="D144" s="103" t="s">
        <v>300</v>
      </c>
      <c r="N144" s="103" t="s">
        <v>301</v>
      </c>
    </row>
    <row r="145" spans="3:21" ht="20.100000000000001" customHeight="1" x14ac:dyDescent="0.25">
      <c r="D145" s="54" t="s">
        <v>175</v>
      </c>
      <c r="E145" s="54" t="s">
        <v>192</v>
      </c>
      <c r="F145" s="54" t="s">
        <v>193</v>
      </c>
      <c r="G145" s="54" t="s">
        <v>194</v>
      </c>
      <c r="H145" s="54" t="s">
        <v>195</v>
      </c>
      <c r="N145" s="54" t="s">
        <v>175</v>
      </c>
      <c r="O145" s="54" t="s">
        <v>192</v>
      </c>
      <c r="P145" s="54" t="s">
        <v>193</v>
      </c>
      <c r="Q145" s="54" t="s">
        <v>194</v>
      </c>
      <c r="R145" s="54" t="s">
        <v>195</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109</v>
      </c>
    </row>
    <row r="164" spans="1:19" ht="20.100000000000001" customHeight="1" x14ac:dyDescent="0.25">
      <c r="D164" s="103" t="s">
        <v>268</v>
      </c>
    </row>
    <row r="165" spans="1:19" ht="20.100000000000001" customHeight="1" x14ac:dyDescent="0.25">
      <c r="D165" s="41" t="s">
        <v>175</v>
      </c>
      <c r="E165" s="41" t="s">
        <v>192</v>
      </c>
      <c r="F165" s="41" t="s">
        <v>193</v>
      </c>
      <c r="G165" s="41" t="s">
        <v>194</v>
      </c>
      <c r="H165" s="41" t="s">
        <v>195</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275</v>
      </c>
      <c r="N168" s="104" t="s">
        <v>465</v>
      </c>
    </row>
    <row r="169" spans="1:19" ht="20.100000000000001" customHeight="1" x14ac:dyDescent="0.25">
      <c r="D169" s="103" t="s">
        <v>303</v>
      </c>
      <c r="N169" s="103" t="s">
        <v>304</v>
      </c>
    </row>
    <row r="170" spans="1:19" ht="20.100000000000001" customHeight="1" x14ac:dyDescent="0.25">
      <c r="D170" s="41" t="s">
        <v>175</v>
      </c>
      <c r="E170" s="41" t="s">
        <v>192</v>
      </c>
      <c r="F170" s="41" t="s">
        <v>193</v>
      </c>
      <c r="G170" s="41" t="s">
        <v>194</v>
      </c>
      <c r="H170" s="41" t="s">
        <v>195</v>
      </c>
      <c r="N170" s="41" t="s">
        <v>175</v>
      </c>
      <c r="O170" s="41" t="s">
        <v>192</v>
      </c>
      <c r="P170" s="41" t="s">
        <v>193</v>
      </c>
      <c r="Q170" s="41" t="s">
        <v>194</v>
      </c>
      <c r="R170" s="41" t="s">
        <v>195</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302</v>
      </c>
      <c r="N173" s="104" t="s">
        <v>463</v>
      </c>
    </row>
    <row r="174" spans="1:19" ht="20.100000000000001" customHeight="1" x14ac:dyDescent="0.25">
      <c r="D174" s="103" t="s">
        <v>310</v>
      </c>
      <c r="N174" s="103" t="s">
        <v>464</v>
      </c>
    </row>
    <row r="175" spans="1:19" ht="20.100000000000001" customHeight="1" x14ac:dyDescent="0.25">
      <c r="D175" s="54" t="s">
        <v>175</v>
      </c>
      <c r="E175" s="54" t="s">
        <v>192</v>
      </c>
      <c r="F175" s="54" t="s">
        <v>193</v>
      </c>
      <c r="G175" s="54" t="s">
        <v>194</v>
      </c>
      <c r="H175" s="54" t="s">
        <v>195</v>
      </c>
      <c r="N175" s="54" t="s">
        <v>175</v>
      </c>
      <c r="O175" s="54" t="s">
        <v>192</v>
      </c>
      <c r="P175" s="54" t="s">
        <v>193</v>
      </c>
      <c r="Q175" s="54" t="s">
        <v>194</v>
      </c>
      <c r="R175" s="54" t="s">
        <v>195</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307</v>
      </c>
    </row>
    <row r="196" spans="1:19" ht="20.100000000000001" customHeight="1" x14ac:dyDescent="0.25">
      <c r="D196" s="103" t="s">
        <v>308</v>
      </c>
    </row>
    <row r="197" spans="1:19" ht="20.100000000000001" customHeight="1" x14ac:dyDescent="0.25">
      <c r="D197" s="54" t="s">
        <v>175</v>
      </c>
      <c r="E197" s="54" t="s">
        <v>192</v>
      </c>
      <c r="F197" s="54" t="s">
        <v>193</v>
      </c>
      <c r="G197" s="54" t="s">
        <v>194</v>
      </c>
      <c r="H197" s="54" t="s">
        <v>195</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305</v>
      </c>
      <c r="N200" s="104" t="s">
        <v>305</v>
      </c>
    </row>
    <row r="201" spans="1:19" ht="20.100000000000001" customHeight="1" x14ac:dyDescent="0.25">
      <c r="D201" s="103" t="s">
        <v>306</v>
      </c>
      <c r="N201" s="103" t="s">
        <v>460</v>
      </c>
    </row>
    <row r="202" spans="1:19" ht="20.100000000000001" customHeight="1" x14ac:dyDescent="0.25">
      <c r="D202" s="41" t="s">
        <v>175</v>
      </c>
      <c r="E202" s="41" t="s">
        <v>192</v>
      </c>
      <c r="F202" s="41" t="s">
        <v>193</v>
      </c>
      <c r="G202" s="41" t="s">
        <v>194</v>
      </c>
      <c r="H202" s="41" t="s">
        <v>195</v>
      </c>
      <c r="N202" s="41" t="s">
        <v>175</v>
      </c>
      <c r="O202" s="41" t="s">
        <v>192</v>
      </c>
      <c r="P202" s="41" t="s">
        <v>193</v>
      </c>
      <c r="Q202" s="41" t="s">
        <v>194</v>
      </c>
      <c r="R202" s="41" t="s">
        <v>195</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270</v>
      </c>
      <c r="N205" s="104" t="s">
        <v>270</v>
      </c>
    </row>
    <row r="206" spans="1:19" ht="20.100000000000001" customHeight="1" x14ac:dyDescent="0.25">
      <c r="D206" s="103" t="s">
        <v>278</v>
      </c>
      <c r="N206" s="103" t="s">
        <v>461</v>
      </c>
    </row>
    <row r="207" spans="1:19" ht="20.100000000000001" customHeight="1" x14ac:dyDescent="0.25">
      <c r="D207" s="41" t="s">
        <v>175</v>
      </c>
      <c r="E207" s="41" t="s">
        <v>192</v>
      </c>
      <c r="F207" s="41" t="s">
        <v>193</v>
      </c>
      <c r="G207" s="41" t="s">
        <v>194</v>
      </c>
      <c r="H207" s="41" t="s">
        <v>195</v>
      </c>
      <c r="N207" s="41" t="s">
        <v>175</v>
      </c>
      <c r="O207" s="41" t="s">
        <v>192</v>
      </c>
      <c r="P207" s="41" t="s">
        <v>193</v>
      </c>
      <c r="Q207" s="41" t="s">
        <v>194</v>
      </c>
      <c r="R207" s="41" t="s">
        <v>195</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123</v>
      </c>
      <c r="N210" s="104" t="s">
        <v>123</v>
      </c>
    </row>
    <row r="211" spans="3:21" ht="20.100000000000001" customHeight="1" x14ac:dyDescent="0.25">
      <c r="D211" s="103" t="s">
        <v>309</v>
      </c>
      <c r="N211" s="103" t="s">
        <v>462</v>
      </c>
    </row>
    <row r="212" spans="3:21" ht="20.100000000000001" customHeight="1" x14ac:dyDescent="0.25">
      <c r="D212" s="54" t="s">
        <v>175</v>
      </c>
      <c r="E212" s="54" t="s">
        <v>192</v>
      </c>
      <c r="F212" s="54" t="s">
        <v>193</v>
      </c>
      <c r="G212" s="54" t="s">
        <v>194</v>
      </c>
      <c r="H212" s="54" t="s">
        <v>195</v>
      </c>
      <c r="N212" s="54" t="s">
        <v>175</v>
      </c>
      <c r="O212" s="54" t="s">
        <v>192</v>
      </c>
      <c r="P212" s="54" t="s">
        <v>193</v>
      </c>
      <c r="Q212" s="54" t="s">
        <v>194</v>
      </c>
      <c r="R212" s="54" t="s">
        <v>195</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250</v>
      </c>
      <c r="N228" s="104" t="s">
        <v>252</v>
      </c>
    </row>
    <row r="229" spans="4:20" ht="20.100000000000001" customHeight="1" x14ac:dyDescent="0.25">
      <c r="D229" s="103" t="s">
        <v>311</v>
      </c>
      <c r="N229" s="103" t="s">
        <v>312</v>
      </c>
    </row>
    <row r="230" spans="4:20" ht="20.100000000000001" customHeight="1" x14ac:dyDescent="0.25">
      <c r="D230" s="41" t="s">
        <v>149</v>
      </c>
      <c r="E230" s="41" t="s">
        <v>69</v>
      </c>
      <c r="F230" s="41" t="s">
        <v>175</v>
      </c>
      <c r="G230" s="41" t="s">
        <v>192</v>
      </c>
      <c r="H230" s="41" t="s">
        <v>193</v>
      </c>
      <c r="I230" s="41" t="s">
        <v>194</v>
      </c>
      <c r="J230" s="41" t="s">
        <v>195</v>
      </c>
      <c r="N230" s="41" t="s">
        <v>149</v>
      </c>
      <c r="O230" s="41" t="s">
        <v>69</v>
      </c>
      <c r="P230" s="41" t="s">
        <v>175</v>
      </c>
      <c r="Q230" s="41" t="s">
        <v>192</v>
      </c>
      <c r="R230" s="41" t="s">
        <v>193</v>
      </c>
      <c r="S230" s="41" t="s">
        <v>194</v>
      </c>
      <c r="T230" s="41" t="s">
        <v>195</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411</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411</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411</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313</v>
      </c>
      <c r="N240" s="104" t="s">
        <v>316</v>
      </c>
    </row>
    <row r="241" spans="1:21" ht="20.100000000000001" customHeight="1" x14ac:dyDescent="0.25">
      <c r="D241" s="103" t="s">
        <v>314</v>
      </c>
      <c r="N241" s="103" t="s">
        <v>315</v>
      </c>
    </row>
    <row r="242" spans="1:21" ht="20.100000000000001" customHeight="1" x14ac:dyDescent="0.25">
      <c r="D242" s="54" t="s">
        <v>149</v>
      </c>
      <c r="E242" s="54" t="s">
        <v>69</v>
      </c>
      <c r="F242" s="54" t="s">
        <v>175</v>
      </c>
      <c r="G242" s="54" t="s">
        <v>192</v>
      </c>
      <c r="H242" s="54" t="s">
        <v>193</v>
      </c>
      <c r="I242" s="54" t="s">
        <v>194</v>
      </c>
      <c r="J242" s="54" t="s">
        <v>195</v>
      </c>
      <c r="N242" s="54" t="s">
        <v>149</v>
      </c>
      <c r="O242" s="54" t="s">
        <v>69</v>
      </c>
      <c r="P242" s="54" t="s">
        <v>175</v>
      </c>
      <c r="Q242" s="54" t="s">
        <v>192</v>
      </c>
      <c r="R242" s="54" t="s">
        <v>193</v>
      </c>
      <c r="S242" s="54" t="s">
        <v>194</v>
      </c>
      <c r="T242" s="54" t="s">
        <v>195</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411</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411</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Dairy'!$D$105</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411</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411</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317</v>
      </c>
    </row>
    <row r="267" spans="4:9" ht="20.100000000000001" customHeight="1" x14ac:dyDescent="0.25">
      <c r="D267" s="103" t="s">
        <v>318</v>
      </c>
    </row>
    <row r="268" spans="4:9" ht="20.100000000000001" customHeight="1" x14ac:dyDescent="0.25">
      <c r="D268" s="54" t="s">
        <v>69</v>
      </c>
      <c r="E268" s="54" t="s">
        <v>319</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125</v>
      </c>
      <c r="N275" s="104" t="s">
        <v>368</v>
      </c>
    </row>
    <row r="276" spans="1:20" ht="20.100000000000001" customHeight="1" x14ac:dyDescent="0.25">
      <c r="D276" s="103" t="s">
        <v>320</v>
      </c>
      <c r="N276" s="103" t="s">
        <v>471</v>
      </c>
    </row>
    <row r="277" spans="1:20" ht="20.100000000000001" customHeight="1" x14ac:dyDescent="0.25">
      <c r="D277" s="54" t="s">
        <v>149</v>
      </c>
      <c r="E277" s="54" t="s">
        <v>69</v>
      </c>
      <c r="F277" s="54" t="s">
        <v>175</v>
      </c>
      <c r="G277" s="54" t="s">
        <v>192</v>
      </c>
      <c r="H277" s="54" t="s">
        <v>193</v>
      </c>
      <c r="I277" s="54" t="s">
        <v>194</v>
      </c>
      <c r="J277" s="54" t="s">
        <v>195</v>
      </c>
      <c r="N277" s="54" t="s">
        <v>149</v>
      </c>
      <c r="O277" s="54" t="s">
        <v>69</v>
      </c>
      <c r="P277" s="54" t="s">
        <v>175</v>
      </c>
      <c r="Q277" s="54" t="s">
        <v>192</v>
      </c>
      <c r="R277" s="54" t="s">
        <v>193</v>
      </c>
      <c r="S277" s="54" t="s">
        <v>194</v>
      </c>
      <c r="T277" s="54" t="s">
        <v>195</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411</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411</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411</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411</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124</v>
      </c>
      <c r="E287" s="109">
        <f>SUM(F278:J285)</f>
        <v>6.3172161253287021E-2</v>
      </c>
      <c r="F287" s="110" t="str">
        <f>$E$260</f>
        <v>t N2O</v>
      </c>
      <c r="N287" s="108" t="s">
        <v>124</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111</v>
      </c>
      <c r="E292" s="48" cm="1">
        <f t="array" ref="E292">Common_Equations.Common_ConvertN2OToCO2e(G289,G290)</f>
        <v>16.740622732121061</v>
      </c>
      <c r="F292" s="112" t="str" cm="1">
        <f t="array" ref="F292">Common_Equations.Common_ConvertN2OToCO2e_Unit()</f>
        <v>t CO2e</v>
      </c>
      <c r="N292" s="48" t="s">
        <v>111</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322</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313</v>
      </c>
      <c r="O16" s="104" t="s">
        <v>316</v>
      </c>
    </row>
    <row r="17" spans="1:22" ht="20.100000000000001" customHeight="1" x14ac:dyDescent="0.25">
      <c r="A17" s="17" t="str">
        <f>HYPERLINK("#'4.3.1.9 Soil direct N2O'!A1", "4.3.1.9 Soil direct N2O")</f>
        <v>4.3.1.9 Soil direct N2O</v>
      </c>
      <c r="D17" s="103" t="s">
        <v>314</v>
      </c>
      <c r="O17" s="103" t="s">
        <v>315</v>
      </c>
    </row>
    <row r="18" spans="1:22" ht="20.100000000000001" customHeight="1" x14ac:dyDescent="0.25">
      <c r="A18" s="17" t="str">
        <f>HYPERLINK("#'4.3.1.10-11 Soil Atmos Dep'!A1", "4.3.1.10-11 Soil atm. deposition")</f>
        <v>4.3.1.10-11 Soil atm. deposition</v>
      </c>
      <c r="D18" s="54" t="s">
        <v>149</v>
      </c>
      <c r="E18" s="54" t="s">
        <v>69</v>
      </c>
      <c r="F18" s="54" t="s">
        <v>175</v>
      </c>
      <c r="G18" s="54" t="s">
        <v>192</v>
      </c>
      <c r="H18" s="54" t="s">
        <v>193</v>
      </c>
      <c r="I18" s="54" t="s">
        <v>194</v>
      </c>
      <c r="J18" s="54" t="s">
        <v>195</v>
      </c>
      <c r="O18" s="54" t="s">
        <v>149</v>
      </c>
      <c r="P18" s="54" t="s">
        <v>69</v>
      </c>
      <c r="Q18" s="54" t="s">
        <v>175</v>
      </c>
      <c r="R18" s="54" t="s">
        <v>192</v>
      </c>
      <c r="S18" s="54" t="s">
        <v>193</v>
      </c>
      <c r="T18" s="54" t="s">
        <v>194</v>
      </c>
      <c r="U18" s="54" t="s">
        <v>195</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411</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411</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411</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411</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323</v>
      </c>
    </row>
    <row r="29" spans="1:22" ht="20.100000000000001" customHeight="1" x14ac:dyDescent="0.25">
      <c r="D29" s="103" t="s">
        <v>325</v>
      </c>
    </row>
    <row r="30" spans="1:22" ht="20.100000000000001" customHeight="1" x14ac:dyDescent="0.25">
      <c r="D30" s="54" t="s">
        <v>69</v>
      </c>
      <c r="E30" s="54" t="s">
        <v>324</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326</v>
      </c>
      <c r="O37" s="104" t="s">
        <v>328</v>
      </c>
    </row>
    <row r="38" spans="4:22" ht="20.100000000000001" customHeight="1" x14ac:dyDescent="0.25">
      <c r="D38" s="103" t="s">
        <v>327</v>
      </c>
      <c r="O38" s="103" t="s">
        <v>329</v>
      </c>
    </row>
    <row r="39" spans="4:22" ht="20.100000000000001" customHeight="1" x14ac:dyDescent="0.25">
      <c r="D39" s="54" t="s">
        <v>149</v>
      </c>
      <c r="E39" s="54" t="s">
        <v>69</v>
      </c>
      <c r="F39" s="54" t="s">
        <v>175</v>
      </c>
      <c r="G39" s="54" t="s">
        <v>192</v>
      </c>
      <c r="H39" s="54" t="s">
        <v>193</v>
      </c>
      <c r="I39" s="54" t="s">
        <v>194</v>
      </c>
      <c r="J39" s="54" t="s">
        <v>195</v>
      </c>
      <c r="O39" s="54" t="s">
        <v>149</v>
      </c>
      <c r="P39" s="54" t="s">
        <v>69</v>
      </c>
      <c r="Q39" s="54" t="s">
        <v>175</v>
      </c>
      <c r="R39" s="54" t="s">
        <v>192</v>
      </c>
      <c r="S39" s="54" t="s">
        <v>193</v>
      </c>
      <c r="T39" s="54" t="s">
        <v>194</v>
      </c>
      <c r="U39" s="54" t="s">
        <v>195</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411</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411</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Dairy'!$D$105</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411</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411</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385</v>
      </c>
      <c r="E49" s="48">
        <f>SUM(F40:J47)</f>
        <v>5464.6882914498228</v>
      </c>
      <c r="F49" s="112" t="str">
        <f>$E$11</f>
        <v>kg N</v>
      </c>
      <c r="O49" s="118" t="s">
        <v>385</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427</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330</v>
      </c>
      <c r="E68" s="109" cm="1">
        <f t="array" ref="E68">MMS_Dairy_AtmosphericDeposition_Equations.VEERG_4_3_1_5__1_AnnualAtmosphericDepositionEmissionsFromMMS($I$61,$I$62,$I$63)</f>
        <v>5.0665467159299066E-2</v>
      </c>
      <c r="F68" s="110" t="str">
        <f>$E$59</f>
        <v>t N2O</v>
      </c>
      <c r="O68" s="108" t="s">
        <v>330</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111</v>
      </c>
      <c r="E73" s="48" cm="1">
        <f t="array" ref="E73">Common_Equations.Common_ConvertN2OToCO2e(G70,G71)</f>
        <v>13.426348797214253</v>
      </c>
      <c r="F73" s="112" t="str" cm="1">
        <f t="array" ref="F73">Common_Equations.Common_ConvertN2OToCO2e_Unit()</f>
        <v>t CO2e</v>
      </c>
      <c r="O73" s="48" t="s">
        <v>111</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357</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332</v>
      </c>
      <c r="O20" s="104" t="s">
        <v>334</v>
      </c>
    </row>
    <row r="21" spans="1:22" ht="20.100000000000001" customHeight="1" x14ac:dyDescent="0.25">
      <c r="A21" s="18" t="s">
        <v>4</v>
      </c>
      <c r="D21" s="103" t="s">
        <v>333</v>
      </c>
      <c r="O21" s="103" t="s">
        <v>335</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Dairy'!$D$66</f>
        <v>Milking shed</v>
      </c>
      <c r="E23" s="55" t="s">
        <v>411</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411</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411</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411</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337</v>
      </c>
      <c r="O26" s="104" t="s">
        <v>338</v>
      </c>
    </row>
    <row r="27" spans="1:22" ht="20.100000000000001" customHeight="1" x14ac:dyDescent="0.25">
      <c r="D27" s="103" t="s">
        <v>336</v>
      </c>
      <c r="O27" s="103" t="s">
        <v>339</v>
      </c>
    </row>
    <row r="28" spans="1:22" ht="20.100000000000001" customHeight="1" x14ac:dyDescent="0.25">
      <c r="D28" s="54" t="s">
        <v>149</v>
      </c>
      <c r="E28" s="54" t="s">
        <v>69</v>
      </c>
      <c r="F28" s="54" t="s">
        <v>175</v>
      </c>
      <c r="G28" s="54" t="s">
        <v>192</v>
      </c>
      <c r="H28" s="54" t="s">
        <v>193</v>
      </c>
      <c r="I28" s="54" t="s">
        <v>194</v>
      </c>
      <c r="J28" s="54" t="s">
        <v>195</v>
      </c>
      <c r="O28" s="54" t="s">
        <v>149</v>
      </c>
      <c r="P28" s="54" t="s">
        <v>69</v>
      </c>
      <c r="Q28" s="54" t="s">
        <v>175</v>
      </c>
      <c r="R28" s="54" t="s">
        <v>192</v>
      </c>
      <c r="S28" s="54" t="s">
        <v>193</v>
      </c>
      <c r="T28" s="54" t="s">
        <v>194</v>
      </c>
      <c r="U28" s="54" t="s">
        <v>195</v>
      </c>
    </row>
    <row r="29" spans="1:22" ht="20.100000000000001" customHeight="1" x14ac:dyDescent="0.25">
      <c r="D29" s="55" t="str">
        <f>'Input - Dairy'!$D$66</f>
        <v>Milking shed</v>
      </c>
      <c r="E29" s="55" t="s">
        <v>411</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411</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411</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411</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340</v>
      </c>
      <c r="O46" s="104" t="s">
        <v>342</v>
      </c>
    </row>
    <row r="47" spans="3:23" ht="20.100000000000001" customHeight="1" x14ac:dyDescent="0.25">
      <c r="D47" s="103" t="s">
        <v>341</v>
      </c>
      <c r="O47" s="103" t="s">
        <v>343</v>
      </c>
    </row>
    <row r="48" spans="3:23" ht="20.100000000000001" customHeight="1" x14ac:dyDescent="0.25">
      <c r="D48" s="54" t="s">
        <v>149</v>
      </c>
      <c r="E48" s="54" t="s">
        <v>69</v>
      </c>
      <c r="F48" s="54" t="s">
        <v>175</v>
      </c>
      <c r="G48" s="54" t="s">
        <v>192</v>
      </c>
      <c r="H48" s="54" t="s">
        <v>193</v>
      </c>
      <c r="I48" s="54" t="s">
        <v>194</v>
      </c>
      <c r="J48" s="54" t="s">
        <v>195</v>
      </c>
      <c r="O48" s="54" t="s">
        <v>149</v>
      </c>
      <c r="P48" s="54" t="s">
        <v>69</v>
      </c>
      <c r="Q48" s="54" t="s">
        <v>175</v>
      </c>
      <c r="R48" s="54" t="s">
        <v>192</v>
      </c>
      <c r="S48" s="54" t="s">
        <v>193</v>
      </c>
      <c r="T48" s="54" t="s">
        <v>194</v>
      </c>
      <c r="U48" s="54" t="s">
        <v>195</v>
      </c>
    </row>
    <row r="49" spans="1:22" ht="20.100000000000001" customHeight="1" x14ac:dyDescent="0.25">
      <c r="D49" s="55" t="str">
        <f>'Input - Dairy'!$D$66</f>
        <v>Milking shed</v>
      </c>
      <c r="E49" s="55" t="s">
        <v>411</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411</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411</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411</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330</v>
      </c>
      <c r="E52" s="109">
        <f>SUM(F49:J50)</f>
        <v>2.779575095144629E-3</v>
      </c>
      <c r="F52" s="110" t="str">
        <f>$E$40</f>
        <v>t N2O</v>
      </c>
      <c r="O52" s="108" t="s">
        <v>330</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111</v>
      </c>
      <c r="E57" s="48" cm="1">
        <f t="array" ref="E57">Common_Equations.Common_ConvertN2OToCO2e(G54,G55)</f>
        <v>0.73658740021332669</v>
      </c>
      <c r="F57" s="112" t="str" cm="1">
        <f t="array" ref="F57">Common_Equations.Common_ConvertN2OToCO2e_Unit()</f>
        <v>t CO2e</v>
      </c>
      <c r="O57" s="48" t="s">
        <v>111</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H111" zoomScaleNormal="100" workbookViewId="0">
      <selection activeCell="P146" sqref="P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344</v>
      </c>
      <c r="M1" s="132"/>
    </row>
    <row r="2" spans="1:23" s="9" customFormat="1" ht="20.100000000000001" customHeight="1" x14ac:dyDescent="0.25">
      <c r="M2" s="132"/>
    </row>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317</v>
      </c>
    </row>
    <row r="20" spans="1:9" ht="20.100000000000001" customHeight="1" x14ac:dyDescent="0.25">
      <c r="A20" s="17"/>
      <c r="D20" s="103" t="s">
        <v>318</v>
      </c>
    </row>
    <row r="21" spans="1:9" ht="20.100000000000001" customHeight="1" x14ac:dyDescent="0.25">
      <c r="A21" s="18" t="s">
        <v>4</v>
      </c>
      <c r="D21" s="54" t="s">
        <v>69</v>
      </c>
      <c r="E21" s="54" t="s">
        <v>319</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323</v>
      </c>
    </row>
    <row r="29" spans="1:9" ht="20.100000000000001" customHeight="1" x14ac:dyDescent="0.25">
      <c r="D29" s="103" t="s">
        <v>325</v>
      </c>
    </row>
    <row r="30" spans="1:9" ht="20.100000000000001" customHeight="1" x14ac:dyDescent="0.25">
      <c r="D30" s="54" t="s">
        <v>69</v>
      </c>
      <c r="E30" s="54" t="s">
        <v>324</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313</v>
      </c>
      <c r="M37"/>
      <c r="O37" s="104" t="s">
        <v>316</v>
      </c>
    </row>
    <row r="38" spans="1:22" ht="20.100000000000001" customHeight="1" x14ac:dyDescent="0.25">
      <c r="D38" s="103" t="s">
        <v>314</v>
      </c>
      <c r="M38"/>
      <c r="O38" s="103" t="s">
        <v>315</v>
      </c>
    </row>
    <row r="39" spans="1:22" ht="20.100000000000001" customHeight="1" x14ac:dyDescent="0.25">
      <c r="A39" s="141" t="str">
        <f>HYPERLINK("#A1", "▲ Back to top")</f>
        <v>▲ Back to top</v>
      </c>
      <c r="D39" s="54" t="s">
        <v>149</v>
      </c>
      <c r="E39" s="54" t="s">
        <v>69</v>
      </c>
      <c r="F39" s="54" t="s">
        <v>175</v>
      </c>
      <c r="G39" s="54" t="s">
        <v>192</v>
      </c>
      <c r="H39" s="54" t="s">
        <v>193</v>
      </c>
      <c r="I39" s="54" t="s">
        <v>194</v>
      </c>
      <c r="J39" s="54" t="s">
        <v>195</v>
      </c>
      <c r="M39"/>
      <c r="O39" s="54" t="s">
        <v>149</v>
      </c>
      <c r="P39" s="54" t="s">
        <v>69</v>
      </c>
      <c r="Q39" s="54" t="s">
        <v>175</v>
      </c>
      <c r="R39" s="54" t="s">
        <v>192</v>
      </c>
      <c r="S39" s="54" t="s">
        <v>193</v>
      </c>
      <c r="T39" s="54" t="s">
        <v>194</v>
      </c>
      <c r="U39" s="54" t="s">
        <v>195</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411</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411</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411</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411</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403</v>
      </c>
      <c r="O49" s="104" t="s">
        <v>401</v>
      </c>
    </row>
    <row r="50" spans="4:22" ht="20.100000000000001" customHeight="1" x14ac:dyDescent="0.25">
      <c r="D50" s="103" t="s">
        <v>404</v>
      </c>
      <c r="O50" s="103" t="s">
        <v>402</v>
      </c>
    </row>
    <row r="51" spans="4:22" ht="20.100000000000001" customHeight="1" x14ac:dyDescent="0.25">
      <c r="D51" s="54" t="s">
        <v>149</v>
      </c>
      <c r="E51" s="54" t="s">
        <v>69</v>
      </c>
      <c r="F51" s="54" t="s">
        <v>175</v>
      </c>
      <c r="G51" s="54" t="s">
        <v>192</v>
      </c>
      <c r="H51" s="54" t="s">
        <v>193</v>
      </c>
      <c r="I51" s="54" t="s">
        <v>194</v>
      </c>
      <c r="J51" s="54" t="s">
        <v>195</v>
      </c>
      <c r="O51" s="54" t="s">
        <v>149</v>
      </c>
      <c r="P51" s="54" t="s">
        <v>69</v>
      </c>
      <c r="Q51" s="54" t="s">
        <v>175</v>
      </c>
      <c r="R51" s="54" t="s">
        <v>192</v>
      </c>
      <c r="S51" s="54" t="s">
        <v>193</v>
      </c>
      <c r="T51" s="54" t="s">
        <v>194</v>
      </c>
      <c r="U51" s="54" t="s">
        <v>195</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411</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411</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411</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411</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345</v>
      </c>
    </row>
    <row r="62" spans="4:22" ht="20.100000000000001" customHeight="1" x14ac:dyDescent="0.25">
      <c r="D62" s="103" t="s">
        <v>346</v>
      </c>
    </row>
    <row r="63" spans="4:22" ht="20.100000000000001" customHeight="1" x14ac:dyDescent="0.25">
      <c r="D63" s="41" t="s">
        <v>149</v>
      </c>
      <c r="E63" s="41" t="s">
        <v>69</v>
      </c>
      <c r="F63" s="41" t="s">
        <v>437</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347</v>
      </c>
      <c r="O73" s="104" t="s">
        <v>351</v>
      </c>
    </row>
    <row r="74" spans="4:22" ht="20.100000000000001" customHeight="1" x14ac:dyDescent="0.25">
      <c r="D74" s="103" t="s">
        <v>350</v>
      </c>
      <c r="O74" s="103" t="s">
        <v>352</v>
      </c>
    </row>
    <row r="75" spans="4:22" ht="20.100000000000001" customHeight="1" x14ac:dyDescent="0.25">
      <c r="D75" s="54" t="s">
        <v>149</v>
      </c>
      <c r="E75" s="54" t="s">
        <v>69</v>
      </c>
      <c r="F75" s="54" t="s">
        <v>175</v>
      </c>
      <c r="G75" s="54" t="s">
        <v>192</v>
      </c>
      <c r="H75" s="54" t="s">
        <v>193</v>
      </c>
      <c r="I75" s="54" t="s">
        <v>194</v>
      </c>
      <c r="J75" s="54" t="s">
        <v>195</v>
      </c>
      <c r="O75" s="54" t="s">
        <v>149</v>
      </c>
      <c r="P75" s="54" t="s">
        <v>69</v>
      </c>
      <c r="Q75" s="54" t="s">
        <v>175</v>
      </c>
      <c r="R75" s="54" t="s">
        <v>192</v>
      </c>
      <c r="S75" s="54" t="s">
        <v>193</v>
      </c>
      <c r="T75" s="54" t="s">
        <v>194</v>
      </c>
      <c r="U75" s="54" t="s">
        <v>195</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411</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411</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411</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411</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134</v>
      </c>
      <c r="E85" s="109">
        <f>SUM(F76:J83)</f>
        <v>12417.473379475077</v>
      </c>
      <c r="F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348</v>
      </c>
      <c r="O103" s="104" t="s">
        <v>354</v>
      </c>
    </row>
    <row r="104" spans="4:22" ht="20.100000000000001" customHeight="1" x14ac:dyDescent="0.25">
      <c r="D104" s="103" t="s">
        <v>349</v>
      </c>
      <c r="O104" s="103" t="s">
        <v>355</v>
      </c>
    </row>
    <row r="105" spans="4:22" ht="20.100000000000001" customHeight="1" x14ac:dyDescent="0.25">
      <c r="D105" s="54" t="s">
        <v>149</v>
      </c>
      <c r="E105" s="54" t="s">
        <v>69</v>
      </c>
      <c r="F105" s="54" t="s">
        <v>175</v>
      </c>
      <c r="G105" s="54" t="s">
        <v>192</v>
      </c>
      <c r="H105" s="54" t="s">
        <v>193</v>
      </c>
      <c r="I105" s="54" t="s">
        <v>194</v>
      </c>
      <c r="J105" s="54" t="s">
        <v>195</v>
      </c>
      <c r="O105" s="54" t="s">
        <v>149</v>
      </c>
      <c r="P105" s="54" t="s">
        <v>69</v>
      </c>
      <c r="Q105" s="54" t="s">
        <v>175</v>
      </c>
      <c r="R105" s="54" t="s">
        <v>192</v>
      </c>
      <c r="S105" s="54" t="s">
        <v>193</v>
      </c>
      <c r="T105" s="54" t="s">
        <v>194</v>
      </c>
      <c r="U105" s="54" t="s">
        <v>195</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411</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411</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411</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411</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353</v>
      </c>
      <c r="E115" s="109">
        <f>SUM(F106:J113)</f>
        <v>4139.1577931583588</v>
      </c>
      <c r="F115" s="110" t="str">
        <f>$E$11</f>
        <v>kg N</v>
      </c>
      <c r="O115" s="108" t="s">
        <v>353</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399</v>
      </c>
      <c r="E120" s="94"/>
      <c r="F120" s="94"/>
      <c r="G120" s="94"/>
      <c r="H120" s="92"/>
    </row>
    <row r="121" spans="1:23" ht="20.100000000000001" customHeight="1" x14ac:dyDescent="0.25"/>
    <row r="122" spans="1:23" ht="20.100000000000001" customHeight="1" x14ac:dyDescent="0.25">
      <c r="D122" s="6" t="s">
        <v>398</v>
      </c>
    </row>
    <row r="123" spans="1:23" ht="20.100000000000001" customHeight="1" x14ac:dyDescent="0.25"/>
    <row r="124" spans="1:23" ht="20.100000000000001" customHeight="1" x14ac:dyDescent="0.25">
      <c r="D124" s="104" t="s">
        <v>135</v>
      </c>
    </row>
    <row r="125" spans="1:23" ht="20.100000000000001" customHeight="1" x14ac:dyDescent="0.25">
      <c r="D125" s="103" t="s">
        <v>136</v>
      </c>
    </row>
    <row r="126" spans="1:23" ht="20.100000000000001" customHeight="1" x14ac:dyDescent="0.25">
      <c r="D126" s="54" t="s">
        <v>149</v>
      </c>
      <c r="E126" s="54" t="s">
        <v>69</v>
      </c>
      <c r="F126" s="54" t="s">
        <v>438</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411</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411</v>
      </c>
      <c r="F134" s="55">
        <f>'Input - Dairy'!L120</f>
        <v>0.25</v>
      </c>
      <c r="G134" s="2"/>
    </row>
    <row r="135" spans="4:22" ht="20.100000000000001" customHeight="1" x14ac:dyDescent="0.25"/>
    <row r="136" spans="4:22" ht="20.100000000000001" customHeight="1" x14ac:dyDescent="0.25">
      <c r="D136" s="104" t="s">
        <v>137</v>
      </c>
      <c r="O136" s="104" t="s">
        <v>138</v>
      </c>
    </row>
    <row r="137" spans="4:22" ht="20.100000000000001" customHeight="1" x14ac:dyDescent="0.25">
      <c r="D137" s="103" t="s">
        <v>140</v>
      </c>
      <c r="O137" s="103" t="s">
        <v>139</v>
      </c>
    </row>
    <row r="138" spans="4:22" ht="20.100000000000001" customHeight="1" x14ac:dyDescent="0.25">
      <c r="D138" s="54" t="s">
        <v>149</v>
      </c>
      <c r="E138" s="54" t="s">
        <v>69</v>
      </c>
      <c r="F138" s="54" t="s">
        <v>175</v>
      </c>
      <c r="G138" s="54" t="s">
        <v>192</v>
      </c>
      <c r="H138" s="54" t="s">
        <v>193</v>
      </c>
      <c r="I138" s="54" t="s">
        <v>194</v>
      </c>
      <c r="J138" s="54" t="s">
        <v>195</v>
      </c>
      <c r="O138" s="54" t="s">
        <v>149</v>
      </c>
      <c r="P138" s="54" t="s">
        <v>69</v>
      </c>
      <c r="Q138" s="54" t="s">
        <v>175</v>
      </c>
      <c r="R138" s="54" t="s">
        <v>192</v>
      </c>
      <c r="S138" s="54" t="s">
        <v>193</v>
      </c>
      <c r="T138" s="54" t="s">
        <v>194</v>
      </c>
      <c r="U138" s="54" t="s">
        <v>195</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411</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411</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411</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411</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141</v>
      </c>
      <c r="E148" s="109">
        <f>SUM(F139:J146)</f>
        <v>4139.1577931583588</v>
      </c>
      <c r="F148" s="110" t="str">
        <f>$E$95</f>
        <v>kg N</v>
      </c>
      <c r="O148" s="108" t="s">
        <v>141</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H1"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358</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473</v>
      </c>
    </row>
    <row r="17" spans="1:22" ht="20.100000000000001" customHeight="1" x14ac:dyDescent="0.25">
      <c r="A17" s="22" t="str">
        <f>HYPERLINK("#'4.3.1.9 Soil direct N2O'!A1", "4.3.1.9 Soil direct N2O")</f>
        <v>4.3.1.9 Soil direct N2O</v>
      </c>
      <c r="D17" s="103" t="s">
        <v>361</v>
      </c>
      <c r="O17" s="103" t="s">
        <v>472</v>
      </c>
    </row>
    <row r="18" spans="1:22" ht="20.100000000000001" customHeight="1" x14ac:dyDescent="0.25">
      <c r="A18" s="17" t="str">
        <f>HYPERLINK("#'4.3.1.10-11 Soil Atmos Dep'!A1", "4.3.1.10-11 Soil atm. deposition")</f>
        <v>4.3.1.10-11 Soil atm. deposition</v>
      </c>
      <c r="D18" s="54" t="s">
        <v>175</v>
      </c>
      <c r="E18" s="54" t="s">
        <v>192</v>
      </c>
      <c r="F18" s="54" t="s">
        <v>193</v>
      </c>
      <c r="G18" s="54" t="s">
        <v>194</v>
      </c>
      <c r="H18" s="54" t="s">
        <v>195</v>
      </c>
      <c r="O18" s="54" t="s">
        <v>175</v>
      </c>
      <c r="P18" s="54" t="s">
        <v>192</v>
      </c>
      <c r="Q18" s="54" t="s">
        <v>193</v>
      </c>
      <c r="R18" s="54" t="s">
        <v>194</v>
      </c>
      <c r="S18" s="54" t="s">
        <v>195</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359</v>
      </c>
      <c r="O22" s="104" t="s">
        <v>428</v>
      </c>
    </row>
    <row r="23" spans="1:22" ht="20.100000000000001" customHeight="1" x14ac:dyDescent="0.25">
      <c r="A23" s="17" t="str">
        <f>HYPERLINK("#'Constants - Livestock'!A1", "Constants - Livestock")</f>
        <v>Constants - Livestock</v>
      </c>
      <c r="D23" s="103" t="s">
        <v>360</v>
      </c>
      <c r="O23" s="103" t="s">
        <v>429</v>
      </c>
    </row>
    <row r="24" spans="1:22" ht="20.100000000000001" customHeight="1" x14ac:dyDescent="0.25">
      <c r="A24" s="17" t="str">
        <f>HYPERLINK("#'Constants - Common'!A1", "Constants - Common")</f>
        <v>Constants - Common</v>
      </c>
      <c r="D24" s="41" t="s">
        <v>149</v>
      </c>
      <c r="E24" s="41" t="s">
        <v>69</v>
      </c>
      <c r="F24" s="41" t="s">
        <v>175</v>
      </c>
      <c r="G24" s="41" t="s">
        <v>192</v>
      </c>
      <c r="H24" s="41" t="s">
        <v>193</v>
      </c>
      <c r="I24" s="41" t="s">
        <v>194</v>
      </c>
      <c r="J24" s="41" t="s">
        <v>195</v>
      </c>
      <c r="O24" s="41" t="s">
        <v>149</v>
      </c>
      <c r="P24" s="41" t="s">
        <v>69</v>
      </c>
      <c r="Q24" s="41" t="s">
        <v>175</v>
      </c>
      <c r="R24" s="41" t="s">
        <v>192</v>
      </c>
      <c r="S24" s="41" t="s">
        <v>193</v>
      </c>
      <c r="T24" s="41" t="s">
        <v>194</v>
      </c>
      <c r="U24" s="41" t="s">
        <v>195</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362</v>
      </c>
      <c r="O28" s="104" t="s">
        <v>364</v>
      </c>
    </row>
    <row r="29" spans="1:22" ht="20.100000000000001" customHeight="1" x14ac:dyDescent="0.25">
      <c r="D29" s="103" t="s">
        <v>363</v>
      </c>
      <c r="O29" s="103" t="s">
        <v>365</v>
      </c>
    </row>
    <row r="30" spans="1:22" ht="20.100000000000001" customHeight="1" x14ac:dyDescent="0.25">
      <c r="D30" s="54" t="s">
        <v>149</v>
      </c>
      <c r="E30" s="54" t="s">
        <v>69</v>
      </c>
      <c r="F30" s="54" t="s">
        <v>175</v>
      </c>
      <c r="G30" s="54" t="s">
        <v>192</v>
      </c>
      <c r="H30" s="54" t="s">
        <v>193</v>
      </c>
      <c r="I30" s="54" t="s">
        <v>194</v>
      </c>
      <c r="J30" s="54" t="s">
        <v>195</v>
      </c>
      <c r="O30" s="54" t="s">
        <v>149</v>
      </c>
      <c r="P30" s="54" t="s">
        <v>69</v>
      </c>
      <c r="Q30" s="54" t="s">
        <v>175</v>
      </c>
      <c r="R30" s="54" t="s">
        <v>192</v>
      </c>
      <c r="S30" s="54" t="s">
        <v>193</v>
      </c>
      <c r="T30" s="54" t="s">
        <v>194</v>
      </c>
      <c r="U30" s="54" t="s">
        <v>195</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112</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125</v>
      </c>
      <c r="O48" s="104" t="s">
        <v>368</v>
      </c>
    </row>
    <row r="49" spans="1:22" ht="20.100000000000001" customHeight="1" x14ac:dyDescent="0.25">
      <c r="D49" s="103" t="s">
        <v>367</v>
      </c>
      <c r="O49" s="103" t="s">
        <v>369</v>
      </c>
    </row>
    <row r="50" spans="1:22" ht="20.100000000000001" customHeight="1" x14ac:dyDescent="0.25">
      <c r="D50" s="54" t="s">
        <v>149</v>
      </c>
      <c r="E50" s="54" t="s">
        <v>69</v>
      </c>
      <c r="F50" s="54" t="s">
        <v>175</v>
      </c>
      <c r="G50" s="54" t="s">
        <v>192</v>
      </c>
      <c r="H50" s="54" t="s">
        <v>193</v>
      </c>
      <c r="I50" s="54" t="s">
        <v>194</v>
      </c>
      <c r="J50" s="54" t="s">
        <v>195</v>
      </c>
      <c r="O50" s="54" t="s">
        <v>149</v>
      </c>
      <c r="P50" s="54" t="s">
        <v>69</v>
      </c>
      <c r="Q50" s="54" t="s">
        <v>175</v>
      </c>
      <c r="R50" s="54" t="s">
        <v>192</v>
      </c>
      <c r="S50" s="54" t="s">
        <v>193</v>
      </c>
      <c r="T50" s="54" t="s">
        <v>194</v>
      </c>
      <c r="U50" s="54" t="s">
        <v>195</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124</v>
      </c>
      <c r="E53" s="109">
        <f>SUM(F51:J51)</f>
        <v>8.0033058384947273E-2</v>
      </c>
      <c r="F53" s="110" t="str">
        <f>$E$41</f>
        <v>t N2O</v>
      </c>
      <c r="O53" s="108" t="s">
        <v>124</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111</v>
      </c>
      <c r="E58" s="48" cm="1">
        <f t="array" ref="E58">Common_Equations.Common_ConvertN2OToCO2e(G55,G56)</f>
        <v>21.208760472011026</v>
      </c>
      <c r="F58" s="112" t="str" cm="1">
        <f t="array" ref="F58">Common_Equations.Common_ConvertN2OToCO2e_Unit()</f>
        <v>t CO2e</v>
      </c>
      <c r="O58" s="48" t="s">
        <v>111</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377</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362</v>
      </c>
      <c r="M16" s="59"/>
      <c r="O16" s="104" t="s">
        <v>364</v>
      </c>
    </row>
    <row r="17" spans="1:23" ht="20.100000000000001" customHeight="1" x14ac:dyDescent="0.25">
      <c r="A17" s="17" t="str">
        <f>HYPERLINK("#'4.3.1.9 Soil direct N2O'!A1", "4.3.1.9 Soil direct N2O")</f>
        <v>4.3.1.9 Soil direct N2O</v>
      </c>
      <c r="D17" s="103" t="s">
        <v>363</v>
      </c>
      <c r="M17" s="59"/>
      <c r="O17" s="103" t="s">
        <v>365</v>
      </c>
    </row>
    <row r="18" spans="1:23" ht="20.100000000000001" customHeight="1" x14ac:dyDescent="0.25">
      <c r="A18" s="22" t="str">
        <f>HYPERLINK("#'4.3.1.10-11 Soil Atmos Dep'!A1", "4.3.1.10-11 Soil atm. deposition")</f>
        <v>4.3.1.10-11 Soil atm. deposition</v>
      </c>
      <c r="D18" s="54" t="s">
        <v>149</v>
      </c>
      <c r="E18" s="54" t="s">
        <v>69</v>
      </c>
      <c r="F18" s="54" t="s">
        <v>175</v>
      </c>
      <c r="G18" s="54" t="s">
        <v>192</v>
      </c>
      <c r="H18" s="54" t="s">
        <v>193</v>
      </c>
      <c r="I18" s="54" t="s">
        <v>194</v>
      </c>
      <c r="J18" s="54" t="s">
        <v>195</v>
      </c>
      <c r="M18" s="59"/>
      <c r="O18" s="54" t="s">
        <v>149</v>
      </c>
      <c r="P18" s="54" t="s">
        <v>69</v>
      </c>
      <c r="Q18" s="54" t="s">
        <v>175</v>
      </c>
      <c r="R18" s="54" t="s">
        <v>192</v>
      </c>
      <c r="S18" s="54" t="s">
        <v>193</v>
      </c>
      <c r="T18" s="54" t="s">
        <v>194</v>
      </c>
      <c r="U18" s="54" t="s">
        <v>195</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370</v>
      </c>
      <c r="O21" s="104" t="s">
        <v>372</v>
      </c>
    </row>
    <row r="22" spans="1:23" ht="20.100000000000001" customHeight="1" x14ac:dyDescent="0.25">
      <c r="A22" s="17" t="str">
        <f>HYPERLINK("#'Constants - Dairy'!A1", "Constants - Dairy")</f>
        <v>Constants - Dairy</v>
      </c>
      <c r="D22" s="103" t="s">
        <v>371</v>
      </c>
      <c r="O22" s="103" t="s">
        <v>373</v>
      </c>
    </row>
    <row r="23" spans="1:23" ht="20.100000000000001" customHeight="1" x14ac:dyDescent="0.25">
      <c r="A23" s="17" t="str">
        <f>HYPERLINK("#'Constants - Livestock'!A1", "Constants - Livestock")</f>
        <v>Constants - Livestock</v>
      </c>
      <c r="D23" s="54" t="s">
        <v>149</v>
      </c>
      <c r="E23" s="54" t="s">
        <v>69</v>
      </c>
      <c r="F23" s="54" t="s">
        <v>175</v>
      </c>
      <c r="G23" s="54" t="s">
        <v>192</v>
      </c>
      <c r="H23" s="54" t="s">
        <v>193</v>
      </c>
      <c r="I23" s="54" t="s">
        <v>194</v>
      </c>
      <c r="J23" s="54" t="s">
        <v>195</v>
      </c>
      <c r="O23" s="54" t="s">
        <v>149</v>
      </c>
      <c r="P23" s="54" t="s">
        <v>69</v>
      </c>
      <c r="Q23" s="54" t="s">
        <v>175</v>
      </c>
      <c r="R23" s="54" t="s">
        <v>192</v>
      </c>
      <c r="S23" s="54" t="s">
        <v>193</v>
      </c>
      <c r="T23" s="54" t="s">
        <v>194</v>
      </c>
      <c r="U23" s="54" t="s">
        <v>195</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384</v>
      </c>
      <c r="E26" s="48">
        <f>SUM(F24:J24)</f>
        <v>5347.6634466305668</v>
      </c>
      <c r="F26" s="112" t="str">
        <f>$E$11</f>
        <v>kg N</v>
      </c>
      <c r="O26" s="118" t="s">
        <v>384</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156</v>
      </c>
      <c r="E45" s="109" cm="1">
        <f t="array" ref="E45">MMS_Dairy_Soil_AtmosphericDeposition_Equations.VEERG_4_3_1_10__1_AtmosphericDepositionEmissionsFromUrineAndDungOnPasture($I$38,$I$39,$I$40)</f>
        <v>4.958047966947482E-2</v>
      </c>
      <c r="F45" s="110" t="str">
        <f>$E$36</f>
        <v>t N2O</v>
      </c>
      <c r="O45" s="108" t="s">
        <v>156</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111</v>
      </c>
      <c r="E50" s="48" cm="1">
        <f t="array" ref="E50">Common_Equations.Common_ConvertN2OToCO2e(G47,G48)</f>
        <v>13.138827112410826</v>
      </c>
      <c r="F50" s="112" t="str" cm="1">
        <f t="array" ref="F50">Common_Equations.Common_ConvertN2OToCO2e_Unit()</f>
        <v>t CO2e</v>
      </c>
      <c r="O50" s="48" t="s">
        <v>111</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376</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362</v>
      </c>
      <c r="M20" s="59"/>
      <c r="O20" s="104" t="s">
        <v>364</v>
      </c>
    </row>
    <row r="21" spans="1:22" ht="20.100000000000001" customHeight="1" x14ac:dyDescent="0.25">
      <c r="A21" s="18" t="s">
        <v>4</v>
      </c>
      <c r="D21" s="103" t="s">
        <v>363</v>
      </c>
      <c r="M21" s="59"/>
      <c r="O21" s="103" t="s">
        <v>365</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M22" s="59"/>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378</v>
      </c>
      <c r="O25" s="104" t="s">
        <v>380</v>
      </c>
    </row>
    <row r="26" spans="1:22" ht="20.100000000000001" customHeight="1" x14ac:dyDescent="0.25">
      <c r="D26" s="103" t="s">
        <v>379</v>
      </c>
      <c r="O26" s="103" t="s">
        <v>381</v>
      </c>
    </row>
    <row r="27" spans="1:22" ht="20.100000000000001" customHeight="1" x14ac:dyDescent="0.25">
      <c r="D27" s="54" t="s">
        <v>149</v>
      </c>
      <c r="E27" s="54" t="s">
        <v>69</v>
      </c>
      <c r="F27" s="54" t="s">
        <v>175</v>
      </c>
      <c r="G27" s="54" t="s">
        <v>192</v>
      </c>
      <c r="H27" s="54" t="s">
        <v>193</v>
      </c>
      <c r="I27" s="54" t="s">
        <v>194</v>
      </c>
      <c r="J27" s="54" t="s">
        <v>195</v>
      </c>
      <c r="O27" s="54" t="s">
        <v>149</v>
      </c>
      <c r="P27" s="54" t="s">
        <v>69</v>
      </c>
      <c r="Q27" s="54" t="s">
        <v>175</v>
      </c>
      <c r="R27" s="54" t="s">
        <v>192</v>
      </c>
      <c r="S27" s="54" t="s">
        <v>193</v>
      </c>
      <c r="T27" s="54" t="s">
        <v>194</v>
      </c>
      <c r="U27" s="54" t="s">
        <v>195</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383</v>
      </c>
      <c r="E30" s="48">
        <f>SUM(F28:J28)</f>
        <v>6111.6153675777914</v>
      </c>
      <c r="F30" s="112" t="str">
        <f>$E$11</f>
        <v>kg N</v>
      </c>
      <c r="O30" s="118" t="s">
        <v>383</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382</v>
      </c>
      <c r="E47" s="109" cm="1">
        <f t="array" ref="E47">MMS_Dairy_Soil_LeachingAndRunoff.VEERG_4_3_1_12__1_LeachingAndRunoffEmissionsFromUrineAndDungOnPasture($J$43,$J$44,$J$45)</f>
        <v>0.10564363706813039</v>
      </c>
      <c r="F47" s="110" t="str">
        <f>$E$41</f>
        <v>t N2O</v>
      </c>
      <c r="O47" s="108" t="s">
        <v>382</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111</v>
      </c>
      <c r="E52" s="48" cm="1">
        <f t="array" ref="E52">Common_Equations.Common_ConvertN2OToCO2e(G49,G50)</f>
        <v>27.995563823054553</v>
      </c>
      <c r="F52" s="112" t="str" cm="1">
        <f t="array" ref="F52">Common_Equations.Common_ConvertN2OToCO2e_Unit()</f>
        <v>t CO2e</v>
      </c>
      <c r="O52" s="48" t="s">
        <v>111</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81"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172</v>
      </c>
      <c r="G5" s="6" t="s">
        <v>173</v>
      </c>
      <c r="J5" s="6" t="s">
        <v>150</v>
      </c>
      <c r="M5" s="1"/>
    </row>
    <row r="6" spans="1:21" ht="20.100000000000001" customHeight="1" x14ac:dyDescent="0.25">
      <c r="A6" s="16"/>
      <c r="M6" s="1"/>
    </row>
    <row r="7" spans="1:21" ht="20.100000000000001" customHeight="1" x14ac:dyDescent="0.25">
      <c r="A7" s="20" t="s">
        <v>3</v>
      </c>
      <c r="D7" s="102" t="s">
        <v>69</v>
      </c>
      <c r="E7" s="39" t="s">
        <v>83</v>
      </c>
      <c r="G7" s="39" t="s">
        <v>149</v>
      </c>
      <c r="J7" s="39" t="s">
        <v>147</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151</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152</v>
      </c>
      <c r="M9" s="1"/>
    </row>
    <row r="10" spans="1:21" ht="20.100000000000001" customHeight="1" x14ac:dyDescent="0.25">
      <c r="A10" s="17"/>
      <c r="D10" s="39" t="str">
        <f>'Constants - Livestock'!$E$14</f>
        <v>Drains to paddock</v>
      </c>
      <c r="E10" s="39" t="str">
        <f>'Constants - Livestock'!$F$14</f>
        <v>Drains to paddock (m=3b)</v>
      </c>
      <c r="J10" s="1" t="s">
        <v>153</v>
      </c>
      <c r="M10" s="1"/>
    </row>
    <row r="11" spans="1:21" ht="20.100000000000001" customHeight="1" x14ac:dyDescent="0.25">
      <c r="A11" s="19" t="s">
        <v>78</v>
      </c>
      <c r="D11" s="39" t="str">
        <f>'Constants - Livestock'!$E$15</f>
        <v>Solid storage</v>
      </c>
      <c r="E11" s="39" t="str">
        <f>'Constants - Livestock'!$F$15</f>
        <v>Solid storage (m=4)</v>
      </c>
      <c r="J11" s="1" t="s">
        <v>154</v>
      </c>
      <c r="M11" s="1"/>
    </row>
    <row r="12" spans="1:21" ht="20.100000000000001" customHeight="1" x14ac:dyDescent="0.25">
      <c r="A12" s="17" t="str">
        <f>HYPERLINK("#'4.3.1.1-2 Methane'!A1", "4.3.1.1-2 Methane")</f>
        <v>4.3.1.1-2 Methane</v>
      </c>
      <c r="J12" s="1" t="s">
        <v>155</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174</v>
      </c>
      <c r="E21" s="39" t="s">
        <v>175</v>
      </c>
      <c r="F21" s="39" t="s">
        <v>176</v>
      </c>
      <c r="G21" s="39" t="s">
        <v>177</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174</v>
      </c>
      <c r="E38" s="39" t="s">
        <v>179</v>
      </c>
      <c r="F38" s="39" t="s">
        <v>178</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175</v>
      </c>
      <c r="E46" s="39" t="s">
        <v>176</v>
      </c>
      <c r="F46" s="39" t="s">
        <v>177</v>
      </c>
      <c r="G46" s="39" t="s">
        <v>179</v>
      </c>
      <c r="H46" s="39" t="s">
        <v>178</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175</v>
      </c>
      <c r="E54" s="125" t="s">
        <v>176</v>
      </c>
      <c r="F54" s="125" t="s">
        <v>177</v>
      </c>
      <c r="G54" s="125" t="s">
        <v>179</v>
      </c>
      <c r="H54" s="125" t="s">
        <v>178</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180</v>
      </c>
      <c r="E62" s="39" t="s">
        <v>181</v>
      </c>
      <c r="F62" s="39" t="s">
        <v>182</v>
      </c>
      <c r="G62" s="39" t="s">
        <v>183</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191</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184</v>
      </c>
      <c r="F86" s="39" t="s">
        <v>185</v>
      </c>
      <c r="G86" s="39" t="s">
        <v>191</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180</v>
      </c>
      <c r="E98" s="39" t="s">
        <v>186</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180</v>
      </c>
      <c r="E107" s="39" t="s">
        <v>187</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188</v>
      </c>
      <c r="E116" s="39" t="s">
        <v>148</v>
      </c>
      <c r="F116" s="39" t="s">
        <v>189</v>
      </c>
      <c r="G116" s="39" t="s">
        <v>190</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184</v>
      </c>
      <c r="F128" s="39" t="s">
        <v>191</v>
      </c>
      <c r="G128" s="114" t="s">
        <v>206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180</v>
      </c>
      <c r="E141" s="39" t="s">
        <v>201</v>
      </c>
      <c r="F141" s="39" t="s">
        <v>202</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331</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144</v>
      </c>
      <c r="E186" s="39" t="s">
        <v>145</v>
      </c>
      <c r="F186" s="39" t="s">
        <v>146</v>
      </c>
      <c r="G186" s="39" t="s">
        <v>147</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366</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395</v>
      </c>
      <c r="E212" s="39" t="s">
        <v>396</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405</v>
      </c>
      <c r="F231" s="38" t="s">
        <v>406</v>
      </c>
      <c r="G231" s="39" t="s">
        <v>407</v>
      </c>
      <c r="H231" s="39" t="s">
        <v>408</v>
      </c>
      <c r="I231" s="39" t="s">
        <v>409</v>
      </c>
      <c r="J231" s="39" t="s">
        <v>410</v>
      </c>
      <c r="K231" s="39" t="s">
        <v>411</v>
      </c>
      <c r="L231" s="39" t="s">
        <v>412</v>
      </c>
      <c r="M231" s="39" t="s">
        <v>413</v>
      </c>
      <c r="N231" s="39" t="s">
        <v>414</v>
      </c>
      <c r="O231" s="39" t="s">
        <v>415</v>
      </c>
      <c r="P231" s="39" t="s">
        <v>416</v>
      </c>
      <c r="Q231" s="39" t="s">
        <v>417</v>
      </c>
      <c r="R231" s="39" t="s">
        <v>418</v>
      </c>
      <c r="S231" s="39" t="s">
        <v>419</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474</v>
      </c>
      <c r="E257" s="39" t="s">
        <v>475</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2026-06-10T00:31:52Z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