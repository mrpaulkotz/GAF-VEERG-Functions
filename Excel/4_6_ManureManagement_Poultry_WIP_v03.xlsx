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196EA3A-FD2A-4862-9660-5048C49B65BC}" xr6:coauthVersionLast="47" xr6:coauthVersionMax="47" xr10:uidLastSave="{00000000-0000-0000-0000-000000000000}"/>
  <bookViews>
    <workbookView xWindow="3510" yWindow="3510" windowWidth="28800" windowHeight="15345" firstSheet="11"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4" r:id="rId15"/>
    <sheet name="Constants - Livestock" sheetId="43" r:id="rId16"/>
  </sheets>
  <externalReferences>
    <externalReference r:id="rId17"/>
    <externalReference r:id="rId1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108" l="1"/>
  <c r="I49" i="98"/>
  <c r="O81" i="69"/>
  <c r="O80" i="69"/>
  <c r="O79" i="69"/>
  <c r="O78" i="69"/>
  <c r="O77" i="69"/>
  <c r="O76" i="69"/>
  <c r="O73" i="69"/>
  <c r="I14" i="108"/>
  <c r="I14" i="98"/>
  <c r="I39" i="107"/>
  <c r="I90" i="97"/>
  <c r="E30" i="15"/>
  <c r="E33" i="15"/>
  <c r="E32" i="15"/>
  <c r="E31" i="15"/>
  <c r="J45" i="108"/>
  <c r="I40" i="107"/>
  <c r="I15" i="106"/>
  <c r="I50" i="98"/>
  <c r="I91" i="97"/>
  <c r="I217" i="76"/>
  <c r="Q50" i="108"/>
  <c r="G50" i="108"/>
  <c r="P48" i="107"/>
  <c r="G48" i="107"/>
  <c r="Q30" i="106"/>
  <c r="G30" i="106"/>
  <c r="Q62" i="98"/>
  <c r="G62" i="98"/>
  <c r="Q99" i="97"/>
  <c r="G99" i="97"/>
  <c r="Q248" i="76"/>
  <c r="G248" i="76"/>
  <c r="Q225" i="69"/>
  <c r="G225" i="69"/>
  <c r="E81" i="69"/>
  <c r="E80" i="69"/>
  <c r="E79" i="69"/>
  <c r="E78" i="69"/>
  <c r="E77" i="69"/>
  <c r="E76" i="69"/>
  <c r="E75" i="69"/>
  <c r="E74" i="69"/>
  <c r="E73" i="69"/>
  <c r="E259" i="114" a="1"/>
  <c r="E259" i="114" s="1"/>
  <c r="D259" i="114" a="1"/>
  <c r="D259" i="114" s="1"/>
  <c r="E258" i="114" a="1"/>
  <c r="E258" i="114" s="1"/>
  <c r="D258" i="114" a="1"/>
  <c r="D258" i="114" s="1"/>
  <c r="D256" i="114" a="1"/>
  <c r="D256" i="114" s="1"/>
  <c r="D255" i="114" a="1"/>
  <c r="D255" i="114" s="1"/>
  <c r="D254" i="114" a="1"/>
  <c r="D254" i="114" s="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a="1"/>
  <c r="E54" i="114" s="1"/>
  <c r="D54" i="114" a="1"/>
  <c r="D54" i="114" s="1"/>
  <c r="G53" i="114" a="1"/>
  <c r="G53" i="114" s="1"/>
  <c r="F53" i="114" a="1"/>
  <c r="F53" i="114" s="1"/>
  <c r="H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E48" i="114" a="1"/>
  <c r="E48" i="114" s="1"/>
  <c r="D48" i="114" a="1"/>
  <c r="D48" i="114" s="1"/>
  <c r="D46" i="114" a="1"/>
  <c r="D46" i="114" s="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a="1"/>
  <c r="D19" i="114" s="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F7" i="114" a="1"/>
  <c r="F7" i="114" s="1"/>
  <c r="E7" i="114" a="1"/>
  <c r="E7" i="114" s="1"/>
  <c r="D7" i="114" a="1"/>
  <c r="D7" i="114" s="1"/>
  <c r="D5" i="114" a="1"/>
  <c r="D5" i="114" s="1"/>
  <c r="I41" i="107"/>
  <c r="I92" i="97"/>
  <c r="G46" i="79"/>
  <c r="G45" i="79"/>
  <c r="F100" i="105"/>
  <c r="F99" i="105"/>
  <c r="F98" i="105"/>
  <c r="F97" i="105"/>
  <c r="F96" i="105"/>
  <c r="F95" i="105"/>
  <c r="F94" i="105"/>
  <c r="F93" i="105"/>
  <c r="F92" i="105"/>
  <c r="F91" i="105"/>
  <c r="F90" i="105"/>
  <c r="F89" i="105"/>
  <c r="F88" i="105"/>
  <c r="F87" i="105"/>
  <c r="F86" i="105"/>
  <c r="H48" i="114" l="1"/>
  <c r="H54" i="114"/>
  <c r="H51" i="114"/>
  <c r="H50" i="114"/>
  <c r="H52" i="114"/>
  <c r="H49" i="114"/>
  <c r="N28" i="108"/>
  <c r="D28" i="108"/>
  <c r="N23" i="108"/>
  <c r="D23" i="108"/>
  <c r="I18" i="108"/>
  <c r="I17"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7" a="1"/>
  <c r="E32" i="107" a="1"/>
  <c r="E127" i="105" a="1"/>
  <c r="E7" i="106" a="1"/>
  <c r="E7" i="108" a="1"/>
  <c r="E7" i="105" a="1"/>
  <c r="E37" i="108"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A8" i="13"/>
  <c r="A5" i="13"/>
  <c r="A3" i="13"/>
  <c r="E7" i="98" a="1"/>
  <c r="E117" i="76" a="1"/>
  <c r="E42" i="98" a="1"/>
  <c r="E88" i="76" a="1"/>
  <c r="E179" i="69" a="1"/>
  <c r="E7" i="97" a="1"/>
  <c r="E44" i="69" a="1"/>
  <c r="E158" i="76" a="1"/>
  <c r="E95" i="69" a="1"/>
  <c r="E36" i="76" a="1"/>
  <c r="E124" i="69" a="1"/>
  <c r="E209" i="76" a="1"/>
  <c r="E83" i="97" a="1"/>
  <c r="E7" i="76" a="1"/>
  <c r="E59" i="76" a="1"/>
  <c r="E7" i="69" a="1"/>
  <c r="G20" i="69" l="1"/>
  <c r="G20" i="76"/>
  <c r="P20" i="69"/>
  <c r="P20" i="76"/>
  <c r="I15" i="108"/>
  <c r="I15" i="98"/>
  <c r="N20" i="69"/>
  <c r="N20" i="76"/>
  <c r="O20" i="76"/>
  <c r="O20" i="69"/>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30" i="76" a="1"/>
  <c r="N30" i="76" s="1"/>
  <c r="N53" i="76" s="1" a="1"/>
  <c r="N53" i="76" s="1"/>
  <c r="N82" i="76" s="1" a="1"/>
  <c r="N82" i="76" s="1"/>
  <c r="O30" i="76" a="1"/>
  <c r="O30" i="76" s="1"/>
  <c r="O53" i="76" s="1" a="1"/>
  <c r="O53" i="76" s="1"/>
  <c r="O82" i="76" s="1" a="1"/>
  <c r="O82" i="76" s="1"/>
  <c r="P30" i="76" a="1"/>
  <c r="P30" i="76" s="1"/>
  <c r="P53" i="76" s="1" a="1"/>
  <c r="P53" i="76" s="1"/>
  <c r="P82" i="76" s="1" a="1"/>
  <c r="P82" i="76" s="1"/>
  <c r="E88" i="76"/>
  <c r="E36" i="76"/>
  <c r="E59" i="76"/>
  <c r="E7" i="76"/>
  <c r="O35" i="69" a="1"/>
  <c r="O35" i="69" s="1"/>
  <c r="E109" i="69" a="1"/>
  <c r="E109" i="69" s="1"/>
  <c r="E179" i="69"/>
  <c r="E124" i="69"/>
  <c r="E95" i="69"/>
  <c r="N35" i="69" a="1"/>
  <c r="N35" i="69" s="1"/>
  <c r="H21" i="70"/>
  <c r="F17" i="70"/>
  <c r="E25" i="69" s="1"/>
  <c r="G17" i="70"/>
  <c r="F25" i="69" s="1"/>
  <c r="H17" i="70"/>
  <c r="E17" i="70"/>
  <c r="D25" i="69" s="1"/>
  <c r="E68" i="69"/>
  <c r="F68" i="69"/>
  <c r="E16" i="70"/>
  <c r="F16" i="70"/>
  <c r="G16" i="70"/>
  <c r="E110" i="69" a="1"/>
  <c r="E110" i="69" s="1"/>
  <c r="P35" i="69" a="1"/>
  <c r="P35" i="69" s="1"/>
  <c r="E44" i="69"/>
  <c r="R35" i="69"/>
  <c r="E7" i="69"/>
  <c r="Q20" i="69" l="1"/>
  <c r="Q20" i="76"/>
  <c r="E20" i="69"/>
  <c r="E20" i="76"/>
  <c r="E30" i="76" s="1" a="1"/>
  <c r="E30" i="76" s="1"/>
  <c r="E53" i="76" s="1" a="1"/>
  <c r="E53" i="76" s="1"/>
  <c r="E82" i="76" s="1" a="1"/>
  <c r="E82" i="76" s="1"/>
  <c r="F109" i="76" s="1" a="1"/>
  <c r="F109" i="76" s="1"/>
  <c r="G25" i="69"/>
  <c r="G35" i="69" s="1" a="1"/>
  <c r="G35" i="69" s="1"/>
  <c r="F20" i="69"/>
  <c r="F20" i="76"/>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G30" i="76" a="1"/>
  <c r="G30" i="76" s="1"/>
  <c r="G53" i="76" s="1" a="1"/>
  <c r="G53" i="76" s="1"/>
  <c r="G82" i="76" s="1" a="1"/>
  <c r="G82" i="76" s="1"/>
  <c r="H111" i="76" s="1" a="1"/>
  <c r="H111" i="76" s="1"/>
  <c r="Q35" i="69" a="1"/>
  <c r="Q35" i="69" s="1"/>
  <c r="Q30" i="76" a="1"/>
  <c r="Q30" i="76" s="1"/>
  <c r="Q53" i="76" s="1" a="1"/>
  <c r="Q53" i="76" s="1"/>
  <c r="Q82" i="76" s="1" a="1"/>
  <c r="Q82"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4" i="97"/>
  <c r="F151" i="76" a="1"/>
  <c r="F151" i="76" s="1"/>
  <c r="G23" i="97"/>
  <c r="G58" i="97" s="1" a="1"/>
  <c r="G58" i="97" s="1"/>
  <c r="P152" i="76" a="1"/>
  <c r="P152" i="76" s="1"/>
  <c r="Q199" i="76" s="1" a="1"/>
  <c r="Q199" i="76" s="1"/>
  <c r="Q24" i="97"/>
  <c r="Q23" i="108"/>
  <c r="Q20" i="106"/>
  <c r="P19" i="107"/>
  <c r="P24" i="107" s="1" a="1"/>
  <c r="P24" i="107" s="1"/>
  <c r="R25" i="97"/>
  <c r="R60" i="97" s="1" a="1"/>
  <c r="R60" i="97" s="1"/>
  <c r="P151" i="76" a="1"/>
  <c r="P151" i="76" s="1"/>
  <c r="Q194" i="76" s="1" a="1"/>
  <c r="Q194" i="76" s="1"/>
  <c r="Q23" i="97"/>
  <c r="O151" i="76" a="1"/>
  <c r="O151" i="76" s="1"/>
  <c r="P196" i="76" s="1" a="1"/>
  <c r="P196" i="76" s="1"/>
  <c r="P23" i="97"/>
  <c r="P58" i="97" s="1" a="1"/>
  <c r="P58" i="97" s="1"/>
  <c r="P150" i="76" a="1"/>
  <c r="P150" i="76" s="1"/>
  <c r="Q22" i="97"/>
  <c r="Q25" i="97"/>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O150" i="76" a="1"/>
  <c r="O150" i="76" s="1"/>
  <c r="P193" i="76" s="1" a="1"/>
  <c r="P193" i="76" s="1"/>
  <c r="P22" i="97"/>
  <c r="P57" i="97" s="1" a="1"/>
  <c r="P57" i="97" s="1"/>
  <c r="I25" i="97"/>
  <c r="H23" i="108"/>
  <c r="H20" i="106"/>
  <c r="H19" i="107"/>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R117" i="69" a="1"/>
  <c r="R117" i="69" s="1"/>
  <c r="H24" i="107" a="1"/>
  <c r="H24" i="107" s="1"/>
  <c r="F117" i="69" a="1"/>
  <c r="F117" i="69" s="1"/>
  <c r="G173" i="69" s="1" a="1"/>
  <c r="G173" i="69" s="1"/>
  <c r="G220" i="69" s="1" a="1"/>
  <c r="G220" i="69" s="1"/>
  <c r="Q59" i="97" a="1"/>
  <c r="Q59" i="97" s="1"/>
  <c r="Q60" i="97" a="1"/>
  <c r="Q60" i="97" s="1"/>
  <c r="P59" i="97" a="1"/>
  <c r="P59" i="97" s="1"/>
  <c r="Q58" i="97" a="1"/>
  <c r="Q58" i="97" s="1"/>
  <c r="R57" i="97" a="1"/>
  <c r="R57" i="97" s="1"/>
  <c r="Q57" i="97" a="1"/>
  <c r="Q57" i="97" s="1"/>
  <c r="I60" i="97" a="1"/>
  <c r="I60"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203" i="76" l="1" a="1"/>
  <c r="Q203" i="76" s="1"/>
  <c r="Q202" i="76" a="1"/>
  <c r="Q202" i="76" s="1"/>
  <c r="Q200" i="76" a="1"/>
  <c r="Q200" i="76" s="1"/>
  <c r="R197" i="76" a="1"/>
  <c r="R197" i="76" s="1"/>
  <c r="R201" i="76" a="1"/>
  <c r="R201" i="76" s="1"/>
  <c r="R189" i="76" a="1"/>
  <c r="R189" i="76" s="1"/>
  <c r="P189" i="76" a="1"/>
  <c r="P189" i="76"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Q26" i="97"/>
  <c r="Q22" i="105"/>
  <c r="Q27" i="98"/>
  <c r="H152" i="76" a="1"/>
  <c r="H152" i="76" s="1"/>
  <c r="I24" i="97"/>
  <c r="I59" i="97" s="1" a="1"/>
  <c r="I59" i="97" s="1"/>
  <c r="P26" i="97"/>
  <c r="P22" i="105"/>
  <c r="P27" i="98"/>
  <c r="R152" i="76" a="1"/>
  <c r="R152" i="76" s="1"/>
  <c r="S201" i="76" s="1" a="1"/>
  <c r="S201" i="76" s="1"/>
  <c r="S24" i="97"/>
  <c r="S59" i="97" s="1" a="1"/>
  <c r="S59" i="97" s="1"/>
  <c r="R23" i="108"/>
  <c r="R20" i="106"/>
  <c r="Q19" i="107"/>
  <c r="Q24" i="107" s="1" a="1"/>
  <c r="Q24" i="107" s="1"/>
  <c r="N26" i="107" s="1"/>
  <c r="R38" i="107" s="1"/>
  <c r="N45" i="107" s="1" a="1"/>
  <c r="N45" i="107" s="1"/>
  <c r="F12" i="13" s="1"/>
  <c r="S25" i="97"/>
  <c r="S60" i="97" s="1" a="1"/>
  <c r="S60" i="97" s="1"/>
  <c r="F150" i="76" a="1"/>
  <c r="F150" i="76" s="1"/>
  <c r="G193" i="76" s="1" a="1"/>
  <c r="G193" i="76" s="1"/>
  <c r="G22" i="97"/>
  <c r="G150" i="76" a="1"/>
  <c r="G150" i="76" s="1"/>
  <c r="H193" i="76" s="1" a="1"/>
  <c r="H193" i="76" s="1"/>
  <c r="H22" i="97"/>
  <c r="H57" i="97" s="1" a="1"/>
  <c r="H57" i="97" s="1"/>
  <c r="Q195" i="76" a="1"/>
  <c r="Q195" i="76" s="1"/>
  <c r="Q32" i="97" s="1"/>
  <c r="Q67" i="97" s="1" a="1"/>
  <c r="Q67" i="97" s="1"/>
  <c r="R194" i="76" a="1"/>
  <c r="R194" i="76" s="1"/>
  <c r="R26" i="97"/>
  <c r="R22" i="105"/>
  <c r="R27" i="98"/>
  <c r="H25" i="97"/>
  <c r="H60" i="97" s="1" a="1"/>
  <c r="H60" i="97" s="1"/>
  <c r="G23" i="108"/>
  <c r="G20" i="106"/>
  <c r="G19" i="107"/>
  <c r="G24" i="107" s="1" a="1"/>
  <c r="G24" i="107" s="1"/>
  <c r="Q197" i="76" a="1"/>
  <c r="Q197" i="76" s="1"/>
  <c r="Q30" i="105" s="1"/>
  <c r="R195" i="76" a="1"/>
  <c r="R195" i="76" s="1"/>
  <c r="E150" i="76" a="1"/>
  <c r="E150" i="76" s="1"/>
  <c r="F22" i="97"/>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40" i="97"/>
  <c r="Q36" i="105"/>
  <c r="Q30" i="97"/>
  <c r="Q26" i="105"/>
  <c r="P36" i="105"/>
  <c r="P40" i="97"/>
  <c r="Q27" i="105"/>
  <c r="G194" i="76" a="1"/>
  <c r="G194" i="76" s="1"/>
  <c r="G28" i="98" s="1"/>
  <c r="G195" i="76" a="1"/>
  <c r="G195" i="76" s="1"/>
  <c r="G28" i="105" s="1"/>
  <c r="G196" i="76" a="1"/>
  <c r="G196" i="76" s="1"/>
  <c r="G29" i="105" s="1"/>
  <c r="G197" i="76" a="1"/>
  <c r="G197" i="76" s="1"/>
  <c r="G30" i="105" s="1"/>
  <c r="S57" i="97" a="1"/>
  <c r="S57" i="97" s="1"/>
  <c r="F57" i="97" a="1"/>
  <c r="F57" i="97" s="1"/>
  <c r="Q33" i="97"/>
  <c r="Q68" i="97" s="1" a="1"/>
  <c r="Q68" i="97" s="1"/>
  <c r="G57" i="97" a="1"/>
  <c r="G57" i="97" s="1"/>
  <c r="S203" i="76" l="1" a="1"/>
  <c r="S203" i="76" s="1"/>
  <c r="S192" i="76" a="1"/>
  <c r="S192" i="76" s="1"/>
  <c r="S202" i="76" a="1"/>
  <c r="S202" i="76" s="1"/>
  <c r="S193" i="76" a="1"/>
  <c r="S193" i="76" s="1"/>
  <c r="S191" i="76" a="1"/>
  <c r="S191" i="76" s="1"/>
  <c r="S190" i="76" a="1"/>
  <c r="S190" i="76"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S30" i="97"/>
  <c r="S26" i="105"/>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F189" i="76" a="1"/>
  <c r="F189" i="76" s="1"/>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H26" i="97" l="1"/>
  <c r="H22" i="105"/>
  <c r="H27" i="98"/>
  <c r="I26" i="97"/>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61" i="97" a="1"/>
  <c r="H6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<sst xmlns="http://schemas.openxmlformats.org/spreadsheetml/2006/main" count="1187" uniqueCount="387">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</sst>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EBB08A-B709-4DFB-845C-F898C2225D5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9A7AB3C-67CB-4145-8F76-68556BBA22EE}" name="State/Territory">
      <calculatedColumnFormula array="1">Common_InputFunctions.Utility_DisplayArrayInTable(Common_SourceData.Common_SourceData_AustralianStatesTerritories_Data(),Table_AustralianStates[[#Headers],[State/Territory]],0)</calculatedColumnFormula>
    </tableColumn>
    <tableColumn id="2" xr3:uid="{2BA8C98E-7BB9-4CC4-AB6D-A688B6E3CBB4}" name="Common Name">
      <calculatedColumnFormula array="1">Common_InputFunctions.Utility_DisplayArrayInTable(Common_SourceData.Common_SourceData_AustralianStatesTerritories_Data(),Table_AustralianStates[[#Headers],[State/Territory]],0)</calculatedColumnFormula>
    </tableColumn>
    <tableColumn id="3" xr3:uid="{763E447B-653C-4951-B63F-0F72B49DD8E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747F3A7-EBF1-4D99-B4DE-9F698670F487}" name="Table_WASA4Areas" displayName="Table_WASA4Areas" ref="D20:D30" totalsRowShown="0">
  <autoFilter ref="D20:D30" xr:uid="{5FA81339-C6C8-4D36-BEEA-6C4AEDD9E676}">
    <filterColumn colId="0" hiddenButton="1"/>
  </autoFilter>
  <tableColumns count="1">
    <tableColumn id="1" xr3:uid="{0529E4DF-7147-4D52-A7CD-3085547C1E3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65C3DC6-6C4B-4582-A781-C6DDECA48FFB}" name="Table_GWPData" displayName="Table_GWPData" ref="D36:E43" totalsRowShown="0">
  <autoFilter ref="D36:E43" xr:uid="{B8E87A66-3E41-4AD3-925D-01EE21B43D7A}">
    <filterColumn colId="0" hiddenButton="1"/>
    <filterColumn colId="1" hiddenButton="1"/>
  </autoFilter>
  <tableColumns count="2">
    <tableColumn id="1" xr3:uid="{2BDF546B-B885-4178-B754-E2C5DE475A18}" name="Gas">
      <calculatedColumnFormula array="1">Common_InputFunctions.Utility_DisplayArrayInTable(Common_SourceData.Common_SourceData_GWP_Data(), Table_GWPData[[#Headers],[Gas]], 0)</calculatedColumnFormula>
    </tableColumn>
    <tableColumn id="2" xr3:uid="{6483C366-D7BD-4F62-B6C1-BFBE330835F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2578E13-09D8-4345-8E7E-A6B637AE60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026D31B-F04B-4C3F-89DF-F1F86A3BBF01}" name="Gas">
      <calculatedColumnFormula array="1">Common_InputFunctions.Utility_DisplayArrayInTable(Common_SourceData.Common_SourceData_ConvertGasElementalToMolecular_Data(),Table_GasToMolecularConversionFactor[[#Headers],[Gas]], 0)</calculatedColumnFormula>
    </tableColumn>
    <tableColumn id="5" xr3:uid="{86097288-1A9A-4C15-8268-8D91B8FB21A5}" name="Conversion factor">
      <calculatedColumnFormula array="1">Common_InputFunctions.Utility_DisplayArrayInTable(Common_SourceData.Common_SourceData_ConvertGasElementalToMolecular_Data(),Table_GasToMolecularConversionFactor[[#Headers],[Gas]], 0)</calculatedColumnFormula>
    </tableColumn>
    <tableColumn id="2" xr3:uid="{975E493E-250B-4339-8A2E-637A2AC5484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FFE9FE8-70C0-4331-88B1-12342388999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854E0D6-2408-4B45-AF76-A0836561032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0C00B17-F9FA-42D7-9B16-B5DD9237DF2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56FD775-1869-47B6-970A-6C4195AB386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CCB9D7C-3EF9-49E9-A254-5B3B3761759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F0E48082-A48F-48EB-8958-BBC2D55FB658}"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AB04848-1860-4CFD-88E5-B3523E156DF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94545DE5-C84A-46EB-8D38-809FC148153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4EED9F5C-0D0C-42F2-8B99-CC691F6B0100}"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3DE5042-75F0-4F4F-B3D6-6685AB5D499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F316F015-F969-43CE-9023-CB89FE5437B1}"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74E3012-C6EE-4303-B729-C5D9D116D357}"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0BA57753-604D-4256-99CB-8A27FEE71D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AC563126-03FF-4E08-A691-64D8BC2FE0B1}"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2520224E-2219-4A07-8D53-DDC1D7FCE25C}"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9CABE6D-26C0-4589-8AD1-B95A9A0C92E7}"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2F99F6D-EBFD-4E7A-B55D-05A9AA8BDD5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D15E306-27FA-4402-B1A8-B9E6EE84C66F}"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E774DAED-0D28-475A-9EA0-927079AA7D5A}"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504DCA0-70C1-4D55-AAC4-E25926162AA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9169654-BE82-4D6C-97E5-4D091AF7262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B9EBD1C-A2E3-4ECC-8951-6666D3581193}"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57E8CD-BE43-4A06-AA10-38AFCEF707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AD7F6D6-79AE-4615-8892-BA24DCFB411F}" name="Temperature Zone">
      <calculatedColumnFormula array="1">Common_InputFunctions.Utility_DisplayArrayInTable(Common_SourceData.Common_SourceData_TemperatureZones_Data(),Table_SourceData_TemperatureZones[[#Headers],[Temperature Zone]],0)</calculatedColumnFormula>
    </tableColumn>
    <tableColumn id="2" xr3:uid="{E908C471-066E-4095-8C07-ECF9FF6EB486}" name="MAT">
      <calculatedColumnFormula array="1">Common_InputFunctions.Utility_DisplayArrayInTable(Common_SourceData.Common_SourceData_TemperatureZones_Data(),Table_SourceData_TemperatureZones[[#Headers],[Temperature Zone]],0)</calculatedColumnFormula>
    </tableColumn>
    <tableColumn id="3" xr3:uid="{036461D9-440A-4302-BBB6-AC533274810A}" name="Min MAT">
      <calculatedColumnFormula array="1">Common_InputFunctions.Utility_DisplayArrayInTable(Common_SourceData.Common_SourceData_TemperatureZones_Data(),Table_SourceData_TemperatureZones[[#Headers],[Temperature Zone]],0)</calculatedColumnFormula>
    </tableColumn>
    <tableColumn id="4" xr3:uid="{A0C16B27-1B62-422E-818D-60872CCE9BC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B4651BF-73C4-493E-8918-D2364E3EEE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64EC235-E9C7-421B-AF89-0515FEEDE2BF}" name="Rainfall Zone">
      <calculatedColumnFormula array="1">Common_InputFunctions.Utility_DisplayArrayInTable(Common_SourceData.Common_SourceData_RainfallZones_Data(),Table_SourceData_RainfallZones[[#Headers],[Rainfall Zone]],0)</calculatedColumnFormula>
    </tableColumn>
    <tableColumn id="2" xr3:uid="{7DB13CB6-BDED-4090-B663-EABA94DA8D44}" name="Annual rainfall">
      <calculatedColumnFormula array="1">Common_InputFunctions.Utility_DisplayArrayInTable(Common_SourceData.Common_SourceData_RainfallZones_Data(),Table_SourceData_RainfallZones[[#Headers],[Rainfall Zone]],0)</calculatedColumnFormula>
    </tableColumn>
    <tableColumn id="3" xr3:uid="{711972A1-35FF-45EF-A426-4E22A8FC31F6}" name="Min rainfall">
      <calculatedColumnFormula array="1">Common_InputFunctions.Utility_DisplayArrayInTable(Common_SourceData.Common_SourceData_RainfallZones_Data(),Table_SourceData_RainfallZones[[#Headers],[Rainfall Zone]],0)</calculatedColumnFormula>
    </tableColumn>
    <tableColumn id="4" xr3:uid="{6EC4C48F-E3F7-44B3-9985-CB7470119C8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2521E89-0F6A-4ADD-BFDC-8209A781F95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25936A9-CD4A-46C5-9886-754201C951C6}" name="Leaching Zone">
      <calculatedColumnFormula array="1">Common_InputFunctions.Utility_DisplayArrayInTable(Common_SourceData.Common_SourceData_LeachingZones_Data(), Table_SourceData_LeachingZones[[#Headers],[Leaching Zone]], 0)</calculatedColumnFormula>
    </tableColumn>
    <tableColumn id="2" xr3:uid="{BF5D66CF-DC0A-42D7-9ABF-70DBD2253E0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1709652-622B-4528-9383-185A42CB4D0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8C77550-EEB2-46F4-B525-FC09B6007478}" name="Data source">
      <calculatedColumnFormula array="1">Common_InputFunctions.Utility_DisplayArrayInTable(Common_SourceData.Common_SourceData_DataScores_Scope3_Data(), Table_SourceData_DataScores_Scope3[[#Headers],[Data source]], 0)</calculatedColumnFormula>
    </tableColumn>
    <tableColumn id="2" xr3:uid="{A4416AB0-F2DB-48C0-8AAC-E6249016778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4CE25A0-B856-429F-BF81-F1D92F24CBC0}" name="Table_SourceData_FracWET" displayName="Table_SourceData_FracWET" ref="D134:E136" totalsRowShown="0">
  <autoFilter ref="D134:E136" xr:uid="{308E99BE-FE1F-47A4-B2CA-97217277C4E9}">
    <filterColumn colId="0" hiddenButton="1"/>
    <filterColumn colId="1" hiddenButton="1"/>
  </autoFilter>
  <tableColumns count="2">
    <tableColumn id="1" xr3:uid="{9C22187D-749B-4CB6-B511-25316196FF9B}" name="Is in leaching zone">
      <calculatedColumnFormula array="1">Common_InputFunctions.Utility_DisplayArrayInTable(Common_SourceData.Common_SourceData_FracWET_Data(),Table_SourceData_FracWET[[#Headers],[Is in leaching zone]],0)</calculatedColumnFormula>
    </tableColumn>
    <tableColumn id="2" xr3:uid="{2ED554D0-AD8A-4EC5-8703-983F4E750A9A}"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4717EB1-D106-43F4-A766-94204521D81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250F160-B1F7-403E-8DC1-894F4E72631F}" name="Production system j">
      <calculatedColumnFormula array="1">Common_InputFunctions.Utility_DisplayArrayInTable(Common_SourceData.Common_SourceData_EFN2O_Data(), Table_SourceData_Common_EFN2O[[#Headers],[Production system j]], 0)</calculatedColumnFormula>
    </tableColumn>
    <tableColumn id="2" xr3:uid="{92E6EBDD-2155-46F2-B7AC-0EE5CB9FE881}" name="EFN2O">
      <calculatedColumnFormula array="1">Common_InputFunctions.Utility_DisplayArrayInTable(Common_SourceData.Common_SourceData_EFN2O_Data(), Table_SourceData_Common_EFN2O[[#Headers],[Production system j]], 0)</calculatedColumnFormula>
    </tableColumn>
    <tableColumn id="3" xr3:uid="{DEE95210-201D-49F1-AB7A-2170B2880AC7}" name="Production system only">
      <calculatedColumnFormula array="1">Common_InputFunctions.Utility_DisplayArrayInTable(Common_SourceData.Common_SourceData_EFN2O_Data(), Table_SourceData_Common_EFN2O[[#Headers],[Production system j]], 0)</calculatedColumnFormula>
    </tableColumn>
    <tableColumn id="4" xr3:uid="{3FF6F590-E51F-448F-868D-499118705DEA}" name="Irrigation method">
      <calculatedColumnFormula array="1">Common_InputFunctions.Utility_DisplayArrayInTable(Common_SourceData.Common_SourceData_EFN2O_Data(), Table_SourceData_Common_EFN2O[[#Headers],[Production system j]], 0)</calculatedColumnFormula>
    </tableColumn>
    <tableColumn id="5" xr3:uid="{210E1EF3-1AA0-4E88-A1E6-1306B352A83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E816D3F-3511-4F78-BB22-DC11D90FB14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B6808FD-C619-4109-9CAF-B01AC966663B}" name="Irrigation type i">
      <calculatedColumnFormula array="1">Common_InputFunctions.Utility_DisplayArrayInTable(Common_SourceData.Common_SourceData_FracWETIrrigation_Data(), Table_SourceData_FracWETIrrigation[[#Headers],[Irrigation type i]], 0)</calculatedColumnFormula>
    </tableColumn>
    <tableColumn id="2" xr3:uid="{15119703-1E05-40F9-ADCD-115D07F3F89B}"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2B10712-1BE2-48D5-8FA5-20AF1B79FD4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06C72B8-A627-4BBE-9E73-FEDAA54043D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806F37-EF6A-4E40-ACDA-48BE1FF202C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E0E5D06D-20E6-4B1B-A616-29924CC1DA4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A0E2ED7-5613-4B74-95CE-0E6F24150072}" name="Month">
      <calculatedColumnFormula array="1">Common_InputFunctions.Utility_DisplayArrayInTable(Common_SourceData.Common_SourceData_MonthsToSeasons_Data(), Table_SourceData_Common_MonthToSeason[[#Headers],[Month]], 0)</calculatedColumnFormula>
    </tableColumn>
    <tableColumn id="2" xr3:uid="{EBEEE8E4-E8D4-46E2-A6AD-18AF751FFF8B}"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6844938-C806-4DE6-99B0-31DD24517B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A46E030-E9F7-498F-90B5-B57CCFCD159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B0EA5A-9EE1-4E17-8C11-427191FA5740}"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0BD95BE-B4F4-44A5-BA1B-74D32614110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C7399D6-B0E9-4482-8594-5A3081AB7009}"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B4828D-3BE3-4C8F-9028-4D62084F1CDF}"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3DE84FC-0F54-4683-82E1-BFF8D37FAE17}"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F074501-0CD0-40DB-AD02-C71B17EAD5CA}"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37F802D-3D80-4757-9B40-D2BEBD7574F0}"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0391D23-1840-4A58-95A8-9AE6652C119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B0735E-849F-4EEE-826C-48EFE129C88D}"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D161DEB-3AD3-4A06-BCE2-71188B4EAE8F}"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9229DD5-A1CE-4F23-8B20-EF4476056477}"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99B5339-8ABD-4A10-A44A-9D437EFE5D2E}"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CB21FF2-F8CA-4E30-9806-DB0D5591084F}"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65C8A2D-07C8-4148-9916-23DB58610952}"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B4084F8-AE07-4766-BCCC-466D77D4F6A5}"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26C24F5-3D41-40EF-9D88-6E942EAF37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024CDB9-03BE-4870-AAF0-740A66F5C1B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8BFBB30-003B-42CC-B135-E1A3433A73E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9" sqref="E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VEERG_4_6_1_1__1_TotalAnnualMethaneEmissions_Result_Method1</f>
        <v>1.9999321060623357E-2</v>
      </c>
      <c r="F7" s="135">
        <f>VEERG_4_6_1_1__1_TotalAnnualMethaneEmissions_Result_Method2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VEERG_4_6_1_3__1_TotalAnnualDirectNitrousOxideEmissionsFromMMS_Result_Method1</f>
        <v>5.7674954756571411E-4</v>
      </c>
      <c r="F8" s="135">
        <f>VEERG_4_6_1_3__1_TotalAnnualDirectNitrousOxideEmissionsFromMMS_Result_Method2</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VEERG_4_6_1_5__1_TotalAnnualAtmosphericDepositionEmissionsFromMMS_Result_Method1</f>
        <v>2.2877540674560014E-4</v>
      </c>
      <c r="F9" s="135">
        <f>VEERG_4_6_1_5__1_TotalAnnualAtmosphericDepositionEmissionsFromMMS_Result_Method2</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VEERG_4_6_1_7__1_AnnualEmissionsFromLeachingAndRunoffFromMMS_Result_Method1</f>
        <v>3.4753311014399998E-6</v>
      </c>
      <c r="F10" s="135">
        <f>VEERG_4_6_1_7__1_AnnualEmissionsFromLeachingAndRunoffFromMMS_Result_Method2</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VEERG_4_6_1_10__1_DirectNitrousOxideEmissionsFromPoultryManure_Result_Method1</f>
        <v>2.3434148571428574E-4</v>
      </c>
      <c r="F11" s="135">
        <f>VEERG_4_6_1_10__1_DirectNitrousOxideEmissionsFromPoultryManure_Result_Method2</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VEERG_4_6_1_12__1_AtmosphericDepositionEmissionsFromPoultryManureOnPasture_Result_Method1</f>
        <v>1.72240992E-5</v>
      </c>
      <c r="F12" s="135">
        <f>VEERG_4_6_1_12__1_AtmosphericDepositionEmissionsFromPoultryManureOnPasture_Result_Method2</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VEERG_4_6_1_14__1_LeachingAndRunoffEmissionsFromPoultryManureOnPasture_Result_Method1</f>
        <v>2.5777563428571431E-6</v>
      </c>
      <c r="F13" s="135">
        <f>VEERG_4_6_1_14__1_LeachingAndRunoffEmissionsFromPoultryManureOnPasture_Result_Method2</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VEERG_4_6_1_9__1_MassOfNitrogenAppliedToSoilsScope1_Result_Method1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VEERG_4_6_1_9__2_MassOfNitrogenAppliedToSoilsScope3_Result_Method1</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F61" sqref="F6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65" priority="79" operator="lessThan">
      <formula>0</formula>
    </cfRule>
  </conditionalFormatting>
  <conditionalFormatting sqref="F43">
    <cfRule type="cellIs" dxfId="64" priority="62" operator="lessThan">
      <formula>0</formula>
    </cfRule>
  </conditionalFormatting>
  <conditionalFormatting sqref="F121:F122">
    <cfRule type="cellIs" dxfId="63" priority="21" operator="lessThan">
      <formula>0</formula>
    </cfRule>
  </conditionalFormatting>
  <conditionalFormatting sqref="F133:F134">
    <cfRule type="cellIs" dxfId="62" priority="20" operator="lessThan">
      <formula>0</formula>
    </cfRule>
  </conditionalFormatting>
  <conditionalFormatting sqref="F145:F146">
    <cfRule type="cellIs" dxfId="61" priority="19" operator="lessThan">
      <formula>0</formula>
    </cfRule>
  </conditionalFormatting>
  <conditionalFormatting sqref="F157:F158">
    <cfRule type="cellIs" dxfId="60" priority="18" operator="lessThan">
      <formula>0</formula>
    </cfRule>
  </conditionalFormatting>
  <conditionalFormatting sqref="F245:F246">
    <cfRule type="cellIs" dxfId="59" priority="93" operator="lessThan">
      <formula>0</formula>
    </cfRule>
  </conditionalFormatting>
  <conditionalFormatting sqref="F250:F251">
    <cfRule type="cellIs" dxfId="58" priority="92" operator="lessThan">
      <formula>0</formula>
    </cfRule>
  </conditionalFormatting>
  <conditionalFormatting sqref="F255:F256">
    <cfRule type="cellIs" dxfId="57" priority="91" operator="lessThan">
      <formula>0</formula>
    </cfRule>
  </conditionalFormatting>
  <conditionalFormatting sqref="F279:F280">
    <cfRule type="cellIs" dxfId="56" priority="85" operator="lessThan">
      <formula>0</formula>
    </cfRule>
  </conditionalFormatting>
  <conditionalFormatting sqref="F284:F285">
    <cfRule type="cellIs" dxfId="55" priority="84" operator="lessThan">
      <formula>0</formula>
    </cfRule>
  </conditionalFormatting>
  <conditionalFormatting sqref="F289:F290">
    <cfRule type="cellIs" dxfId="54" priority="83" operator="lessThan">
      <formula>0</formula>
    </cfRule>
  </conditionalFormatting>
  <conditionalFormatting sqref="I30:J34">
    <cfRule type="cellIs" dxfId="53" priority="55" operator="lessThan">
      <formula>0</formula>
    </cfRule>
  </conditionalFormatting>
  <conditionalFormatting sqref="I38:J42 O43:P43 I60:J60 N101 I119:K119 L180:M180 L184:M185 L188:M189 L194:M195 L198:M198 I199:M199 I205:M205">
    <cfRule type="cellIs" dxfId="52" priority="74" operator="lessThan">
      <formula>0</formula>
    </cfRule>
  </conditionalFormatting>
  <conditionalFormatting sqref="I45:J49">
    <cfRule type="cellIs" dxfId="51" priority="6" operator="lessThan">
      <formula>0</formula>
    </cfRule>
  </conditionalFormatting>
  <conditionalFormatting sqref="I52:J56">
    <cfRule type="cellIs" dxfId="50" priority="5" operator="lessThan">
      <formula>0</formula>
    </cfRule>
  </conditionalFormatting>
  <conditionalFormatting sqref="I71:J73">
    <cfRule type="cellIs" dxfId="49" priority="4" operator="lessThan">
      <formula>0</formula>
    </cfRule>
  </conditionalFormatting>
  <conditionalFormatting sqref="I77:J80">
    <cfRule type="cellIs" dxfId="48" priority="3" operator="lessThan">
      <formula>0</formula>
    </cfRule>
  </conditionalFormatting>
  <conditionalFormatting sqref="I84:J88">
    <cfRule type="cellIs" dxfId="47" priority="1" operator="lessThan">
      <formula>0</formula>
    </cfRule>
  </conditionalFormatting>
  <conditionalFormatting sqref="K147">
    <cfRule type="cellIs" dxfId="46" priority="24" operator="lessThan">
      <formula>0</formula>
    </cfRule>
  </conditionalFormatting>
  <conditionalFormatting sqref="M113:M116">
    <cfRule type="cellIs" dxfId="45" priority="11" operator="lessThan">
      <formula>0</formula>
    </cfRule>
  </conditionalFormatting>
  <conditionalFormatting sqref="M119">
    <cfRule type="cellIs" dxfId="44" priority="17" operator="lessThan">
      <formula>0</formula>
    </cfRule>
  </conditionalFormatting>
  <conditionalFormatting sqref="M125:M128">
    <cfRule type="cellIs" dxfId="43" priority="10" operator="lessThan">
      <formula>0</formula>
    </cfRule>
  </conditionalFormatting>
  <conditionalFormatting sqref="M131">
    <cfRule type="cellIs" dxfId="42" priority="16" operator="lessThan">
      <formula>0</formula>
    </cfRule>
  </conditionalFormatting>
  <conditionalFormatting sqref="M137:M140">
    <cfRule type="cellIs" dxfId="41" priority="9" operator="lessThan">
      <formula>0</formula>
    </cfRule>
  </conditionalFormatting>
  <conditionalFormatting sqref="M143">
    <cfRule type="cellIs" dxfId="40" priority="15" operator="lessThan">
      <formula>0</formula>
    </cfRule>
  </conditionalFormatting>
  <conditionalFormatting sqref="M149:M152">
    <cfRule type="cellIs" dxfId="39" priority="8" operator="lessThan">
      <formula>0</formula>
    </cfRule>
  </conditionalFormatting>
  <conditionalFormatting sqref="M155">
    <cfRule type="cellIs" dxfId="38" priority="14" operator="lessThan">
      <formula>0</formula>
    </cfRule>
  </conditionalFormatting>
  <conditionalFormatting sqref="M159:M160">
    <cfRule type="cellIs" dxfId="37"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36"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F197" sqref="F19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INDEX(X_Table_Poultry_Diet_Method1,3,2)</f>
        <v>0.8</v>
      </c>
      <c r="E25" s="52">
        <f>INDEX(X_Table_Poultry_Diet_Method1,3,3)</f>
        <v>0.8</v>
      </c>
      <c r="F25" s="52">
        <f>INDEX(X_Table_Poultry_Diet_Method1,3,4)</f>
        <v>0.8</v>
      </c>
      <c r="G25" s="52">
        <f>INDEX(X_Table_Poultry_Diet_Method1,3,5)</f>
        <v>0.8</v>
      </c>
      <c r="H25" s="2" t="str">
        <f>$G$14</f>
        <v>fraction</v>
      </c>
      <c r="N25" s="52">
        <f>INDEX(X_Table_Poultry_Diet_Method2,3,2)</f>
        <v>0.8</v>
      </c>
      <c r="O25" s="52">
        <f>INDEX(X_Table_Poultry_Diet_Method2,3,3)</f>
        <v>0.8</v>
      </c>
      <c r="P25" s="52">
        <f>INDEX(X_Table_Poultry_Diet_Method2,3,4)</f>
        <v>0.8</v>
      </c>
      <c r="Q25" s="52">
        <f>INDEX(X_Table_Poultry_Diet_Method2,3,5)</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Common_SourceData_DensityOfMethane_Data</f>
        <v>0.6784</v>
      </c>
      <c r="N54" s="141" t="str">
        <v>rho</v>
      </c>
      <c r="O54" s="144" t="str">
        <v>density of methane</v>
      </c>
      <c r="P54" s="143"/>
      <c r="Q54" s="141" t="str">
        <v>kg/m3</v>
      </c>
      <c r="R54" s="140" t="str">
        <v>Constant</v>
      </c>
      <c r="S54" s="141">
        <f>Common_SourceData_DensityOfMethane_Data</f>
        <v>0.6784</v>
      </c>
    </row>
    <row r="55" spans="4:19" ht="20.100000000000001" customHeight="1" x14ac:dyDescent="0.25">
      <c r="D55" s="141" t="str">
        <v>i</v>
      </c>
      <c r="E55" s="144" t="str">
        <v>state</v>
      </c>
      <c r="F55" s="143"/>
      <c r="G55" s="141" t="str">
        <v/>
      </c>
      <c r="H55" s="139" t="str">
        <v>Input</v>
      </c>
      <c r="I55" s="141" t="str">
        <f>X_Cell_Site_State</f>
        <v>Western Australia</v>
      </c>
      <c r="N55" s="141" t="str">
        <v>i</v>
      </c>
      <c r="O55" s="144" t="str">
        <v>mean annual temperature</v>
      </c>
      <c r="P55" s="143"/>
      <c r="Q55" s="141" t="str">
        <v>°C</v>
      </c>
      <c r="R55" s="139" t="str">
        <v>Input</v>
      </c>
      <c r="S55" s="141">
        <f>X_Cell_Site_AverageTemperature</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INDEX(X_Table_Poultry_Stage1MMS,2,1)</f>
        <v>Poultry manure with bedding</v>
      </c>
      <c r="E60" s="52">
        <f>INDEX(X_Table_Poultry_Stage1MMS,2,2)</f>
        <v>0.3</v>
      </c>
      <c r="F60" s="52">
        <f>INDEX(X_Table_Poultry_Stage1MMS,2,3)</f>
        <v>0.3</v>
      </c>
      <c r="G60" s="52">
        <f>INDEX(X_Table_Poultry_Stage1MMS,2,4)</f>
        <v>0.3</v>
      </c>
      <c r="H60" s="52">
        <f>INDEX(X_Table_Poultry_Stage1MMS,2,5)</f>
        <v>0.3</v>
      </c>
      <c r="I60" s="2" t="str">
        <f>$G$52</f>
        <v>fraction</v>
      </c>
    </row>
    <row r="61" spans="4:19" ht="20.100000000000001" customHeight="1" x14ac:dyDescent="0.25">
      <c r="D61" s="52" t="str">
        <f>INDEX(X_Table_Poultry_Stage1MMS,3,1)</f>
        <v>Belt manure removal</v>
      </c>
      <c r="E61" s="52">
        <f>INDEX(X_Table_Poultry_Stage1MMS,3,2)</f>
        <v>0.3</v>
      </c>
      <c r="F61" s="52">
        <f>INDEX(X_Table_Poultry_Stage1MMS,3,3)</f>
        <v>0.3</v>
      </c>
      <c r="G61" s="52">
        <f>INDEX(X_Table_Poultry_Stage1MMS,3,4)</f>
        <v>0.3</v>
      </c>
      <c r="H61" s="52">
        <f>INDEX(X_Table_Poultry_Stage1MMS,3,5)</f>
        <v>0.3</v>
      </c>
      <c r="I61" s="2"/>
    </row>
    <row r="62" spans="4:19" ht="20.100000000000001" customHeight="1" x14ac:dyDescent="0.25">
      <c r="D62" s="52" t="str">
        <f>INDEX(X_Table_Poultry_Stage1MMS,4,1)</f>
        <v>Manure stored in house</v>
      </c>
      <c r="E62" s="52">
        <f>INDEX(X_Table_Poultry_Stage1MMS,4,2)</f>
        <v>0.3</v>
      </c>
      <c r="F62" s="52">
        <f>INDEX(X_Table_Poultry_Stage1MMS,4,3)</f>
        <v>0.3</v>
      </c>
      <c r="G62" s="52">
        <f>INDEX(X_Table_Poultry_Stage1MMS,4,4)</f>
        <v>0.3</v>
      </c>
      <c r="H62" s="52">
        <f>INDEX(X_Table_Poultry_Stage1MMS,4,5)</f>
        <v>0.3</v>
      </c>
      <c r="I62" s="2"/>
    </row>
    <row r="63" spans="4:19" ht="20.100000000000001" customHeight="1" x14ac:dyDescent="0.25">
      <c r="D63" s="52" t="str">
        <f>INDEX(X_Table_Poultry_Stage1MMS,5,1)</f>
        <v>Pasture range and paddock</v>
      </c>
      <c r="E63" s="52">
        <f>INDEX(X_Table_Poultry_Stage1MMS,5,2)</f>
        <v>0.1</v>
      </c>
      <c r="F63" s="52">
        <f>INDEX(X_Table_Poultry_Stage1MMS,5,3)</f>
        <v>0.1</v>
      </c>
      <c r="G63" s="52">
        <f>INDEX(X_Table_Poultry_Stage1MMS,5,4)</f>
        <v>0.1</v>
      </c>
      <c r="H63" s="52">
        <f>INDEX(X_Table_Poultry_Stage1MMS,5,5)</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INDEX(X_Table_Poultry_Stage1MMS,2,1)</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INDEX(X_Table_Poultry_Stage1MMS,2,1)</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INDEX(X_Table_Poultry_Stage1MMS,3,1)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INDEX(X_Table_Poultry_Stage1MMS,3,1)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INDEX(X_Table_Poultry_Stage1MMS,4,1)</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INDEX(X_Table_Poultry_Stage1MMS,4,1)</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INDEX(X_Table_Poultry_Stage1MMS,5,1)</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INDEX(X_Table_Poultry_Stage1MMS,5,1)</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INDEX(X_Table_Poultry_Stage1MMS,2,1)</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INDEX(X_Table_Poultry_Stage1MMS,3,1)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INDEX(X_Table_Poultry_Stage1MMS,4,1)</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INDEX(X_Table_Poultry_Stage1MMS,2,1)</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INDEX(X_Table_Poultry_Stage1MMS,2,1)</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INDEX(X_Table_Poultry_Stage1MMS,3,1)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INDEX(X_Table_Poultry_Stage1MMS,3,1)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INDEX(X_Table_Poultry_Stage1MMS,4,1)</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INDEX(X_Table_Poultry_Stage1MMS,4,1)</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Common_SourceData_DensityOfMethane_Data</f>
        <v>0.6784</v>
      </c>
      <c r="N134" s="141" t="str">
        <v>rho</v>
      </c>
      <c r="O134" s="144" t="str">
        <v>density of methane</v>
      </c>
      <c r="P134" s="143"/>
      <c r="Q134" s="141" t="str">
        <v>kg/m3</v>
      </c>
      <c r="R134" s="140" t="str">
        <v>Constant</v>
      </c>
      <c r="S134" s="141">
        <f>Common_SourceData_DensityOfMethane_Data</f>
        <v>0.6784</v>
      </c>
    </row>
    <row r="135" spans="4:19" ht="20.100000000000001" customHeight="1" x14ac:dyDescent="0.25">
      <c r="D135" s="141" t="str">
        <v>i</v>
      </c>
      <c r="E135" s="144" t="str">
        <v>state</v>
      </c>
      <c r="F135" s="143"/>
      <c r="G135" s="141" t="str">
        <v/>
      </c>
      <c r="H135" s="139" t="str">
        <v>Input</v>
      </c>
      <c r="I135" s="141" t="str">
        <f>X_Cell_Site_State</f>
        <v>Western Australia</v>
      </c>
      <c r="N135" s="141" t="str">
        <v>i</v>
      </c>
      <c r="O135" s="144" t="str">
        <v>mean annual temperature</v>
      </c>
      <c r="P135" s="143"/>
      <c r="Q135" s="141" t="str">
        <v>°C</v>
      </c>
      <c r="R135" s="139" t="str">
        <v>Input</v>
      </c>
      <c r="S135" s="141">
        <f>X_Cell_Site_AverageTemperature</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INDEX(X_Table_Poultry_Stage1MMS,2,1)</f>
        <v>Poultry manure with bedding</v>
      </c>
      <c r="E140" s="52" t="str">
        <f>INDEX(X_Table_Poultry_Stage2MMS_PoultryManureWithBedding,2,1)</f>
        <v>Solid storage</v>
      </c>
      <c r="F140" s="52">
        <f>INDEX(X_Table_Poultry_Stage2MMS_PoultryManureWithBedding,2,2)</f>
        <v>0.2</v>
      </c>
      <c r="G140" s="52">
        <f>INDEX(X_Table_Poultry_Stage2MMS_PoultryManureWithBedding,2,3)</f>
        <v>0.2</v>
      </c>
      <c r="H140" s="52">
        <f>INDEX(X_Table_Poultry_Stage2MMS_PoultryManureWithBedding,2,4)</f>
        <v>0.2</v>
      </c>
      <c r="I140" s="52">
        <f>INDEX(X_Table_Poultry_Stage2MMS_PoultryManureWithBedding,2,5)</f>
        <v>0.2</v>
      </c>
      <c r="J140" s="2" t="str">
        <f>$G$132</f>
        <v>fraction</v>
      </c>
    </row>
    <row r="141" spans="4:19" ht="20.100000000000001" customHeight="1" x14ac:dyDescent="0.25">
      <c r="D141" s="52"/>
      <c r="E141" s="52" t="str">
        <f>INDEX(X_Table_Poultry_Stage2MMS_PoultryManureWithBedding,3,1)</f>
        <v>Composting (passive windrow)</v>
      </c>
      <c r="F141" s="52">
        <f>INDEX(X_Table_Poultry_Stage2MMS_PoultryManureWithBedding,3,2)</f>
        <v>0.2</v>
      </c>
      <c r="G141" s="52">
        <f>INDEX(X_Table_Poultry_Stage2MMS_PoultryManureWithBedding,3,3)</f>
        <v>0.2</v>
      </c>
      <c r="H141" s="52">
        <f>INDEX(X_Table_Poultry_Stage2MMS_PoultryManureWithBedding,3,4)</f>
        <v>0.2</v>
      </c>
      <c r="I141" s="52">
        <f>INDEX(X_Table_Poultry_Stage2MMS_PoultryManureWithBedding,3,5)</f>
        <v>0.2</v>
      </c>
      <c r="J141" s="2"/>
    </row>
    <row r="142" spans="4:19" ht="20.100000000000001" customHeight="1" x14ac:dyDescent="0.25">
      <c r="D142" s="52"/>
      <c r="E142" s="52" t="str">
        <f>INDEX(X_Table_Poultry_Stage2MMS_PoultryManureWithBedding,4,1)</f>
        <v>Digester / covered lagoons</v>
      </c>
      <c r="F142" s="52">
        <f>INDEX(X_Table_Poultry_Stage2MMS_PoultryManureWithBedding,4,2)</f>
        <v>0.2</v>
      </c>
      <c r="G142" s="52">
        <f>INDEX(X_Table_Poultry_Stage2MMS_PoultryManureWithBedding,4,3)</f>
        <v>0.2</v>
      </c>
      <c r="H142" s="52">
        <f>INDEX(X_Table_Poultry_Stage2MMS_PoultryManureWithBedding,4,4)</f>
        <v>0.2</v>
      </c>
      <c r="I142" s="52">
        <f>INDEX(X_Table_Poultry_Stage2MMS_PoultryManureWithBedding,4,5)</f>
        <v>0.2</v>
      </c>
      <c r="J142" s="2"/>
    </row>
    <row r="143" spans="4:19" ht="20.100000000000001" customHeight="1" x14ac:dyDescent="0.25">
      <c r="D143" s="52"/>
      <c r="E143" s="52" t="str">
        <f>INDEX(X_Table_Poultry_Stage2MMS_PoultryManureWithBedding,5,1)</f>
        <v>Direct processing</v>
      </c>
      <c r="F143" s="52">
        <f>INDEX(X_Table_Poultry_Stage2MMS_PoultryManureWithBedding,5,2)</f>
        <v>0.2</v>
      </c>
      <c r="G143" s="52">
        <f>INDEX(X_Table_Poultry_Stage2MMS_PoultryManureWithBedding,5,3)</f>
        <v>0.2</v>
      </c>
      <c r="H143" s="52">
        <f>INDEX(X_Table_Poultry_Stage2MMS_PoultryManureWithBedding,5,4)</f>
        <v>0.2</v>
      </c>
      <c r="I143" s="52">
        <f>INDEX(X_Table_Poultry_Stage2MMS_PoultryManureWithBedding,5,5)</f>
        <v>0.2</v>
      </c>
      <c r="J143" s="2"/>
    </row>
    <row r="144" spans="4:19" ht="20.100000000000001" customHeight="1" x14ac:dyDescent="0.25">
      <c r="D144" s="52"/>
      <c r="E144" s="52" t="str">
        <f>INDEX(X_Table_Poultry_Stage2MMS_PoultryManureWithBedding,6,1)</f>
        <v>Direct application</v>
      </c>
      <c r="F144" s="52">
        <f>INDEX(X_Table_Poultry_Stage2MMS_PoultryManureWithBedding,6,2)</f>
        <v>0.19999999999999996</v>
      </c>
      <c r="G144" s="52">
        <f>INDEX(X_Table_Poultry_Stage2MMS_PoultryManureWithBedding,6,3)</f>
        <v>0.19999999999999996</v>
      </c>
      <c r="H144" s="52">
        <f>INDEX(X_Table_Poultry_Stage2MMS_PoultryManureWithBedding,6,4)</f>
        <v>0.19999999999999996</v>
      </c>
      <c r="I144" s="52">
        <f>INDEX(X_Table_Poultry_Stage2MMS_PoultryManureWithBedding,6,5)</f>
        <v>0.19999999999999996</v>
      </c>
    </row>
    <row r="145" spans="4:20" ht="20.100000000000001" customHeight="1" x14ac:dyDescent="0.25">
      <c r="D145" s="52" t="str">
        <f>INDEX(X_Table_Poultry_Stage1MMS,3,1)</f>
        <v>Belt manure removal</v>
      </c>
      <c r="E145" s="52" t="str">
        <f>INDEX(X_Table_Poultry_Stage2MMS_BeltManureRemoval,2,1)</f>
        <v>Solid storage</v>
      </c>
      <c r="F145" s="52">
        <f>INDEX(X_Table_Poultry_Stage2MMS_BeltManureRemoval,2,2)</f>
        <v>0.2</v>
      </c>
      <c r="G145" s="52">
        <f>INDEX(X_Table_Poultry_Stage2MMS_BeltManureRemoval,2,3)</f>
        <v>0.2</v>
      </c>
      <c r="H145" s="52">
        <f>INDEX(X_Table_Poultry_Stage2MMS_BeltManureRemoval,2,4)</f>
        <v>0.2</v>
      </c>
      <c r="I145" s="52">
        <f>INDEX(X_Table_Poultry_Stage2MMS_BeltManureRemoval,2,5)</f>
        <v>0.2</v>
      </c>
      <c r="J145" s="2"/>
    </row>
    <row r="146" spans="4:20" ht="20.100000000000001" customHeight="1" x14ac:dyDescent="0.25">
      <c r="D146" s="52"/>
      <c r="E146" s="52" t="str">
        <f>INDEX(X_Table_Poultry_Stage2MMS_BeltManureRemoval,3,1)</f>
        <v>Composting (passive windrow)</v>
      </c>
      <c r="F146" s="52">
        <f>INDEX(X_Table_Poultry_Stage2MMS_BeltManureRemoval,3,2)</f>
        <v>0.2</v>
      </c>
      <c r="G146" s="52">
        <f>INDEX(X_Table_Poultry_Stage2MMS_BeltManureRemoval,3,3)</f>
        <v>0.2</v>
      </c>
      <c r="H146" s="52">
        <f>INDEX(X_Table_Poultry_Stage2MMS_BeltManureRemoval,3,4)</f>
        <v>0.2</v>
      </c>
      <c r="I146" s="52">
        <f>INDEX(X_Table_Poultry_Stage2MMS_BeltManureRemoval,3,5)</f>
        <v>0.2</v>
      </c>
      <c r="J146" s="2"/>
    </row>
    <row r="147" spans="4:20" ht="20.100000000000001" customHeight="1" x14ac:dyDescent="0.25">
      <c r="D147" s="52"/>
      <c r="E147" s="52" t="str">
        <f>INDEX(X_Table_Poultry_Stage2MMS_BeltManureRemoval,4,1)</f>
        <v>Digester / covered lagoons</v>
      </c>
      <c r="F147" s="52">
        <f>INDEX(X_Table_Poultry_Stage2MMS_BeltManureRemoval,4,2)</f>
        <v>0.2</v>
      </c>
      <c r="G147" s="52">
        <f>INDEX(X_Table_Poultry_Stage2MMS_BeltManureRemoval,4,3)</f>
        <v>0.2</v>
      </c>
      <c r="H147" s="52">
        <f>INDEX(X_Table_Poultry_Stage2MMS_BeltManureRemoval,4,4)</f>
        <v>0.2</v>
      </c>
      <c r="I147" s="52">
        <f>INDEX(X_Table_Poultry_Stage2MMS_BeltManureRemoval,4,5)</f>
        <v>0.2</v>
      </c>
      <c r="J147" s="2"/>
    </row>
    <row r="148" spans="4:20" ht="20.100000000000001" customHeight="1" x14ac:dyDescent="0.25">
      <c r="D148" s="52"/>
      <c r="E148" s="52" t="str">
        <f>INDEX(X_Table_Poultry_Stage2MMS_BeltManureRemoval,5,1)</f>
        <v>Direct processing</v>
      </c>
      <c r="F148" s="52">
        <f>INDEX(X_Table_Poultry_Stage2MMS_BeltManureRemoval,5,2)</f>
        <v>0.2</v>
      </c>
      <c r="G148" s="52">
        <f>INDEX(X_Table_Poultry_Stage2MMS_BeltManureRemoval,5,3)</f>
        <v>0.2</v>
      </c>
      <c r="H148" s="52">
        <f>INDEX(X_Table_Poultry_Stage2MMS_BeltManureRemoval,5,4)</f>
        <v>0.2</v>
      </c>
      <c r="I148" s="52">
        <f>INDEX(X_Table_Poultry_Stage2MMS_BeltManureRemoval,5,5)</f>
        <v>0.2</v>
      </c>
      <c r="J148" s="2"/>
    </row>
    <row r="149" spans="4:20" ht="20.100000000000001" customHeight="1" x14ac:dyDescent="0.25">
      <c r="D149" s="52"/>
      <c r="E149" s="52" t="str">
        <f>INDEX(X_Table_Poultry_Stage2MMS_BeltManureRemoval,6,1)</f>
        <v>Direct application</v>
      </c>
      <c r="F149" s="52">
        <f>INDEX(X_Table_Poultry_Stage2MMS_BeltManureRemoval,6,2)</f>
        <v>0.19999999999999996</v>
      </c>
      <c r="G149" s="52">
        <f>INDEX(X_Table_Poultry_Stage2MMS_BeltManureRemoval,6,3)</f>
        <v>0.19999999999999996</v>
      </c>
      <c r="H149" s="52">
        <f>INDEX(X_Table_Poultry_Stage2MMS_BeltManureRemoval,6,4)</f>
        <v>0.19999999999999996</v>
      </c>
      <c r="I149" s="52">
        <f>INDEX(X_Table_Poultry_Stage2MMS_BeltManureRemoval,6,5)</f>
        <v>0.19999999999999996</v>
      </c>
    </row>
    <row r="150" spans="4:20" ht="20.100000000000001" customHeight="1" x14ac:dyDescent="0.25">
      <c r="D150" s="52" t="str">
        <f>INDEX(X_Table_Poultry_Stage1MMS,4,1)</f>
        <v>Manure stored in house</v>
      </c>
      <c r="E150" s="52" t="str">
        <f>INDEX(X_Table_Poultry_Stage2MMS_ManureStoredInHouse,2,1)</f>
        <v>Solid storage</v>
      </c>
      <c r="F150" s="52">
        <f>INDEX(X_Table_Poultry_Stage2MMS_ManureStoredInHouse,2,2)</f>
        <v>0.2</v>
      </c>
      <c r="G150" s="52">
        <f>INDEX(X_Table_Poultry_Stage2MMS_ManureStoredInHouse,2,3)</f>
        <v>0.2</v>
      </c>
      <c r="H150" s="52">
        <f>INDEX(X_Table_Poultry_Stage2MMS_ManureStoredInHouse,2,4)</f>
        <v>0.2</v>
      </c>
      <c r="I150" s="52">
        <f>INDEX(X_Table_Poultry_Stage2MMS_ManureStoredInHouse,2,5)</f>
        <v>0.2</v>
      </c>
      <c r="J150" s="2"/>
    </row>
    <row r="151" spans="4:20" ht="20.100000000000001" customHeight="1" x14ac:dyDescent="0.25">
      <c r="D151" s="52"/>
      <c r="E151" s="52" t="str">
        <f>INDEX(X_Table_Poultry_Stage2MMS_ManureStoredInHouse,3,1)</f>
        <v>Composting (passive windrow)</v>
      </c>
      <c r="F151" s="52">
        <f>INDEX(X_Table_Poultry_Stage2MMS_ManureStoredInHouse,3,2)</f>
        <v>0.2</v>
      </c>
      <c r="G151" s="52">
        <f>INDEX(X_Table_Poultry_Stage2MMS_ManureStoredInHouse,3,3)</f>
        <v>0.2</v>
      </c>
      <c r="H151" s="52">
        <f>INDEX(X_Table_Poultry_Stage2MMS_ManureStoredInHouse,3,4)</f>
        <v>0.2</v>
      </c>
      <c r="I151" s="52">
        <f>INDEX(X_Table_Poultry_Stage2MMS_ManureStoredInHouse,3,5)</f>
        <v>0.2</v>
      </c>
      <c r="J151" s="2"/>
    </row>
    <row r="152" spans="4:20" ht="20.100000000000001" customHeight="1" x14ac:dyDescent="0.25">
      <c r="D152" s="52"/>
      <c r="E152" s="52" t="str">
        <f>INDEX(X_Table_Poultry_Stage2MMS_ManureStoredInHouse,4,1)</f>
        <v>Digester / covered lagoons</v>
      </c>
      <c r="F152" s="52">
        <f>INDEX(X_Table_Poultry_Stage2MMS_ManureStoredInHouse,4,2)</f>
        <v>0.2</v>
      </c>
      <c r="G152" s="52">
        <f>INDEX(X_Table_Poultry_Stage2MMS_ManureStoredInHouse,4,3)</f>
        <v>0.2</v>
      </c>
      <c r="H152" s="52">
        <f>INDEX(X_Table_Poultry_Stage2MMS_ManureStoredInHouse,4,4)</f>
        <v>0.2</v>
      </c>
      <c r="I152" s="52">
        <f>INDEX(X_Table_Poultry_Stage2MMS_ManureStoredInHouse,4,5)</f>
        <v>0.2</v>
      </c>
      <c r="J152" s="2"/>
    </row>
    <row r="153" spans="4:20" ht="20.100000000000001" customHeight="1" x14ac:dyDescent="0.25">
      <c r="D153" s="52"/>
      <c r="E153" s="52" t="str">
        <f>INDEX(X_Table_Poultry_Stage2MMS_ManureStoredInHouse,5,1)</f>
        <v>Direct processing</v>
      </c>
      <c r="F153" s="52">
        <f>INDEX(X_Table_Poultry_Stage2MMS_ManureStoredInHouse,5,2)</f>
        <v>0.2</v>
      </c>
      <c r="G153" s="52">
        <f>INDEX(X_Table_Poultry_Stage2MMS_ManureStoredInHouse,5,3)</f>
        <v>0.2</v>
      </c>
      <c r="H153" s="52">
        <f>INDEX(X_Table_Poultry_Stage2MMS_ManureStoredInHouse,5,4)</f>
        <v>0.2</v>
      </c>
      <c r="I153" s="52">
        <f>INDEX(X_Table_Poultry_Stage2MMS_ManureStoredInHouse,5,5)</f>
        <v>0.2</v>
      </c>
      <c r="J153" s="2"/>
    </row>
    <row r="154" spans="4:20" ht="20.100000000000001" customHeight="1" x14ac:dyDescent="0.25">
      <c r="D154" s="52"/>
      <c r="E154" s="52" t="str">
        <f>INDEX(X_Table_Poultry_Stage2MMS_ManureStoredInHouse,6,1)</f>
        <v>Direct application</v>
      </c>
      <c r="F154" s="52">
        <f>INDEX(X_Table_Poultry_Stage2MMS_ManureStoredInHouse,6,2)</f>
        <v>0.19999999999999996</v>
      </c>
      <c r="G154" s="52">
        <f>INDEX(X_Table_Poultry_Stage2MMS_ManureStoredInHouse,6,3)</f>
        <v>0.19999999999999996</v>
      </c>
      <c r="H154" s="52">
        <f>INDEX(X_Table_Poultry_Stage2MMS_ManureStoredInHouse,6,4)</f>
        <v>0.19999999999999996</v>
      </c>
      <c r="I154" s="52">
        <f>INDEX(X_Table_Poultry_Stage2MMS_ManureStoredInHouse,6,5)</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INDEX(X_Table_Poultry_Stage1MMS,2,1)</f>
        <v>Poultry manure with bedding</v>
      </c>
      <c r="E159" s="52" t="str">
        <f>INDEX(X_Table_Poultry_Stage2MMS_PoultryManureWithBedding,2,1)</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INDEX(X_Table_Poultry_Stage1MMS,2,1)</f>
        <v>Poultry manure with bedding</v>
      </c>
      <c r="O159" s="52" t="str">
        <f>INDEX(X_Table_Poultry_Stage2MMS_PoultryManureWithBedding,2,1)</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INDEX(X_Table_Poultry_Stage2MMS_PoultryManureWithBedding,3,1)</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INDEX(X_Table_Poultry_Stage2MMS_PoultryManureWithBedding,3,1)</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INDEX(X_Table_Poultry_Stage2MMS_PoultryManureWithBedding,4,1)</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INDEX(X_Table_Poultry_Stage2MMS_PoultryManureWithBedding,4,1)</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INDEX(X_Table_Poultry_Stage2MMS_PoultryManureWithBedding,5,1)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INDEX(X_Table_Poultry_Stage2MMS_PoultryManureWithBedding,5,1)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INDEX(X_Table_Poultry_Stage2MMS_PoultryManureWithBedding,6,1)</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INDEX(X_Table_Poultry_Stage2MMS_PoultryManureWithBedding,6,1)</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INDEX(X_Table_Poultry_Stage1MMS,3,1)</f>
        <v>Belt manure removal</v>
      </c>
      <c r="E164" s="52" t="str">
        <f>INDEX(X_Table_Poultry_Stage2MMS_BeltManureRemoval,2,1)</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INDEX(X_Table_Poultry_Stage1MMS,3,1)</f>
        <v>Belt manure removal</v>
      </c>
      <c r="O164" s="52" t="str">
        <f>INDEX(X_Table_Poultry_Stage2MMS_BeltManureRemoval,2,1)</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INDEX(X_Table_Poultry_Stage2MMS_BeltManureRemoval,3,1)</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INDEX(X_Table_Poultry_Stage2MMS_BeltManureRemoval,3,1)</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INDEX(X_Table_Poultry_Stage2MMS_BeltManureRemoval,4,1)</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INDEX(X_Table_Poultry_Stage2MMS_BeltManureRemoval,4,1)</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INDEX(X_Table_Poultry_Stage2MMS_BeltManureRemoval,5,1)</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INDEX(X_Table_Poultry_Stage2MMS_BeltManureRemoval,5,1)</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INDEX(X_Table_Poultry_Stage2MMS_BeltManureRemoval,5,1)</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INDEX(X_Table_Poultry_Stage2MMS_BeltManureRemoval,6,1)</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INDEX(X_Table_Poultry_Stage1MMS,4,1)</f>
        <v>Manure stored in house</v>
      </c>
      <c r="E169" s="52" t="str">
        <f>INDEX(X_Table_Poultry_Stage2MMS_ManureStoredInHouse,2,1)</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INDEX(X_Table_Poultry_Stage1MMS,4,1)</f>
        <v>Manure stored in house</v>
      </c>
      <c r="O169" s="52" t="str">
        <f>INDEX(X_Table_Poultry_Stage2MMS_ManureStoredInHouse,2,1)</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INDEX(X_Table_Poultry_Stage2MMS_ManureStoredInHouse,3,1)</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INDEX(X_Table_Poultry_Stage2MMS_ManureStoredInHouse,3,1)</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INDEX(X_Table_Poultry_Stage2MMS_ManureStoredInHouse,4,1)</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INDEX(X_Table_Poultry_Stage2MMS_ManureStoredInHouse,4,1)</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INDEX(X_Table_Poultry_Stage2MMS_ManureStoredInHouse,5,1)</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INDEX(X_Table_Poultry_Stage2MMS_ManureStoredInHouse,5,1)</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INDEX(X_Table_Poultry_Stage2MMS_ManureStoredInHouse,6,1)</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INDEX(X_Table_Poultry_Stage2MMS_ManureStoredInHouse,6,1)</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INDEX(X_Table_Poultry_Movement,2,2)</f>
        <v>365</v>
      </c>
      <c r="E192" s="52">
        <f>INDEX(X_Table_Poultry_Movement,2,3)</f>
        <v>365</v>
      </c>
      <c r="F192" s="52">
        <f>INDEX(X_Table_Poultry_Movement,2,4)</f>
        <v>365</v>
      </c>
      <c r="G192" s="52">
        <f>INDEX(X_Table_Poultry_Movement,2,5)</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INDEX(X_Table_Poultry_Movement,3,2)</f>
        <v>100</v>
      </c>
      <c r="E197" s="52">
        <f>INDEX(X_Table_Poultry_Movement,3,3)</f>
        <v>100</v>
      </c>
      <c r="F197" s="52">
        <f>INDEX(X_Table_Poultry_Movement,3,4)</f>
        <v>100</v>
      </c>
      <c r="G197" s="52">
        <f>INDEX(X_Table_Poultry_Movement,3,5)</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INDEX(X_Table_Poultry_Stage1MMS,2,1)</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INDEX(X_Table_Poultry_Stage1MMS,2,1)</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INDEX(X_Table_Poultry_Stage1MMS,3,1)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INDEX(X_Table_Poultry_Stage1MMS,3,1)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INDEX(X_Table_Poultry_Stage1MMS,4,1)</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INDEX(X_Table_Poultry_Stage1MMS,4,1)</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INDEX(X_Table_Poultry_Stage1MMS,5,1)</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INDEX(X_Table_Poultry_Stage1MMS,5,1)</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INDEX(X_Table_Poultry_Stage1MMS,2,1)</f>
        <v>Poultry manure with bedding</v>
      </c>
      <c r="E206" s="52" t="str">
        <f>INDEX(X_Table_Poultry_Stage2MMS_PoultryManureWithBedding,2,1)</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INDEX(X_Table_Poultry_Stage1MMS,2,1)</f>
        <v>Poultry manure with bedding</v>
      </c>
      <c r="O206" s="52" t="str">
        <f>INDEX(X_Table_Poultry_Stage2MMS_PoultryManureWithBedding,2,1)</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INDEX(X_Table_Poultry_Stage2MMS_PoultryManureWithBedding,3,1)</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INDEX(X_Table_Poultry_Stage2MMS_PoultryManureWithBedding,3,1)</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INDEX(X_Table_Poultry_Stage2MMS_PoultryManureWithBedding,4,1)</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INDEX(X_Table_Poultry_Stage2MMS_PoultryManureWithBedding,4,1)</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INDEX(X_Table_Poultry_Stage2MMS_PoultryManureWithBedding,5,1)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INDEX(X_Table_Poultry_Stage2MMS_PoultryManureWithBedding,5,1)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INDEX(X_Table_Poultry_Stage2MMS_PoultryManureWithBedding,6,1)</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INDEX(X_Table_Poultry_Stage2MMS_PoultryManureWithBedding,6,1)</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INDEX(X_Table_Poultry_Stage1MMS,3,1)</f>
        <v>Belt manure removal</v>
      </c>
      <c r="E211" s="52" t="str">
        <f>INDEX(X_Table_Poultry_Stage2MMS_BeltManureRemoval,2,1)</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INDEX(X_Table_Poultry_Stage1MMS,3,1)</f>
        <v>Belt manure removal</v>
      </c>
      <c r="O211" s="52" t="str">
        <f>INDEX(X_Table_Poultry_Stage2MMS_BeltManureRemoval,2,1)</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INDEX(X_Table_Poultry_Stage2MMS_BeltManureRemoval,3,1)</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INDEX(X_Table_Poultry_Stage2MMS_BeltManureRemoval,3,1)</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INDEX(X_Table_Poultry_Stage2MMS_BeltManureRemoval,4,1)</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INDEX(X_Table_Poultry_Stage2MMS_BeltManureRemoval,4,1)</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INDEX(X_Table_Poultry_Stage2MMS_BeltManureRemoval,5,1)</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INDEX(X_Table_Poultry_Stage2MMS_BeltManureRemoval,5,1)</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INDEX(X_Table_Poultry_Stage2MMS_BeltManureRemoval,6,1)</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INDEX(X_Table_Poultry_Stage2MMS_BeltManureRemoval,6,1)</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INDEX(X_Table_Poultry_Stage1MMS,4,1)</f>
        <v>Manure stored in house</v>
      </c>
      <c r="E216" s="52" t="str">
        <f>INDEX(X_Table_Poultry_Stage2MMS_ManureStoredInHouse,2,1)</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INDEX(X_Table_Poultry_Stage1MMS,4,1)</f>
        <v>Manure stored in house</v>
      </c>
      <c r="O216" s="52" t="str">
        <f>INDEX(X_Table_Poultry_Stage2MMS_ManureStoredInHouse,2,1)</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INDEX(X_Table_Poultry_Stage2MMS_ManureStoredInHouse,3,1)</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INDEX(X_Table_Poultry_Stage2MMS_ManureStoredInHouse,3,1)</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INDEX(X_Table_Poultry_Stage2MMS_ManureStoredInHouse,4,1)</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INDEX(X_Table_Poultry_Stage2MMS_ManureStoredInHouse,4,1)</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INDEX(X_Table_Poultry_Stage2MMS_ManureStoredInHouse,5,1)</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INDEX(X_Table_Poultry_Stage2MMS_ManureStoredInHouse,5,1)</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INDEX(X_Table_Poultry_Stage2MMS_ManureStoredInHouse,6,1)</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INDEX(X_Table_Poultry_Stage2MMS_ManureStoredInHouse,6,1)</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I181" sqref="I1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INDEX(X_Table_Poultry_Diet_Method1,4,2)</f>
        <v>0.19</v>
      </c>
      <c r="E25" s="52">
        <f>INDEX(X_Table_Poultry_Diet_Method1,4,3)</f>
        <v>0.23</v>
      </c>
      <c r="F25" s="52">
        <f>INDEX(X_Table_Poultry_Diet_Method1,4,4)</f>
        <v>0.19</v>
      </c>
      <c r="G25" s="52">
        <f>INDEX(X_Table_Poultry_Diet_Method1,4,5)</f>
        <v>0.23</v>
      </c>
      <c r="H25" s="2" t="str">
        <f>$G$14</f>
        <v>fraction</v>
      </c>
      <c r="N25" s="52">
        <f>INDEX(X_Table_Poultry_Diet_Method2,4,2)</f>
        <v>0.19</v>
      </c>
      <c r="O25" s="52">
        <f>INDEX(X_Table_Poultry_Diet_Method2,4,3)</f>
        <v>0.23</v>
      </c>
      <c r="P25" s="52">
        <f>INDEX(X_Table_Poultry_Diet_Method2,4,4)</f>
        <v>0.19</v>
      </c>
      <c r="Q25" s="52">
        <f>INDEX(X_Table_Poultry_Diet_Method2,4,5)</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INDEX(X_Table_Poultry_Movement,3,2)</f>
        <v>100</v>
      </c>
      <c r="E72" s="52">
        <f>INDEX(X_Table_Poultry_Movement,3,3)</f>
        <v>100</v>
      </c>
      <c r="F72" s="52">
        <f>INDEX(X_Table_Poultry_Movement,3,4)</f>
        <v>100</v>
      </c>
      <c r="G72" s="52">
        <f>INDEX(X_Table_Poultry_Movement,3,5)</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INDEX(X_Table_Poultry_Movement,3,2)</f>
        <v>100</v>
      </c>
      <c r="E77" s="52">
        <f>INDEX(X_Table_Poultry_Movement,3,3)</f>
        <v>100</v>
      </c>
      <c r="F77" s="52">
        <f>INDEX(X_Table_Poultry_Movement,3,4)</f>
        <v>100</v>
      </c>
      <c r="G77" s="52">
        <f>INDEX(X_Table_Poultry_Movement,3,5)</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INDEX(X_Table_Poultry_Stage1MMS,2,1)</f>
        <v>Poultry manure with bedding</v>
      </c>
      <c r="E100" s="52">
        <f>INDEX(X_Table_Poultry_Stage1MMS,2,2)</f>
        <v>0.3</v>
      </c>
      <c r="F100" s="52">
        <f>INDEX(X_Table_Poultry_Stage1MMS,2,3)</f>
        <v>0.3</v>
      </c>
      <c r="G100" s="52">
        <f>INDEX(X_Table_Poultry_Stage1MMS,2,4)</f>
        <v>0.3</v>
      </c>
      <c r="H100" s="52">
        <f>INDEX(X_Table_Poultry_Stage1MMS,2,5)</f>
        <v>0.3</v>
      </c>
      <c r="I100" s="2" t="str">
        <f>$G$95</f>
        <v>fraction</v>
      </c>
    </row>
    <row r="101" spans="4:19" ht="20.100000000000001" customHeight="1" x14ac:dyDescent="0.25">
      <c r="D101" s="52" t="str">
        <f>INDEX(X_Table_Poultry_Stage1MMS,3,1)</f>
        <v>Belt manure removal</v>
      </c>
      <c r="E101" s="52">
        <f>INDEX(X_Table_Poultry_Stage1MMS,3,2)</f>
        <v>0.3</v>
      </c>
      <c r="F101" s="52">
        <f>INDEX(X_Table_Poultry_Stage1MMS,3,3)</f>
        <v>0.3</v>
      </c>
      <c r="G101" s="52">
        <f>INDEX(X_Table_Poultry_Stage1MMS,3,4)</f>
        <v>0.3</v>
      </c>
      <c r="H101" s="52">
        <f>INDEX(X_Table_Poultry_Stage1MMS,3,5)</f>
        <v>0.3</v>
      </c>
      <c r="I101" s="2"/>
    </row>
    <row r="102" spans="4:19" ht="20.100000000000001" customHeight="1" x14ac:dyDescent="0.25">
      <c r="D102" s="52" t="str">
        <f>INDEX(X_Table_Poultry_Stage1MMS,4,1)</f>
        <v>Manure stored in house</v>
      </c>
      <c r="E102" s="52">
        <f>INDEX(X_Table_Poultry_Stage1MMS,4,2)</f>
        <v>0.3</v>
      </c>
      <c r="F102" s="52">
        <f>INDEX(X_Table_Poultry_Stage1MMS,4,3)</f>
        <v>0.3</v>
      </c>
      <c r="G102" s="52">
        <f>INDEX(X_Table_Poultry_Stage1MMS,4,4)</f>
        <v>0.3</v>
      </c>
      <c r="H102" s="52">
        <f>INDEX(X_Table_Poultry_Stage1MMS,4,5)</f>
        <v>0.3</v>
      </c>
      <c r="I102" s="2"/>
    </row>
    <row r="103" spans="4:19" ht="20.100000000000001" customHeight="1" x14ac:dyDescent="0.25">
      <c r="D103" s="52" t="str">
        <f>INDEX(X_Table_Poultry_Stage1MMS,5,1)</f>
        <v>Pasture range and paddock</v>
      </c>
      <c r="E103" s="52">
        <f>INDEX(X_Table_Poultry_Stage1MMS,5,2)</f>
        <v>0.1</v>
      </c>
      <c r="F103" s="52">
        <f>INDEX(X_Table_Poultry_Stage1MMS,5,3)</f>
        <v>0.1</v>
      </c>
      <c r="G103" s="52">
        <f>INDEX(X_Table_Poultry_Stage1MMS,5,4)</f>
        <v>0.1</v>
      </c>
      <c r="H103" s="52">
        <f>INDEX(X_Table_Poultry_Stage1MMS,5,5)</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INDEX(X_Table_Poultry_Stage1MMS,2,1)</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INDEX(X_Table_Poultry_Stage1MMS,2,1)</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INDEX(X_Table_Poultry_Stage1MMS,3,1)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INDEX(X_Table_Poultry_Stage1MMS,3,1)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INDEX(X_Table_Poultry_Stage1MMS,4,1)</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INDEX(X_Table_Poultry_Stage1MMS,4,1)</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INDEX(X_Table_Poultry_Stage1MMS,5,1)</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INDEX(X_Table_Poultry_Stage1MMS,5,1)</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INDEX(X_Table_Poultry_Stage1MMS,2,1)</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INDEX(X_Table_Poultry_Stage1MMS,3,1)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INDEX(X_Table_Poultry_Stage1MMS,4,1)</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INDEX(X_Table_Poultry_Stage1MMS,5,1)</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INDEX(X_Table_Poultry_Stage1MMS,2,1)</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INDEX(X_Table_Poultry_Stage1MMS,2,1)</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INDEX(X_Table_Poultry_Stage1MMS,3,1)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INDEX(X_Table_Poultry_Stage1MMS,3,1)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INDEX(X_Table_Poultry_Stage1MMS,4,1)</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INDEX(X_Table_Poultry_Stage1MMS,4,1)</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INDEX(X_Table_Poultry_Stage2MMS_PoultryManureWithBedding,2,2)</f>
        <v>0.2</v>
      </c>
      <c r="G170" s="52">
        <f>INDEX(X_Table_Poultry_Stage2MMS_PoultryManureWithBedding,2,3)</f>
        <v>0.2</v>
      </c>
      <c r="H170" s="52">
        <f>INDEX(X_Table_Poultry_Stage2MMS_PoultryManureWithBedding,2,4)</f>
        <v>0.2</v>
      </c>
      <c r="I170" s="52">
        <f>INDEX(X_Table_Poultry_Stage2MMS_PoultryManureWithBedding,2,5)</f>
        <v>0.2</v>
      </c>
      <c r="J170" s="2" t="str">
        <f>$G$165</f>
        <v>fraction</v>
      </c>
    </row>
    <row r="171" spans="4:10" ht="20.100000000000001" customHeight="1" x14ac:dyDescent="0.25">
      <c r="D171" s="52"/>
      <c r="E171" s="52" t="str">
        <f>INDEX(X_Table_Poultry_Stage2MMS_PoultryManureWithBedding,3,1)</f>
        <v>Composting (passive windrow)</v>
      </c>
      <c r="F171" s="52">
        <f>INDEX(X_Table_Poultry_Stage2MMS_PoultryManureWithBedding,3,2)</f>
        <v>0.2</v>
      </c>
      <c r="G171" s="52">
        <f>INDEX(X_Table_Poultry_Stage2MMS_PoultryManureWithBedding,3,3)</f>
        <v>0.2</v>
      </c>
      <c r="H171" s="52">
        <f>INDEX(X_Table_Poultry_Stage2MMS_PoultryManureWithBedding,3,4)</f>
        <v>0.2</v>
      </c>
      <c r="I171" s="52">
        <f>INDEX(X_Table_Poultry_Stage2MMS_PoultryManureWithBedding,3,5)</f>
        <v>0.2</v>
      </c>
      <c r="J171" s="2"/>
    </row>
    <row r="172" spans="4:10" ht="20.100000000000001" customHeight="1" x14ac:dyDescent="0.25">
      <c r="D172" s="52"/>
      <c r="E172" s="52" t="str">
        <f>INDEX(X_Table_Poultry_Stage2MMS_PoultryManureWithBedding,4,1)</f>
        <v>Digester / covered lagoons</v>
      </c>
      <c r="F172" s="52">
        <f>INDEX(X_Table_Poultry_Stage2MMS_PoultryManureWithBedding,4,2)</f>
        <v>0.2</v>
      </c>
      <c r="G172" s="52">
        <f>INDEX(X_Table_Poultry_Stage2MMS_PoultryManureWithBedding,4,3)</f>
        <v>0.2</v>
      </c>
      <c r="H172" s="52">
        <f>INDEX(X_Table_Poultry_Stage2MMS_PoultryManureWithBedding,4,4)</f>
        <v>0.2</v>
      </c>
      <c r="I172" s="52">
        <f>INDEX(X_Table_Poultry_Stage2MMS_PoultryManureWithBedding,4,5)</f>
        <v>0.2</v>
      </c>
      <c r="J172" s="2"/>
    </row>
    <row r="173" spans="4:10" ht="20.100000000000001" customHeight="1" x14ac:dyDescent="0.25">
      <c r="D173" s="52"/>
      <c r="E173" s="52" t="str">
        <f>INDEX(X_Table_Poultry_Stage2MMS_PoultryManureWithBedding,5,1)</f>
        <v>Direct processing</v>
      </c>
      <c r="F173" s="52">
        <f>INDEX(X_Table_Poultry_Stage2MMS_PoultryManureWithBedding,5,2)</f>
        <v>0.2</v>
      </c>
      <c r="G173" s="52">
        <f>INDEX(X_Table_Poultry_Stage2MMS_PoultryManureWithBedding,5,3)</f>
        <v>0.2</v>
      </c>
      <c r="H173" s="52">
        <f>INDEX(X_Table_Poultry_Stage2MMS_PoultryManureWithBedding,5,4)</f>
        <v>0.2</v>
      </c>
      <c r="I173" s="52">
        <f>INDEX(X_Table_Poultry_Stage2MMS_PoultryManureWithBedding,5,5)</f>
        <v>0.2</v>
      </c>
      <c r="J173" s="2"/>
    </row>
    <row r="174" spans="4:10" ht="20.100000000000001" customHeight="1" x14ac:dyDescent="0.25">
      <c r="D174" s="52"/>
      <c r="E174" s="52" t="str">
        <f>INDEX(X_Table_Poultry_Stage2MMS_PoultryManureWithBedding,6,1)</f>
        <v>Direct application</v>
      </c>
      <c r="F174" s="52">
        <f>INDEX(X_Table_Poultry_Stage2MMS_PoultryManureWithBedding,6,2)</f>
        <v>0.19999999999999996</v>
      </c>
      <c r="G174" s="52">
        <f>INDEX(X_Table_Poultry_Stage2MMS_PoultryManureWithBedding,6,3)</f>
        <v>0.19999999999999996</v>
      </c>
      <c r="H174" s="52">
        <f>INDEX(X_Table_Poultry_Stage2MMS_PoultryManureWithBedding,6,4)</f>
        <v>0.19999999999999996</v>
      </c>
      <c r="I174" s="52">
        <f>INDEX(X_Table_Poultry_Stage2MMS_PoultryManureWithBedding,6,5)</f>
        <v>0.19999999999999996</v>
      </c>
    </row>
    <row r="175" spans="4:10" ht="20.100000000000001" customHeight="1" x14ac:dyDescent="0.25">
      <c r="D175" s="52" t="str">
        <f>INDEX(X_Table_Poultry_Stage1MMS,3,1)</f>
        <v>Belt manure removal</v>
      </c>
      <c r="E175" s="52" t="str">
        <f>INDEX(X_Table_Poultry_Stage2MMS_BeltManureRemoval,2,1)</f>
        <v>Solid storage</v>
      </c>
      <c r="F175" s="52">
        <f>INDEX(X_Table_Poultry_Stage2MMS_BeltManureRemoval,2,2)</f>
        <v>0.2</v>
      </c>
      <c r="G175" s="52">
        <f>INDEX(X_Table_Poultry_Stage2MMS_BeltManureRemoval,2,3)</f>
        <v>0.2</v>
      </c>
      <c r="H175" s="52">
        <f>INDEX(X_Table_Poultry_Stage2MMS_BeltManureRemoval,2,4)</f>
        <v>0.2</v>
      </c>
      <c r="I175" s="52">
        <f>INDEX(X_Table_Poultry_Stage2MMS_BeltManureRemoval,2,5)</f>
        <v>0.2</v>
      </c>
      <c r="J175" s="2"/>
    </row>
    <row r="176" spans="4:10" ht="20.100000000000001" customHeight="1" x14ac:dyDescent="0.25">
      <c r="D176" s="52"/>
      <c r="E176" s="52" t="str">
        <f>INDEX(X_Table_Poultry_Stage2MMS_BeltManureRemoval,3,1)</f>
        <v>Composting (passive windrow)</v>
      </c>
      <c r="F176" s="52">
        <f>INDEX(X_Table_Poultry_Stage2MMS_BeltManureRemoval,3,2)</f>
        <v>0.2</v>
      </c>
      <c r="G176" s="52">
        <f>INDEX(X_Table_Poultry_Stage2MMS_BeltManureRemoval,3,3)</f>
        <v>0.2</v>
      </c>
      <c r="H176" s="52">
        <f>INDEX(X_Table_Poultry_Stage2MMS_BeltManureRemoval,3,4)</f>
        <v>0.2</v>
      </c>
      <c r="I176" s="52">
        <f>INDEX(X_Table_Poultry_Stage2MMS_BeltManureRemoval,3,5)</f>
        <v>0.2</v>
      </c>
      <c r="J176" s="2"/>
    </row>
    <row r="177" spans="4:20" ht="20.100000000000001" customHeight="1" x14ac:dyDescent="0.25">
      <c r="D177" s="52"/>
      <c r="E177" s="52" t="str">
        <f>INDEX(X_Table_Poultry_Stage2MMS_BeltManureRemoval,4,1)</f>
        <v>Digester / covered lagoons</v>
      </c>
      <c r="F177" s="52">
        <f>INDEX(X_Table_Poultry_Stage2MMS_BeltManureRemoval,4,2)</f>
        <v>0.2</v>
      </c>
      <c r="G177" s="52">
        <f>INDEX(X_Table_Poultry_Stage2MMS_BeltManureRemoval,4,3)</f>
        <v>0.2</v>
      </c>
      <c r="H177" s="52">
        <f>INDEX(X_Table_Poultry_Stage2MMS_BeltManureRemoval,4,4)</f>
        <v>0.2</v>
      </c>
      <c r="I177" s="52">
        <f>INDEX(X_Table_Poultry_Stage2MMS_BeltManureRemoval,4,5)</f>
        <v>0.2</v>
      </c>
      <c r="J177" s="2"/>
    </row>
    <row r="178" spans="4:20" ht="20.100000000000001" customHeight="1" x14ac:dyDescent="0.25">
      <c r="D178" s="52"/>
      <c r="E178" s="52" t="str">
        <f>INDEX(X_Table_Poultry_Stage2MMS_BeltManureRemoval,5,1)</f>
        <v>Direct processing</v>
      </c>
      <c r="F178" s="52">
        <f>INDEX(X_Table_Poultry_Stage2MMS_BeltManureRemoval,5,2)</f>
        <v>0.2</v>
      </c>
      <c r="G178" s="52">
        <f>INDEX(X_Table_Poultry_Stage2MMS_BeltManureRemoval,5,3)</f>
        <v>0.2</v>
      </c>
      <c r="H178" s="52">
        <f>INDEX(X_Table_Poultry_Stage2MMS_BeltManureRemoval,5,4)</f>
        <v>0.2</v>
      </c>
      <c r="I178" s="52">
        <f>INDEX(X_Table_Poultry_Stage2MMS_BeltManureRemoval,5,5)</f>
        <v>0.2</v>
      </c>
      <c r="J178" s="2"/>
    </row>
    <row r="179" spans="4:20" ht="20.100000000000001" customHeight="1" x14ac:dyDescent="0.25">
      <c r="D179" s="52"/>
      <c r="E179" s="52" t="str">
        <f>INDEX(X_Table_Poultry_Stage2MMS_BeltManureRemoval,6,1)</f>
        <v>Direct application</v>
      </c>
      <c r="F179" s="52">
        <f>INDEX(X_Table_Poultry_Stage2MMS_BeltManureRemoval,6,2)</f>
        <v>0.19999999999999996</v>
      </c>
      <c r="G179" s="52">
        <f>INDEX(X_Table_Poultry_Stage2MMS_BeltManureRemoval,6,3)</f>
        <v>0.19999999999999996</v>
      </c>
      <c r="H179" s="52">
        <f>INDEX(X_Table_Poultry_Stage2MMS_BeltManureRemoval,6,4)</f>
        <v>0.19999999999999996</v>
      </c>
      <c r="I179" s="52">
        <f>INDEX(X_Table_Poultry_Stage2MMS_BeltManureRemoval,6,5)</f>
        <v>0.19999999999999996</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INDEX(X_Table_Poultry_Stage2MMS_ManureStoredInHouse,2,2)</f>
        <v>0.2</v>
      </c>
      <c r="G180" s="52">
        <f>INDEX(X_Table_Poultry_Stage2MMS_ManureStoredInHouse,2,3)</f>
        <v>0.2</v>
      </c>
      <c r="H180" s="52">
        <f>INDEX(X_Table_Poultry_Stage2MMS_ManureStoredInHouse,2,4)</f>
        <v>0.2</v>
      </c>
      <c r="I180" s="52">
        <f>INDEX(X_Table_Poultry_Stage2MMS_ManureStoredInHouse,2,5)</f>
        <v>0.2</v>
      </c>
      <c r="J180" s="2"/>
    </row>
    <row r="181" spans="4:20" ht="20.100000000000001" customHeight="1" x14ac:dyDescent="0.25">
      <c r="D181" s="52"/>
      <c r="E181" s="52" t="str">
        <f>INDEX(X_Table_Poultry_Stage2MMS_ManureStoredInHouse,3,1)</f>
        <v>Composting (passive windrow)</v>
      </c>
      <c r="F181" s="52">
        <f>INDEX(X_Table_Poultry_Stage2MMS_ManureStoredInHouse,3,2)</f>
        <v>0.2</v>
      </c>
      <c r="G181" s="52">
        <f>INDEX(X_Table_Poultry_Stage2MMS_ManureStoredInHouse,3,3)</f>
        <v>0.2</v>
      </c>
      <c r="H181" s="52">
        <f>INDEX(X_Table_Poultry_Stage2MMS_ManureStoredInHouse,3,4)</f>
        <v>0.2</v>
      </c>
      <c r="I181" s="52">
        <f>INDEX(X_Table_Poultry_Stage2MMS_ManureStoredInHouse,3,5)</f>
        <v>0.2</v>
      </c>
      <c r="J181" s="2"/>
    </row>
    <row r="182" spans="4:20" ht="20.100000000000001" customHeight="1" x14ac:dyDescent="0.25">
      <c r="D182" s="52"/>
      <c r="E182" s="52" t="str">
        <f>INDEX(X_Table_Poultry_Stage2MMS_ManureStoredInHouse,4,1)</f>
        <v>Digester / covered lagoons</v>
      </c>
      <c r="F182" s="52">
        <f>INDEX(X_Table_Poultry_Stage2MMS_ManureStoredInHouse,4,2)</f>
        <v>0.2</v>
      </c>
      <c r="G182" s="52">
        <f>INDEX(X_Table_Poultry_Stage2MMS_ManureStoredInHouse,4,3)</f>
        <v>0.2</v>
      </c>
      <c r="H182" s="52">
        <f>INDEX(X_Table_Poultry_Stage2MMS_ManureStoredInHouse,4,4)</f>
        <v>0.2</v>
      </c>
      <c r="I182" s="52">
        <f>INDEX(X_Table_Poultry_Stage2MMS_ManureStoredInHouse,4,5)</f>
        <v>0.2</v>
      </c>
      <c r="J182" s="2"/>
    </row>
    <row r="183" spans="4:20" ht="20.100000000000001" customHeight="1" x14ac:dyDescent="0.25">
      <c r="D183" s="52"/>
      <c r="E183" s="52" t="str">
        <f>INDEX(X_Table_Poultry_Stage2MMS_ManureStoredInHouse,5,1)</f>
        <v>Direct processing</v>
      </c>
      <c r="F183" s="52">
        <f>INDEX(X_Table_Poultry_Stage2MMS_ManureStoredInHouse,5,2)</f>
        <v>0.2</v>
      </c>
      <c r="G183" s="52">
        <f>INDEX(X_Table_Poultry_Stage2MMS_ManureStoredInHouse,5,3)</f>
        <v>0.2</v>
      </c>
      <c r="H183" s="52">
        <f>INDEX(X_Table_Poultry_Stage2MMS_ManureStoredInHouse,5,4)</f>
        <v>0.2</v>
      </c>
      <c r="I183" s="52">
        <f>INDEX(X_Table_Poultry_Stage2MMS_ManureStoredInHouse,5,5)</f>
        <v>0.2</v>
      </c>
      <c r="J183" s="2"/>
    </row>
    <row r="184" spans="4:20" ht="20.100000000000001" customHeight="1" x14ac:dyDescent="0.25">
      <c r="D184" s="52"/>
      <c r="E184" s="52" t="str">
        <f>INDEX(X_Table_Poultry_Stage2MMS_ManureStoredInHouse,6,1)</f>
        <v>Direct application</v>
      </c>
      <c r="F184" s="52">
        <f>INDEX(X_Table_Poultry_Stage2MMS_ManureStoredInHouse,6,2)</f>
        <v>0.19999999999999996</v>
      </c>
      <c r="G184" s="52">
        <f>INDEX(X_Table_Poultry_Stage2MMS_ManureStoredInHouse,6,3)</f>
        <v>0.19999999999999996</v>
      </c>
      <c r="H184" s="52">
        <f>INDEX(X_Table_Poultry_Stage2MMS_ManureStoredInHouse,6,4)</f>
        <v>0.19999999999999996</v>
      </c>
      <c r="I184" s="52">
        <f>INDEX(X_Table_Poultry_Stage2MMS_ManureStoredInHouse,6,5)</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INDEX(X_Table_Poultry_Stage1MMS,2,1)</f>
        <v>Poultry manure with bedding</v>
      </c>
      <c r="O189" s="52" t="str">
        <f>INDEX(X_Table_Poultry_Stage2MMS_PoultryManureWithBedding,2,1)</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INDEX(X_Table_Poultry_Stage2MMS_PoultryManureWithBedding,3,1)</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INDEX(X_Table_Poultry_Stage2MMS_PoultryManureWithBedding,3,1)</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INDEX(X_Table_Poultry_Stage2MMS_PoultryManureWithBedding,4,1)</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INDEX(X_Table_Poultry_Stage2MMS_PoultryManureWithBedding,4,1)</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INDEX(X_Table_Poultry_Stage2MMS_PoultryManureWithBedding,5,1)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INDEX(X_Table_Poultry_Stage2MMS_PoultryManureWithBedding,5,1)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INDEX(X_Table_Poultry_Stage2MMS_PoultryManureWithBedding,6,1)</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INDEX(X_Table_Poultry_Stage2MMS_PoultryManureWithBedding,6,1)</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INDEX(X_Table_Poultry_Stage1MMS,3,1)</f>
        <v>Belt manure removal</v>
      </c>
      <c r="E194" s="52" t="str">
        <f>INDEX(X_Table_Poultry_Stage2MMS_BeltManureRemoval,2,1)</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INDEX(X_Table_Poultry_Stage1MMS,3,1)</f>
        <v>Belt manure removal</v>
      </c>
      <c r="O194" s="52" t="str">
        <f>INDEX(X_Table_Poultry_Stage2MMS_BeltManureRemoval,2,1)</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INDEX(X_Table_Poultry_Stage2MMS_BeltManureRemoval,3,1)</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INDEX(X_Table_Poultry_Stage2MMS_BeltManureRemoval,3,1)</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INDEX(X_Table_Poultry_Stage2MMS_BeltManureRemoval,4,1)</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INDEX(X_Table_Poultry_Stage2MMS_BeltManureRemoval,4,1)</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INDEX(X_Table_Poultry_Stage2MMS_BeltManureRemoval,5,1)</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INDEX(X_Table_Poultry_Stage2MMS_BeltManureRemoval,5,1)</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INDEX(X_Table_Poultry_Stage2MMS_BeltManureRemoval,6,1)</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INDEX(X_Table_Poultry_Stage2MMS_BeltManureRemoval,6,1)</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INDEX(X_Table_Poultry_Stage1MMS,4,1)</f>
        <v>Manure stored in house</v>
      </c>
      <c r="E199" s="52" t="str">
        <f>INDEX(X_Table_Poultry_Stage2MMS_ManureStoredInHouse,2,1)</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INDEX(X_Table_Poultry_Stage1MMS,4,1)</f>
        <v>Manure stored in house</v>
      </c>
      <c r="O199" s="52" t="str">
        <f>INDEX(X_Table_Poultry_Stage2MMS_ManureStoredInHouse,2,1)</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INDEX(X_Table_Poultry_Stage2MMS_ManureStoredInHouse,3,1)</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INDEX(X_Table_Poultry_Stage2MMS_ManureStoredInHouse,3,1)</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INDEX(X_Table_Poultry_Stage2MMS_ManureStoredInHouse,4,1)</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INDEX(X_Table_Poultry_Stage2MMS_ManureStoredInHouse,4,1)</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INDEX(X_Table_Poultry_Stage2MMS_ManureStoredInHouse,5,1)</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INDEX(X_Table_Poultry_Stage2MMS_ManureStoredInHouse,5,1)</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INDEX(X_Table_Poultry_Stage2MMS_ManureStoredInHouse,6,1)</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INDEX(X_Table_Poultry_Stage2MMS_ManureStoredInHouse,6,1)</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INDEX(X_Table_Poultry_Stage1MMS,2,1)</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INDEX(X_Table_Poultry_Stage1MMS,2,1)</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INDEX(X_Table_Poultry_Stage1MMS,3,1)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INDEX(X_Table_Poultry_Stage1MMS,3,1)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INDEX(X_Table_Poultry_Stage1MMS,4,1)</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INDEX(X_Table_Poultry_Stage1MMS,4,1)</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INDEX(X_Table_Poultry_Stage1MMS,5,1)</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INDEX(X_Table_Poultry_Stage1MMS,5,1)</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INDEX(X_Table_Poultry_Stage1MMS,2,1)</f>
        <v>Poultry manure with bedding</v>
      </c>
      <c r="E229" s="52" t="str">
        <f>INDEX(X_Table_Poultry_Stage2MMS_PoultryManureWithBedding,2,1)</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INDEX(X_Table_Poultry_Stage1MMS,2,1)</f>
        <v>Poultry manure with bedding</v>
      </c>
      <c r="O229" s="52" t="str">
        <f>INDEX(X_Table_Poultry_Stage2MMS_PoultryManureWithBedding,2,1)</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INDEX(X_Table_Poultry_Stage2MMS_PoultryManureWithBedding,3,1)</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INDEX(X_Table_Poultry_Stage2MMS_PoultryManureWithBedding,3,1)</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INDEX(X_Table_Poultry_Stage2MMS_PoultryManureWithBedding,4,1)</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INDEX(X_Table_Poultry_Stage2MMS_PoultryManureWithBedding,4,1)</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INDEX(X_Table_Poultry_Stage2MMS_PoultryManureWithBedding,5,1)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INDEX(X_Table_Poultry_Stage2MMS_PoultryManureWithBedding,5,1)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INDEX(X_Table_Poultry_Stage2MMS_PoultryManureWithBedding,6,1)</f>
        <v>Direct application</v>
      </c>
      <c r="F233" s="52" t="s">
        <v>134</v>
      </c>
      <c r="G233" s="52" t="s">
        <v>134</v>
      </c>
      <c r="H233" s="52" t="s">
        <v>134</v>
      </c>
      <c r="I233" s="52" t="s">
        <v>134</v>
      </c>
      <c r="N233" s="52"/>
      <c r="O233" s="52" t="str">
        <f>INDEX(X_Table_Poultry_Stage2MMS_PoultryManureWithBedding,6,1)</f>
        <v>Direct application</v>
      </c>
      <c r="P233" s="52" t="s">
        <v>134</v>
      </c>
      <c r="Q233" s="52" t="s">
        <v>134</v>
      </c>
      <c r="R233" s="52" t="s">
        <v>134</v>
      </c>
      <c r="S233" s="52" t="s">
        <v>134</v>
      </c>
    </row>
    <row r="234" spans="4:20" ht="20.100000000000001" customHeight="1" x14ac:dyDescent="0.25">
      <c r="D234" s="52" t="str">
        <f>INDEX(X_Table_Poultry_Stage1MMS,3,1)</f>
        <v>Belt manure removal</v>
      </c>
      <c r="E234" s="52" t="str">
        <f>INDEX(X_Table_Poultry_Stage2MMS_BeltManureRemoval,2,1)</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INDEX(X_Table_Poultry_Stage1MMS,3,1)</f>
        <v>Belt manure removal</v>
      </c>
      <c r="O234" s="52" t="str">
        <f>INDEX(X_Table_Poultry_Stage2MMS_BeltManureRemoval,2,1)</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INDEX(X_Table_Poultry_Stage2MMS_BeltManureRemoval,3,1)</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INDEX(X_Table_Poultry_Stage2MMS_BeltManureRemoval,3,1)</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INDEX(X_Table_Poultry_Stage2MMS_BeltManureRemoval,4,1)</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INDEX(X_Table_Poultry_Stage2MMS_BeltManureRemoval,4,1)</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INDEX(X_Table_Poultry_Stage2MMS_BeltManureRemoval,5,1)</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INDEX(X_Table_Poultry_Stage2MMS_BeltManureRemoval,5,1)</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INDEX(X_Table_Poultry_Stage2MMS_BeltManureRemoval,6,1)</f>
        <v>Direct application</v>
      </c>
      <c r="F238" s="52" t="s">
        <v>134</v>
      </c>
      <c r="G238" s="52" t="s">
        <v>134</v>
      </c>
      <c r="H238" s="52" t="s">
        <v>134</v>
      </c>
      <c r="I238" s="52" t="s">
        <v>134</v>
      </c>
      <c r="N238" s="52"/>
      <c r="O238" s="52" t="str">
        <f>INDEX(X_Table_Poultry_Stage2MMS_BeltManureRemoval,6,1)</f>
        <v>Direct application</v>
      </c>
      <c r="P238" s="52" t="s">
        <v>134</v>
      </c>
      <c r="Q238" s="52" t="s">
        <v>134</v>
      </c>
      <c r="R238" s="52" t="s">
        <v>134</v>
      </c>
      <c r="S238" s="52" t="s">
        <v>134</v>
      </c>
    </row>
    <row r="239" spans="4:20" ht="20.100000000000001" customHeight="1" x14ac:dyDescent="0.25">
      <c r="D239" s="52" t="str">
        <f>INDEX(X_Table_Poultry_Stage1MMS,4,1)</f>
        <v>Manure stored in house</v>
      </c>
      <c r="E239" s="52" t="str">
        <f>INDEX(X_Table_Poultry_Stage2MMS_ManureStoredInHouse,2,1)</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INDEX(X_Table_Poultry_Stage1MMS,4,1)</f>
        <v>Manure stored in house</v>
      </c>
      <c r="O239" s="52" t="str">
        <f>INDEX(X_Table_Poultry_Stage2MMS_ManureStoredInHouse,2,1)</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INDEX(X_Table_Poultry_Stage2MMS_ManureStoredInHouse,3,1)</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INDEX(X_Table_Poultry_Stage2MMS_ManureStoredInHouse,3,1)</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INDEX(X_Table_Poultry_Stage2MMS_ManureStoredInHouse,4,1)</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INDEX(X_Table_Poultry_Stage2MMS_ManureStoredInHouse,4,1)</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INDEX(X_Table_Poultry_Stage2MMS_ManureStoredInHouse,5,1)</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INDEX(X_Table_Poultry_Stage2MMS_ManureStoredInHouse,5,1)</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INDEX(X_Table_Poultry_Stage2MMS_ManureStoredInHouse,6,1)</f>
        <v>Direct application</v>
      </c>
      <c r="F243" s="52" t="s">
        <v>134</v>
      </c>
      <c r="G243" s="52" t="s">
        <v>134</v>
      </c>
      <c r="H243" s="52" t="s">
        <v>134</v>
      </c>
      <c r="I243" s="52" t="s">
        <v>134</v>
      </c>
      <c r="N243" s="52"/>
      <c r="O243" s="52" t="str">
        <f>INDEX(X_Table_Poultry_Stage2MMS_ManureStoredInHouse,6,1)</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workbookViewId="0">
      <selection activeCell="I93" sqref="I9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
        <v>134</v>
      </c>
      <c r="F22" s="52">
        <f>INDEX(M1_Table_MN_j_k_m_T1,2,2)</f>
        <v>5.0980800000000013</v>
      </c>
      <c r="G22" s="52">
        <f>INDEX(M1_Table_MN_j_k_m_T1,2,3)</f>
        <v>5.4416159999999998</v>
      </c>
      <c r="H22" s="52">
        <f>INDEX(M1_Table_MN_j_k_m_T1,2,4)</f>
        <v>6.3876479999999995</v>
      </c>
      <c r="I22" s="52">
        <f>INDEX(M1_Table_MN_j_k_m_T1,2,5)</f>
        <v>5.4416159999999998</v>
      </c>
      <c r="J22" s="2" t="str">
        <f>$G$13</f>
        <v>kg N</v>
      </c>
      <c r="N22" s="52" t="str">
        <f>INDEX(X_Table_Poultry_Stage1MMS,2,1)</f>
        <v>Poultry manure with bedding</v>
      </c>
      <c r="O22" s="52" t="s">
        <v>134</v>
      </c>
      <c r="P22" s="52">
        <f>INDEX(M2_Table_MN_j_k_m_T1,2,2)</f>
        <v>5.0980800000000013</v>
      </c>
      <c r="Q22" s="52">
        <f>INDEX(M2_Table_MN_j_k_m_T1,2,3)</f>
        <v>5.4416159999999998</v>
      </c>
      <c r="R22" s="52">
        <f>INDEX(M2_Table_MN_j_k_m_T1,2,4)</f>
        <v>6.3876479999999995</v>
      </c>
      <c r="S22" s="52">
        <f>INDEX(M2_Table_MN_j_k_m_T1,2,5)</f>
        <v>5.4416159999999998</v>
      </c>
      <c r="T22" s="2" t="str">
        <f>$G$13</f>
        <v>kg N</v>
      </c>
    </row>
    <row r="23" spans="1:20" ht="20.100000000000001" customHeight="1" x14ac:dyDescent="0.25">
      <c r="A23" s="17" t="str">
        <f>HYPERLINK("#'Constants - Livestock'!A1", "Constants - Livestock")</f>
        <v>Constants - Livestock</v>
      </c>
      <c r="D23" s="52" t="str">
        <f>INDEX(X_Table_Poultry_Stage1MMS,3,1)</f>
        <v>Belt manure removal</v>
      </c>
      <c r="E23" s="52" t="s">
        <v>134</v>
      </c>
      <c r="F23" s="52">
        <f>INDEX(M1_Table_MN_j_k_m_T1,3,2)</f>
        <v>5.0980800000000013</v>
      </c>
      <c r="G23" s="52">
        <f>INDEX(M1_Table_MN_j_k_m_T1,3,3)</f>
        <v>5.4416159999999998</v>
      </c>
      <c r="H23" s="52">
        <f>INDEX(M1_Table_MN_j_k_m_T1,3,4)</f>
        <v>6.3876479999999995</v>
      </c>
      <c r="I23" s="52">
        <f>INDEX(M1_Table_MN_j_k_m_T1,3,5)</f>
        <v>5.4416159999999998</v>
      </c>
      <c r="J23" s="2"/>
      <c r="N23" s="52" t="str">
        <f>INDEX(X_Table_Poultry_Stage1MMS,3,1)</f>
        <v>Belt manure removal</v>
      </c>
      <c r="O23" s="52" t="s">
        <v>134</v>
      </c>
      <c r="P23" s="52">
        <f>INDEX(M2_Table_MN_j_k_m_T1,3,2)</f>
        <v>5.0980800000000013</v>
      </c>
      <c r="Q23" s="52">
        <f>INDEX(M2_Table_MN_j_k_m_T1,3,3)</f>
        <v>5.4416159999999998</v>
      </c>
      <c r="R23" s="52">
        <f>INDEX(M2_Table_MN_j_k_m_T1,3,4)</f>
        <v>6.3876479999999995</v>
      </c>
      <c r="S23" s="52">
        <f>INDEX(M2_Table_MN_j_k_m_T1,3,5)</f>
        <v>5.4416159999999998</v>
      </c>
      <c r="T23" s="2"/>
    </row>
    <row r="24" spans="1:20" ht="20.100000000000001" customHeight="1" x14ac:dyDescent="0.25">
      <c r="A24" s="17" t="str">
        <f>HYPERLINK("#'Constants - Common'!A1", "Constants - Common")</f>
        <v>Constants - Common</v>
      </c>
      <c r="D24" s="52" t="str">
        <f>INDEX(X_Table_Poultry_Stage1MMS,4,1)</f>
        <v>Manure stored in house</v>
      </c>
      <c r="E24" s="52" t="s">
        <v>134</v>
      </c>
      <c r="F24" s="52">
        <f>INDEX(M1_Table_MN_j_k_m_T1,4,2)</f>
        <v>5.0980800000000013</v>
      </c>
      <c r="G24" s="52">
        <f>INDEX(M1_Table_MN_j_k_m_T1,4,3)</f>
        <v>5.4416159999999998</v>
      </c>
      <c r="H24" s="52">
        <f>INDEX(M1_Table_MN_j_k_m_T1,4,4)</f>
        <v>6.3876479999999995</v>
      </c>
      <c r="I24" s="52">
        <f>INDEX(M1_Table_MN_j_k_m_T1,4,5)</f>
        <v>5.4416159999999998</v>
      </c>
      <c r="J24" s="2"/>
      <c r="N24" s="52" t="str">
        <f>INDEX(X_Table_Poultry_Stage1MMS,4,1)</f>
        <v>Manure stored in house</v>
      </c>
      <c r="O24" s="52" t="s">
        <v>134</v>
      </c>
      <c r="P24" s="52">
        <f>INDEX(M2_Table_MN_j_k_m_T1,4,2)</f>
        <v>5.0980800000000013</v>
      </c>
      <c r="Q24" s="52">
        <f>INDEX(M2_Table_MN_j_k_m_T1,4,3)</f>
        <v>5.4416159999999998</v>
      </c>
      <c r="R24" s="52">
        <f>INDEX(M2_Table_MN_j_k_m_T1,4,4)</f>
        <v>6.3876479999999995</v>
      </c>
      <c r="S24" s="52">
        <f>INDEX(M2_Table_MN_j_k_m_T1,4,5)</f>
        <v>5.4416159999999998</v>
      </c>
      <c r="T24" s="2"/>
    </row>
    <row r="25" spans="1:20" ht="20.100000000000001" customHeight="1" x14ac:dyDescent="0.25">
      <c r="A25" s="17"/>
      <c r="D25" s="52" t="str">
        <f>INDEX(X_Table_Poultry_Stage1MMS,5,1)</f>
        <v>Pasture range and paddock</v>
      </c>
      <c r="E25" s="52" t="s">
        <v>134</v>
      </c>
      <c r="F25" s="52">
        <f>INDEX(M1_Table_MN_j_k_m_T1,5,2)</f>
        <v>1.6993600000000004</v>
      </c>
      <c r="G25" s="52">
        <f>INDEX(M1_Table_MN_j_k_m_T1,5,3)</f>
        <v>1.8138719999999999</v>
      </c>
      <c r="H25" s="52">
        <f>INDEX(M1_Table_MN_j_k_m_T1,5,4)</f>
        <v>2.129216</v>
      </c>
      <c r="I25" s="52">
        <f>INDEX(M1_Table_MN_j_k_m_T1,5,5)</f>
        <v>1.8138719999999999</v>
      </c>
      <c r="J25" s="2"/>
      <c r="N25" s="52" t="str">
        <f>INDEX(X_Table_Poultry_Stage1MMS,5,1)</f>
        <v>Pasture range and paddock</v>
      </c>
      <c r="O25" s="52" t="s">
        <v>134</v>
      </c>
      <c r="P25" s="52">
        <f>INDEX(M2_Table_MN_j_k_m_T1,5,2)</f>
        <v>1.6993600000000004</v>
      </c>
      <c r="Q25" s="52">
        <f>INDEX(M2_Table_MN_j_k_m_T1,5,3)</f>
        <v>1.8138719999999999</v>
      </c>
      <c r="R25" s="52">
        <f>INDEX(M2_Table_MN_j_k_m_T1,5,4)</f>
        <v>2.129216</v>
      </c>
      <c r="S25" s="52">
        <f>INDEX(M2_Table_MN_j_k_m_T1,5,5)</f>
        <v>1.8138719999999999</v>
      </c>
      <c r="T25" s="2"/>
    </row>
    <row r="26" spans="1:20" ht="20.100000000000001" customHeight="1" x14ac:dyDescent="0.25">
      <c r="D26" s="52" t="str">
        <f>INDEX(X_Table_Poultry_Stage1MMS,2,1)</f>
        <v>Poultry manure with bedding</v>
      </c>
      <c r="E26" s="52" t="str">
        <f>INDEX(X_Table_Poultry_Stage2MMS_PoultryManureWithBedding,2,1)</f>
        <v>Solid storage</v>
      </c>
      <c r="F26" s="52">
        <f>INDEX(M1_Table_MN_j_k_m_T2,2,3)</f>
        <v>0.71271158400000012</v>
      </c>
      <c r="G26" s="52">
        <f>INDEX(M1_Table_MN_j_k_m_T2,2,4)</f>
        <v>0.76073791680000002</v>
      </c>
      <c r="H26" s="52">
        <f>INDEX(M1_Table_MN_j_k_m_T2,2,5)</f>
        <v>0.89299319039999991</v>
      </c>
      <c r="I26" s="52">
        <f>INDEX(M1_Table_MN_j_k_m_T2,2,6)</f>
        <v>0.76073791680000002</v>
      </c>
      <c r="J26" s="2"/>
      <c r="N26" s="52" t="str">
        <f>INDEX(X_Table_Poultry_Stage1MMS,2,1)</f>
        <v>Poultry manure with bedding</v>
      </c>
      <c r="O26" s="52" t="str">
        <f>INDEX(X_Table_Poultry_Stage2MMS_PoultryManureWithBedding,2,1)</f>
        <v>Solid storage</v>
      </c>
      <c r="P26" s="52">
        <f>INDEX(M2_Table_MN_j_k_m_T2,2,3)</f>
        <v>0.71271158400000012</v>
      </c>
      <c r="Q26" s="52">
        <f>INDEX(M2_Table_MN_j_k_m_T2,2,4)</f>
        <v>0.76073791680000002</v>
      </c>
      <c r="R26" s="52">
        <f>INDEX(M2_Table_MN_j_k_m_T2,2,5)</f>
        <v>0.89299319039999991</v>
      </c>
      <c r="S26" s="52">
        <f>INDEX(M2_Table_MN_j_k_m_T2,2,6)</f>
        <v>0.76073791680000002</v>
      </c>
      <c r="T26" s="2"/>
    </row>
    <row r="27" spans="1:20" ht="20.100000000000001" customHeight="1" x14ac:dyDescent="0.25">
      <c r="D27" s="52"/>
      <c r="E27" s="52" t="str">
        <f>INDEX(X_Table_Poultry_Stage2MMS_PoultryManureWithBedding,3,1)</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INDEX(X_Table_Poultry_Stage2MMS_PoultryManureWithBedding,3,1)</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INDEX(X_Table_Poultry_Stage2MMS_PoultryManureWithBedding,4,1)</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INDEX(X_Table_Poultry_Stage2MMS_PoultryManureWithBedding,4,1)</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INDEX(X_Table_Poultry_Stage2MMS_PoultryManureWithBedding,5,1)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INDEX(X_Table_Poultry_Stage2MMS_PoultryManureWithBedding,5,1)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INDEX(X_Table_Poultry_Stage2MMS_PoultryManureWithBedding,6,1)</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INDEX(X_Table_Poultry_Stage2MMS_PoultryManureWithBedding,6,1)</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INDEX(X_Table_Poultry_Stage1MMS,3,1)</f>
        <v>Belt manure removal</v>
      </c>
      <c r="E31" s="52" t="str">
        <f>INDEX(X_Table_Poultry_Stage2MMS_BeltManureRemoval,2,1)</f>
        <v>Solid storage</v>
      </c>
      <c r="F31" s="52">
        <f>'4.6.1.3-4 Direct N20'!F194</f>
        <v>0.96761558400000025</v>
      </c>
      <c r="G31" s="52">
        <f>'4.6.1.3-4 Direct N20'!G194</f>
        <v>1.0328187168</v>
      </c>
      <c r="H31" s="52">
        <f>'4.6.1.3-4 Direct N20'!H194</f>
        <v>1.2123755904</v>
      </c>
      <c r="I31" s="52">
        <f>'4.6.1.3-4 Direct N20'!I194</f>
        <v>1.0328187168</v>
      </c>
      <c r="J31" s="2"/>
      <c r="N31" s="52" t="str">
        <f>INDEX(X_Table_Poultry_Stage1MMS,3,1)</f>
        <v>Belt manure removal</v>
      </c>
      <c r="O31" s="52" t="str">
        <f>INDEX(X_Table_Poultry_Stage2MMS_BeltManureRemoval,2,1)</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INDEX(X_Table_Poultry_Stage2MMS_BeltManureRemoval,3,1)</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INDEX(X_Table_Poultry_Stage2MMS_BeltManureRemoval,3,1)</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INDEX(X_Table_Poultry_Stage2MMS_BeltManureRemoval,4,1)</f>
        <v>Digester / covered lagoons</v>
      </c>
      <c r="F33" s="52">
        <f>'4.6.1.3-4 Direct N20'!F196</f>
        <v>0.96761558400000025</v>
      </c>
      <c r="G33" s="52">
        <f>'4.6.1.3-4 Direct N20'!G196</f>
        <v>1.0328187168</v>
      </c>
      <c r="H33" s="52">
        <f>'4.6.1.3-4 Direct N20'!H196</f>
        <v>1.2123755904</v>
      </c>
      <c r="I33" s="52">
        <f>'4.6.1.3-4 Direct N20'!I196</f>
        <v>1.0328187168</v>
      </c>
      <c r="J33" s="2"/>
      <c r="N33" s="52"/>
      <c r="O33" s="52" t="str">
        <f>INDEX(X_Table_Poultry_Stage2MMS_BeltManureRemoval,4,1)</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INDEX(X_Table_Poultry_Stage2MMS_BeltManureRemoval,5,1)</f>
        <v>Direct processing</v>
      </c>
      <c r="F34" s="52">
        <f>'4.6.1.3-4 Direct N20'!F197</f>
        <v>0.96761558400000025</v>
      </c>
      <c r="G34" s="52">
        <f>'4.6.1.3-4 Direct N20'!G197</f>
        <v>1.0328187168</v>
      </c>
      <c r="H34" s="52">
        <f>'4.6.1.3-4 Direct N20'!H197</f>
        <v>1.2123755904</v>
      </c>
      <c r="I34" s="52">
        <f>'4.6.1.3-4 Direct N20'!I197</f>
        <v>1.0328187168</v>
      </c>
      <c r="J34" s="2"/>
      <c r="N34" s="52"/>
      <c r="O34" s="52" t="str">
        <f>INDEX(X_Table_Poultry_Stage2MMS_BeltManureRemoval,5,1)</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INDEX(X_Table_Poultry_Stage2MMS_BeltManureRemoval,6,1)</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INDEX(X_Table_Poultry_Stage2MMS_BeltManureRemoval,6,1)</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INDEX(X_Table_Poultry_Stage1MMS,4,1)</f>
        <v>Manure stored in house</v>
      </c>
      <c r="E36" s="52" t="str">
        <f>INDEX(X_Table_Poultry_Stage2MMS_ManureStoredInHouse,2,1)</f>
        <v>Solid storage</v>
      </c>
      <c r="F36" s="52">
        <f>'4.6.1.3-4 Direct N20'!F199</f>
        <v>0.61074998400000013</v>
      </c>
      <c r="G36" s="52">
        <f>'4.6.1.3-4 Direct N20'!G199</f>
        <v>0.65190559679999993</v>
      </c>
      <c r="H36" s="52">
        <f>'4.6.1.3-4 Direct N20'!H199</f>
        <v>0.76524023039999989</v>
      </c>
      <c r="I36" s="52">
        <f>'4.6.1.3-4 Direct N20'!I199</f>
        <v>0.65190559679999993</v>
      </c>
      <c r="J36" s="2"/>
      <c r="N36" s="52" t="str">
        <f>INDEX(X_Table_Poultry_Stage1MMS,4,1)</f>
        <v>Manure stored in house</v>
      </c>
      <c r="O36" s="52" t="str">
        <f>INDEX(X_Table_Poultry_Stage2MMS_ManureStoredInHouse,2,1)</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INDEX(X_Table_Poultry_Stage2MMS_ManureStoredInHouse,3,1)</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INDEX(X_Table_Poultry_Stage2MMS_ManureStoredInHouse,3,1)</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INDEX(X_Table_Poultry_Stage2MMS_ManureStoredInHouse,4,1)</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INDEX(X_Table_Poultry_Stage2MMS_ManureStoredInHouse,4,1)</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INDEX(X_Table_Poultry_Stage2MMS_ManureStoredInHouse,5,1)</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INDEX(X_Table_Poultry_Stage2MMS_ManureStoredInHouse,5,1)</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INDEX(X_Table_Poultry_Stage2MMS_ManureStoredInHouse,6,1)</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INDEX(X_Table_Poultry_Stage2MMS_ManureStoredInHouse,6,1)</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INDEX(X_Table_Poultry_Stage1MMS,2,1)</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INDEX(X_Table_Poultry_Stage1MMS,2,1)</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INDEX(X_Table_Poultry_Stage1MMS,3,1)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INDEX(X_Table_Poultry_Stage1MMS,3,1)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INDEX(X_Table_Poultry_Stage1MMS,4,1)</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INDEX(X_Table_Poultry_Stage1MMS,4,1)</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INDEX(X_Table_Poultry_Stage1MMS,5,1)</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INDEX(X_Table_Poultry_Stage1MMS,5,1)</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INDEX(X_Table_Poultry_Stage1MMS,2,1)</f>
        <v>Poultry manure with bedding</v>
      </c>
      <c r="E61" s="52" t="str">
        <f>INDEX(X_Table_Poultry_Stage2MMS_PoultryManureWithBedding,2,1)</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INDEX(X_Table_Poultry_Stage1MMS,2,1)</f>
        <v>Poultry manure with bedding</v>
      </c>
      <c r="O61" s="52" t="str">
        <f>INDEX(X_Table_Poultry_Stage2MMS_PoultryManureWithBedding,2,1)</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INDEX(X_Table_Poultry_Stage2MMS_PoultryManureWithBedding,3,1)</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INDEX(X_Table_Poultry_Stage2MMS_PoultryManureWithBedding,3,1)</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INDEX(X_Table_Poultry_Stage2MMS_PoultryManureWithBedding,4,1)</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INDEX(X_Table_Poultry_Stage2MMS_PoultryManureWithBedding,4,1)</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INDEX(X_Table_Poultry_Stage2MMS_PoultryManureWithBedding,5,1)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INDEX(X_Table_Poultry_Stage2MMS_PoultryManureWithBedding,5,1)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INDEX(X_Table_Poultry_Stage2MMS_PoultryManureWithBedding,6,1)</f>
        <v>Direct application</v>
      </c>
      <c r="F65" s="52" t="s">
        <v>134</v>
      </c>
      <c r="G65" s="52" t="s">
        <v>134</v>
      </c>
      <c r="H65" s="52" t="s">
        <v>134</v>
      </c>
      <c r="I65" s="52" t="s">
        <v>134</v>
      </c>
      <c r="N65" s="52"/>
      <c r="O65" s="52" t="str">
        <f>INDEX(X_Table_Poultry_Stage2MMS_PoultryManureWithBedding,6,1)</f>
        <v>Direct application</v>
      </c>
      <c r="P65" s="52" t="s">
        <v>134</v>
      </c>
      <c r="Q65" s="52" t="s">
        <v>134</v>
      </c>
      <c r="R65" s="52" t="s">
        <v>134</v>
      </c>
      <c r="S65" s="52" t="s">
        <v>134</v>
      </c>
    </row>
    <row r="66" spans="1:21" ht="20.100000000000001" customHeight="1" x14ac:dyDescent="0.25">
      <c r="D66" s="52" t="str">
        <f>INDEX(X_Table_Poultry_Stage1MMS,3,1)</f>
        <v>Belt manure removal</v>
      </c>
      <c r="E66" s="52" t="str">
        <f>INDEX(X_Table_Poultry_Stage2MMS_BeltManureRemoval,2,1)</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INDEX(X_Table_Poultry_Stage1MMS,3,1)</f>
        <v>Belt manure removal</v>
      </c>
      <c r="O66" s="52" t="str">
        <f>INDEX(X_Table_Poultry_Stage2MMS_BeltManureRemoval,2,1)</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INDEX(X_Table_Poultry_Stage2MMS_BeltManureRemoval,3,1)</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INDEX(X_Table_Poultry_Stage2MMS_BeltManureRemoval,3,1)</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INDEX(X_Table_Poultry_Stage2MMS_BeltManureRemoval,4,1)</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INDEX(X_Table_Poultry_Stage2MMS_BeltManureRemoval,4,1)</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INDEX(X_Table_Poultry_Stage2MMS_BeltManureRemoval,5,1)</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INDEX(X_Table_Poultry_Stage2MMS_BeltManureRemoval,5,1)</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INDEX(X_Table_Poultry_Stage2MMS_BeltManureRemoval,6,1)</f>
        <v>Direct application</v>
      </c>
      <c r="F70" s="52" t="s">
        <v>134</v>
      </c>
      <c r="G70" s="52" t="s">
        <v>134</v>
      </c>
      <c r="H70" s="52" t="s">
        <v>134</v>
      </c>
      <c r="I70" s="52" t="s">
        <v>134</v>
      </c>
      <c r="N70" s="52"/>
      <c r="O70" s="52" t="str">
        <f>INDEX(X_Table_Poultry_Stage2MMS_BeltManureRemoval,6,1)</f>
        <v>Direct application</v>
      </c>
      <c r="P70" s="52" t="s">
        <v>134</v>
      </c>
      <c r="Q70" s="52" t="s">
        <v>134</v>
      </c>
      <c r="R70" s="52" t="s">
        <v>134</v>
      </c>
      <c r="S70" s="52" t="s">
        <v>134</v>
      </c>
    </row>
    <row r="71" spans="1:21" ht="20.100000000000001" customHeight="1" x14ac:dyDescent="0.25">
      <c r="D71" s="52" t="str">
        <f>INDEX(X_Table_Poultry_Stage1MMS,4,1)</f>
        <v>Manure stored in house</v>
      </c>
      <c r="E71" s="52" t="str">
        <f>INDEX(X_Table_Poultry_Stage2MMS_ManureStoredInHouse,2,1)</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INDEX(X_Table_Poultry_Stage1MMS,4,1)</f>
        <v>Manure stored in house</v>
      </c>
      <c r="O71" s="52" t="str">
        <f>INDEX(X_Table_Poultry_Stage2MMS_ManureStoredInHouse,2,1)</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INDEX(X_Table_Poultry_Stage2MMS_ManureStoredInHouse,3,1)</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INDEX(X_Table_Poultry_Stage2MMS_ManureStoredInHouse,3,1)</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INDEX(X_Table_Poultry_Stage2MMS_ManureStoredInHouse,4,1)</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INDEX(X_Table_Poultry_Stage2MMS_ManureStoredInHouse,4,1)</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INDEX(X_Table_Poultry_Stage2MMS_ManureStoredInHouse,5,1)</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INDEX(X_Table_Poultry_Stage2MMS_ManureStoredInHouse,5,1)</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INDEX(X_Table_Poultry_Stage2MMS_ManureStoredInHouse,6,1)</f>
        <v>Direct application</v>
      </c>
      <c r="F75" s="52" t="s">
        <v>134</v>
      </c>
      <c r="G75" s="52" t="s">
        <v>134</v>
      </c>
      <c r="H75" s="52" t="s">
        <v>134</v>
      </c>
      <c r="I75" s="52" t="s">
        <v>134</v>
      </c>
      <c r="N75" s="52"/>
      <c r="O75" s="52" t="str">
        <f>INDEX(X_Table_Poultry_Stage2MMS_ManureStoredInHouse,6,1)</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X_Cell_Poultry_ManureAppliedProductionSystem</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X_Cell_Poultry_ManureAppliedIrrigationMethod</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X_Cell_Site_RainfallZone</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I29" sqref="I2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40" t="str">
        <v>Constant</v>
      </c>
      <c r="I15" s="141">
        <f>SourceData_Poultry_FractionOfNitrogenLostThroughLeachingAndRunoff_Data</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INDEX(X_Table_Poultry_Stage1MMS,2,1)</f>
        <v>Poultry manure with bedding</v>
      </c>
      <c r="E27" s="52" t="str">
        <f>INDEX(X_Table_Poultry_Stage2MMS_PoultryManureWithBedding,2,1)</f>
        <v>Solid storage</v>
      </c>
      <c r="F27" s="52">
        <f>INDEX(M1_Table_MN_j_k_m_T2,2,3)</f>
        <v>0.71271158400000012</v>
      </c>
      <c r="G27" s="52">
        <f>INDEX(M1_Table_MN_j_k_m_T2,2,4)</f>
        <v>0.76073791680000002</v>
      </c>
      <c r="H27" s="52">
        <f>INDEX(M1_Table_MN_j_k_m_T2,2,5)</f>
        <v>0.89299319039999991</v>
      </c>
      <c r="I27" s="52">
        <f>INDEX(M1_Table_MN_j_k_m_T2,2,6)</f>
        <v>0.76073791680000002</v>
      </c>
      <c r="J27" s="2" t="str">
        <f>$G$13</f>
        <v>kg N</v>
      </c>
      <c r="N27" s="52" t="str">
        <f>INDEX(X_Table_Poultry_Stage1MMS,2,1)</f>
        <v>Poultry manure with bedding</v>
      </c>
      <c r="O27" s="52" t="str">
        <f>INDEX(X_Table_Poultry_Stage2MMS_PoultryManureWithBedding,2,1)</f>
        <v>Solid storage</v>
      </c>
      <c r="P27" s="52">
        <f>INDEX(M2_Table_MN_j_k_m_T2,2,3)</f>
        <v>0.71271158400000012</v>
      </c>
      <c r="Q27" s="52">
        <f>INDEX(M2_Table_MN_j_k_m_T2,2,4)</f>
        <v>0.76073791680000002</v>
      </c>
      <c r="R27" s="52">
        <f>INDEX(M2_Table_MN_j_k_m_T2,2,5)</f>
        <v>0.89299319039999991</v>
      </c>
      <c r="S27" s="52">
        <f>INDEX(M2_Table_MN_j_k_m_T2,2,6)</f>
        <v>0.76073791680000002</v>
      </c>
      <c r="T27" s="2" t="str">
        <f>$G$13</f>
        <v>kg N</v>
      </c>
    </row>
    <row r="28" spans="1:20" ht="20.100000000000001" customHeight="1" x14ac:dyDescent="0.25">
      <c r="D28" s="52" t="str">
        <f>INDEX(X_Table_Poultry_Stage1MMS,3,1)</f>
        <v>Belt manure removal</v>
      </c>
      <c r="E28" s="52" t="str">
        <f>INDEX(X_Table_Poultry_Stage2MMS_BeltManureRemoval,2,1)</f>
        <v>Solid storage</v>
      </c>
      <c r="F28" s="52">
        <f>'4.6.1.3-4 Direct N20'!F194</f>
        <v>0.96761558400000025</v>
      </c>
      <c r="G28" s="52">
        <f>'4.6.1.3-4 Direct N20'!G194</f>
        <v>1.0328187168</v>
      </c>
      <c r="H28" s="52">
        <f>'4.6.1.3-4 Direct N20'!H194</f>
        <v>1.2123755904</v>
      </c>
      <c r="I28" s="52">
        <f>'4.6.1.3-4 Direct N20'!I194</f>
        <v>1.0328187168</v>
      </c>
      <c r="J28" s="2"/>
      <c r="N28" s="52" t="str">
        <f>INDEX(X_Table_Poultry_Stage1MMS,3,1)</f>
        <v>Belt manure removal</v>
      </c>
      <c r="O28" s="52" t="str">
        <f>INDEX(X_Table_Poultry_Stage2MMS_BeltManureRemoval,2,1)</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INDEX(X_Table_Poultry_Stage1MMS,4,1)</f>
        <v>Manure stored in house</v>
      </c>
      <c r="E29" s="52" t="str">
        <f>INDEX(X_Table_Poultry_Stage2MMS_ManureStoredInHouse,2,1)</f>
        <v>Solid storage</v>
      </c>
      <c r="F29" s="52">
        <f>'4.6.1.3-4 Direct N20'!F199</f>
        <v>0.61074998400000013</v>
      </c>
      <c r="G29" s="52">
        <f>'4.6.1.3-4 Direct N20'!G199</f>
        <v>0.65190559679999993</v>
      </c>
      <c r="H29" s="52">
        <f>'4.6.1.3-4 Direct N20'!H199</f>
        <v>0.76524023039999989</v>
      </c>
      <c r="I29" s="52">
        <f>'4.6.1.3-4 Direct N20'!I199</f>
        <v>0.65190559679999993</v>
      </c>
      <c r="J29" s="2"/>
      <c r="N29" s="52" t="str">
        <f>INDEX(X_Table_Poultry_Stage1MMS,4,1)</f>
        <v>Manure stored in house</v>
      </c>
      <c r="O29" s="52" t="str">
        <f>INDEX(X_Table_Poultry_Stage2MMS_ManureStoredInHouse,2,1)</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INDEX(X_Table_Poultry_Stage1MMS,2,1)</f>
        <v>Poultry manure with bedding</v>
      </c>
      <c r="E34" s="52" t="str">
        <f>INDEX(X_Table_Poultry_Stage2MMS_PoultryManureWithBedding,2,1)</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INDEX(X_Table_Poultry_Stage1MMS,2,1)</f>
        <v>Poultry manure with bedding</v>
      </c>
      <c r="O34" s="52" t="str">
        <f>INDEX(X_Table_Poultry_Stage2MMS_PoultryManureWithBedding,2,1)</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INDEX(X_Table_Poultry_Stage1MMS,3,1)</f>
        <v>Belt manure removal</v>
      </c>
      <c r="E35" s="52" t="str">
        <f>INDEX(X_Table_Poultry_Stage2MMS_BeltManureRemoval,2,1)</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INDEX(X_Table_Poultry_Stage1MMS,3,1)</f>
        <v>Belt manure removal</v>
      </c>
      <c r="O35" s="52" t="str">
        <f>INDEX(X_Table_Poultry_Stage2MMS_BeltManureRemoval,2,1)</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INDEX(X_Table_Poultry_Stage1MMS,4,1)</f>
        <v>Manure stored in house</v>
      </c>
      <c r="E36" s="52" t="str">
        <f>INDEX(X_Table_Poultry_Stage2MMS_ManureStoredInHouse,2,1)</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INDEX(X_Table_Poultry_Stage1MMS,4,1)</f>
        <v>Manure stored in house</v>
      </c>
      <c r="O36" s="52" t="str">
        <f>INDEX(X_Table_Poultry_Stage2MMS_ManureStoredInHouse,2,1)</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INDEX(X_Table_Poultry_Stage1MMS,2,1)</f>
        <v>Poultry manure with bedding</v>
      </c>
      <c r="E55" s="52" t="str">
        <f>INDEX(X_Table_Poultry_Stage2MMS_PoultryManureWithBedding,2,1)</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INDEX(X_Table_Poultry_Stage1MMS,2,1)</f>
        <v>Poultry manure with bedding</v>
      </c>
      <c r="O55" s="52" t="str">
        <f>INDEX(X_Table_Poultry_Stage2MMS_PoultryManureWithBedding,2,1)</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INDEX(X_Table_Poultry_Stage1MMS,3,1)</f>
        <v>Belt manure removal</v>
      </c>
      <c r="E56" s="52" t="str">
        <f>INDEX(X_Table_Poultry_Stage2MMS_BeltManureRemoval,2,1)</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INDEX(X_Table_Poultry_Stage1MMS,3,1)</f>
        <v>Belt manure removal</v>
      </c>
      <c r="O56" s="52" t="str">
        <f>INDEX(X_Table_Poultry_Stage2MMS_BeltManureRemoval,2,1)</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INDEX(X_Table_Poultry_Stage1MMS,4,1)</f>
        <v>Manure stored in house</v>
      </c>
      <c r="E57" s="52" t="str">
        <f>INDEX(X_Table_Poultry_Stage2MMS_ManureStoredInHouse,2,1)</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INDEX(X_Table_Poultry_Stage1MMS,4,1)</f>
        <v>Manure stored in house</v>
      </c>
      <c r="O57" s="52" t="str">
        <f>INDEX(X_Table_Poultry_Stage2MMS_ManureStoredInHouse,2,1)</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85" zoomScaleNormal="85" workbookViewId="0">
      <selection activeCell="F184" sqref="F1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tr">
        <f>INDEX(X_Table_Poultry_Stage2MMS_PoultryManureWithBedding,2,1)</f>
        <v>Solid storage</v>
      </c>
      <c r="F22" s="52">
        <f>INDEX(M1_Table_MN_j_k_m_T2,2,3)</f>
        <v>0.71271158400000012</v>
      </c>
      <c r="G22" s="52">
        <f>INDEX(M1_Table_MN_j_k_m_T2,2,4)</f>
        <v>0.76073791680000002</v>
      </c>
      <c r="H22" s="52">
        <f>INDEX(M1_Table_MN_j_k_m_T2,2,5)</f>
        <v>0.89299319039999991</v>
      </c>
      <c r="I22" s="52">
        <f>INDEX(M1_Table_MN_j_k_m_T2,2,6)</f>
        <v>0.76073791680000002</v>
      </c>
      <c r="J22" s="2" t="str">
        <f>$G$13</f>
        <v>kg N</v>
      </c>
      <c r="N22" s="52" t="str">
        <f>INDEX(X_Table_Poultry_Stage1MMS,2,1)</f>
        <v>Poultry manure with bedding</v>
      </c>
      <c r="O22" s="52" t="str">
        <f>INDEX(X_Table_Poultry_Stage2MMS_PoultryManureWithBedding,2,1)</f>
        <v>Solid storage</v>
      </c>
      <c r="P22" s="52">
        <f>INDEX(M2_Table_MN_j_k_m_T2,2,3)</f>
        <v>0.71271158400000012</v>
      </c>
      <c r="Q22" s="52">
        <f>INDEX(M2_Table_MN_j_k_m_T2,2,4)</f>
        <v>0.76073791680000002</v>
      </c>
      <c r="R22" s="52">
        <f>INDEX(M2_Table_MN_j_k_m_T2,2,5)</f>
        <v>0.89299319039999991</v>
      </c>
      <c r="S22" s="52">
        <f>INDEX(M2_Table_MN_j_k_m_T2,2,6)</f>
        <v>0.76073791680000002</v>
      </c>
      <c r="T22" s="2" t="str">
        <f>$G$13</f>
        <v>kg N</v>
      </c>
    </row>
    <row r="23" spans="1:20" ht="20.100000000000001" customHeight="1" x14ac:dyDescent="0.25">
      <c r="A23" s="17" t="str">
        <f>HYPERLINK("#'Constants - Livestock'!A1", "Constants - Livestock")</f>
        <v>Constants - Livestock</v>
      </c>
      <c r="D23" s="52"/>
      <c r="E23" s="52" t="str">
        <f>INDEX(X_Table_Poultry_Stage2MMS_PoultryManureWithBedding,3,1)</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INDEX(X_Table_Poultry_Stage2MMS_PoultryManureWithBedding,3,1)</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INDEX(X_Table_Poultry_Stage2MMS_PoultryManureWithBedding,4,1)</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INDEX(X_Table_Poultry_Stage2MMS_PoultryManureWithBedding,4,1)</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INDEX(X_Table_Poultry_Stage2MMS_PoultryManureWithBedding,5,1)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INDEX(X_Table_Poultry_Stage2MMS_PoultryManureWithBedding,5,1)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INDEX(X_Table_Poultry_Stage2MMS_PoultryManureWithBedding,6,1)</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INDEX(X_Table_Poultry_Stage2MMS_PoultryManureWithBedding,6,1)</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INDEX(X_Table_Poultry_Stage1MMS,3,1)</f>
        <v>Belt manure removal</v>
      </c>
      <c r="E27" s="52" t="str">
        <f>INDEX(X_Table_Poultry_Stage2MMS_BeltManureRemoval,2,1)</f>
        <v>Solid storage</v>
      </c>
      <c r="F27" s="52">
        <f>'4.6.1.3-4 Direct N20'!F194</f>
        <v>0.96761558400000025</v>
      </c>
      <c r="G27" s="52">
        <f>'4.6.1.3-4 Direct N20'!G194</f>
        <v>1.0328187168</v>
      </c>
      <c r="H27" s="52">
        <f>'4.6.1.3-4 Direct N20'!H194</f>
        <v>1.2123755904</v>
      </c>
      <c r="I27" s="52">
        <f>'4.6.1.3-4 Direct N20'!I194</f>
        <v>1.0328187168</v>
      </c>
      <c r="J27" s="2"/>
      <c r="N27" s="52" t="str">
        <f>INDEX(X_Table_Poultry_Stage1MMS,3,1)</f>
        <v>Belt manure removal</v>
      </c>
      <c r="O27" s="52" t="str">
        <f>INDEX(X_Table_Poultry_Stage2MMS_BeltManureRemoval,2,1)</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INDEX(X_Table_Poultry_Stage2MMS_BeltManureRemoval,3,1)</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INDEX(X_Table_Poultry_Stage2MMS_BeltManureRemoval,3,1)</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INDEX(X_Table_Poultry_Stage2MMS_BeltManureRemoval,4,1)</f>
        <v>Digester / covered lagoons</v>
      </c>
      <c r="F29" s="52">
        <f>'4.6.1.3-4 Direct N20'!F196</f>
        <v>0.96761558400000025</v>
      </c>
      <c r="G29" s="52">
        <f>'4.6.1.3-4 Direct N20'!G196</f>
        <v>1.0328187168</v>
      </c>
      <c r="H29" s="52">
        <f>'4.6.1.3-4 Direct N20'!H196</f>
        <v>1.2123755904</v>
      </c>
      <c r="I29" s="52">
        <f>'4.6.1.3-4 Direct N20'!I196</f>
        <v>1.0328187168</v>
      </c>
      <c r="J29" s="2"/>
      <c r="N29" s="52"/>
      <c r="O29" s="52" t="str">
        <f>INDEX(X_Table_Poultry_Stage2MMS_BeltManureRemoval,4,1)</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INDEX(X_Table_Poultry_Stage2MMS_BeltManureRemoval,5,1)</f>
        <v>Direct processing</v>
      </c>
      <c r="F30" s="52">
        <f>'4.6.1.3-4 Direct N20'!F197</f>
        <v>0.96761558400000025</v>
      </c>
      <c r="G30" s="52">
        <f>'4.6.1.3-4 Direct N20'!G197</f>
        <v>1.0328187168</v>
      </c>
      <c r="H30" s="52">
        <f>'4.6.1.3-4 Direct N20'!H197</f>
        <v>1.2123755904</v>
      </c>
      <c r="I30" s="52">
        <f>'4.6.1.3-4 Direct N20'!I197</f>
        <v>1.0328187168</v>
      </c>
      <c r="J30" s="2"/>
      <c r="N30" s="52"/>
      <c r="O30" s="52" t="str">
        <f>INDEX(X_Table_Poultry_Stage2MMS_BeltManureRemoval,5,1)</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INDEX(X_Table_Poultry_Stage2MMS_BeltManureRemoval,6,1)</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INDEX(X_Table_Poultry_Stage2MMS_BeltManureRemoval,6,1)</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INDEX(X_Table_Poultry_Stage1MMS,4,1)</f>
        <v>Manure stored in house</v>
      </c>
      <c r="E32" s="52" t="str">
        <f>INDEX(X_Table_Poultry_Stage2MMS_ManureStoredInHouse,2,1)</f>
        <v>Solid storage</v>
      </c>
      <c r="F32" s="52">
        <f>'4.6.1.3-4 Direct N20'!F199</f>
        <v>0.61074998400000013</v>
      </c>
      <c r="G32" s="52">
        <f>'4.6.1.3-4 Direct N20'!G199</f>
        <v>0.65190559679999993</v>
      </c>
      <c r="H32" s="52">
        <f>'4.6.1.3-4 Direct N20'!H199</f>
        <v>0.76524023039999989</v>
      </c>
      <c r="I32" s="52">
        <f>'4.6.1.3-4 Direct N20'!I199</f>
        <v>0.65190559679999993</v>
      </c>
      <c r="J32" s="2"/>
      <c r="N32" s="52" t="str">
        <f>INDEX(X_Table_Poultry_Stage1MMS,4,1)</f>
        <v>Manure stored in house</v>
      </c>
      <c r="O32" s="52" t="str">
        <f>INDEX(X_Table_Poultry_Stage2MMS_ManureStoredInHouse,2,1)</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INDEX(X_Table_Poultry_Stage2MMS_ManureStoredInHouse,3,1)</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INDEX(X_Table_Poultry_Stage2MMS_ManureStoredInHouse,3,1)</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INDEX(X_Table_Poultry_Stage2MMS_ManureStoredInHouse,4,1)</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INDEX(X_Table_Poultry_Stage2MMS_ManureStoredInHouse,4,1)</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INDEX(X_Table_Poultry_Stage2MMS_ManureStoredInHouse,5,1)</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INDEX(X_Table_Poultry_Stage2MMS_ManureStoredInHouse,5,1)</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INDEX(X_Table_Poultry_Stage2MMS_ManureStoredInHouse,6,1)</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INDEX(X_Table_Poultry_Stage2MMS_ManureStoredInHouse,6,1)</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INDEX(X_Table_Poultry_Stage1MMS,2,1)</f>
        <v>Poultry manure with bedding</v>
      </c>
      <c r="E67" s="52" t="str">
        <f>INDEX(X_Table_Poultry_Stage2MMS_PoultryManureWithBedding,2,1)</f>
        <v>Solid storage</v>
      </c>
      <c r="F67" s="52">
        <f>INDEX(M1_Table_MN_Leach_j_k_m4,2,3)</f>
        <v>1.4254231680000003E-2</v>
      </c>
      <c r="G67" s="52">
        <f>INDEX(M1_Table_MN_Leach_j_k_m4,2,4)</f>
        <v>1.5214758336E-2</v>
      </c>
      <c r="H67" s="52">
        <f>INDEX(M1_Table_MN_Leach_j_k_m4,2,5)</f>
        <v>1.7859863808E-2</v>
      </c>
      <c r="I67" s="52">
        <f>INDEX(M1_Table_MN_Leach_j_k_m4,2,6)</f>
        <v>1.5214758336E-2</v>
      </c>
      <c r="J67" s="2" t="str">
        <f>$G$16</f>
        <v>kg N</v>
      </c>
      <c r="N67" s="52" t="str">
        <f>INDEX(X_Table_Poultry_Stage1MMS,2,1)</f>
        <v>Poultry manure with bedding</v>
      </c>
      <c r="O67" s="52" t="str">
        <f>INDEX(X_Table_Poultry_Stage2MMS_PoultryManureWithBedding,2,1)</f>
        <v>Solid storage</v>
      </c>
      <c r="P67" s="52">
        <f>INDEX(M2_Table_MN_j_k_m4,2,3)</f>
        <v>1.4254231680000003E-2</v>
      </c>
      <c r="Q67" s="52">
        <f>INDEX(M2_Table_MN_j_k_m4,2,4)</f>
        <v>1.5214758336E-2</v>
      </c>
      <c r="R67" s="52">
        <f>INDEX(M2_Table_MN_j_k_m4,2,5)</f>
        <v>1.7859863808E-2</v>
      </c>
      <c r="S67" s="52">
        <f>INDEX(M2_Table_MN_j_k_m4,2,6)</f>
        <v>1.5214758336E-2</v>
      </c>
      <c r="T67" s="2" t="str">
        <f>$G$16</f>
        <v>kg N</v>
      </c>
    </row>
    <row r="68" spans="4:20" ht="20.100000000000001" customHeight="1" x14ac:dyDescent="0.25">
      <c r="D68" s="52"/>
      <c r="E68" s="52" t="str">
        <f>INDEX(X_Table_Poultry_Stage2MMS_PoultryManureWithBedding,3,1)</f>
        <v>Composting (passive windrow)</v>
      </c>
      <c r="F68" s="52">
        <v>0</v>
      </c>
      <c r="G68" s="52">
        <v>0</v>
      </c>
      <c r="H68" s="52">
        <v>0</v>
      </c>
      <c r="I68" s="52">
        <v>0</v>
      </c>
      <c r="J68" s="2"/>
      <c r="N68" s="52"/>
      <c r="O68" s="52" t="str">
        <f>INDEX(X_Table_Poultry_Stage2MMS_PoultryManureWithBedding,3,1)</f>
        <v>Composting (passive windrow)</v>
      </c>
      <c r="P68" s="52">
        <v>0</v>
      </c>
      <c r="Q68" s="52">
        <v>0</v>
      </c>
      <c r="R68" s="52">
        <v>0</v>
      </c>
      <c r="S68" s="52">
        <v>0</v>
      </c>
      <c r="T68" s="2"/>
    </row>
    <row r="69" spans="4:20" ht="20.100000000000001" customHeight="1" x14ac:dyDescent="0.25">
      <c r="D69" s="52"/>
      <c r="E69" s="52" t="str">
        <f>INDEX(X_Table_Poultry_Stage2MMS_PoultryManureWithBedding,4,1)</f>
        <v>Digester / covered lagoons</v>
      </c>
      <c r="F69" s="52">
        <v>0</v>
      </c>
      <c r="G69" s="52">
        <v>0</v>
      </c>
      <c r="H69" s="52">
        <v>0</v>
      </c>
      <c r="I69" s="52">
        <v>0</v>
      </c>
      <c r="J69" s="2"/>
      <c r="N69" s="52"/>
      <c r="O69" s="52" t="str">
        <f>INDEX(X_Table_Poultry_Stage2MMS_PoultryManureWithBedding,4,1)</f>
        <v>Digester / covered lagoons</v>
      </c>
      <c r="P69" s="52">
        <v>0</v>
      </c>
      <c r="Q69" s="52">
        <v>0</v>
      </c>
      <c r="R69" s="52">
        <v>0</v>
      </c>
      <c r="S69" s="52">
        <v>0</v>
      </c>
      <c r="T69" s="2"/>
    </row>
    <row r="70" spans="4:20" ht="20.100000000000001" customHeight="1" x14ac:dyDescent="0.25">
      <c r="D70" s="52"/>
      <c r="E70" s="52" t="str">
        <f>INDEX(X_Table_Poultry_Stage2MMS_PoultryManureWithBedding,5,1)</f>
        <v>Direct processing</v>
      </c>
      <c r="F70" s="52">
        <v>0</v>
      </c>
      <c r="G70" s="52">
        <v>0</v>
      </c>
      <c r="H70" s="52">
        <v>0</v>
      </c>
      <c r="I70" s="52">
        <v>0</v>
      </c>
      <c r="J70" s="2"/>
      <c r="N70" s="52"/>
      <c r="O70" s="52" t="str">
        <f>INDEX(X_Table_Poultry_Stage2MMS_PoultryManureWithBedding,5,1)</f>
        <v>Direct processing</v>
      </c>
      <c r="P70" s="52">
        <v>0</v>
      </c>
      <c r="Q70" s="52">
        <v>0</v>
      </c>
      <c r="R70" s="52">
        <v>0</v>
      </c>
      <c r="S70" s="52">
        <v>0</v>
      </c>
      <c r="T70" s="2"/>
    </row>
    <row r="71" spans="4:20" ht="20.100000000000001" customHeight="1" x14ac:dyDescent="0.25">
      <c r="D71" s="52"/>
      <c r="E71" s="52" t="str">
        <f>INDEX(X_Table_Poultry_Stage2MMS_PoultryManureWithBedding,6,1)</f>
        <v>Direct application</v>
      </c>
      <c r="F71" s="52">
        <v>0</v>
      </c>
      <c r="G71" s="52">
        <v>0</v>
      </c>
      <c r="H71" s="52">
        <v>0</v>
      </c>
      <c r="I71" s="52">
        <v>0</v>
      </c>
      <c r="N71" s="52"/>
      <c r="O71" s="52" t="str">
        <f>INDEX(X_Table_Poultry_Stage2MMS_PoultryManureWithBedding,6,1)</f>
        <v>Direct application</v>
      </c>
      <c r="P71" s="52">
        <v>0</v>
      </c>
      <c r="Q71" s="52">
        <v>0</v>
      </c>
      <c r="R71" s="52">
        <v>0</v>
      </c>
      <c r="S71" s="52">
        <v>0</v>
      </c>
    </row>
    <row r="72" spans="4:20" ht="20.100000000000001" customHeight="1" x14ac:dyDescent="0.25">
      <c r="D72" s="52" t="str">
        <f>INDEX(X_Table_Poultry_Stage1MMS,3,1)</f>
        <v>Belt manure removal</v>
      </c>
      <c r="E72" s="52" t="str">
        <f>INDEX(X_Table_Poultry_Stage2MMS_BeltManureRemoval,2,1)</f>
        <v>Solid storage</v>
      </c>
      <c r="F72" s="52">
        <f>INDEX(M1_Table_MN_Leach_j_k_m4,3,3)</f>
        <v>1.9352311680000005E-2</v>
      </c>
      <c r="G72" s="52">
        <f>INDEX(M1_Table_MN_Leach_j_k_m4,3,4)</f>
        <v>2.0656374336E-2</v>
      </c>
      <c r="H72" s="52">
        <f>INDEX(M1_Table_MN_Leach_j_k_m4,3,5)</f>
        <v>2.4247511808E-2</v>
      </c>
      <c r="I72" s="52">
        <f>INDEX(M1_Table_MN_Leach_j_k_m4,3,6)</f>
        <v>2.0656374336E-2</v>
      </c>
      <c r="J72" s="2"/>
      <c r="N72" s="52" t="str">
        <f>INDEX(X_Table_Poultry_Stage1MMS,3,1)</f>
        <v>Belt manure removal</v>
      </c>
      <c r="O72" s="52" t="str">
        <f>INDEX(X_Table_Poultry_Stage2MMS_BeltManureRemoval,2,1)</f>
        <v>Solid storage</v>
      </c>
      <c r="P72" s="52">
        <f>INDEX(M2_Table_MN_j_k_m4,3,3)</f>
        <v>1.9352311680000005E-2</v>
      </c>
      <c r="Q72" s="52">
        <f>INDEX(M2_Table_MN_j_k_m4,3,4)</f>
        <v>2.0656374336E-2</v>
      </c>
      <c r="R72" s="52">
        <f>INDEX(M2_Table_MN_j_k_m4,3,5)</f>
        <v>2.4247511808E-2</v>
      </c>
      <c r="S72" s="52">
        <f>INDEX(M2_Table_MN_j_k_m4,3,6)</f>
        <v>2.0656374336E-2</v>
      </c>
      <c r="T72" s="2"/>
    </row>
    <row r="73" spans="4:20" ht="20.100000000000001" customHeight="1" x14ac:dyDescent="0.25">
      <c r="D73" s="52"/>
      <c r="E73" s="52" t="str">
        <f>INDEX(X_Table_Poultry_Stage2MMS_BeltManureRemoval,3,1)</f>
        <v>Composting (passive windrow)</v>
      </c>
      <c r="F73" s="52">
        <v>0</v>
      </c>
      <c r="G73" s="52">
        <v>0</v>
      </c>
      <c r="H73" s="52">
        <v>0</v>
      </c>
      <c r="I73" s="52">
        <v>0</v>
      </c>
      <c r="J73" s="2"/>
      <c r="N73" s="52"/>
      <c r="O73" s="52" t="str">
        <f>INDEX(X_Table_Poultry_Stage2MMS_BeltManureRemoval,3,1)</f>
        <v>Composting (passive windrow)</v>
      </c>
      <c r="P73" s="52">
        <v>0</v>
      </c>
      <c r="Q73" s="52">
        <v>0</v>
      </c>
      <c r="R73" s="52">
        <v>0</v>
      </c>
      <c r="S73" s="52">
        <v>0</v>
      </c>
      <c r="T73" s="2"/>
    </row>
    <row r="74" spans="4:20" ht="20.100000000000001" customHeight="1" x14ac:dyDescent="0.25">
      <c r="D74" s="52"/>
      <c r="E74" s="52" t="str">
        <f>INDEX(X_Table_Poultry_Stage2MMS_BeltManureRemoval,4,1)</f>
        <v>Digester / covered lagoons</v>
      </c>
      <c r="F74" s="52">
        <v>0</v>
      </c>
      <c r="G74" s="52">
        <v>0</v>
      </c>
      <c r="H74" s="52">
        <v>0</v>
      </c>
      <c r="I74" s="52">
        <v>0</v>
      </c>
      <c r="J74" s="2"/>
      <c r="N74" s="52"/>
      <c r="O74" s="52" t="str">
        <f>INDEX(X_Table_Poultry_Stage2MMS_BeltManureRemoval,4,1)</f>
        <v>Digester / covered lagoons</v>
      </c>
      <c r="P74" s="52">
        <v>0</v>
      </c>
      <c r="Q74" s="52">
        <v>0</v>
      </c>
      <c r="R74" s="52">
        <v>0</v>
      </c>
      <c r="S74" s="52">
        <v>0</v>
      </c>
      <c r="T74" s="2"/>
    </row>
    <row r="75" spans="4:20" ht="20.100000000000001" customHeight="1" x14ac:dyDescent="0.25">
      <c r="D75" s="52"/>
      <c r="E75" s="52" t="str">
        <f>INDEX(X_Table_Poultry_Stage2MMS_BeltManureRemoval,5,1)</f>
        <v>Direct processing</v>
      </c>
      <c r="F75" s="52">
        <v>0</v>
      </c>
      <c r="G75" s="52">
        <v>0</v>
      </c>
      <c r="H75" s="52">
        <v>0</v>
      </c>
      <c r="I75" s="52">
        <v>0</v>
      </c>
      <c r="J75" s="2"/>
      <c r="N75" s="52"/>
      <c r="O75" s="52" t="str">
        <f>INDEX(X_Table_Poultry_Stage2MMS_BeltManureRemoval,5,1)</f>
        <v>Direct processing</v>
      </c>
      <c r="P75" s="52">
        <v>0</v>
      </c>
      <c r="Q75" s="52">
        <v>0</v>
      </c>
      <c r="R75" s="52">
        <v>0</v>
      </c>
      <c r="S75" s="52">
        <v>0</v>
      </c>
      <c r="T75" s="2"/>
    </row>
    <row r="76" spans="4:20" ht="20.100000000000001" customHeight="1" x14ac:dyDescent="0.25">
      <c r="D76" s="52"/>
      <c r="E76" s="52" t="str">
        <f>INDEX(X_Table_Poultry_Stage2MMS_BeltManureRemoval,6,1)</f>
        <v>Direct application</v>
      </c>
      <c r="F76" s="52">
        <v>0</v>
      </c>
      <c r="G76" s="52">
        <v>0</v>
      </c>
      <c r="H76" s="52">
        <v>0</v>
      </c>
      <c r="I76" s="52">
        <v>0</v>
      </c>
      <c r="N76" s="52"/>
      <c r="O76" s="52" t="str">
        <f>INDEX(X_Table_Poultry_Stage2MMS_BeltManureRemoval,6,1)</f>
        <v>Direct application</v>
      </c>
      <c r="P76" s="52">
        <v>0</v>
      </c>
      <c r="Q76" s="52">
        <v>0</v>
      </c>
      <c r="R76" s="52">
        <v>0</v>
      </c>
      <c r="S76" s="52">
        <v>0</v>
      </c>
    </row>
    <row r="77" spans="4:20" ht="20.100000000000001" customHeight="1" x14ac:dyDescent="0.25">
      <c r="D77" s="52" t="str">
        <f>INDEX(X_Table_Poultry_Stage1MMS,4,1)</f>
        <v>Manure stored in house</v>
      </c>
      <c r="E77" s="52" t="str">
        <f>INDEX(X_Table_Poultry_Stage2MMS_ManureStoredInHouse,2,1)</f>
        <v>Solid storage</v>
      </c>
      <c r="F77" s="52">
        <f>INDEX(M1_Table_MN_Leach_j_k_m4,4,3)</f>
        <v>1.2214999680000003E-2</v>
      </c>
      <c r="G77" s="52">
        <f>INDEX(M1_Table_MN_Leach_j_k_m4,4,4)</f>
        <v>1.3038111936E-2</v>
      </c>
      <c r="H77" s="52">
        <f>INDEX(M1_Table_MN_Leach_j_k_m4,4,5)</f>
        <v>1.5304804607999998E-2</v>
      </c>
      <c r="I77" s="52">
        <f>INDEX(M1_Table_MN_Leach_j_k_m4,4,6)</f>
        <v>1.3038111936E-2</v>
      </c>
      <c r="J77" s="2"/>
      <c r="N77" s="52" t="str">
        <f>INDEX(X_Table_Poultry_Stage1MMS,4,1)</f>
        <v>Manure stored in house</v>
      </c>
      <c r="O77" s="52" t="str">
        <f>INDEX(X_Table_Poultry_Stage2MMS_ManureStoredInHouse,2,1)</f>
        <v>Solid storage</v>
      </c>
      <c r="P77" s="52">
        <f>INDEX(M2_Table_MN_j_k_m4,4,3)</f>
        <v>1.2214999680000003E-2</v>
      </c>
      <c r="Q77" s="52">
        <f>INDEX(M2_Table_MN_j_k_m4,4,4)</f>
        <v>1.3038111936E-2</v>
      </c>
      <c r="R77" s="52">
        <f>INDEX(M2_Table_MN_j_k_m4,4,5)</f>
        <v>1.5304804607999998E-2</v>
      </c>
      <c r="S77" s="52">
        <f>INDEX(M2_Table_MN_j_k_m4,4,6)</f>
        <v>1.3038111936E-2</v>
      </c>
      <c r="T77" s="2"/>
    </row>
    <row r="78" spans="4:20" ht="20.100000000000001" customHeight="1" x14ac:dyDescent="0.25">
      <c r="D78" s="52"/>
      <c r="E78" s="52" t="str">
        <f>INDEX(X_Table_Poultry_Stage2MMS_ManureStoredInHouse,3,1)</f>
        <v>Composting (passive windrow)</v>
      </c>
      <c r="F78" s="52">
        <v>0</v>
      </c>
      <c r="G78" s="52">
        <v>0</v>
      </c>
      <c r="H78" s="52">
        <v>0</v>
      </c>
      <c r="I78" s="52">
        <v>0</v>
      </c>
      <c r="J78" s="2"/>
      <c r="N78" s="52"/>
      <c r="O78" s="52" t="str">
        <f>INDEX(X_Table_Poultry_Stage2MMS_ManureStoredInHouse,3,1)</f>
        <v>Composting (passive windrow)</v>
      </c>
      <c r="P78" s="52">
        <v>0</v>
      </c>
      <c r="Q78" s="52">
        <v>0</v>
      </c>
      <c r="R78" s="52">
        <v>0</v>
      </c>
      <c r="S78" s="52">
        <v>0</v>
      </c>
      <c r="T78" s="2"/>
    </row>
    <row r="79" spans="4:20" ht="20.100000000000001" customHeight="1" x14ac:dyDescent="0.25">
      <c r="D79" s="52"/>
      <c r="E79" s="52" t="str">
        <f>INDEX(X_Table_Poultry_Stage2MMS_ManureStoredInHouse,4,1)</f>
        <v>Digester / covered lagoons</v>
      </c>
      <c r="F79" s="52">
        <v>0</v>
      </c>
      <c r="G79" s="52">
        <v>0</v>
      </c>
      <c r="H79" s="52">
        <v>0</v>
      </c>
      <c r="I79" s="52">
        <v>0</v>
      </c>
      <c r="J79" s="2"/>
      <c r="N79" s="52"/>
      <c r="O79" s="52" t="str">
        <f>INDEX(X_Table_Poultry_Stage2MMS_ManureStoredInHouse,4,1)</f>
        <v>Digester / covered lagoons</v>
      </c>
      <c r="P79" s="52">
        <v>0</v>
      </c>
      <c r="Q79" s="52">
        <v>0</v>
      </c>
      <c r="R79" s="52">
        <v>0</v>
      </c>
      <c r="S79" s="52">
        <v>0</v>
      </c>
      <c r="T79" s="2"/>
    </row>
    <row r="80" spans="4:20" ht="20.100000000000001" customHeight="1" x14ac:dyDescent="0.25">
      <c r="D80" s="52"/>
      <c r="E80" s="52" t="str">
        <f>INDEX(X_Table_Poultry_Stage2MMS_ManureStoredInHouse,5,1)</f>
        <v>Direct processing</v>
      </c>
      <c r="F80" s="52">
        <v>0</v>
      </c>
      <c r="G80" s="52">
        <v>0</v>
      </c>
      <c r="H80" s="52">
        <v>0</v>
      </c>
      <c r="I80" s="52">
        <v>0</v>
      </c>
      <c r="J80" s="2"/>
      <c r="N80" s="52"/>
      <c r="O80" s="52" t="str">
        <f>INDEX(X_Table_Poultry_Stage2MMS_ManureStoredInHouse,5,1)</f>
        <v>Direct processing</v>
      </c>
      <c r="P80" s="52">
        <v>0</v>
      </c>
      <c r="Q80" s="52">
        <v>0</v>
      </c>
      <c r="R80" s="52">
        <v>0</v>
      </c>
      <c r="S80" s="52">
        <v>0</v>
      </c>
      <c r="T80" s="2"/>
    </row>
    <row r="81" spans="4:19" ht="20.100000000000001" customHeight="1" x14ac:dyDescent="0.25">
      <c r="D81" s="52"/>
      <c r="E81" s="52" t="str">
        <f>INDEX(X_Table_Poultry_Stage2MMS_ManureStoredInHouse,6,1)</f>
        <v>Direct application</v>
      </c>
      <c r="F81" s="52">
        <v>0</v>
      </c>
      <c r="G81" s="52">
        <v>0</v>
      </c>
      <c r="H81" s="52">
        <v>0</v>
      </c>
      <c r="I81" s="52">
        <v>0</v>
      </c>
      <c r="N81" s="52"/>
      <c r="O81" s="52" t="str">
        <f>INDEX(X_Table_Poultry_Stage2MMS_ManureStoredInHouse,6,1)</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INDEX(X_Table_Poultry_Stage1MMS,2,1)</f>
        <v>Poultry manure with bedding</v>
      </c>
      <c r="E86" s="52" t="str">
        <f>INDEX(X_Table_Poultry_Stage2MMS_PoultryManureWithBedding,2,1)</f>
        <v>Solid storage</v>
      </c>
      <c r="F86" s="52">
        <f>INDEX(X_Table_Poultry_Stage2MMS_PoultryManureWithBedding_Destinations, 2,3)+INDEX(X_Table_Poultry_Stage2MMS_PoultryManureWithBedding_Destinations, 2,4)</f>
        <v>0.75</v>
      </c>
      <c r="G86" s="2" t="str">
        <f>$G$17</f>
        <v>fraction</v>
      </c>
    </row>
    <row r="87" spans="4:19" ht="20.100000000000001" customHeight="1" x14ac:dyDescent="0.25">
      <c r="D87" s="52"/>
      <c r="E87" s="52" t="str">
        <f>INDEX(X_Table_Poultry_Stage2MMS_PoultryManureWithBedding,3,1)</f>
        <v>Composting (passive windrow)</v>
      </c>
      <c r="F87" s="52">
        <f>INDEX(X_Table_Poultry_Stage2MMS_PoultryManureWithBedding_Destinations, 3,3)+INDEX(X_Table_Poultry_Stage2MMS_PoultryManureWithBedding_Destinations, 3,4)</f>
        <v>0.75</v>
      </c>
      <c r="G87" s="2"/>
    </row>
    <row r="88" spans="4:19" ht="20.100000000000001" customHeight="1" x14ac:dyDescent="0.25">
      <c r="D88" s="52"/>
      <c r="E88" s="52" t="str">
        <f>INDEX(X_Table_Poultry_Stage2MMS_PoultryManureWithBedding,4,1)</f>
        <v>Digester / covered lagoons</v>
      </c>
      <c r="F88" s="52">
        <f>INDEX(X_Table_Poultry_Stage2MMS_PoultryManureWithBedding_Destinations, 4,3)+INDEX(X_Table_Poultry_Stage2MMS_PoultryManureWithBedding_Destinations, 4,4)</f>
        <v>0.75</v>
      </c>
      <c r="G88" s="2"/>
    </row>
    <row r="89" spans="4:19" ht="20.100000000000001" customHeight="1" x14ac:dyDescent="0.25">
      <c r="D89" s="52"/>
      <c r="E89" s="52" t="str">
        <f>INDEX(X_Table_Poultry_Stage2MMS_PoultryManureWithBedding,5,1)</f>
        <v>Direct processing</v>
      </c>
      <c r="F89" s="52">
        <f>INDEX(X_Table_Poultry_Stage2MMS_PoultryManureWithBedding_Destinations, 5,3)+INDEX(X_Table_Poultry_Stage2MMS_PoultryManureWithBedding_Destinations, 5,4)</f>
        <v>0.75</v>
      </c>
      <c r="G89" s="2"/>
    </row>
    <row r="90" spans="4:19" ht="20.100000000000001" customHeight="1" x14ac:dyDescent="0.25">
      <c r="D90" s="52"/>
      <c r="E90" s="52" t="str">
        <f>INDEX(X_Table_Poultry_Stage2MMS_PoultryManureWithBedding,6,1)</f>
        <v>Direct application</v>
      </c>
      <c r="F90" s="52">
        <f>INDEX(X_Table_Poultry_Stage2MMS_PoultryManureWithBedding_Destinations, 6,3)+INDEX(X_Table_Poultry_Stage2MMS_PoultryManureWithBedding_Destinations, 6,4)</f>
        <v>1</v>
      </c>
    </row>
    <row r="91" spans="4:19" ht="20.100000000000001" customHeight="1" x14ac:dyDescent="0.25">
      <c r="D91" s="52" t="str">
        <f>INDEX(X_Table_Poultry_Stage1MMS,3,1)</f>
        <v>Belt manure removal</v>
      </c>
      <c r="E91" s="52" t="str">
        <f>INDEX(X_Table_Poultry_Stage2MMS_BeltManureRemoval,2,1)</f>
        <v>Solid storage</v>
      </c>
      <c r="F91" s="52">
        <f>INDEX(X_Table_Poultry_Stage2MMS_BeltManureRemoval_Destinations, 2,3)+INDEX(X_Table_Poultry_Stage2MMS_BeltManureRemoval_Destinations, 2,4)</f>
        <v>0.75</v>
      </c>
      <c r="G91" s="2"/>
    </row>
    <row r="92" spans="4:19" ht="20.100000000000001" customHeight="1" x14ac:dyDescent="0.25">
      <c r="D92" s="52"/>
      <c r="E92" s="52" t="str">
        <f>INDEX(X_Table_Poultry_Stage2MMS_BeltManureRemoval,3,1)</f>
        <v>Composting (passive windrow)</v>
      </c>
      <c r="F92" s="52">
        <f>INDEX(X_Table_Poultry_Stage2MMS_BeltManureRemoval_Destinations, 3,3)+INDEX(X_Table_Poultry_Stage2MMS_BeltManureRemoval_Destinations, 3,4)</f>
        <v>0.75</v>
      </c>
      <c r="G92" s="2"/>
    </row>
    <row r="93" spans="4:19" ht="20.100000000000001" customHeight="1" x14ac:dyDescent="0.25">
      <c r="D93" s="52"/>
      <c r="E93" s="52" t="str">
        <f>INDEX(X_Table_Poultry_Stage2MMS_BeltManureRemoval,4,1)</f>
        <v>Digester / covered lagoons</v>
      </c>
      <c r="F93" s="52">
        <f>INDEX(X_Table_Poultry_Stage2MMS_BeltManureRemoval_Destinations, 4,3)+INDEX(X_Table_Poultry_Stage2MMS_BeltManureRemoval_Destinations, 4,4)</f>
        <v>0.75</v>
      </c>
      <c r="G93" s="2"/>
    </row>
    <row r="94" spans="4:19" ht="20.100000000000001" customHeight="1" x14ac:dyDescent="0.25">
      <c r="D94" s="52"/>
      <c r="E94" s="52" t="str">
        <f>INDEX(X_Table_Poultry_Stage2MMS_BeltManureRemoval,5,1)</f>
        <v>Direct processing</v>
      </c>
      <c r="F94" s="52">
        <f>INDEX(X_Table_Poultry_Stage2MMS_BeltManureRemoval_Destinations, 5,3)+INDEX(X_Table_Poultry_Stage2MMS_BeltManureRemoval_Destinations, 5,4)</f>
        <v>0.75</v>
      </c>
      <c r="G94" s="2"/>
    </row>
    <row r="95" spans="4:19" ht="20.100000000000001" customHeight="1" x14ac:dyDescent="0.25">
      <c r="D95" s="52"/>
      <c r="E95" s="52" t="str">
        <f>INDEX(X_Table_Poultry_Stage2MMS_BeltManureRemoval,6,1)</f>
        <v>Direct application</v>
      </c>
      <c r="F95" s="52">
        <f>INDEX(X_Table_Poultry_Stage2MMS_BeltManureRemoval_Destinations, 6,3)+INDEX(X_Table_Poultry_Stage2MMS_BeltManureRemoval_Destinations, 6,4)</f>
        <v>1</v>
      </c>
    </row>
    <row r="96" spans="4:19" ht="20.100000000000001" customHeight="1" x14ac:dyDescent="0.25">
      <c r="D96" s="52" t="str">
        <f>INDEX(X_Table_Poultry_Stage1MMS,4,1)</f>
        <v>Manure stored in house</v>
      </c>
      <c r="E96" s="52" t="str">
        <f>INDEX(X_Table_Poultry_Stage2MMS_ManureStoredInHouse,2,1)</f>
        <v>Solid storage</v>
      </c>
      <c r="F96" s="52">
        <f>INDEX(X_Table_Poultry_Stage2MMS_ManureStoredInHouse_Destinations, 2,3)+INDEX(X_Table_Poultry_Stage2MMS_ManureStoredInHouse_Destinations, 2,4)</f>
        <v>0.75</v>
      </c>
      <c r="G96" s="2"/>
    </row>
    <row r="97" spans="4:20" ht="20.100000000000001" customHeight="1" x14ac:dyDescent="0.25">
      <c r="D97" s="52"/>
      <c r="E97" s="52" t="str">
        <f>INDEX(X_Table_Poultry_Stage2MMS_ManureStoredInHouse,3,1)</f>
        <v>Composting (passive windrow)</v>
      </c>
      <c r="F97" s="52">
        <f>INDEX(X_Table_Poultry_Stage2MMS_ManureStoredInHouse_Destinations, 3,3)+INDEX(X_Table_Poultry_Stage2MMS_ManureStoredInHouse_Destinations, 3,4)</f>
        <v>0.75</v>
      </c>
      <c r="G97" s="2"/>
    </row>
    <row r="98" spans="4:20" ht="20.100000000000001" customHeight="1" x14ac:dyDescent="0.25">
      <c r="D98" s="52"/>
      <c r="E98" s="52" t="str">
        <f>INDEX(X_Table_Poultry_Stage2MMS_ManureStoredInHouse,4,1)</f>
        <v>Digester / covered lagoons</v>
      </c>
      <c r="F98" s="52">
        <f>INDEX(X_Table_Poultry_Stage2MMS_ManureStoredInHouse_Destinations, 4,3)+INDEX(X_Table_Poultry_Stage2MMS_ManureStoredInHouse_Destinations, 4,4)</f>
        <v>0.75</v>
      </c>
      <c r="G98" s="2"/>
    </row>
    <row r="99" spans="4:20" ht="20.100000000000001" customHeight="1" x14ac:dyDescent="0.25">
      <c r="D99" s="52"/>
      <c r="E99" s="52" t="str">
        <f>INDEX(X_Table_Poultry_Stage2MMS_ManureStoredInHouse,5,1)</f>
        <v>Direct processing</v>
      </c>
      <c r="F99" s="52">
        <f>INDEX(X_Table_Poultry_Stage2MMS_ManureStoredInHouse_Destinations, 5,3)+INDEX(X_Table_Poultry_Stage2MMS_ManureStoredInHouse_Destinations, 5,4)</f>
        <v>0.75</v>
      </c>
      <c r="G99" s="2"/>
    </row>
    <row r="100" spans="4:20" ht="20.100000000000001" customHeight="1" x14ac:dyDescent="0.25">
      <c r="D100" s="52"/>
      <c r="E100" s="52" t="str">
        <f>INDEX(X_Table_Poultry_Stage2MMS_ManureStoredInHouse,6,1)</f>
        <v>Direct application</v>
      </c>
      <c r="F100" s="52">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INDEX(X_Table_Poultry_Stage1MMS,2,1)</f>
        <v>Poultry manure with bedding</v>
      </c>
      <c r="E105" s="52" t="str">
        <f>INDEX(X_Table_Poultry_Stage2MMS_PoultryManureWithBedding,2,1)</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INDEX(X_Table_Poultry_Stage1MMS,2,1)</f>
        <v>Poultry manure with bedding</v>
      </c>
      <c r="O105" s="52" t="str">
        <f>INDEX(X_Table_Poultry_Stage2MMS_PoultryManureWithBedding,2,1)</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INDEX(X_Table_Poultry_Stage2MMS_PoultryManureWithBedding,3,1)</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INDEX(X_Table_Poultry_Stage2MMS_PoultryManureWithBedding,3,1)</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INDEX(X_Table_Poultry_Stage2MMS_PoultryManureWithBedding,4,1)</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INDEX(X_Table_Poultry_Stage2MMS_PoultryManureWithBedding,4,1)</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INDEX(X_Table_Poultry_Stage2MMS_PoultryManureWithBedding,5,1)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INDEX(X_Table_Poultry_Stage2MMS_PoultryManureWithBedding,5,1)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INDEX(X_Table_Poultry_Stage2MMS_PoultryManureWithBedding,6,1)</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INDEX(X_Table_Poultry_Stage2MMS_PoultryManureWithBedding,6,1)</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INDEX(X_Table_Poultry_Stage1MMS,3,1)</f>
        <v>Belt manure removal</v>
      </c>
      <c r="E110" s="52" t="str">
        <f>INDEX(X_Table_Poultry_Stage2MMS_BeltManureRemoval,2,1)</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INDEX(X_Table_Poultry_Stage1MMS,3,1)</f>
        <v>Belt manure removal</v>
      </c>
      <c r="O110" s="52" t="str">
        <f>INDEX(X_Table_Poultry_Stage2MMS_BeltManureRemoval,2,1)</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INDEX(X_Table_Poultry_Stage2MMS_BeltManureRemoval,3,1)</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INDEX(X_Table_Poultry_Stage2MMS_BeltManureRemoval,3,1)</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INDEX(X_Table_Poultry_Stage2MMS_BeltManureRemoval,4,1)</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INDEX(X_Table_Poultry_Stage2MMS_BeltManureRemoval,4,1)</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INDEX(X_Table_Poultry_Stage2MMS_BeltManureRemoval,5,1)</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INDEX(X_Table_Poultry_Stage2MMS_BeltManureRemoval,5,1)</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INDEX(X_Table_Poultry_Stage2MMS_BeltManureRemoval,6,1)</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INDEX(X_Table_Poultry_Stage2MMS_BeltManureRemoval,6,1)</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INDEX(X_Table_Poultry_Stage1MMS,4,1)</f>
        <v>Manure stored in house</v>
      </c>
      <c r="E115" s="52" t="str">
        <f>INDEX(X_Table_Poultry_Stage2MMS_ManureStoredInHouse,2,1)</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INDEX(X_Table_Poultry_Stage1MMS,4,1)</f>
        <v>Manure stored in house</v>
      </c>
      <c r="O115" s="52" t="str">
        <f>INDEX(X_Table_Poultry_Stage2MMS_ManureStoredInHouse,2,1)</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INDEX(X_Table_Poultry_Stage2MMS_ManureStoredInHouse,3,1)</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INDEX(X_Table_Poultry_Stage2MMS_ManureStoredInHouse,3,1)</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INDEX(X_Table_Poultry_Stage2MMS_ManureStoredInHouse,4,1)</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INDEX(X_Table_Poultry_Stage2MMS_ManureStoredInHouse,4,1)</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INDEX(X_Table_Poultry_Stage2MMS_ManureStoredInHouse,5,1)</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INDEX(X_Table_Poultry_Stage2MMS_ManureStoredInHouse,5,1)</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INDEX(X_Table_Poultry_Stage2MMS_ManureStoredInHouse,6,1)</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INDEX(X_Table_Poultry_Stage2MMS_ManureStoredInHouse,6,1)</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INDEX(X_Table_Poultry_Stage1MMS,2,1)</f>
        <v>Poultry manure with bedding</v>
      </c>
      <c r="E142" s="52" t="str">
        <f>INDEX(X_Table_Poultry_Stage2MMS_PoultryManureWithBedding,2,1)</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INDEX(X_Table_Poultry_Stage1MMS,2,1)</f>
        <v>Poultry manure with bedding</v>
      </c>
      <c r="O142" s="52" t="str">
        <f>INDEX(X_Table_Poultry_Stage2MMS_PoultryManureWithBedding,2,1)</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INDEX(X_Table_Poultry_Stage2MMS_PoultryManureWithBedding,3,1)</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INDEX(X_Table_Poultry_Stage2MMS_PoultryManureWithBedding,3,1)</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INDEX(X_Table_Poultry_Stage2MMS_PoultryManureWithBedding,4,1)</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INDEX(X_Table_Poultry_Stage2MMS_PoultryManureWithBedding,4,1)</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INDEX(X_Table_Poultry_Stage2MMS_PoultryManureWithBedding,5,1)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INDEX(X_Table_Poultry_Stage2MMS_PoultryManureWithBedding,5,1)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INDEX(X_Table_Poultry_Stage2MMS_PoultryManureWithBedding,6,1)</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INDEX(X_Table_Poultry_Stage2MMS_PoultryManureWithBedding,6,1)</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INDEX(X_Table_Poultry_Stage1MMS,3,1)</f>
        <v>Belt manure removal</v>
      </c>
      <c r="E147" s="52" t="str">
        <f>INDEX(X_Table_Poultry_Stage2MMS_BeltManureRemoval,2,1)</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INDEX(X_Table_Poultry_Stage1MMS,3,1)</f>
        <v>Belt manure removal</v>
      </c>
      <c r="O147" s="52" t="str">
        <f>INDEX(X_Table_Poultry_Stage2MMS_BeltManureRemoval,2,1)</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INDEX(X_Table_Poultry_Stage2MMS_BeltManureRemoval,3,1)</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INDEX(X_Table_Poultry_Stage2MMS_BeltManureRemoval,3,1)</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INDEX(X_Table_Poultry_Stage2MMS_BeltManureRemoval,4,1)</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INDEX(X_Table_Poultry_Stage2MMS_BeltManureRemoval,4,1)</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INDEX(X_Table_Poultry_Stage2MMS_BeltManureRemoval,5,1)</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INDEX(X_Table_Poultry_Stage2MMS_BeltManureRemoval,5,1)</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INDEX(X_Table_Poultry_Stage2MMS_BeltManureRemoval,6,1)</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INDEX(X_Table_Poultry_Stage2MMS_BeltManureRemoval,6,1)</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INDEX(X_Table_Poultry_Stage1MMS,4,1)</f>
        <v>Manure stored in house</v>
      </c>
      <c r="E152" s="52" t="str">
        <f>INDEX(X_Table_Poultry_Stage2MMS_ManureStoredInHouse,2,1)</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INDEX(X_Table_Poultry_Stage1MMS,4,1)</f>
        <v>Manure stored in house</v>
      </c>
      <c r="O152" s="52" t="str">
        <f>INDEX(X_Table_Poultry_Stage2MMS_ManureStoredInHouse,2,1)</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INDEX(X_Table_Poultry_Stage2MMS_ManureStoredInHouse,3,1)</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INDEX(X_Table_Poultry_Stage2MMS_ManureStoredInHouse,3,1)</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INDEX(X_Table_Poultry_Stage2MMS_ManureStoredInHouse,4,1)</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INDEX(X_Table_Poultry_Stage2MMS_ManureStoredInHouse,4,1)</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INDEX(X_Table_Poultry_Stage2MMS_ManureStoredInHouse,5,1)</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INDEX(X_Table_Poultry_Stage2MMS_ManureStoredInHouse,5,1)</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INDEX(X_Table_Poultry_Stage2MMS_ManureStoredInHouse,6,1)</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INDEX(X_Table_Poultry_Stage2MMS_ManureStoredInHouse,6,1)</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INDEX(X_Table_Poultry_Stage2MMS_PoultryManureWithBedding_Destinations,2,3)</f>
        <v>0.25</v>
      </c>
      <c r="G170" s="2" t="str">
        <f>$G$137</f>
        <v>fraction</v>
      </c>
    </row>
    <row r="171" spans="3:21" ht="20.100000000000001" customHeight="1" x14ac:dyDescent="0.25">
      <c r="D171" s="52"/>
      <c r="E171" s="52" t="str">
        <f>INDEX(X_Table_Poultry_Stage2MMS_PoultryManureWithBedding,3,1)</f>
        <v>Composting (passive windrow)</v>
      </c>
      <c r="F171" s="52">
        <f>INDEX(X_Table_Poultry_Stage2MMS_PoultryManureWithBedding_Destinations,3,3)</f>
        <v>0.25</v>
      </c>
      <c r="G171" s="2"/>
    </row>
    <row r="172" spans="3:21" ht="20.100000000000001" customHeight="1" x14ac:dyDescent="0.25">
      <c r="D172" s="52"/>
      <c r="E172" s="52" t="str">
        <f>INDEX(X_Table_Poultry_Stage2MMS_PoultryManureWithBedding,4,1)</f>
        <v>Digester / covered lagoons</v>
      </c>
      <c r="F172" s="52">
        <f>INDEX(X_Table_Poultry_Stage2MMS_PoultryManureWithBedding_Destinations,4,3)</f>
        <v>0.25</v>
      </c>
      <c r="G172" s="2"/>
    </row>
    <row r="173" spans="3:21" ht="20.100000000000001" customHeight="1" x14ac:dyDescent="0.25">
      <c r="D173" s="52"/>
      <c r="E173" s="52" t="str">
        <f>INDEX(X_Table_Poultry_Stage2MMS_PoultryManureWithBedding,5,1)</f>
        <v>Direct processing</v>
      </c>
      <c r="F173" s="52">
        <f>INDEX(X_Table_Poultry_Stage2MMS_PoultryManureWithBedding_Destinations,5,3)</f>
        <v>0.25</v>
      </c>
      <c r="G173" s="2"/>
    </row>
    <row r="174" spans="3:21" ht="20.100000000000001" customHeight="1" x14ac:dyDescent="0.25">
      <c r="D174" s="52"/>
      <c r="E174" s="52" t="str">
        <f>INDEX(X_Table_Poultry_Stage2MMS_PoultryManureWithBedding,6,1)</f>
        <v>Direct application</v>
      </c>
      <c r="F174" s="52">
        <f>INDEX(X_Table_Poultry_Stage2MMS_PoultryManureWithBedding_Destinations,6,3)</f>
        <v>0</v>
      </c>
    </row>
    <row r="175" spans="3:21" ht="20.100000000000001" customHeight="1" x14ac:dyDescent="0.25">
      <c r="D175" s="52" t="str">
        <f>INDEX(X_Table_Poultry_Stage1MMS,3,1)</f>
        <v>Belt manure removal</v>
      </c>
      <c r="E175" s="52" t="str">
        <f>INDEX(X_Table_Poultry_Stage2MMS_BeltManureRemoval,2,1)</f>
        <v>Solid storage</v>
      </c>
      <c r="F175" s="52">
        <f>INDEX(X_Table_Poultry_Stage2MMS_BeltManureRemoval_Destinations,2,3)</f>
        <v>0.25</v>
      </c>
      <c r="G175" s="2"/>
    </row>
    <row r="176" spans="3:21" ht="20.100000000000001" customHeight="1" x14ac:dyDescent="0.25">
      <c r="D176" s="52"/>
      <c r="E176" s="52" t="str">
        <f>INDEX(X_Table_Poultry_Stage2MMS_BeltManureRemoval,3,1)</f>
        <v>Composting (passive windrow)</v>
      </c>
      <c r="F176" s="52">
        <f>INDEX(X_Table_Poultry_Stage2MMS_BeltManureRemoval_Destinations,3,3)</f>
        <v>0.25</v>
      </c>
      <c r="G176" s="2"/>
    </row>
    <row r="177" spans="4:20" ht="20.100000000000001" customHeight="1" x14ac:dyDescent="0.25">
      <c r="D177" s="52"/>
      <c r="E177" s="52" t="str">
        <f>INDEX(X_Table_Poultry_Stage2MMS_BeltManureRemoval,4,1)</f>
        <v>Digester / covered lagoons</v>
      </c>
      <c r="F177" s="52">
        <f>INDEX(X_Table_Poultry_Stage2MMS_BeltManureRemoval_Destinations,4,3)</f>
        <v>0.25</v>
      </c>
      <c r="G177" s="2"/>
    </row>
    <row r="178" spans="4:20" ht="20.100000000000001" customHeight="1" x14ac:dyDescent="0.25">
      <c r="D178" s="52"/>
      <c r="E178" s="52" t="str">
        <f>INDEX(X_Table_Poultry_Stage2MMS_BeltManureRemoval,5,1)</f>
        <v>Direct processing</v>
      </c>
      <c r="F178" s="52">
        <f>INDEX(X_Table_Poultry_Stage2MMS_BeltManureRemoval_Destinations,5,3)</f>
        <v>0.25</v>
      </c>
      <c r="G178" s="2"/>
    </row>
    <row r="179" spans="4:20" ht="20.100000000000001" customHeight="1" x14ac:dyDescent="0.25">
      <c r="D179" s="52"/>
      <c r="E179" s="52" t="str">
        <f>INDEX(X_Table_Poultry_Stage2MMS_BeltManureRemoval,6,1)</f>
        <v>Direct application</v>
      </c>
      <c r="F179" s="52">
        <f>INDEX(X_Table_Poultry_Stage2MMS_BeltManureRemoval_Destinations,6,3)</f>
        <v>0</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INDEX(X_Table_Poultry_Stage2MMS_ManureStoredInHouse_Destinations,2,3)</f>
        <v>0.25</v>
      </c>
      <c r="G180" s="2"/>
    </row>
    <row r="181" spans="4:20" ht="20.100000000000001" customHeight="1" x14ac:dyDescent="0.25">
      <c r="D181" s="52"/>
      <c r="E181" s="52" t="str">
        <f>INDEX(X_Table_Poultry_Stage2MMS_ManureStoredInHouse,3,1)</f>
        <v>Composting (passive windrow)</v>
      </c>
      <c r="F181" s="52">
        <f>INDEX(X_Table_Poultry_Stage2MMS_ManureStoredInHouse_Destinations,3,3)</f>
        <v>0.25</v>
      </c>
      <c r="G181" s="2"/>
    </row>
    <row r="182" spans="4:20" ht="20.100000000000001" customHeight="1" x14ac:dyDescent="0.25">
      <c r="D182" s="52"/>
      <c r="E182" s="52" t="str">
        <f>INDEX(X_Table_Poultry_Stage2MMS_ManureStoredInHouse,4,1)</f>
        <v>Digester / covered lagoons</v>
      </c>
      <c r="F182" s="52">
        <f>INDEX(X_Table_Poultry_Stage2MMS_ManureStoredInHouse_Destinations,4,3)</f>
        <v>0.25</v>
      </c>
      <c r="G182" s="2"/>
    </row>
    <row r="183" spans="4:20" ht="20.100000000000001" customHeight="1" x14ac:dyDescent="0.25">
      <c r="D183" s="52"/>
      <c r="E183" s="52" t="str">
        <f>INDEX(X_Table_Poultry_Stage2MMS_ManureStoredInHouse,5,1)</f>
        <v>Direct processing</v>
      </c>
      <c r="F183" s="52">
        <f>INDEX(X_Table_Poultry_Stage2MMS_ManureStoredInHouse_Destinations,5,3)</f>
        <v>0.25</v>
      </c>
      <c r="G183" s="2"/>
    </row>
    <row r="184" spans="4:20" ht="20.100000000000001" customHeight="1" x14ac:dyDescent="0.25">
      <c r="D184" s="52"/>
      <c r="E184" s="52" t="str">
        <f>INDEX(X_Table_Poultry_Stage2MMS_ManureStoredInHouse,6,1)</f>
        <v>Direct application</v>
      </c>
      <c r="F184" s="52">
        <f>INDEX(X_Table_Poultry_Stage2MMS_ManureStoredInHouse_Destinations,6,3)</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INDEX(X_Table_Poultry_Stage1MMS,2,1)</f>
        <v>Poultry manure with bedding</v>
      </c>
      <c r="O189" s="52" t="str">
        <f>INDEX(X_Table_Poultry_Stage2MMS_PoultryManureWithBedding,2,1)</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INDEX(X_Table_Poultry_Stage2MMS_PoultryManureWithBedding,3,1)</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INDEX(X_Table_Poultry_Stage2MMS_PoultryManureWithBedding,3,1)</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INDEX(X_Table_Poultry_Stage2MMS_PoultryManureWithBedding,4,1)</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INDEX(X_Table_Poultry_Stage2MMS_PoultryManureWithBedding,4,1)</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INDEX(X_Table_Poultry_Stage2MMS_PoultryManureWithBedding,5,1)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INDEX(X_Table_Poultry_Stage2MMS_PoultryManureWithBedding,5,1)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INDEX(X_Table_Poultry_Stage2MMS_PoultryManureWithBedding,6,1)</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INDEX(X_Table_Poultry_Stage2MMS_PoultryManureWithBedding,6,1)</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INDEX(X_Table_Poultry_Stage1MMS,3,1)</f>
        <v>Belt manure removal</v>
      </c>
      <c r="E194" s="52" t="str">
        <f>INDEX(X_Table_Poultry_Stage2MMS_BeltManureRemoval,2,1)</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INDEX(X_Table_Poultry_Stage1MMS,3,1)</f>
        <v>Belt manure removal</v>
      </c>
      <c r="O194" s="52" t="str">
        <f>INDEX(X_Table_Poultry_Stage2MMS_BeltManureRemoval,2,1)</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INDEX(X_Table_Poultry_Stage2MMS_BeltManureRemoval,3,1)</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INDEX(X_Table_Poultry_Stage2MMS_BeltManureRemoval,3,1)</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INDEX(X_Table_Poultry_Stage2MMS_BeltManureRemoval,4,1)</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INDEX(X_Table_Poultry_Stage2MMS_BeltManureRemoval,4,1)</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INDEX(X_Table_Poultry_Stage2MMS_BeltManureRemoval,5,1)</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INDEX(X_Table_Poultry_Stage2MMS_BeltManureRemoval,5,1)</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INDEX(X_Table_Poultry_Stage2MMS_BeltManureRemoval,6,1)</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INDEX(X_Table_Poultry_Stage2MMS_BeltManureRemoval,6,1)</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INDEX(X_Table_Poultry_Stage1MMS,4,1)</f>
        <v>Manure stored in house</v>
      </c>
      <c r="E199" s="52" t="str">
        <f>INDEX(X_Table_Poultry_Stage2MMS_ManureStoredInHouse,2,1)</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INDEX(X_Table_Poultry_Stage1MMS,4,1)</f>
        <v>Manure stored in house</v>
      </c>
      <c r="O199" s="52" t="str">
        <f>INDEX(X_Table_Poultry_Stage2MMS_ManureStoredInHouse,2,1)</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INDEX(X_Table_Poultry_Stage2MMS_ManureStoredInHouse,3,1)</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INDEX(X_Table_Poultry_Stage2MMS_ManureStoredInHouse,3,1)</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INDEX(X_Table_Poultry_Stage2MMS_ManureStoredInHouse,4,1)</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INDEX(X_Table_Poultry_Stage2MMS_ManureStoredInHouse,4,1)</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INDEX(X_Table_Poultry_Stage2MMS_ManureStoredInHouse,5,1)</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INDEX(X_Table_Poultry_Stage2MMS_ManureStoredInHouse,5,1)</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INDEX(X_Table_Poultry_Stage2MMS_ManureStoredInHouse,6,1)</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INDEX(X_Table_Poultry_Stage2MMS_ManureStoredInHouse,6,1)</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workbookViewId="0">
      <selection activeCell="H20" sqref="H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INDEX(X_Table_Poultry_Stage1MMS,5,1)</f>
        <v>Pasture range and paddock</v>
      </c>
      <c r="E20" s="52">
        <f>INDEX(M1_Table_MN_j_k_m_T1,5,2)</f>
        <v>1.6993600000000004</v>
      </c>
      <c r="F20" s="52">
        <f>INDEX(M1_Table_MN_j_k_m_T1,5,3)</f>
        <v>1.8138719999999999</v>
      </c>
      <c r="G20" s="52">
        <f>INDEX(M1_Table_MN_j_k_m_T1,5,4)</f>
        <v>2.129216</v>
      </c>
      <c r="H20" s="52">
        <f>INDEX(M1_Table_MN_j_k_m_T1,5,5)</f>
        <v>1.8138719999999999</v>
      </c>
      <c r="I20" s="2" t="str">
        <f>$G$13</f>
        <v>kg N</v>
      </c>
      <c r="J20" s="2"/>
      <c r="N20" s="52" t="str">
        <f>INDEX(X_Table_Poultry_Stage1MMS,5,1)</f>
        <v>Pasture range and paddock</v>
      </c>
      <c r="O20" s="52">
        <f>INDEX(M2_Table_MN_j_k_m_T1,5,2)</f>
        <v>1.6993600000000004</v>
      </c>
      <c r="P20" s="52">
        <f>INDEX(M2_Table_MN_j_k_m_T1,5,3)</f>
        <v>1.8138719999999999</v>
      </c>
      <c r="Q20" s="52">
        <f>INDEX(M2_Table_MN_j_k_m_T1,5,4)</f>
        <v>2.129216</v>
      </c>
      <c r="R20" s="52">
        <f>INDEX(M2_Table_MN_j_k_m_T1,5,5)</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INDEX(X_Table_Poultry_Stage1MMS,5,1)</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INDEX(X_Table_Poultry_Stage1MMS,5,1)</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workbookViewId="0">
      <selection activeCell="I42" sqref="I4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SourceData_Poultry_FracGAMSSoil_Data</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INDEX(X_Table_Poultry_Stage1MMS,5,1)</f>
        <v>Pasture range and paddock</v>
      </c>
      <c r="E19" s="52">
        <f>INDEX(M1_Table_MN_j_k_m_T1,5,2)</f>
        <v>1.6993600000000004</v>
      </c>
      <c r="F19" s="52">
        <f>INDEX(M1_Table_MN_j_k_m_T1,5,3)</f>
        <v>1.8138719999999999</v>
      </c>
      <c r="G19" s="52">
        <f>INDEX(M1_Table_MN_j_k_m_T1,5,4)</f>
        <v>2.129216</v>
      </c>
      <c r="H19" s="52">
        <f>INDEX(M1_Table_MN_j_k_m_T1,5,5)</f>
        <v>1.8138719999999999</v>
      </c>
      <c r="I19" s="2" t="str">
        <f>$G$13</f>
        <v>kg N</v>
      </c>
      <c r="M19" s="52" t="str">
        <f>INDEX(X_Table_Poultry_Stage1MMS,5,1)</f>
        <v>Pasture range and paddock</v>
      </c>
      <c r="N19" s="52">
        <f>INDEX(M2_Table_MN_j_k_m_T1,5,2)</f>
        <v>1.6993600000000004</v>
      </c>
      <c r="O19" s="52">
        <f>INDEX(M2_Table_MN_j_k_m_T1,5,3)</f>
        <v>1.8138719999999999</v>
      </c>
      <c r="P19" s="52">
        <f>INDEX(M2_Table_MN_j_k_m_T1,5,4)</f>
        <v>2.129216</v>
      </c>
      <c r="Q19" s="52">
        <f>INDEX(M2_Table_MN_j_k_m_T1,5,5)</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INDEX(X_Table_Poultry_Stage1MMS,5,1)</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INDEX(X_Table_Poultry_Stage1MMS,5,1)</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X_Cell_Poultry_ManureAppliedProductionSystem</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X_Cell_Poultry_ManureAppliedIrrigationMethod</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X_Cell_Site_RainfallZone</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SourceData_Poultry_FractionOfNitrogenLostThroughLeachingAndRunoff_Data</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INDEX(X_Table_Poultry_Stage1MMS,5,1)</f>
        <v>Pasture range and paddock</v>
      </c>
      <c r="E23" s="52">
        <f>INDEX(M1_Table_MN_j_k_m_T1,5,2)</f>
        <v>1.6993600000000004</v>
      </c>
      <c r="F23" s="52">
        <f>INDEX(M1_Table_MN_j_k_m_T1,5,3)</f>
        <v>1.8138719999999999</v>
      </c>
      <c r="G23" s="52">
        <f>INDEX(M1_Table_MN_j_k_m_T1,5,4)</f>
        <v>2.129216</v>
      </c>
      <c r="H23" s="52">
        <f>INDEX(M1_Table_MN_j_k_m_T1,5,5)</f>
        <v>1.8138719999999999</v>
      </c>
      <c r="I23" s="2" t="str">
        <f>$G$13</f>
        <v>kg N</v>
      </c>
      <c r="J23" s="2"/>
      <c r="N23" s="52" t="str">
        <f>INDEX(X_Table_Poultry_Stage1MMS,5,1)</f>
        <v>Pasture range and paddock</v>
      </c>
      <c r="O23" s="52">
        <f>INDEX(M2_Table_MN_j_k_m_T1,5,2)</f>
        <v>1.6993600000000004</v>
      </c>
      <c r="P23" s="52">
        <f>INDEX(M2_Table_MN_j_k_m_T1,5,3)</f>
        <v>1.8138719999999999</v>
      </c>
      <c r="Q23" s="52">
        <f>INDEX(M2_Table_MN_j_k_m_T1,5,4)</f>
        <v>2.129216</v>
      </c>
      <c r="R23" s="52">
        <f>INDEX(M2_Table_MN_j_k_m_T1,5,5)</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INDEX(X_Table_Poultry_Stage1MMS,5,1)</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INDEX(X_Table_Poultry_Stage1MMS,5,1)</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G42" s="6" t="s">
        <v>386</v>
      </c>
      <c r="J42" s="6" t="s">
        <v>381</v>
      </c>
      <c r="M42" s="1"/>
    </row>
    <row r="43" spans="4:13" ht="20.100000000000001" customHeight="1" x14ac:dyDescent="0.25">
      <c r="M43" s="1"/>
    </row>
    <row r="44" spans="4:13" ht="20.100000000000001" customHeight="1" x14ac:dyDescent="0.25">
      <c r="D44" s="37" t="s">
        <v>107</v>
      </c>
      <c r="G44" s="37" t="s">
        <v>107</v>
      </c>
      <c r="J44" s="37" t="s">
        <v>106</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G45" s="37" t="str">
        <f>'[1]Constants - Common'!$F$187</f>
        <v>Pasture</v>
      </c>
      <c r="J45" s="37" t="s">
        <v>382</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7" t="s">
        <v>383</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108</v>
      </c>
      <c r="M47" s="1"/>
    </row>
    <row r="48" spans="4:13" ht="20.100000000000001" customHeight="1" x14ac:dyDescent="0.25">
      <c r="J48" s="1" t="s">
        <v>384</v>
      </c>
      <c r="M48" s="1"/>
    </row>
    <row r="49" spans="4:14" ht="20.100000000000001" customHeight="1" x14ac:dyDescent="0.25">
      <c r="J49" s="1" t="s">
        <v>385</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A9545-04D3-4F9E-9781-69B0F92E2CF9}">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