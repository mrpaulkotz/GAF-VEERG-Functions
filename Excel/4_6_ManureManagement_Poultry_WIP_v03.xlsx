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744EA46-8ED6-4398-909B-B084E2A44B68}" xr6:coauthVersionLast="47" xr6:coauthVersionMax="47" xr10:uidLastSave="{00000000-0000-0000-0000-000000000000}"/>
  <bookViews>
    <workbookView xWindow="3120" yWindow="3120" windowWidth="28800" windowHeight="15345" firstSheet="11" activeTab="14"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5" r:id="rId15"/>
    <sheet name="Constants - Livestock" sheetId="43" r:id="rId16"/>
  </sheets>
  <externalReferences>
    <externalReference r:id="rId1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Range_LivestockStartingValues">#REF!</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tep1">#REF!</definedName>
    <definedName name="Step2">#REF!</definedName>
    <definedName name="Step3">#REF!</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9" i="108" l="1"/>
  <c r="G49" i="108"/>
  <c r="P47" i="107"/>
  <c r="G47" i="107"/>
  <c r="Q29" i="106"/>
  <c r="G29" i="106"/>
  <c r="Q61" i="98"/>
  <c r="G61" i="98"/>
  <c r="Q98" i="97"/>
  <c r="G98" i="97"/>
  <c r="Q247" i="76"/>
  <c r="G247" i="76"/>
  <c r="Q224" i="69"/>
  <c r="G224" i="69"/>
  <c r="D11" i="70"/>
  <c r="D10" i="70"/>
  <c r="E33" i="15"/>
  <c r="E32" i="15"/>
  <c r="E31" i="15"/>
  <c r="E30" i="15"/>
  <c r="E29" i="15"/>
  <c r="E13" i="15"/>
  <c r="A27" i="43"/>
  <c r="A26" i="43"/>
  <c r="A25" i="43"/>
  <c r="A21" i="43"/>
  <c r="A20" i="43"/>
  <c r="A19" i="43"/>
  <c r="A18" i="43"/>
  <c r="A17" i="43"/>
  <c r="A16" i="43"/>
  <c r="A15" i="43"/>
  <c r="A14" i="43"/>
  <c r="A10" i="43"/>
  <c r="A9" i="43"/>
  <c r="A5" i="43"/>
  <c r="A4" i="43"/>
  <c r="A3" i="43"/>
  <c r="A27" i="115"/>
  <c r="A26" i="115"/>
  <c r="A25" i="115"/>
  <c r="A21" i="115"/>
  <c r="A20" i="115"/>
  <c r="A19" i="115"/>
  <c r="A18" i="115"/>
  <c r="A17" i="115"/>
  <c r="A16" i="115"/>
  <c r="A15" i="115"/>
  <c r="A14" i="115"/>
  <c r="A10" i="115"/>
  <c r="A9" i="115"/>
  <c r="A5" i="115"/>
  <c r="A4" i="115"/>
  <c r="A3" i="115"/>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A27" i="71"/>
  <c r="A26" i="71"/>
  <c r="A25" i="71"/>
  <c r="A21" i="71"/>
  <c r="A20" i="71"/>
  <c r="A19" i="71"/>
  <c r="A18" i="71"/>
  <c r="A17" i="71"/>
  <c r="A16" i="71"/>
  <c r="A15" i="71"/>
  <c r="A14" i="71"/>
  <c r="A10" i="71"/>
  <c r="A9" i="71"/>
  <c r="A5" i="71"/>
  <c r="A4" i="71"/>
  <c r="A3" i="71"/>
  <c r="J44" i="108"/>
  <c r="I49" i="98"/>
  <c r="O81" i="69"/>
  <c r="O80" i="69"/>
  <c r="O79" i="69"/>
  <c r="O78" i="69"/>
  <c r="O77" i="69"/>
  <c r="O76" i="69"/>
  <c r="O73" i="69"/>
  <c r="I14" i="108"/>
  <c r="I14" i="98"/>
  <c r="I39" i="107"/>
  <c r="I90" i="97"/>
  <c r="J45" i="108"/>
  <c r="I40" i="107"/>
  <c r="I15" i="106"/>
  <c r="I50" i="98"/>
  <c r="I91" i="97"/>
  <c r="I217" i="76"/>
  <c r="Q50" i="108"/>
  <c r="G50" i="108"/>
  <c r="P48" i="107"/>
  <c r="G48" i="107"/>
  <c r="Q30" i="106"/>
  <c r="G30" i="106"/>
  <c r="Q62" i="98"/>
  <c r="G62" i="98"/>
  <c r="Q99" i="97"/>
  <c r="G99" i="97"/>
  <c r="Q248" i="76"/>
  <c r="G248" i="76"/>
  <c r="Q225" i="69"/>
  <c r="G225" i="69"/>
  <c r="E81" i="69"/>
  <c r="E80" i="69"/>
  <c r="E79" i="69"/>
  <c r="E78" i="69"/>
  <c r="E77" i="69"/>
  <c r="E76" i="69"/>
  <c r="E75" i="69"/>
  <c r="E74" i="69"/>
  <c r="E73" i="69"/>
  <c r="E259" i="115" a="1"/>
  <c r="E259" i="115" s="1"/>
  <c r="D259" i="115" a="1"/>
  <c r="D259" i="115" s="1"/>
  <c r="E258" i="115" a="1"/>
  <c r="E258" i="115" s="1"/>
  <c r="D258" i="115" a="1"/>
  <c r="D258" i="115" s="1"/>
  <c r="D256" i="115" a="1"/>
  <c r="D256" i="115" s="1"/>
  <c r="D255" i="115" a="1"/>
  <c r="D255" i="115" s="1"/>
  <c r="D254" i="115" a="1"/>
  <c r="D254" i="115" s="1"/>
  <c r="D253" i="115" a="1"/>
  <c r="D253" i="115" s="1"/>
  <c r="S250" i="115" a="1"/>
  <c r="S250" i="115" s="1"/>
  <c r="R250" i="115" a="1"/>
  <c r="R250" i="115" s="1"/>
  <c r="Q250" i="115" a="1"/>
  <c r="Q250" i="115" s="1"/>
  <c r="P250" i="115" a="1"/>
  <c r="P250" i="115" s="1"/>
  <c r="O250" i="115" a="1"/>
  <c r="O250" i="115" s="1"/>
  <c r="N250" i="115" a="1"/>
  <c r="N250" i="115" s="1"/>
  <c r="M250" i="115" a="1"/>
  <c r="M250" i="115" s="1"/>
  <c r="L250" i="115" a="1"/>
  <c r="L250" i="115" s="1"/>
  <c r="K250" i="115" a="1"/>
  <c r="K250" i="115" s="1"/>
  <c r="J250" i="115" a="1"/>
  <c r="J250" i="115" s="1"/>
  <c r="I250" i="115" a="1"/>
  <c r="I250" i="115" s="1"/>
  <c r="H250" i="115" a="1"/>
  <c r="H250" i="115" s="1"/>
  <c r="G250" i="115" a="1"/>
  <c r="G250" i="115" s="1"/>
  <c r="F250" i="115" a="1"/>
  <c r="F250" i="115" s="1"/>
  <c r="E250" i="115" a="1"/>
  <c r="E250" i="115" s="1"/>
  <c r="D250" i="115" a="1"/>
  <c r="D250" i="115" s="1"/>
  <c r="S249" i="115" a="1"/>
  <c r="S249" i="115" s="1"/>
  <c r="R249" i="115" a="1"/>
  <c r="R249" i="115" s="1"/>
  <c r="Q249" i="115" a="1"/>
  <c r="Q249" i="115" s="1"/>
  <c r="P249" i="115" a="1"/>
  <c r="P249" i="115" s="1"/>
  <c r="O249" i="115" a="1"/>
  <c r="O249" i="115" s="1"/>
  <c r="N249" i="115" a="1"/>
  <c r="N249" i="115" s="1"/>
  <c r="M249" i="115" a="1"/>
  <c r="M249" i="115" s="1"/>
  <c r="L249" i="115" a="1"/>
  <c r="L249" i="115" s="1"/>
  <c r="K249" i="115" a="1"/>
  <c r="K249" i="115" s="1"/>
  <c r="J249" i="115" a="1"/>
  <c r="J249" i="115" s="1"/>
  <c r="I249" i="115" a="1"/>
  <c r="I249" i="115" s="1"/>
  <c r="H249" i="115" a="1"/>
  <c r="H249" i="115" s="1"/>
  <c r="G249" i="115" a="1"/>
  <c r="G249" i="115" s="1"/>
  <c r="F249" i="115" a="1"/>
  <c r="F249" i="115" s="1"/>
  <c r="E249" i="115" a="1"/>
  <c r="E249" i="115" s="1"/>
  <c r="D249" i="115" a="1"/>
  <c r="D249" i="115" s="1"/>
  <c r="S248" i="115" a="1"/>
  <c r="S248" i="115" s="1"/>
  <c r="R248" i="115" a="1"/>
  <c r="R248" i="115" s="1"/>
  <c r="Q248" i="115" a="1"/>
  <c r="Q248" i="115" s="1"/>
  <c r="P248" i="115" a="1"/>
  <c r="P248" i="115" s="1"/>
  <c r="O248" i="115" a="1"/>
  <c r="O248" i="115" s="1"/>
  <c r="N248" i="115" a="1"/>
  <c r="N248" i="115" s="1"/>
  <c r="M248" i="115" a="1"/>
  <c r="M248" i="115" s="1"/>
  <c r="L248" i="115" a="1"/>
  <c r="L248" i="115" s="1"/>
  <c r="K248" i="115" a="1"/>
  <c r="K248" i="115" s="1"/>
  <c r="J248" i="115" a="1"/>
  <c r="J248" i="115" s="1"/>
  <c r="I248" i="115" a="1"/>
  <c r="I248" i="115" s="1"/>
  <c r="H248" i="115" a="1"/>
  <c r="H248" i="115" s="1"/>
  <c r="G248" i="115" a="1"/>
  <c r="G248" i="115" s="1"/>
  <c r="F248" i="115" a="1"/>
  <c r="F248" i="115" s="1"/>
  <c r="E248" i="115" a="1"/>
  <c r="E248" i="115" s="1"/>
  <c r="D248" i="115" a="1"/>
  <c r="D248" i="115" s="1"/>
  <c r="S247" i="115" a="1"/>
  <c r="S247" i="115" s="1"/>
  <c r="R247" i="115" a="1"/>
  <c r="R247" i="115" s="1"/>
  <c r="Q247" i="115" a="1"/>
  <c r="Q247" i="115" s="1"/>
  <c r="P247" i="115" a="1"/>
  <c r="P247" i="115" s="1"/>
  <c r="O247" i="115" a="1"/>
  <c r="O247" i="115" s="1"/>
  <c r="N247" i="115" a="1"/>
  <c r="N247" i="115" s="1"/>
  <c r="M247" i="115" a="1"/>
  <c r="M247" i="115" s="1"/>
  <c r="L247" i="115" a="1"/>
  <c r="L247" i="115" s="1"/>
  <c r="K247" i="115" a="1"/>
  <c r="K247" i="115" s="1"/>
  <c r="J247" i="115" a="1"/>
  <c r="J247" i="115" s="1"/>
  <c r="I247" i="115" a="1"/>
  <c r="I247" i="115" s="1"/>
  <c r="H247" i="115" a="1"/>
  <c r="H247" i="115" s="1"/>
  <c r="G247" i="115" a="1"/>
  <c r="G247" i="115" s="1"/>
  <c r="F247" i="115" a="1"/>
  <c r="F247" i="115" s="1"/>
  <c r="E247" i="115" a="1"/>
  <c r="E247" i="115" s="1"/>
  <c r="D247" i="115" a="1"/>
  <c r="D247" i="115" s="1"/>
  <c r="S246" i="115" a="1"/>
  <c r="S246" i="115" s="1"/>
  <c r="R246" i="115" a="1"/>
  <c r="R246" i="115" s="1"/>
  <c r="Q246" i="115" a="1"/>
  <c r="Q246" i="115" s="1"/>
  <c r="P246" i="115" a="1"/>
  <c r="P246" i="115" s="1"/>
  <c r="O246" i="115" a="1"/>
  <c r="O246" i="115" s="1"/>
  <c r="N246" i="115" a="1"/>
  <c r="N246" i="115" s="1"/>
  <c r="M246" i="115" a="1"/>
  <c r="M246" i="115" s="1"/>
  <c r="L246" i="115" a="1"/>
  <c r="L246" i="115" s="1"/>
  <c r="K246" i="115" a="1"/>
  <c r="K246" i="115" s="1"/>
  <c r="J246" i="115" a="1"/>
  <c r="J246" i="115" s="1"/>
  <c r="I246" i="115" a="1"/>
  <c r="I246" i="115" s="1"/>
  <c r="H246" i="115" a="1"/>
  <c r="H246" i="115" s="1"/>
  <c r="G246" i="115" a="1"/>
  <c r="G246" i="115" s="1"/>
  <c r="F246" i="115" a="1"/>
  <c r="F246" i="115" s="1"/>
  <c r="E246" i="115" a="1"/>
  <c r="E246" i="115" s="1"/>
  <c r="D246" i="115" a="1"/>
  <c r="D246" i="115" s="1"/>
  <c r="S245" i="115" a="1"/>
  <c r="S245" i="115" s="1"/>
  <c r="R245" i="115" a="1"/>
  <c r="R245" i="115" s="1"/>
  <c r="Q245" i="115" a="1"/>
  <c r="Q245" i="115" s="1"/>
  <c r="P245" i="115" a="1"/>
  <c r="P245" i="115" s="1"/>
  <c r="O245" i="115" a="1"/>
  <c r="O245" i="115" s="1"/>
  <c r="N245" i="115" a="1"/>
  <c r="N245" i="115" s="1"/>
  <c r="M245" i="115" a="1"/>
  <c r="M245" i="115" s="1"/>
  <c r="L245" i="115" a="1"/>
  <c r="L245" i="115" s="1"/>
  <c r="K245" i="115" a="1"/>
  <c r="K245" i="115" s="1"/>
  <c r="J245" i="115" a="1"/>
  <c r="J245" i="115" s="1"/>
  <c r="I245" i="115" a="1"/>
  <c r="I245" i="115" s="1"/>
  <c r="H245" i="115" a="1"/>
  <c r="H245" i="115" s="1"/>
  <c r="G245" i="115" a="1"/>
  <c r="G245" i="115" s="1"/>
  <c r="F245" i="115" a="1"/>
  <c r="F245" i="115" s="1"/>
  <c r="E245" i="115" a="1"/>
  <c r="E245" i="115" s="1"/>
  <c r="D245" i="115" a="1"/>
  <c r="D245" i="115" s="1"/>
  <c r="S244" i="115" a="1"/>
  <c r="S244" i="115" s="1"/>
  <c r="R244" i="115" a="1"/>
  <c r="R244" i="115" s="1"/>
  <c r="Q244" i="115" a="1"/>
  <c r="Q244" i="115" s="1"/>
  <c r="P244" i="115" a="1"/>
  <c r="P244" i="115" s="1"/>
  <c r="O244" i="115" a="1"/>
  <c r="O244" i="115" s="1"/>
  <c r="N244" i="115" a="1"/>
  <c r="N244" i="115" s="1"/>
  <c r="M244" i="115" a="1"/>
  <c r="M244" i="115" s="1"/>
  <c r="L244" i="115" a="1"/>
  <c r="L244" i="115" s="1"/>
  <c r="K244" i="115" a="1"/>
  <c r="K244" i="115" s="1"/>
  <c r="J244" i="115" a="1"/>
  <c r="J244" i="115" s="1"/>
  <c r="I244" i="115" a="1"/>
  <c r="I244" i="115" s="1"/>
  <c r="H244" i="115" a="1"/>
  <c r="H244" i="115" s="1"/>
  <c r="G244" i="115" a="1"/>
  <c r="G244" i="115" s="1"/>
  <c r="F244" i="115" a="1"/>
  <c r="F244" i="115" s="1"/>
  <c r="E244" i="115" a="1"/>
  <c r="E244" i="115" s="1"/>
  <c r="D244" i="115" a="1"/>
  <c r="D244" i="115" s="1"/>
  <c r="S243" i="115" a="1"/>
  <c r="S243" i="115" s="1"/>
  <c r="R243" i="115" a="1"/>
  <c r="R243" i="115" s="1"/>
  <c r="Q243" i="115" a="1"/>
  <c r="Q243" i="115" s="1"/>
  <c r="P243" i="115" a="1"/>
  <c r="P243" i="115" s="1"/>
  <c r="O243" i="115" a="1"/>
  <c r="O243" i="115" s="1"/>
  <c r="N243" i="115" a="1"/>
  <c r="N243" i="115" s="1"/>
  <c r="M243" i="115" a="1"/>
  <c r="M243" i="115" s="1"/>
  <c r="L243" i="115" a="1"/>
  <c r="L243" i="115" s="1"/>
  <c r="K243" i="115" a="1"/>
  <c r="K243" i="115" s="1"/>
  <c r="J243" i="115" a="1"/>
  <c r="J243" i="115" s="1"/>
  <c r="I243" i="115" a="1"/>
  <c r="I243" i="115" s="1"/>
  <c r="H243" i="115" a="1"/>
  <c r="H243" i="115" s="1"/>
  <c r="G243" i="115" a="1"/>
  <c r="G243" i="115" s="1"/>
  <c r="F243" i="115" a="1"/>
  <c r="F243" i="115" s="1"/>
  <c r="E243" i="115" a="1"/>
  <c r="E243" i="115" s="1"/>
  <c r="D243" i="115" a="1"/>
  <c r="D243" i="115" s="1"/>
  <c r="S242" i="115" a="1"/>
  <c r="S242" i="115" s="1"/>
  <c r="R242" i="115" a="1"/>
  <c r="R242" i="115" s="1"/>
  <c r="Q242" i="115" a="1"/>
  <c r="Q242" i="115" s="1"/>
  <c r="P242" i="115" a="1"/>
  <c r="P242" i="115" s="1"/>
  <c r="O242" i="115" a="1"/>
  <c r="O242" i="115" s="1"/>
  <c r="N242" i="115" a="1"/>
  <c r="N242" i="115" s="1"/>
  <c r="M242" i="115" a="1"/>
  <c r="M242" i="115" s="1"/>
  <c r="L242" i="115" a="1"/>
  <c r="L242" i="115" s="1"/>
  <c r="K242" i="115" a="1"/>
  <c r="K242" i="115" s="1"/>
  <c r="J242" i="115" a="1"/>
  <c r="J242" i="115" s="1"/>
  <c r="I242" i="115" a="1"/>
  <c r="I242" i="115" s="1"/>
  <c r="H242" i="115" a="1"/>
  <c r="H242" i="115" s="1"/>
  <c r="G242" i="115" a="1"/>
  <c r="G242" i="115" s="1"/>
  <c r="F242" i="115" a="1"/>
  <c r="F242" i="115" s="1"/>
  <c r="E242" i="115" a="1"/>
  <c r="E242" i="115" s="1"/>
  <c r="D242" i="115" a="1"/>
  <c r="D242" i="115" s="1"/>
  <c r="S241" i="115" a="1"/>
  <c r="S241" i="115" s="1"/>
  <c r="R241" i="115" a="1"/>
  <c r="R241" i="115" s="1"/>
  <c r="Q241" i="115" a="1"/>
  <c r="Q241" i="115" s="1"/>
  <c r="P241" i="115" a="1"/>
  <c r="P241" i="115" s="1"/>
  <c r="O241" i="115" a="1"/>
  <c r="O241" i="115" s="1"/>
  <c r="N241" i="115" a="1"/>
  <c r="N241" i="115" s="1"/>
  <c r="M241" i="115" a="1"/>
  <c r="M241" i="115" s="1"/>
  <c r="L241" i="115" a="1"/>
  <c r="L241" i="115" s="1"/>
  <c r="K241" i="115" a="1"/>
  <c r="K241" i="115" s="1"/>
  <c r="J241" i="115" a="1"/>
  <c r="J241" i="115" s="1"/>
  <c r="I241" i="115" a="1"/>
  <c r="I241" i="115" s="1"/>
  <c r="H241" i="115" a="1"/>
  <c r="H241" i="115" s="1"/>
  <c r="G241" i="115" a="1"/>
  <c r="G241" i="115" s="1"/>
  <c r="F241" i="115" a="1"/>
  <c r="F241" i="115" s="1"/>
  <c r="E241" i="115" a="1"/>
  <c r="E241" i="115" s="1"/>
  <c r="D241" i="115" a="1"/>
  <c r="D241" i="115" s="1"/>
  <c r="S240" i="115" a="1"/>
  <c r="S240" i="115" s="1"/>
  <c r="R240" i="115" a="1"/>
  <c r="R240" i="115" s="1"/>
  <c r="Q240" i="115" a="1"/>
  <c r="Q240" i="115" s="1"/>
  <c r="P240" i="115" a="1"/>
  <c r="P240" i="115" s="1"/>
  <c r="O240" i="115" a="1"/>
  <c r="O240" i="115" s="1"/>
  <c r="N240" i="115" a="1"/>
  <c r="N240" i="115" s="1"/>
  <c r="M240" i="115" a="1"/>
  <c r="M240" i="115" s="1"/>
  <c r="L240" i="115" a="1"/>
  <c r="L240" i="115" s="1"/>
  <c r="K240" i="115" a="1"/>
  <c r="K240" i="115" s="1"/>
  <c r="J240" i="115" a="1"/>
  <c r="J240" i="115" s="1"/>
  <c r="I240" i="115" a="1"/>
  <c r="I240" i="115" s="1"/>
  <c r="H240" i="115" a="1"/>
  <c r="H240" i="115" s="1"/>
  <c r="G240" i="115" a="1"/>
  <c r="G240" i="115" s="1"/>
  <c r="F240" i="115" a="1"/>
  <c r="F240" i="115" s="1"/>
  <c r="E240" i="115" a="1"/>
  <c r="E240" i="115" s="1"/>
  <c r="D240" i="115" a="1"/>
  <c r="D240" i="115" s="1"/>
  <c r="S239" i="115" a="1"/>
  <c r="S239" i="115" s="1"/>
  <c r="R239" i="115" a="1"/>
  <c r="R239" i="115" s="1"/>
  <c r="Q239" i="115" a="1"/>
  <c r="Q239" i="115" s="1"/>
  <c r="P239" i="115" a="1"/>
  <c r="P239" i="115" s="1"/>
  <c r="O239" i="115" a="1"/>
  <c r="O239" i="115" s="1"/>
  <c r="N239" i="115" a="1"/>
  <c r="N239" i="115" s="1"/>
  <c r="M239" i="115" a="1"/>
  <c r="M239" i="115" s="1"/>
  <c r="L239" i="115" a="1"/>
  <c r="L239" i="115" s="1"/>
  <c r="K239" i="115" a="1"/>
  <c r="K239" i="115" s="1"/>
  <c r="J239" i="115" a="1"/>
  <c r="J239" i="115" s="1"/>
  <c r="I239" i="115" a="1"/>
  <c r="I239" i="115" s="1"/>
  <c r="H239" i="115" a="1"/>
  <c r="H239" i="115" s="1"/>
  <c r="G239" i="115" a="1"/>
  <c r="G239" i="115" s="1"/>
  <c r="F239" i="115" a="1"/>
  <c r="F239" i="115" s="1"/>
  <c r="E239" i="115" a="1"/>
  <c r="E239" i="115" s="1"/>
  <c r="D239" i="115" a="1"/>
  <c r="D239" i="115" s="1"/>
  <c r="S238" i="115" a="1"/>
  <c r="S238" i="115" s="1"/>
  <c r="R238" i="115" a="1"/>
  <c r="R238" i="115" s="1"/>
  <c r="Q238" i="115" a="1"/>
  <c r="Q238" i="115" s="1"/>
  <c r="P238" i="115" a="1"/>
  <c r="P238" i="115" s="1"/>
  <c r="O238" i="115" a="1"/>
  <c r="O238" i="115" s="1"/>
  <c r="N238" i="115" a="1"/>
  <c r="N238" i="115" s="1"/>
  <c r="M238" i="115" a="1"/>
  <c r="M238" i="115" s="1"/>
  <c r="L238" i="115" a="1"/>
  <c r="L238" i="115" s="1"/>
  <c r="K238" i="115" a="1"/>
  <c r="K238" i="115" s="1"/>
  <c r="J238" i="115" a="1"/>
  <c r="J238" i="115" s="1"/>
  <c r="I238" i="115" a="1"/>
  <c r="I238" i="115" s="1"/>
  <c r="H238" i="115" a="1"/>
  <c r="H238" i="115" s="1"/>
  <c r="G238" i="115" a="1"/>
  <c r="G238" i="115" s="1"/>
  <c r="F238" i="115" a="1"/>
  <c r="F238" i="115" s="1"/>
  <c r="E238" i="115" a="1"/>
  <c r="E238" i="115" s="1"/>
  <c r="D238" i="115" a="1"/>
  <c r="D238" i="115" s="1"/>
  <c r="S237" i="115" a="1"/>
  <c r="S237" i="115" s="1"/>
  <c r="R237" i="115" a="1"/>
  <c r="R237" i="115" s="1"/>
  <c r="Q237" i="115" a="1"/>
  <c r="Q237" i="115" s="1"/>
  <c r="P237" i="115" a="1"/>
  <c r="P237" i="115" s="1"/>
  <c r="O237" i="115" a="1"/>
  <c r="O237" i="115" s="1"/>
  <c r="N237" i="115" a="1"/>
  <c r="N237" i="115" s="1"/>
  <c r="M237" i="115" a="1"/>
  <c r="M237" i="115" s="1"/>
  <c r="L237" i="115" a="1"/>
  <c r="L237" i="115" s="1"/>
  <c r="K237" i="115" a="1"/>
  <c r="K237" i="115" s="1"/>
  <c r="J237" i="115" a="1"/>
  <c r="J237" i="115" s="1"/>
  <c r="I237" i="115" a="1"/>
  <c r="I237" i="115" s="1"/>
  <c r="H237" i="115" a="1"/>
  <c r="H237" i="115" s="1"/>
  <c r="G237" i="115" a="1"/>
  <c r="G237" i="115" s="1"/>
  <c r="F237" i="115" a="1"/>
  <c r="F237" i="115" s="1"/>
  <c r="E237" i="115" a="1"/>
  <c r="E237" i="115" s="1"/>
  <c r="D237" i="115" a="1"/>
  <c r="D237" i="115" s="1"/>
  <c r="S236" i="115" a="1"/>
  <c r="S236" i="115" s="1"/>
  <c r="R236" i="115" a="1"/>
  <c r="R236" i="115" s="1"/>
  <c r="Q236" i="115" a="1"/>
  <c r="Q236" i="115" s="1"/>
  <c r="P236" i="115" a="1"/>
  <c r="P236" i="115" s="1"/>
  <c r="O236" i="115" a="1"/>
  <c r="O236" i="115" s="1"/>
  <c r="N236" i="115" a="1"/>
  <c r="N236" i="115" s="1"/>
  <c r="M236" i="115" a="1"/>
  <c r="M236" i="115" s="1"/>
  <c r="L236" i="115" a="1"/>
  <c r="L236" i="115" s="1"/>
  <c r="K236" i="115" a="1"/>
  <c r="K236" i="115" s="1"/>
  <c r="J236" i="115" a="1"/>
  <c r="J236" i="115" s="1"/>
  <c r="I236" i="115" a="1"/>
  <c r="I236" i="115" s="1"/>
  <c r="H236" i="115" a="1"/>
  <c r="H236" i="115" s="1"/>
  <c r="G236" i="115" a="1"/>
  <c r="G236" i="115" s="1"/>
  <c r="F236" i="115" a="1"/>
  <c r="F236" i="115" s="1"/>
  <c r="E236" i="115" a="1"/>
  <c r="E236" i="115" s="1"/>
  <c r="D236" i="115" a="1"/>
  <c r="D236" i="115" s="1"/>
  <c r="S235" i="115" a="1"/>
  <c r="S235" i="115" s="1"/>
  <c r="R235" i="115" a="1"/>
  <c r="R235" i="115" s="1"/>
  <c r="Q235" i="115" a="1"/>
  <c r="Q235" i="115" s="1"/>
  <c r="P235" i="115" a="1"/>
  <c r="P235" i="115" s="1"/>
  <c r="O235" i="115" a="1"/>
  <c r="O235" i="115" s="1"/>
  <c r="N235" i="115" a="1"/>
  <c r="N235" i="115" s="1"/>
  <c r="M235" i="115" a="1"/>
  <c r="M235" i="115" s="1"/>
  <c r="L235" i="115" a="1"/>
  <c r="L235" i="115" s="1"/>
  <c r="K235" i="115" a="1"/>
  <c r="K235" i="115" s="1"/>
  <c r="J235" i="115" a="1"/>
  <c r="J235" i="115" s="1"/>
  <c r="I235" i="115" a="1"/>
  <c r="I235" i="115" s="1"/>
  <c r="H235" i="115" a="1"/>
  <c r="H235" i="115" s="1"/>
  <c r="G235" i="115" a="1"/>
  <c r="G235" i="115" s="1"/>
  <c r="F235" i="115" a="1"/>
  <c r="F235" i="115" s="1"/>
  <c r="E235" i="115" a="1"/>
  <c r="E235" i="115" s="1"/>
  <c r="D235" i="115" a="1"/>
  <c r="D235" i="115" s="1"/>
  <c r="S234" i="115" a="1"/>
  <c r="S234" i="115" s="1"/>
  <c r="R234" i="115" a="1"/>
  <c r="R234" i="115" s="1"/>
  <c r="Q234" i="115" a="1"/>
  <c r="Q234" i="115" s="1"/>
  <c r="P234" i="115" a="1"/>
  <c r="P234" i="115" s="1"/>
  <c r="O234" i="115" a="1"/>
  <c r="O234" i="115" s="1"/>
  <c r="N234" i="115" a="1"/>
  <c r="N234" i="115" s="1"/>
  <c r="M234" i="115" a="1"/>
  <c r="M234" i="115" s="1"/>
  <c r="L234" i="115" a="1"/>
  <c r="L234" i="115" s="1"/>
  <c r="K234" i="115" a="1"/>
  <c r="K234" i="115" s="1"/>
  <c r="J234" i="115" a="1"/>
  <c r="J234" i="115" s="1"/>
  <c r="I234" i="115" a="1"/>
  <c r="I234" i="115" s="1"/>
  <c r="H234" i="115" a="1"/>
  <c r="H234" i="115" s="1"/>
  <c r="G234" i="115" a="1"/>
  <c r="G234" i="115" s="1"/>
  <c r="F234" i="115" a="1"/>
  <c r="F234" i="115" s="1"/>
  <c r="E234" i="115" a="1"/>
  <c r="E234" i="115" s="1"/>
  <c r="D234" i="115" a="1"/>
  <c r="D234" i="115" s="1"/>
  <c r="S233" i="115" a="1"/>
  <c r="S233" i="115" s="1"/>
  <c r="R233" i="115" a="1"/>
  <c r="R233" i="115" s="1"/>
  <c r="Q233" i="115" a="1"/>
  <c r="Q233" i="115" s="1"/>
  <c r="P233" i="115" a="1"/>
  <c r="P233" i="115" s="1"/>
  <c r="O233" i="115" a="1"/>
  <c r="O233" i="115" s="1"/>
  <c r="N233" i="115" a="1"/>
  <c r="N233" i="115" s="1"/>
  <c r="M233" i="115" a="1"/>
  <c r="M233" i="115" s="1"/>
  <c r="L233" i="115" a="1"/>
  <c r="L233" i="115" s="1"/>
  <c r="K233" i="115" a="1"/>
  <c r="K233" i="115" s="1"/>
  <c r="J233" i="115" a="1"/>
  <c r="J233" i="115" s="1"/>
  <c r="I233" i="115" a="1"/>
  <c r="I233" i="115" s="1"/>
  <c r="H233" i="115" a="1"/>
  <c r="H233" i="115" s="1"/>
  <c r="G233" i="115" a="1"/>
  <c r="G233" i="115" s="1"/>
  <c r="F233" i="115" a="1"/>
  <c r="F233" i="115" s="1"/>
  <c r="E233" i="115" a="1"/>
  <c r="E233" i="115" s="1"/>
  <c r="D233" i="115" a="1"/>
  <c r="D233" i="115" s="1"/>
  <c r="S232" i="115" a="1"/>
  <c r="S232" i="115" s="1"/>
  <c r="R232" i="115" a="1"/>
  <c r="R232" i="115" s="1"/>
  <c r="Q232" i="115" a="1"/>
  <c r="Q232" i="115" s="1"/>
  <c r="P232" i="115" a="1"/>
  <c r="P232" i="115" s="1"/>
  <c r="O232" i="115" a="1"/>
  <c r="O232" i="115" s="1"/>
  <c r="N232" i="115" a="1"/>
  <c r="N232" i="115" s="1"/>
  <c r="M232" i="115" a="1"/>
  <c r="M232" i="115" s="1"/>
  <c r="L232" i="115" a="1"/>
  <c r="L232" i="115" s="1"/>
  <c r="K232" i="115" a="1"/>
  <c r="K232" i="115" s="1"/>
  <c r="J232" i="115" a="1"/>
  <c r="J232" i="115" s="1"/>
  <c r="I232" i="115" a="1"/>
  <c r="I232" i="115" s="1"/>
  <c r="H232" i="115" a="1"/>
  <c r="H232" i="115" s="1"/>
  <c r="G232" i="115" a="1"/>
  <c r="G232" i="115" s="1"/>
  <c r="F232" i="115" a="1"/>
  <c r="F232" i="115" s="1"/>
  <c r="E232" i="115" a="1"/>
  <c r="E232" i="115" s="1"/>
  <c r="D232" i="115" a="1"/>
  <c r="D232" i="115" s="1"/>
  <c r="D229" i="115" a="1"/>
  <c r="D229" i="115" s="1"/>
  <c r="D228" i="115" a="1"/>
  <c r="D228" i="115" s="1"/>
  <c r="D227" i="115" a="1"/>
  <c r="D227" i="115" s="1"/>
  <c r="E224" i="115" a="1"/>
  <c r="E224" i="115" s="1"/>
  <c r="D224" i="115" a="1"/>
  <c r="D224" i="115" s="1"/>
  <c r="E223" i="115" a="1"/>
  <c r="E223" i="115" s="1"/>
  <c r="D223" i="115" a="1"/>
  <c r="D223" i="115" s="1"/>
  <c r="E222" i="115" a="1"/>
  <c r="E222" i="115" s="1"/>
  <c r="D222" i="115" a="1"/>
  <c r="D222" i="115" s="1"/>
  <c r="E221" i="115" a="1"/>
  <c r="E221" i="115" s="1"/>
  <c r="D221" i="115" a="1"/>
  <c r="D221" i="115" s="1"/>
  <c r="E220" i="115" a="1"/>
  <c r="E220" i="115" s="1"/>
  <c r="D220" i="115" a="1"/>
  <c r="D220" i="115" s="1"/>
  <c r="E219" i="115" a="1"/>
  <c r="E219" i="115" s="1"/>
  <c r="D219" i="115" a="1"/>
  <c r="D219" i="115" s="1"/>
  <c r="E218" i="115" a="1"/>
  <c r="E218" i="115" s="1"/>
  <c r="D218" i="115" a="1"/>
  <c r="D218" i="115" s="1"/>
  <c r="E217" i="115" a="1"/>
  <c r="E217" i="115" s="1"/>
  <c r="D217" i="115" a="1"/>
  <c r="D217" i="115" s="1"/>
  <c r="E216" i="115" a="1"/>
  <c r="E216" i="115" s="1"/>
  <c r="D216" i="115" a="1"/>
  <c r="D216" i="115" s="1"/>
  <c r="E215" i="115" a="1"/>
  <c r="E215" i="115" s="1"/>
  <c r="D215" i="115" a="1"/>
  <c r="D215" i="115" s="1"/>
  <c r="E214" i="115" a="1"/>
  <c r="E214" i="115" s="1"/>
  <c r="D214" i="115" a="1"/>
  <c r="D214" i="115" s="1"/>
  <c r="E213" i="115" a="1"/>
  <c r="E213" i="115" s="1"/>
  <c r="D213" i="115" a="1"/>
  <c r="D213" i="115" s="1"/>
  <c r="D211" i="115" a="1"/>
  <c r="D211" i="115" s="1"/>
  <c r="E208" i="115" a="1"/>
  <c r="E208" i="115" s="1"/>
  <c r="D208" i="115" a="1"/>
  <c r="D208" i="115" s="1"/>
  <c r="E207" i="115" a="1"/>
  <c r="E207" i="115" s="1"/>
  <c r="D207" i="115" a="1"/>
  <c r="D207" i="115" s="1"/>
  <c r="D205" i="115" a="1"/>
  <c r="D205" i="115" s="1"/>
  <c r="D204" i="115" a="1"/>
  <c r="D204" i="115" s="1"/>
  <c r="D203" i="115" a="1"/>
  <c r="D203" i="115" s="1"/>
  <c r="D202" i="115" a="1"/>
  <c r="D202" i="115" s="1"/>
  <c r="H199" i="115" a="1"/>
  <c r="H199" i="115" s="1"/>
  <c r="G199" i="115" a="1"/>
  <c r="G199" i="115" s="1"/>
  <c r="F199" i="115" a="1"/>
  <c r="F199" i="115" s="1"/>
  <c r="E199" i="115" a="1"/>
  <c r="E199" i="115" s="1"/>
  <c r="D199" i="115" a="1"/>
  <c r="D199" i="115" s="1"/>
  <c r="H198" i="115" a="1"/>
  <c r="H198" i="115" s="1"/>
  <c r="G198" i="115" a="1"/>
  <c r="G198" i="115" s="1"/>
  <c r="F198" i="115" a="1"/>
  <c r="F198" i="115" s="1"/>
  <c r="E198" i="115" a="1"/>
  <c r="E198" i="115" s="1"/>
  <c r="D198" i="115" a="1"/>
  <c r="D198" i="115" s="1"/>
  <c r="H197" i="115" a="1"/>
  <c r="H197" i="115" s="1"/>
  <c r="G197" i="115" a="1"/>
  <c r="G197" i="115" s="1"/>
  <c r="F197" i="115" a="1"/>
  <c r="F197" i="115" s="1"/>
  <c r="E197" i="115" a="1"/>
  <c r="E197" i="115" s="1"/>
  <c r="D197" i="115" a="1"/>
  <c r="D197" i="115" s="1"/>
  <c r="H196" i="115" a="1"/>
  <c r="H196" i="115" s="1"/>
  <c r="G196" i="115" a="1"/>
  <c r="G196" i="115" s="1"/>
  <c r="F196" i="115" a="1"/>
  <c r="F196" i="115" s="1"/>
  <c r="E196" i="115" a="1"/>
  <c r="E196" i="115" s="1"/>
  <c r="D196" i="115" a="1"/>
  <c r="D196" i="115" s="1"/>
  <c r="H195" i="115" a="1"/>
  <c r="H195" i="115" s="1"/>
  <c r="G195" i="115" a="1"/>
  <c r="G195" i="115" s="1"/>
  <c r="F195" i="115" a="1"/>
  <c r="F195" i="115" s="1"/>
  <c r="E195" i="115" a="1"/>
  <c r="E195" i="115" s="1"/>
  <c r="D195" i="115" a="1"/>
  <c r="D195" i="115" s="1"/>
  <c r="H194" i="115" a="1"/>
  <c r="H194" i="115" s="1"/>
  <c r="G194" i="115" a="1"/>
  <c r="G194" i="115" s="1"/>
  <c r="F194" i="115" a="1"/>
  <c r="F194" i="115" s="1"/>
  <c r="E194" i="115" a="1"/>
  <c r="E194" i="115" s="1"/>
  <c r="D194" i="115" a="1"/>
  <c r="D194" i="115" s="1"/>
  <c r="H193" i="115" a="1"/>
  <c r="H193" i="115" s="1"/>
  <c r="G193" i="115" a="1"/>
  <c r="G193" i="115" s="1"/>
  <c r="F193" i="115" a="1"/>
  <c r="F193" i="115" s="1"/>
  <c r="E193" i="115" a="1"/>
  <c r="E193" i="115" s="1"/>
  <c r="D193" i="115" a="1"/>
  <c r="D193" i="115" s="1"/>
  <c r="H192" i="115" a="1"/>
  <c r="H192" i="115" s="1"/>
  <c r="G192" i="115" a="1"/>
  <c r="G192" i="115" s="1"/>
  <c r="F192" i="115" a="1"/>
  <c r="F192" i="115" s="1"/>
  <c r="E192" i="115" a="1"/>
  <c r="E192" i="115" s="1"/>
  <c r="D192" i="115" a="1"/>
  <c r="D192" i="115" s="1"/>
  <c r="H191" i="115" a="1"/>
  <c r="H191" i="115" s="1"/>
  <c r="G191" i="115" a="1"/>
  <c r="G191" i="115" s="1"/>
  <c r="F191" i="115" a="1"/>
  <c r="F191" i="115" s="1"/>
  <c r="E191" i="115" a="1"/>
  <c r="E191" i="115" s="1"/>
  <c r="D191" i="115" a="1"/>
  <c r="D191" i="115" s="1"/>
  <c r="H190" i="115" a="1"/>
  <c r="H190" i="115" s="1"/>
  <c r="G190" i="115" a="1"/>
  <c r="G190" i="115" s="1"/>
  <c r="F190" i="115" a="1"/>
  <c r="F190" i="115" s="1"/>
  <c r="E190" i="115" a="1"/>
  <c r="E190" i="115" s="1"/>
  <c r="D190" i="115" a="1"/>
  <c r="D190" i="115" s="1"/>
  <c r="H189" i="115" a="1"/>
  <c r="H189" i="115" s="1"/>
  <c r="G189" i="115" a="1"/>
  <c r="G189" i="115" s="1"/>
  <c r="F189" i="115" a="1"/>
  <c r="F189" i="115" s="1"/>
  <c r="E189" i="115" a="1"/>
  <c r="E189" i="115" s="1"/>
  <c r="D189" i="115" a="1"/>
  <c r="D189" i="115" s="1"/>
  <c r="H188" i="115" a="1"/>
  <c r="H188" i="115" s="1"/>
  <c r="G188" i="115" a="1"/>
  <c r="G188" i="115" s="1"/>
  <c r="F188" i="115" a="1"/>
  <c r="F188" i="115" s="1"/>
  <c r="E188" i="115" a="1"/>
  <c r="E188" i="115" s="1"/>
  <c r="D188" i="115" a="1"/>
  <c r="D188" i="115" s="1"/>
  <c r="H187" i="115" a="1"/>
  <c r="H187" i="115" s="1"/>
  <c r="G187" i="115" a="1"/>
  <c r="G187" i="115" s="1"/>
  <c r="F187" i="115" a="1"/>
  <c r="F187" i="115" s="1"/>
  <c r="E187" i="115" a="1"/>
  <c r="E187" i="115" s="1"/>
  <c r="D187" i="115" a="1"/>
  <c r="D187" i="115" s="1"/>
  <c r="D181" i="115" a="1"/>
  <c r="D181" i="115" s="1"/>
  <c r="D180" i="115" a="1"/>
  <c r="D180" i="115" s="1"/>
  <c r="D179" i="115" a="1"/>
  <c r="D179" i="115" s="1"/>
  <c r="D178" i="115" a="1"/>
  <c r="D178" i="115" s="1"/>
  <c r="E175" i="115" a="1"/>
  <c r="E175" i="115" s="1"/>
  <c r="D175" i="115" a="1"/>
  <c r="D175" i="115" s="1"/>
  <c r="D174" i="115" a="1"/>
  <c r="D174" i="115" s="1"/>
  <c r="D173" i="115" a="1"/>
  <c r="D173" i="115" s="1"/>
  <c r="D170" i="115" a="1"/>
  <c r="D170" i="115" s="1"/>
  <c r="D169" i="115" a="1"/>
  <c r="D169" i="115" s="1"/>
  <c r="D168" i="115" a="1"/>
  <c r="D168" i="115" s="1"/>
  <c r="D167" i="115" a="1"/>
  <c r="D167" i="115" s="1"/>
  <c r="D164" i="115" a="1"/>
  <c r="D164" i="115" s="1"/>
  <c r="D163" i="115" a="1"/>
  <c r="D163" i="115" s="1"/>
  <c r="D162" i="115" a="1"/>
  <c r="D162" i="115" s="1"/>
  <c r="D161" i="115" a="1"/>
  <c r="D161" i="115" s="1"/>
  <c r="E158" i="115" a="1"/>
  <c r="E158" i="115" s="1"/>
  <c r="D158" i="115" a="1"/>
  <c r="D158" i="115" s="1"/>
  <c r="E157" i="115" a="1"/>
  <c r="E157" i="115" s="1"/>
  <c r="D157" i="115" a="1"/>
  <c r="D157" i="115" s="1"/>
  <c r="E156" i="115" a="1"/>
  <c r="E156" i="115" s="1"/>
  <c r="D156" i="115" a="1"/>
  <c r="D156" i="115" s="1"/>
  <c r="E155" i="115" a="1"/>
  <c r="E155" i="115" s="1"/>
  <c r="D155" i="115" a="1"/>
  <c r="D155" i="115" s="1"/>
  <c r="E154" i="115" a="1"/>
  <c r="E154" i="115" s="1"/>
  <c r="D154" i="115" a="1"/>
  <c r="D154" i="115" s="1"/>
  <c r="D151" i="115" a="1"/>
  <c r="D151" i="115" s="1"/>
  <c r="D150" i="115" a="1"/>
  <c r="D150" i="115" s="1"/>
  <c r="E147" i="115" a="1"/>
  <c r="E147" i="115" s="1"/>
  <c r="D147" i="115" a="1"/>
  <c r="D147" i="115" s="1"/>
  <c r="E146" i="115" a="1"/>
  <c r="E146" i="115" s="1"/>
  <c r="D146" i="115" a="1"/>
  <c r="D146" i="115" s="1"/>
  <c r="E145" i="115" a="1"/>
  <c r="E145" i="115" s="1"/>
  <c r="D145" i="115" a="1"/>
  <c r="D145" i="115" s="1"/>
  <c r="E144" i="115" a="1"/>
  <c r="E144" i="115" s="1"/>
  <c r="D144" i="115" a="1"/>
  <c r="D144" i="115" s="1"/>
  <c r="E143" i="115" a="1"/>
  <c r="E143" i="115" s="1"/>
  <c r="D143" i="115" a="1"/>
  <c r="D143" i="115" s="1"/>
  <c r="D141" i="115" a="1"/>
  <c r="D141" i="115" s="1"/>
  <c r="D140" i="115" a="1"/>
  <c r="D140" i="115" s="1"/>
  <c r="D139" i="115" a="1"/>
  <c r="D139" i="115" s="1"/>
  <c r="E136" i="115" a="1"/>
  <c r="E136" i="115" s="1"/>
  <c r="D136" i="115" a="1"/>
  <c r="D136" i="115" s="1"/>
  <c r="E135" i="115" a="1"/>
  <c r="E135" i="115" s="1"/>
  <c r="D135" i="115" a="1"/>
  <c r="D135" i="115" s="1"/>
  <c r="D133" i="115" a="1"/>
  <c r="D133" i="115" s="1"/>
  <c r="D132" i="115" a="1"/>
  <c r="D132" i="115" s="1"/>
  <c r="E129" i="115" a="1"/>
  <c r="E129" i="115" s="1"/>
  <c r="D129" i="115" a="1"/>
  <c r="D129" i="115" s="1"/>
  <c r="E128" i="115" a="1"/>
  <c r="E128" i="115" s="1"/>
  <c r="D128" i="115" a="1"/>
  <c r="D128" i="115" s="1"/>
  <c r="D125" i="115" a="1"/>
  <c r="D125" i="115" s="1"/>
  <c r="D124" i="115" a="1"/>
  <c r="D124" i="115" s="1"/>
  <c r="G121" i="115" a="1"/>
  <c r="G121" i="115" s="1"/>
  <c r="F121" i="115" a="1"/>
  <c r="F121" i="115" s="1"/>
  <c r="E121" i="115" a="1"/>
  <c r="E121" i="115" s="1"/>
  <c r="D121" i="115" a="1"/>
  <c r="D121" i="115" s="1"/>
  <c r="G120" i="115" a="1"/>
  <c r="G120" i="115" s="1"/>
  <c r="F120" i="115" a="1"/>
  <c r="F120" i="115" s="1"/>
  <c r="E120" i="115" a="1"/>
  <c r="E120" i="115" s="1"/>
  <c r="D120" i="115" a="1"/>
  <c r="D120" i="115" s="1"/>
  <c r="D117" i="115" a="1"/>
  <c r="D117" i="115" s="1"/>
  <c r="D116" i="115" a="1"/>
  <c r="D116" i="115" s="1"/>
  <c r="D115" i="115" a="1"/>
  <c r="D115" i="115" s="1"/>
  <c r="G112" i="115" a="1"/>
  <c r="G112" i="115" s="1"/>
  <c r="F112" i="115" a="1"/>
  <c r="F112" i="115" s="1"/>
  <c r="E112" i="115" a="1"/>
  <c r="E112" i="115" s="1"/>
  <c r="D112" i="115" a="1"/>
  <c r="D112" i="115" s="1"/>
  <c r="G111" i="115" a="1"/>
  <c r="G111" i="115" s="1"/>
  <c r="F111" i="115" a="1"/>
  <c r="F111" i="115" s="1"/>
  <c r="E111" i="115" a="1"/>
  <c r="E111" i="115" s="1"/>
  <c r="D111" i="115" a="1"/>
  <c r="D111" i="115" s="1"/>
  <c r="G110" i="115" a="1"/>
  <c r="G110" i="115" s="1"/>
  <c r="F110" i="115" a="1"/>
  <c r="F110" i="115" s="1"/>
  <c r="E110" i="115" a="1"/>
  <c r="E110" i="115" s="1"/>
  <c r="D110" i="115" a="1"/>
  <c r="D110" i="115" s="1"/>
  <c r="D107" i="115" a="1"/>
  <c r="D107" i="115" s="1"/>
  <c r="D106" i="115" a="1"/>
  <c r="D106" i="115" s="1"/>
  <c r="D105" i="115" a="1"/>
  <c r="D105" i="115" s="1"/>
  <c r="D99" i="115" a="1"/>
  <c r="D99" i="115" s="1"/>
  <c r="S97" i="115" a="1"/>
  <c r="S97" i="115" s="1"/>
  <c r="R97" i="115" a="1"/>
  <c r="R97" i="115" s="1"/>
  <c r="Q97" i="115" a="1"/>
  <c r="Q97" i="115" s="1"/>
  <c r="P97" i="115" a="1"/>
  <c r="P97" i="115" s="1"/>
  <c r="O97" i="115" a="1"/>
  <c r="O97" i="115" s="1"/>
  <c r="N97" i="115" a="1"/>
  <c r="N97" i="115" s="1"/>
  <c r="M97" i="115" a="1"/>
  <c r="M97" i="115" s="1"/>
  <c r="L97" i="115" a="1"/>
  <c r="L97" i="115" s="1"/>
  <c r="K97" i="115" a="1"/>
  <c r="K97" i="115" s="1"/>
  <c r="J97" i="115" a="1"/>
  <c r="J97" i="115" s="1"/>
  <c r="I97" i="115" a="1"/>
  <c r="I97" i="115" s="1"/>
  <c r="H97" i="115" a="1"/>
  <c r="H97" i="115" s="1"/>
  <c r="G97" i="115" a="1"/>
  <c r="G97" i="115" s="1"/>
  <c r="F97" i="115" a="1"/>
  <c r="F97" i="115" s="1"/>
  <c r="E97" i="115" a="1"/>
  <c r="E97" i="115" s="1"/>
  <c r="D97" i="115" a="1"/>
  <c r="D97" i="115" s="1"/>
  <c r="S96" i="115" a="1"/>
  <c r="S96" i="115" s="1"/>
  <c r="R96" i="115" a="1"/>
  <c r="R96" i="115" s="1"/>
  <c r="Q96" i="115" a="1"/>
  <c r="Q96" i="115" s="1"/>
  <c r="P96" i="115" a="1"/>
  <c r="P96" i="115" s="1"/>
  <c r="O96" i="115" a="1"/>
  <c r="O96" i="115" s="1"/>
  <c r="N96" i="115" a="1"/>
  <c r="N96" i="115" s="1"/>
  <c r="M96" i="115" a="1"/>
  <c r="M96" i="115" s="1"/>
  <c r="L96" i="115" a="1"/>
  <c r="L96" i="115" s="1"/>
  <c r="K96" i="115" a="1"/>
  <c r="K96" i="115" s="1"/>
  <c r="J96" i="115" a="1"/>
  <c r="J96" i="115" s="1"/>
  <c r="I96" i="115" a="1"/>
  <c r="I96" i="115" s="1"/>
  <c r="H96" i="115" a="1"/>
  <c r="H96" i="115" s="1"/>
  <c r="G96" i="115" a="1"/>
  <c r="G96" i="115" s="1"/>
  <c r="F96" i="115" a="1"/>
  <c r="F96" i="115" s="1"/>
  <c r="E96" i="115" a="1"/>
  <c r="E96" i="115" s="1"/>
  <c r="D96" i="115" a="1"/>
  <c r="D96" i="115" s="1"/>
  <c r="S95" i="115" a="1"/>
  <c r="S95" i="115" s="1"/>
  <c r="R95" i="115" a="1"/>
  <c r="R95" i="115" s="1"/>
  <c r="Q95" i="115" a="1"/>
  <c r="Q95" i="115" s="1"/>
  <c r="P95" i="115" a="1"/>
  <c r="P95" i="115" s="1"/>
  <c r="O95" i="115" a="1"/>
  <c r="O95" i="115" s="1"/>
  <c r="N95" i="115" a="1"/>
  <c r="N95" i="115" s="1"/>
  <c r="M95" i="115" a="1"/>
  <c r="M95" i="115" s="1"/>
  <c r="L95" i="115" a="1"/>
  <c r="L95" i="115" s="1"/>
  <c r="K95" i="115" a="1"/>
  <c r="K95" i="115" s="1"/>
  <c r="J95" i="115" a="1"/>
  <c r="J95" i="115" s="1"/>
  <c r="I95" i="115" a="1"/>
  <c r="I95" i="115" s="1"/>
  <c r="H95" i="115" a="1"/>
  <c r="H95" i="115" s="1"/>
  <c r="G95" i="115" a="1"/>
  <c r="G95" i="115" s="1"/>
  <c r="F95" i="115" a="1"/>
  <c r="F95" i="115" s="1"/>
  <c r="E95" i="115" a="1"/>
  <c r="E95" i="115" s="1"/>
  <c r="D95" i="115" a="1"/>
  <c r="D95" i="115" s="1"/>
  <c r="S94" i="115" a="1"/>
  <c r="S94" i="115" s="1"/>
  <c r="R94" i="115" a="1"/>
  <c r="R94" i="115" s="1"/>
  <c r="Q94" i="115" a="1"/>
  <c r="Q94" i="115" s="1"/>
  <c r="P94" i="115" a="1"/>
  <c r="P94" i="115" s="1"/>
  <c r="O94" i="115" a="1"/>
  <c r="O94" i="115" s="1"/>
  <c r="N94" i="115" a="1"/>
  <c r="N94" i="115" s="1"/>
  <c r="M94" i="115" a="1"/>
  <c r="M94" i="115" s="1"/>
  <c r="L94" i="115" a="1"/>
  <c r="L94" i="115" s="1"/>
  <c r="K94" i="115" a="1"/>
  <c r="K94" i="115" s="1"/>
  <c r="J94" i="115" a="1"/>
  <c r="J94" i="115" s="1"/>
  <c r="I94" i="115" a="1"/>
  <c r="I94" i="115" s="1"/>
  <c r="H94" i="115" a="1"/>
  <c r="H94" i="115" s="1"/>
  <c r="G94" i="115" a="1"/>
  <c r="G94" i="115" s="1"/>
  <c r="F94" i="115" a="1"/>
  <c r="F94" i="115" s="1"/>
  <c r="E94" i="115" a="1"/>
  <c r="E94" i="115" s="1"/>
  <c r="D94" i="115" a="1"/>
  <c r="D94" i="115" s="1"/>
  <c r="S93" i="115" a="1"/>
  <c r="S93" i="115" s="1"/>
  <c r="R93" i="115" a="1"/>
  <c r="R93" i="115" s="1"/>
  <c r="Q93" i="115" a="1"/>
  <c r="Q93" i="115" s="1"/>
  <c r="P93" i="115" a="1"/>
  <c r="P93" i="115" s="1"/>
  <c r="O93" i="115" a="1"/>
  <c r="O93" i="115" s="1"/>
  <c r="N93" i="115" a="1"/>
  <c r="N93" i="115" s="1"/>
  <c r="M93" i="115" a="1"/>
  <c r="M93" i="115" s="1"/>
  <c r="L93" i="115" a="1"/>
  <c r="L93" i="115" s="1"/>
  <c r="K93" i="115" a="1"/>
  <c r="K93" i="115" s="1"/>
  <c r="J93" i="115" a="1"/>
  <c r="J93" i="115" s="1"/>
  <c r="I93" i="115" a="1"/>
  <c r="I93" i="115" s="1"/>
  <c r="H93" i="115" a="1"/>
  <c r="H93" i="115" s="1"/>
  <c r="G93" i="115" a="1"/>
  <c r="G93" i="115" s="1"/>
  <c r="F93" i="115" a="1"/>
  <c r="F93" i="115" s="1"/>
  <c r="E93" i="115" a="1"/>
  <c r="E93" i="115" s="1"/>
  <c r="D93" i="115" a="1"/>
  <c r="D93" i="115" s="1"/>
  <c r="S92" i="115" a="1"/>
  <c r="S92" i="115" s="1"/>
  <c r="R92" i="115" a="1"/>
  <c r="R92" i="115" s="1"/>
  <c r="Q92" i="115" a="1"/>
  <c r="Q92" i="115" s="1"/>
  <c r="P92" i="115" a="1"/>
  <c r="P92" i="115" s="1"/>
  <c r="O92" i="115" a="1"/>
  <c r="O92" i="115" s="1"/>
  <c r="N92" i="115" a="1"/>
  <c r="N92" i="115" s="1"/>
  <c r="M92" i="115" a="1"/>
  <c r="M92" i="115" s="1"/>
  <c r="L92" i="115" a="1"/>
  <c r="L92" i="115" s="1"/>
  <c r="K92" i="115" a="1"/>
  <c r="K92" i="115" s="1"/>
  <c r="J92" i="115" a="1"/>
  <c r="J92" i="115" s="1"/>
  <c r="I92" i="115" a="1"/>
  <c r="I92" i="115" s="1"/>
  <c r="H92" i="115" a="1"/>
  <c r="H92" i="115" s="1"/>
  <c r="G92" i="115" a="1"/>
  <c r="G92" i="115" s="1"/>
  <c r="F92" i="115" a="1"/>
  <c r="F92" i="115" s="1"/>
  <c r="E92" i="115" a="1"/>
  <c r="E92" i="115" s="1"/>
  <c r="D92" i="115" a="1"/>
  <c r="D92" i="115" s="1"/>
  <c r="S91" i="115" a="1"/>
  <c r="S91" i="115" s="1"/>
  <c r="R91" i="115" a="1"/>
  <c r="R91" i="115" s="1"/>
  <c r="Q91" i="115" a="1"/>
  <c r="Q91" i="115" s="1"/>
  <c r="P91" i="115" a="1"/>
  <c r="P91" i="115" s="1"/>
  <c r="O91" i="115" a="1"/>
  <c r="O91" i="115" s="1"/>
  <c r="N91" i="115" a="1"/>
  <c r="N91" i="115" s="1"/>
  <c r="M91" i="115" a="1"/>
  <c r="M91" i="115" s="1"/>
  <c r="L91" i="115" a="1"/>
  <c r="L91" i="115" s="1"/>
  <c r="K91" i="115" a="1"/>
  <c r="K91" i="115" s="1"/>
  <c r="J91" i="115" a="1"/>
  <c r="J91" i="115" s="1"/>
  <c r="I91" i="115" a="1"/>
  <c r="I91" i="115" s="1"/>
  <c r="H91" i="115" a="1"/>
  <c r="H91" i="115" s="1"/>
  <c r="G91" i="115" a="1"/>
  <c r="G91" i="115" s="1"/>
  <c r="F91" i="115" a="1"/>
  <c r="F91" i="115" s="1"/>
  <c r="E91" i="115" a="1"/>
  <c r="E91" i="115" s="1"/>
  <c r="D91" i="115" a="1"/>
  <c r="D91" i="115" s="1"/>
  <c r="S90" i="115" a="1"/>
  <c r="S90" i="115" s="1"/>
  <c r="R90" i="115" a="1"/>
  <c r="R90" i="115" s="1"/>
  <c r="Q90" i="115" a="1"/>
  <c r="Q90" i="115" s="1"/>
  <c r="P90" i="115" a="1"/>
  <c r="P90" i="115" s="1"/>
  <c r="O90" i="115" a="1"/>
  <c r="O90" i="115" s="1"/>
  <c r="N90" i="115" a="1"/>
  <c r="N90" i="115" s="1"/>
  <c r="M90" i="115" a="1"/>
  <c r="M90" i="115" s="1"/>
  <c r="L90" i="115" a="1"/>
  <c r="L90" i="115" s="1"/>
  <c r="K90" i="115" a="1"/>
  <c r="K90" i="115" s="1"/>
  <c r="J90" i="115" a="1"/>
  <c r="J90" i="115" s="1"/>
  <c r="I90" i="115" a="1"/>
  <c r="I90" i="115" s="1"/>
  <c r="H90" i="115" a="1"/>
  <c r="H90" i="115" s="1"/>
  <c r="G90" i="115" a="1"/>
  <c r="G90" i="115" s="1"/>
  <c r="F90" i="115" a="1"/>
  <c r="F90" i="115" s="1"/>
  <c r="E90" i="115" a="1"/>
  <c r="E90" i="115" s="1"/>
  <c r="D90" i="115" a="1"/>
  <c r="D90" i="115" s="1"/>
  <c r="D83" i="115" a="1"/>
  <c r="D83" i="115" s="1"/>
  <c r="D82" i="115" a="1"/>
  <c r="D82" i="115" s="1"/>
  <c r="D81" i="115" a="1"/>
  <c r="D81" i="115" s="1"/>
  <c r="E77" i="115" a="1"/>
  <c r="E77" i="115" s="1"/>
  <c r="D77" i="115" a="1"/>
  <c r="D77" i="115" s="1"/>
  <c r="E76" i="115" a="1"/>
  <c r="E76" i="115" s="1"/>
  <c r="D76" i="115" a="1"/>
  <c r="D76" i="115" s="1"/>
  <c r="E75" i="115" a="1"/>
  <c r="E75" i="115" s="1"/>
  <c r="D75" i="115" a="1"/>
  <c r="D75" i="115" s="1"/>
  <c r="E74" i="115" a="1"/>
  <c r="E74" i="115" s="1"/>
  <c r="D74" i="115" a="1"/>
  <c r="D74" i="115" s="1"/>
  <c r="E73" i="115" a="1"/>
  <c r="E73" i="115" s="1"/>
  <c r="D73" i="115" a="1"/>
  <c r="D73" i="115" s="1"/>
  <c r="E72" i="115" a="1"/>
  <c r="E72" i="115" s="1"/>
  <c r="D72" i="115" a="1"/>
  <c r="D72" i="115" s="1"/>
  <c r="E71" i="115" a="1"/>
  <c r="E71" i="115" s="1"/>
  <c r="D71" i="115" a="1"/>
  <c r="D71" i="115" s="1"/>
  <c r="E70" i="115" a="1"/>
  <c r="E70" i="115" s="1"/>
  <c r="D70" i="115" a="1"/>
  <c r="D70" i="115" s="1"/>
  <c r="E69" i="115" a="1"/>
  <c r="E69" i="115" s="1"/>
  <c r="D69" i="115" a="1"/>
  <c r="D69" i="115" s="1"/>
  <c r="E68" i="115" a="1"/>
  <c r="E68" i="115" s="1"/>
  <c r="D68" i="115" a="1"/>
  <c r="D68" i="115" s="1"/>
  <c r="E67" i="115" a="1"/>
  <c r="E67" i="115" s="1"/>
  <c r="D67" i="115" a="1"/>
  <c r="D67" i="115" s="1"/>
  <c r="E66" i="115" a="1"/>
  <c r="E66" i="115" s="1"/>
  <c r="D66" i="115" a="1"/>
  <c r="D66" i="115" s="1"/>
  <c r="E65" i="115" a="1"/>
  <c r="E65" i="115" s="1"/>
  <c r="D65" i="115" a="1"/>
  <c r="D65" i="115" s="1"/>
  <c r="E64" i="115" a="1"/>
  <c r="E64" i="115" s="1"/>
  <c r="D64" i="115" a="1"/>
  <c r="D64" i="115" s="1"/>
  <c r="D59" i="115" a="1"/>
  <c r="D59" i="115" s="1"/>
  <c r="D58" i="115" a="1"/>
  <c r="D58" i="115" s="1"/>
  <c r="D57" i="115" a="1"/>
  <c r="D57" i="115" s="1"/>
  <c r="G54" i="115" a="1"/>
  <c r="G54" i="115" s="1"/>
  <c r="F54" i="115" a="1"/>
  <c r="F54" i="115" s="1"/>
  <c r="E54" i="115" a="1"/>
  <c r="E54" i="115" s="1"/>
  <c r="D54" i="115" a="1"/>
  <c r="D54" i="115" s="1"/>
  <c r="G53" i="115" a="1"/>
  <c r="G53" i="115" s="1"/>
  <c r="F53" i="115" a="1"/>
  <c r="F53" i="115" s="1"/>
  <c r="E53" i="115" a="1"/>
  <c r="E53" i="115" s="1"/>
  <c r="D53" i="115" a="1"/>
  <c r="D53" i="115" s="1"/>
  <c r="G52" i="115" a="1"/>
  <c r="G52" i="115" s="1"/>
  <c r="F52" i="115" a="1"/>
  <c r="F52" i="115" s="1"/>
  <c r="E52" i="115" a="1"/>
  <c r="E52" i="115" s="1"/>
  <c r="D52" i="115" a="1"/>
  <c r="D52" i="115" s="1"/>
  <c r="G51" i="115" a="1"/>
  <c r="G51" i="115" s="1"/>
  <c r="F51" i="115" a="1"/>
  <c r="F51" i="115" s="1"/>
  <c r="E51" i="115" a="1"/>
  <c r="E51" i="115" s="1"/>
  <c r="D51" i="115" a="1"/>
  <c r="D51" i="115" s="1"/>
  <c r="G50" i="115" a="1"/>
  <c r="G50" i="115" s="1"/>
  <c r="F50" i="115" a="1"/>
  <c r="F50" i="115" s="1"/>
  <c r="E50" i="115" a="1"/>
  <c r="E50" i="115" s="1"/>
  <c r="D50" i="115" a="1"/>
  <c r="D50" i="115" s="1"/>
  <c r="G49" i="115" a="1"/>
  <c r="G49" i="115" s="1"/>
  <c r="F49" i="115" a="1"/>
  <c r="F49" i="115" s="1"/>
  <c r="E49" i="115" a="1"/>
  <c r="E49" i="115" s="1"/>
  <c r="D49" i="115" a="1"/>
  <c r="D49" i="115" s="1"/>
  <c r="G48" i="115" a="1"/>
  <c r="G48" i="115" s="1"/>
  <c r="F48" i="115" a="1"/>
  <c r="F48" i="115" s="1"/>
  <c r="E48" i="115" a="1"/>
  <c r="E48" i="115" s="1"/>
  <c r="D48" i="115" a="1"/>
  <c r="D48" i="115" s="1"/>
  <c r="D46" i="115"/>
  <c r="D46" i="115" a="1"/>
  <c r="D45" i="115"/>
  <c r="D45" i="115" a="1"/>
  <c r="E43" i="115" a="1"/>
  <c r="E43" i="115" s="1"/>
  <c r="D43" i="115" a="1"/>
  <c r="D43" i="115" s="1"/>
  <c r="E42" i="115" a="1"/>
  <c r="E42" i="115" s="1"/>
  <c r="D42" i="115" a="1"/>
  <c r="D42" i="115" s="1"/>
  <c r="E41" i="115" a="1"/>
  <c r="E41" i="115" s="1"/>
  <c r="D41" i="115" a="1"/>
  <c r="D41" i="115" s="1"/>
  <c r="E40" i="115" a="1"/>
  <c r="E40" i="115" s="1"/>
  <c r="D40" i="115" a="1"/>
  <c r="D40" i="115" s="1"/>
  <c r="E39" i="115" a="1"/>
  <c r="E39" i="115" s="1"/>
  <c r="D39" i="115" a="1"/>
  <c r="D39" i="115" s="1"/>
  <c r="E38" i="115" a="1"/>
  <c r="E38" i="115" s="1"/>
  <c r="D38" i="115" a="1"/>
  <c r="D38" i="115" s="1"/>
  <c r="E37" i="115" a="1"/>
  <c r="E37" i="115" s="1"/>
  <c r="D37" i="115" a="1"/>
  <c r="D37" i="115" s="1"/>
  <c r="D35" i="115"/>
  <c r="D35" i="115" a="1"/>
  <c r="D34" i="115" a="1"/>
  <c r="D34"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19" i="115"/>
  <c r="D19" i="115" a="1"/>
  <c r="D18" i="115"/>
  <c r="D18" i="115" a="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F9" i="115" a="1"/>
  <c r="F9" i="115" s="1"/>
  <c r="E9" i="115" a="1"/>
  <c r="E9" i="115" s="1"/>
  <c r="D9" i="115" a="1"/>
  <c r="D9" i="115" s="1"/>
  <c r="F8" i="115" a="1"/>
  <c r="F8" i="115" s="1"/>
  <c r="E8" i="115" a="1"/>
  <c r="E8" i="115" s="1"/>
  <c r="D8" i="115" a="1"/>
  <c r="D8" i="115" s="1"/>
  <c r="F7" i="115" a="1"/>
  <c r="F7" i="115" s="1"/>
  <c r="E7" i="115" a="1"/>
  <c r="E7" i="115" s="1"/>
  <c r="D7" i="115" a="1"/>
  <c r="D7" i="115" s="1"/>
  <c r="D5" i="115"/>
  <c r="D5" i="115" a="1"/>
  <c r="I41" i="107"/>
  <c r="I92" i="97"/>
  <c r="G46" i="79"/>
  <c r="G45" i="79"/>
  <c r="F100" i="105"/>
  <c r="F99" i="105"/>
  <c r="F98" i="105"/>
  <c r="F97" i="105"/>
  <c r="F96" i="105"/>
  <c r="F95" i="105"/>
  <c r="F94" i="105"/>
  <c r="F93" i="105"/>
  <c r="F92" i="105"/>
  <c r="F91" i="105"/>
  <c r="F90" i="105"/>
  <c r="F89" i="105"/>
  <c r="F88" i="105"/>
  <c r="F87" i="105"/>
  <c r="F86" i="105"/>
  <c r="E37" i="108"/>
  <c r="E32" i="107"/>
  <c r="E83" i="97"/>
  <c r="H50" i="115" l="1"/>
  <c r="H53" i="115"/>
  <c r="H54" i="115"/>
  <c r="H52" i="115"/>
  <c r="H51" i="115"/>
  <c r="H48" i="115"/>
  <c r="H49" i="115"/>
  <c r="N28" i="108"/>
  <c r="D28" i="108"/>
  <c r="N23" i="108"/>
  <c r="D23" i="108"/>
  <c r="I18" i="108"/>
  <c r="I17"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7"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127" i="105" a="1"/>
  <c r="E7" i="106" a="1"/>
  <c r="E7" i="108" a="1"/>
  <c r="E7" i="107" a="1"/>
  <c r="E7" i="105"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179" i="69" a="1"/>
  <c r="E7" i="97" a="1"/>
  <c r="E7" i="69" a="1"/>
  <c r="E117" i="76" a="1"/>
  <c r="E44" i="69" a="1"/>
  <c r="E7" i="98" a="1"/>
  <c r="E7" i="76" a="1"/>
  <c r="E88" i="76" a="1"/>
  <c r="E95" i="69" a="1"/>
  <c r="E42" i="98" a="1"/>
  <c r="E124" i="69" a="1"/>
  <c r="E36" i="76" a="1"/>
  <c r="E59" i="76" a="1"/>
  <c r="E209" i="76" a="1"/>
  <c r="E158" i="76" a="1"/>
  <c r="G20" i="69" l="1"/>
  <c r="G20" i="76"/>
  <c r="P20" i="69"/>
  <c r="P20" i="76"/>
  <c r="I15" i="108"/>
  <c r="I15" i="98"/>
  <c r="N20" i="69"/>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N35" i="69" a="1"/>
  <c r="N35" i="69" s="1"/>
  <c r="H21" i="70"/>
  <c r="F17" i="70"/>
  <c r="E25" i="69" s="1"/>
  <c r="G17" i="70"/>
  <c r="F25" i="69" s="1"/>
  <c r="H17" i="70"/>
  <c r="E17" i="70"/>
  <c r="D25" i="69" s="1"/>
  <c r="E68" i="69"/>
  <c r="F68" i="69"/>
  <c r="E16" i="70"/>
  <c r="F16" i="70"/>
  <c r="G16" i="70"/>
  <c r="E110" i="69" a="1"/>
  <c r="E110" i="69" s="1"/>
  <c r="P35" i="69" a="1"/>
  <c r="P35" i="69" s="1"/>
  <c r="E44" i="69"/>
  <c r="R35" i="69"/>
  <c r="E7" i="69"/>
  <c r="Q20" i="69" l="1"/>
  <c r="Q20" i="76"/>
  <c r="E20" i="69"/>
  <c r="E20" i="76"/>
  <c r="E30" i="76" s="1" a="1"/>
  <c r="E30" i="76" s="1"/>
  <c r="E53" i="76" s="1" a="1"/>
  <c r="E53" i="76" s="1"/>
  <c r="E82" i="76" s="1" a="1"/>
  <c r="E82" i="76" s="1"/>
  <c r="F109" i="76" s="1" a="1"/>
  <c r="F109" i="76" s="1"/>
  <c r="G25" i="69"/>
  <c r="G35" i="69" s="1" a="1"/>
  <c r="G35" i="69" s="1"/>
  <c r="F20" i="69"/>
  <c r="F20" i="76"/>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F35" i="69" a="1"/>
  <c r="F35" i="69" s="1"/>
  <c r="G116" i="69" s="1" a="1"/>
  <c r="G116" i="69" s="1"/>
  <c r="F30" i="76" a="1"/>
  <c r="F30" i="76" s="1"/>
  <c r="F53" i="76" s="1" a="1"/>
  <c r="F53" i="76" s="1"/>
  <c r="F82" i="76" s="1" a="1"/>
  <c r="F82" i="76" s="1"/>
  <c r="E35" i="69" a="1"/>
  <c r="E35" i="69" s="1"/>
  <c r="F116" i="69" s="1" a="1"/>
  <c r="F116" i="69" s="1"/>
  <c r="G30" i="76" a="1"/>
  <c r="G30" i="76" s="1"/>
  <c r="G53" i="76" s="1" a="1"/>
  <c r="G53" i="76" s="1"/>
  <c r="G82" i="76" s="1" a="1"/>
  <c r="G82" i="76" s="1"/>
  <c r="H111" i="76" s="1" a="1"/>
  <c r="H111" i="76" s="1"/>
  <c r="Q35" i="69" a="1"/>
  <c r="Q35" i="69" s="1"/>
  <c r="Q30" i="76" a="1"/>
  <c r="Q30" i="76" s="1"/>
  <c r="Q53" i="76" s="1" a="1"/>
  <c r="Q53" i="76" s="1"/>
  <c r="Q82" i="76" s="1" a="1"/>
  <c r="Q82"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Q26" i="97"/>
  <c r="Q22" i="105"/>
  <c r="Q27" i="98"/>
  <c r="H152" i="76" a="1"/>
  <c r="H152" i="76" s="1"/>
  <c r="I24" i="97"/>
  <c r="I59" i="97" s="1" a="1"/>
  <c r="I59" i="97" s="1"/>
  <c r="P26" i="97"/>
  <c r="R152" i="76" a="1"/>
  <c r="R152" i="76" s="1"/>
  <c r="S201" i="76" s="1" a="1"/>
  <c r="S201" i="76" s="1"/>
  <c r="S24" i="97"/>
  <c r="S59" i="97" s="1" a="1"/>
  <c r="S59" i="97" s="1"/>
  <c r="R23" i="108"/>
  <c r="R20" i="106"/>
  <c r="Q19" i="107"/>
  <c r="Q24" i="107" s="1" a="1"/>
  <c r="Q24" i="107" s="1"/>
  <c r="N26" i="107" s="1"/>
  <c r="R38" i="107" s="1"/>
  <c r="N45" i="107" s="1" a="1"/>
  <c r="N45" i="107" s="1"/>
  <c r="F12" i="13" s="1"/>
  <c r="S25" i="97"/>
  <c r="S60" i="97" s="1" a="1"/>
  <c r="S60" i="97" s="1"/>
  <c r="F150" i="76" a="1"/>
  <c r="F150" i="76" s="1"/>
  <c r="G193" i="76" s="1" a="1"/>
  <c r="G193" i="76" s="1"/>
  <c r="G22" i="97"/>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G57" i="97" a="1"/>
  <c r="G57" i="97" s="1"/>
  <c r="P36" i="105" l="1"/>
  <c r="Q26" i="105"/>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P156" i="105" a="1"/>
  <c r="P156" i="105" s="1"/>
  <c r="P203" i="105" a="1"/>
  <c r="P203" i="105" s="1"/>
  <c r="P119" i="105" a="1"/>
  <c r="P119" i="105" s="1"/>
  <c r="G30" i="97"/>
  <c r="G26" i="105"/>
  <c r="I202" i="76" a="1"/>
  <c r="I202" i="76" s="1"/>
  <c r="I35" i="105" s="1"/>
  <c r="I118" i="105" s="1" a="1"/>
  <c r="I118" i="105" s="1"/>
  <c r="I203" i="76" a="1"/>
  <c r="I203" i="76" s="1"/>
  <c r="I193" i="76" a="1"/>
  <c r="I193" i="76" s="1"/>
  <c r="F200" i="76" a="1"/>
  <c r="F200" i="76" s="1"/>
  <c r="F33" i="105" s="1"/>
  <c r="F203" i="76" a="1"/>
  <c r="F203" i="76" s="1"/>
  <c r="Q109" i="105" a="1"/>
  <c r="Q109" i="105" s="1"/>
  <c r="Q146" i="105" a="1"/>
  <c r="Q146" i="105" s="1"/>
  <c r="Q193" i="105" a="1"/>
  <c r="Q193" i="105"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S40" i="97" l="1"/>
  <c r="S30" i="97"/>
  <c r="S23" i="105"/>
  <c r="S190" i="105" s="1" a="1"/>
  <c r="S190" i="105" s="1"/>
  <c r="S31" i="97"/>
  <c r="S66" i="97" s="1" a="1"/>
  <c r="S66" i="97" s="1"/>
  <c r="H26" i="97"/>
  <c r="H61" i="97" s="1" a="1"/>
  <c r="H61" i="97" s="1"/>
  <c r="H22" i="105"/>
  <c r="H27" i="98"/>
  <c r="I26" i="97"/>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I61" i="97" a="1"/>
  <c r="I61" i="97" s="1"/>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E9" i="13"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G35" i="97" l="1"/>
  <c r="G31" i="105"/>
  <c r="Q31" i="105"/>
  <c r="Q35" i="97"/>
  <c r="I35" i="97"/>
  <c r="I31" i="105"/>
  <c r="S31" i="105"/>
  <c r="S35" i="97"/>
  <c r="P198" i="76" a="1"/>
  <c r="P198" i="76" s="1"/>
  <c r="F198" i="76" a="1"/>
  <c r="F198" i="76" s="1"/>
  <c r="P168" i="69" a="1"/>
  <c r="P168" i="69" s="1"/>
  <c r="P215" i="69" s="1" a="1"/>
  <c r="P215" i="69" s="1"/>
  <c r="O222" i="69" s="1"/>
  <c r="F7" i="13" s="1"/>
  <c r="F168" i="69" a="1"/>
  <c r="F168" i="69" s="1"/>
  <c r="F215" i="69" s="1" a="1"/>
  <c r="F215" i="69" s="1"/>
  <c r="E222" i="69" s="1"/>
  <c r="E7" i="13" s="1"/>
  <c r="H31" i="105"/>
  <c r="H35" i="97"/>
  <c r="R31" i="105"/>
  <c r="R35" i="97"/>
  <c r="O245" i="76"/>
  <c r="F8" i="13" s="1"/>
  <c r="E245" i="76"/>
  <c r="E8" i="13" s="1"/>
  <c r="E30" i="108"/>
  <c r="J43" i="108" s="1"/>
  <c r="E47" i="108" s="1" a="1"/>
  <c r="E47" i="108" s="1"/>
  <c r="E13" i="13" s="1"/>
  <c r="O30" i="108"/>
  <c r="T43" i="108" s="1"/>
  <c r="O47" i="108" s="1" a="1"/>
  <c r="O47" i="108" s="1"/>
  <c r="F13" i="13" s="1"/>
  <c r="O96" i="97" a="1"/>
  <c r="O96" i="97" s="1"/>
  <c r="N50" i="107" a="1"/>
  <c r="N50" i="107" s="1"/>
  <c r="I12" i="13" s="1"/>
  <c r="E101" i="97" a="1"/>
  <c r="E101" i="97" s="1"/>
  <c r="H9" i="13" s="1"/>
  <c r="E45" i="107" a="1"/>
  <c r="E45" i="107" s="1"/>
  <c r="E12" i="13"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O101" i="97" l="1" a="1"/>
  <c r="O101" i="97" s="1"/>
  <c r="I9" i="13" s="1"/>
  <c r="F9" i="13"/>
  <c r="E59" i="98"/>
  <c r="E10" i="13" s="1"/>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50" i="107" a="1"/>
  <c r="E50" i="107" s="1"/>
  <c r="H12" i="13" s="1"/>
  <c r="O52" i="108" a="1"/>
  <c r="O52" i="108" s="1"/>
  <c r="I13" i="13" s="1"/>
  <c r="E52" i="108" a="1"/>
  <c r="E52" i="108" s="1"/>
  <c r="H13" i="13" s="1"/>
  <c r="O227" i="69" a="1"/>
  <c r="O227" i="69" s="1"/>
  <c r="I7" i="13" s="1"/>
  <c r="O250" i="76" a="1"/>
  <c r="O250" i="76" s="1"/>
  <c r="I8" i="13" s="1"/>
  <c r="E250" i="76" a="1"/>
  <c r="E250" i="76" s="1"/>
  <c r="H8" i="13" s="1"/>
  <c r="E227" i="69" a="1"/>
  <c r="E227" i="69" s="1"/>
  <c r="H7" i="13" s="1"/>
  <c r="E27" i="106"/>
  <c r="E11" i="13" s="1"/>
  <c r="O59" i="98"/>
  <c r="F10" i="13" s="1"/>
  <c r="O27" i="106"/>
  <c r="F11" i="13" s="1"/>
  <c r="P198" i="105" l="1"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E64" i="98" a="1"/>
  <c r="E64" i="98" s="1"/>
  <c r="H10" i="13" s="1"/>
  <c r="O32" i="106" a="1"/>
  <c r="O32" i="106" s="1"/>
  <c r="I11" i="13" s="1"/>
  <c r="O64" i="98" a="1"/>
  <c r="O64" i="98" s="1"/>
  <c r="I10" i="13" s="1"/>
  <c r="E32" i="106" a="1"/>
  <c r="E32" i="106" s="1"/>
  <c r="H1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<sst xmlns="http://schemas.openxmlformats.org/spreadsheetml/2006/main" count="1192" uniqueCount="386">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</sst>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2"/>
      <tableStyleElement type="headerRow" dxfId="101"/>
      <tableStyleElement type="totalRow" dxfId="100"/>
      <tableStyleElement type="firstColumn" dxfId="99"/>
      <tableStyleElement type="firstRowStripe" dxfId="98"/>
      <tableStyleElement type="secondRowStripe" dxfId="97"/>
    </tableStyle>
    <tableStyle name="Equation table" pivot="0" count="6" xr9:uid="{B247698E-E41D-4CCD-AA0A-C14817E9DE65}">
      <tableStyleElement type="wholeTable" dxfId="96"/>
      <tableStyleElement type="headerRow" dxfId="95"/>
      <tableStyleElement type="totalRow" dxfId="94"/>
      <tableStyleElement type="firstColumn" dxfId="93"/>
      <tableStyleElement type="firstRowStripe" dxfId="92"/>
      <tableStyleElement type="secondRowStripe" dxfId="91"/>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4_3_ManureManagement_Dairy_WIP_v12.xlsx" TargetMode="External"/><Relationship Id="rId1" Type="http://schemas.openxmlformats.org/officeDocument/2006/relationships/externalLinkPath" Target="4_3_ManureManagement_Dairy_WIP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Overview"/>
      <sheetName val="Results"/>
      <sheetName val="Input - Site"/>
      <sheetName val="Input - Dairy"/>
      <sheetName val="4.3.1.1-2 Methane"/>
      <sheetName val="4.3.1.3-4 Direct N20"/>
      <sheetName val="4.3.1.5 Atmos deposition"/>
      <sheetName val="4.3.1.6-7 Leaching and runoff"/>
      <sheetName val="4.3.1.8 Manure applied to soils"/>
      <sheetName val="4.3.1.9 Soil direct N2O"/>
      <sheetName val="4.3.1.10-11 Soil Atmos Dep"/>
      <sheetName val="4.3.1.12-13 Soil leach runoff"/>
      <sheetName val="Constants - Dairy"/>
      <sheetName val="Constants - Common"/>
      <sheetName val="Constants -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187">
          <cell r="F187" t="str">
            <v>Pasture</v>
          </cell>
        </row>
        <row r="188">
          <cell r="F188" t="str">
            <v>Crop</v>
          </cell>
        </row>
      </sheetData>
      <sheetData sheetId="15"/>
      <sheetData sheetId="16"/>
      <sheetData sheetId="17"/>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44B4F27-B49C-4226-B998-45FBABD0EE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967701E-FAC7-4F29-918C-48A18EE4E7CB}" name="State/Territory">
      <calculatedColumnFormula array="1">Common_InputFunctions.Utility_DisplayArrayInTable(Common_SourceData.Common_SourceData_AustralianStatesTerritories_Data(),Table_AustralianStates[[#Headers],[State/Territory]],0)</calculatedColumnFormula>
    </tableColumn>
    <tableColumn id="2" xr3:uid="{6841455F-7491-4364-B5D2-63CEF512C1F9}" name="Common Name">
      <calculatedColumnFormula array="1">Common_InputFunctions.Utility_DisplayArrayInTable(Common_SourceData.Common_SourceData_AustralianStatesTerritories_Data(),Table_AustralianStates[[#Headers],[State/Territory]],0)</calculatedColumnFormula>
    </tableColumn>
    <tableColumn id="3" xr3:uid="{2375EE4B-6557-412B-A1AD-39D46BD53B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D69B8A-07B9-4911-B768-10D78489FE35}" name="Table_WASA4Areas" displayName="Table_WASA4Areas" ref="D20:D30" totalsRowShown="0">
  <autoFilter ref="D20:D30" xr:uid="{5FA81339-C6C8-4D36-BEEA-6C4AEDD9E676}">
    <filterColumn colId="0" hiddenButton="1"/>
  </autoFilter>
  <tableColumns count="1">
    <tableColumn id="1" xr3:uid="{AEF36495-B18F-4018-AFDE-7B138EEB882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95AB419-EEBA-4473-A166-8A5FEA22931B}" name="Table_GWPData" displayName="Table_GWPData" ref="D36:E43" totalsRowShown="0">
  <autoFilter ref="D36:E43" xr:uid="{B8E87A66-3E41-4AD3-925D-01EE21B43D7A}">
    <filterColumn colId="0" hiddenButton="1"/>
    <filterColumn colId="1" hiddenButton="1"/>
  </autoFilter>
  <tableColumns count="2">
    <tableColumn id="1" xr3:uid="{3C06568A-316A-4CDF-BA2E-847397526526}" name="Gas">
      <calculatedColumnFormula array="1">Common_InputFunctions.Utility_DisplayArrayInTable(Common_SourceData.Common_SourceData_GWP_Data(), Table_GWPData[[#Headers],[Gas]], 0)</calculatedColumnFormula>
    </tableColumn>
    <tableColumn id="2" xr3:uid="{3A2B0B55-03B9-4985-810A-3324BF451A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4F6376C-DBEE-4639-B1F4-79277C2B7F1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6C550881-DC9C-4359-B0EC-423F64FE69E4}" name="Gas">
      <calculatedColumnFormula array="1">Common_InputFunctions.Utility_DisplayArrayInTable(Common_SourceData.Common_SourceData_ConvertGasElementalToMolecular_Data(),Table_GasToMolecularConversionFactor[[#Headers],[Gas]], 0)</calculatedColumnFormula>
    </tableColumn>
    <tableColumn id="5" xr3:uid="{53F6421A-82D2-4C13-8B99-F958DD255681}" name="Conversion factor">
      <calculatedColumnFormula array="1">Common_InputFunctions.Utility_DisplayArrayInTable(Common_SourceData.Common_SourceData_ConvertGasElementalToMolecular_Data(),Table_GasToMolecularConversionFactor[[#Headers],[Gas]], 0)</calculatedColumnFormula>
    </tableColumn>
    <tableColumn id="2" xr3:uid="{11424B68-4DE3-46BB-B5AD-CCFB4C9C49A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D02E594-3AEE-4B8F-A513-E75FBEBEA65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70B6CDA-5E83-4809-90A0-4D6A5970A3D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5ACB6B-89F0-49A7-825C-DE2CDB79CB0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2547574-694E-40B9-9D15-488619AD7B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BD0B0CD-9843-4A5F-8F75-5C7C7910CC28}" name="MAT"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3" xr3:uid="{D11EBAC0-E405-4263-B3C1-FFA851B7B5E4}" name="MAP"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4" xr3:uid="{426AA30E-76F4-407B-B12B-67DCB9A85011}" name="Frost days per year"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5" xr3:uid="{50B8785E-0E4E-46F0-8FA0-0C0DE386FAAC}" name="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6" xr3:uid="{261BD055-36C6-4700-BDCF-19F20B95B696}" name="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7" xr3:uid="{3594F46E-8E46-4BED-9AEA-2FF09120E532}" name="Min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8" xr3:uid="{CEB34EA6-41C7-4758-BF63-A8DB7EC53670}" name="Max tem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9" xr3:uid="{CCB8A3C7-49E2-46E8-8AA7-CA8BA28313CE}" name="Min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0" xr3:uid="{48989E1A-31B2-42CB-BC53-37A7D18FD349}" name="Max rainfall"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1" xr3:uid="{1D388F0F-00B9-45CC-A922-8E8B1A417161}" name="Min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5" xr3:uid="{43670A42-089F-4258-B94A-1AD9DEE71110}" name="Max frost days"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2" xr3:uid="{3970DDF5-4710-4284-851C-3C7BF0AE7FFE}" name="Min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6" xr3:uid="{D21F43B1-9117-4F16-9C00-A8055E1E6A37}" name="Max elevation"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3" xr3:uid="{B024332D-3670-4AF1-B346-918D7E407C73}" name="Min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7" xr3:uid="{70925333-7DE5-4F50-8E2E-2C5057DA22EA}" name="Max MAP:PET" totalsRowDxfId="7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CFD2A0E-778A-4DE0-A9F0-74A11E8DFD7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AC8DD8-1050-4522-87CD-550F2BFC1E8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0A77C0B-3B44-4691-8CF5-F9009A3FEC6D}" name="Wet or Dry Zone" totalsRowDxfId="7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B760472-0EF8-4E76-8A9B-09007B7D1A5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971A27D-5DA5-4859-90B5-681E56D1616B}" name="Temperature Zone">
      <calculatedColumnFormula array="1">Common_InputFunctions.Utility_DisplayArrayInTable(Common_SourceData.Common_SourceData_TemperatureZones_Data(),Table_SourceData_TemperatureZones[[#Headers],[Temperature Zone]],0)</calculatedColumnFormula>
    </tableColumn>
    <tableColumn id="2" xr3:uid="{CF2C26CF-61CD-4069-BF7D-EDF5885D0FAE}" name="MAT">
      <calculatedColumnFormula array="1">Common_InputFunctions.Utility_DisplayArrayInTable(Common_SourceData.Common_SourceData_TemperatureZones_Data(),Table_SourceData_TemperatureZones[[#Headers],[Temperature Zone]],0)</calculatedColumnFormula>
    </tableColumn>
    <tableColumn id="3" xr3:uid="{38C24D2E-B9F1-4F8E-895B-0F0CB0AF12A7}" name="Min MAT">
      <calculatedColumnFormula array="1">Common_InputFunctions.Utility_DisplayArrayInTable(Common_SourceData.Common_SourceData_TemperatureZones_Data(),Table_SourceData_TemperatureZones[[#Headers],[Temperature Zone]],0)</calculatedColumnFormula>
    </tableColumn>
    <tableColumn id="4" xr3:uid="{988CFDF5-5804-4A34-AD57-91598668493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FE8327B-1473-4489-8DDC-B21ADEE7B6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98E7498-D627-4F00-B579-5E6B9B061CE6}" name="Rainfall Zone">
      <calculatedColumnFormula array="1">Common_InputFunctions.Utility_DisplayArrayInTable(Common_SourceData.Common_SourceData_RainfallZones_Data(),Table_SourceData_RainfallZones[[#Headers],[Rainfall Zone]],0)</calculatedColumnFormula>
    </tableColumn>
    <tableColumn id="2" xr3:uid="{B58FBC8F-0B3E-4101-9DD4-8BABB2E202C4}" name="Annual rainfall">
      <calculatedColumnFormula array="1">Common_InputFunctions.Utility_DisplayArrayInTable(Common_SourceData.Common_SourceData_RainfallZones_Data(),Table_SourceData_RainfallZones[[#Headers],[Rainfall Zone]],0)</calculatedColumnFormula>
    </tableColumn>
    <tableColumn id="3" xr3:uid="{BF368A99-CF1D-4DD3-A088-FBD7FE0FE11E}" name="Min rainfall">
      <calculatedColumnFormula array="1">Common_InputFunctions.Utility_DisplayArrayInTable(Common_SourceData.Common_SourceData_RainfallZones_Data(),Table_SourceData_RainfallZones[[#Headers],[Rainfall Zone]],0)</calculatedColumnFormula>
    </tableColumn>
    <tableColumn id="4" xr3:uid="{20DD9BBB-F17D-44CC-97CE-35303B6C80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903B420-9D4F-47E6-AB67-2115EE9FF3A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24C6786-CE5E-418D-A6FB-B6DB85D8569F}" name="Leaching Zone">
      <calculatedColumnFormula array="1">Common_InputFunctions.Utility_DisplayArrayInTable(Common_SourceData.Common_SourceData_LeachingZones_Data(), Table_SourceData_LeachingZones[[#Headers],[Leaching Zone]], 0)</calculatedColumnFormula>
    </tableColumn>
    <tableColumn id="2" xr3:uid="{526C3BD3-B3F4-427E-B153-B88BA45824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7F4BB7B-AD22-49B3-918E-F75FDA55E3E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C5B18B-0FB1-43C2-AC55-57D9EA4F4261}" name="Data source">
      <calculatedColumnFormula array="1">Common_InputFunctions.Utility_DisplayArrayInTable(Common_SourceData.Common_SourceData_DataScores_Scope3_Data(), Table_SourceData_DataScores_Scope3[[#Headers],[Data source]], 0)</calculatedColumnFormula>
    </tableColumn>
    <tableColumn id="2" xr3:uid="{E88477F3-4394-420E-8CF6-80A3C79C5F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4FB217F-5187-4247-8D0C-2FAEDB632695}" name="Table_SourceData_FracWET" displayName="Table_SourceData_FracWET" ref="D134:E136" totalsRowShown="0">
  <autoFilter ref="D134:E136" xr:uid="{308E99BE-FE1F-47A4-B2CA-97217277C4E9}">
    <filterColumn colId="0" hiddenButton="1"/>
    <filterColumn colId="1" hiddenButton="1"/>
  </autoFilter>
  <tableColumns count="2">
    <tableColumn id="1" xr3:uid="{4A7639B5-7C78-4405-B5BA-CC6A8A8BDB05}" name="Is in leaching zone">
      <calculatedColumnFormula array="1">Common_InputFunctions.Utility_DisplayArrayInTable(Common_SourceData.Common_SourceData_FracWET_Data(),Table_SourceData_FracWET[[#Headers],[Is in leaching zone]],0)</calculatedColumnFormula>
    </tableColumn>
    <tableColumn id="2" xr3:uid="{4FC11ECE-678D-48DB-A4FC-B46033560861}" name="FracWET" dataDxfId="7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E3B7B5B-CE6B-4637-8F5D-E2E51C401B9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5FAE74D-A25A-4553-B207-E70C875BB44B}" name="Production system j">
      <calculatedColumnFormula array="1">Common_InputFunctions.Utility_DisplayArrayInTable(Common_SourceData.Common_SourceData_EFN2O_Data(), Table_SourceData_Common_EFN2O[[#Headers],[Production system j]], 0)</calculatedColumnFormula>
    </tableColumn>
    <tableColumn id="2" xr3:uid="{91A87F5F-CB90-4BCD-8F0C-4E872E1F8182}" name="EFN2O">
      <calculatedColumnFormula array="1">Common_InputFunctions.Utility_DisplayArrayInTable(Common_SourceData.Common_SourceData_EFN2O_Data(), Table_SourceData_Common_EFN2O[[#Headers],[Production system j]], 0)</calculatedColumnFormula>
    </tableColumn>
    <tableColumn id="3" xr3:uid="{970ED5C8-832D-4DA1-A210-6F379E25B12A}" name="Production system only">
      <calculatedColumnFormula array="1">Common_InputFunctions.Utility_DisplayArrayInTable(Common_SourceData.Common_SourceData_EFN2O_Data(), Table_SourceData_Common_EFN2O[[#Headers],[Production system j]], 0)</calculatedColumnFormula>
    </tableColumn>
    <tableColumn id="4" xr3:uid="{160D044A-979B-416F-91FC-BEA58A260F3B}" name="Irrigation method">
      <calculatedColumnFormula array="1">Common_InputFunctions.Utility_DisplayArrayInTable(Common_SourceData.Common_SourceData_EFN2O_Data(), Table_SourceData_Common_EFN2O[[#Headers],[Production system j]], 0)</calculatedColumnFormula>
    </tableColumn>
    <tableColumn id="5" xr3:uid="{C75CC820-D074-4018-BEAB-937A247D4E8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ACE669D-3794-4C2B-A5B0-D7BAD9419A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BBFD83C-609F-4A59-9E2A-6A5636878FA1}" name="Irrigation type i">
      <calculatedColumnFormula array="1">Common_InputFunctions.Utility_DisplayArrayInTable(Common_SourceData.Common_SourceData_FracWETIrrigation_Data(), Table_SourceData_FracWETIrrigation[[#Headers],[Irrigation type i]], 0)</calculatedColumnFormula>
    </tableColumn>
    <tableColumn id="2" xr3:uid="{F9302229-0E0B-436F-9AD9-50587D4940BE}" name="FracWET" dataDxfId="7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76565AC-4EE1-47AB-A9E8-8C370CB72E6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33C743F-92DB-48C8-8656-4055A4C28D2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726F0BD-1D08-4BBF-89D1-B4E06B267F72}" name="EFPRP" dataDxfId="7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95D16D3-C288-4762-B801-AE77046003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8A6F467-812F-4ADA-BA74-1309A40C347D}" name="Month">
      <calculatedColumnFormula array="1">Common_InputFunctions.Utility_DisplayArrayInTable(Common_SourceData.Common_SourceData_MonthsToSeasons_Data(), Table_SourceData_Common_MonthToSeason[[#Headers],[Month]], 0)</calculatedColumnFormula>
    </tableColumn>
    <tableColumn id="2" xr3:uid="{B48584B7-39BE-4063-A237-63510A27ECD9}" name="Season" dataDxfId="7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BD36361-FF12-4005-9F87-151FB135A2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BAF60EF-8EBD-4960-856F-EE1A99864B1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5A5C5AC-0013-4E32-9BE9-1591C87AD10E}" name="MAT (ºC)"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6879786-D229-4C39-8BCB-757D4DF6A87E}" name="Anaerobic lago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9629742-E331-44C1-BD80-0F6F375BB945}" name="Digester / covered lagoon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1623546-7913-4EDD-9B73-69DFD8969FB1}" name="Liquid systems"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3F1377C-0E81-4110-ACB1-A33046A2DAE7}" name="Daily spread"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B768E1F-AD31-4943-824C-A79E29989716}" name="Composting (passive windro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9B7A168-80AE-441A-BE39-2B615B45AE0F}" name="Solid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96823B0-E1F6-45B2-B104-DD6E581CB732}" name="Pit storage"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ED5907-26EC-4E93-BB05-FECFCF2DB1F2}" name="Deep litter"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4B044A4-311E-4E9E-AF46-F9DD380334D2}" name="Poultry manure with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65977FA-AA24-4F7E-AB39-2230E71BF435}" name="Poultry manure without bedd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B44A949-023E-4421-98A0-977761AD3D26}" name="Direct processing"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0794346-8F70-4B06-9F74-134C1D6586B0}" name="Direct application"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2E1FDE-1076-4646-9A53-A24ADE6950FC}" name="Pasture range and paddock"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EBE5AF3-DA8A-4F39-96AC-1B585FADC309}" name="MAT raw"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6F0A66A-0498-401B-9D3A-DF0DFC5F5DB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4000463-E402-4DAF-91C5-43F18B25B8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8EE668-E3FA-4741-8249-08B4E162E19D}" name="EFNi &amp; EFN2Oi" dataDxfId="5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4"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27"/>
  <sheetViews>
    <sheetView zoomScaleNormal="100" workbookViewId="0">
      <selection activeCell="A27" sqref="A27"/>
    </sheetView>
  </sheetViews>
  <sheetFormatPr defaultRowHeight="15" x14ac:dyDescent="0.25"/>
  <sheetData>
    <row r="1" spans="1:1" ht="25.5" x14ac:dyDescent="0.35">
      <c r="A1" s="63" t="e" vm="1">
        <v>#VALUE!</v>
      </c>
    </row>
    <row r="3" spans="1:1" ht="15.75" x14ac:dyDescent="0.25">
      <c r="A3" s="12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Poultry'!A1", "Poultry")</f>
        <v>Poultry</v>
      </c>
    </row>
    <row r="13" spans="1:1" x14ac:dyDescent="0.25">
      <c r="A13" s="18" t="s">
        <v>71</v>
      </c>
    </row>
    <row r="14" spans="1:1" ht="15.75" x14ac:dyDescent="0.25">
      <c r="A14" s="17" t="str">
        <f>HYPERLINK("#'4.6.1.1-2 Methane'!A1", "4.6.1.1-2 Methane")</f>
        <v>4.6.1.1-2 Methane</v>
      </c>
    </row>
    <row r="15" spans="1:1" ht="15.75" x14ac:dyDescent="0.25">
      <c r="A15" s="17" t="str">
        <f>HYPERLINK("#'4.6.1.3-4 Direct N20'!A1", "4.6.1.3-4 Direct N20")</f>
        <v>4.6.1.3-4 Direct N20</v>
      </c>
    </row>
    <row r="16" spans="1:1" ht="15.75" x14ac:dyDescent="0.25">
      <c r="A16" s="17" t="str">
        <f>HYPERLINK("#'4.6.1.5-6 Atmos Dep'!A1", "4.6.1.5-6 Atmos Dep")</f>
        <v>4.6.1.5-6 Atmos Dep</v>
      </c>
    </row>
    <row r="17" spans="1:1" ht="15.75" x14ac:dyDescent="0.25">
      <c r="A17" s="17" t="str">
        <f>HYPERLINK("#'4.6.1.7-8 Leaching and runoff'!A1", "4.6.1.7-8 Leaching and runoff")</f>
        <v>4.6.1.7-8 Leaching and runoff</v>
      </c>
    </row>
    <row r="18" spans="1:1" ht="15.75" x14ac:dyDescent="0.25">
      <c r="A18" s="17" t="str">
        <f>HYPERLINK("#'4.6.1.9 Manure applied to soils'!A1", "4.6.1.9 Manure applied to soils")</f>
        <v>4.6.1.9 Manure applied to soils</v>
      </c>
    </row>
    <row r="19" spans="1:1" ht="15.75" x14ac:dyDescent="0.25">
      <c r="A19" s="17" t="str">
        <f>HYPERLINK("#'4.6.1.10-11 Soil direct N2O'!A1", "4.6.1.10-11 Soil direct N2O")</f>
        <v>4.6.1.10-11 Soil direct N2O</v>
      </c>
    </row>
    <row r="20" spans="1:1" ht="15.75" x14ac:dyDescent="0.25">
      <c r="A20" s="17" t="str">
        <f>HYPERLINK("#'4.6.1.12-13 Soil atmos dep'!A1", "4.6.1.12-13 Soil atmos dep")</f>
        <v>4.6.1.12-13 Soil atmos dep</v>
      </c>
    </row>
    <row r="21" spans="1:1" ht="15.75" x14ac:dyDescent="0.25">
      <c r="A21" s="17" t="str">
        <f>HYPERLINK("#'4.6.1.14-15 Soil leach runoff'!A1", "4.6.1.14-15 Soil leach runoff")</f>
        <v>4.6.1.14-15 Soil leach runoff</v>
      </c>
    </row>
    <row r="24" spans="1:1" x14ac:dyDescent="0.25">
      <c r="A24" s="149" t="s">
        <v>1</v>
      </c>
    </row>
    <row r="25" spans="1:1" ht="15.75" x14ac:dyDescent="0.25">
      <c r="A25" s="17" t="str">
        <f>HYPERLINK("#'Constants - Poultry'!A1", "Constants - Poultry")</f>
        <v>Constants - Poultry</v>
      </c>
    </row>
    <row r="26" spans="1:1" ht="15.75" x14ac:dyDescent="0.25">
      <c r="A26" s="17" t="str">
        <f>HYPERLINK("#'Constants - Common'!A1", "Constants - Common")</f>
        <v>Constants - Common</v>
      </c>
    </row>
    <row r="27" spans="1:1" ht="15.75" x14ac:dyDescent="0.25">
      <c r="A27" s="17" t="str">
        <f>HYPERLINK("#'Constants - Livestock'!A1", "Constants - Livestock")</f>
        <v>Constants -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rgb="FFCC6600"/>
    <pageSetUpPr autoPageBreaks="0"/>
  </sheetPr>
  <dimension ref="A1:AA160"/>
  <sheetViews>
    <sheetView showGridLines="0" zoomScaleNormal="100" workbookViewId="0">
      <selection activeCell="A27" sqref="A2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rgb="FFCC6600"/>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topLeftCell="A39"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e">
        <f>X_Cell_Dairy_ManureAppliedProductionSystem</f>
        <v>#NAME?</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Common_InputFunctions.CommonCropping_GetFracWET(I16,I18,#REF!,#REF!,Table_SourceData_FracWETIrrigation[Irrigation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e">
        <f>X_Cell_Dairy_ManureAppliedProductionSystem</f>
        <v>#NAME?</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'[1]Constants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'[1]Constants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224DF-B1FE-4E68-9015-AA33B54E86BB}">
  <dimension ref="A1:BY259"/>
  <sheetViews>
    <sheetView showGridLines="0" tabSelected="1" topLeftCell="A86" zoomScaleNormal="100" workbookViewId="0">
      <selection activeCell="A26" sqref="A26"/>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Poultry'!A1", "Poultry")</f>
        <v>Poultry</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HYPERLINK("#'4.6.1.1-2 Methane'!A1", "4.6.1.1-2 Methane")</f>
        <v>4.6.1.1-2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HYPERLINK("#'4.6.1.3-4 Direct N20'!A1", "4.6.1.3-4 Direct N20")</f>
        <v>4.6.1.3-4 Direct N20</v>
      </c>
    </row>
    <row r="16" spans="1:65" ht="20.100000000000001" customHeight="1" x14ac:dyDescent="0.25">
      <c r="A16" s="17" t="str">
        <f>HYPERLINK("#'4.6.1.5-6 Atmos Dep'!A1", "4.6.1.5-6 Atmos Dep")</f>
        <v>4.6.1.5-6 Atmos Dep</v>
      </c>
    </row>
    <row r="17" spans="1:4" ht="20.100000000000001" customHeight="1" x14ac:dyDescent="0.25">
      <c r="A17" s="17" t="str">
        <f>HYPERLINK("#'4.6.1.7-8 Leaching and runoff'!A1", "4.6.1.7-8 Leaching and runoff")</f>
        <v>4.6.1.7-8 Leaching and runoff</v>
      </c>
    </row>
    <row r="18" spans="1:4" ht="20.100000000000001" customHeight="1" x14ac:dyDescent="0.25">
      <c r="A18" s="17" t="str">
        <f>HYPERLINK("#'4.6.1.9 Manure applied to soils'!A1", "4.6.1.9 Manure applied to soils")</f>
        <v>4.6.1.9 Manure applied to soils</v>
      </c>
      <c r="D18" s="6" t="str" cm="1">
        <f t="array" ref="D18">Common_SourceData.Common_SourceData_WASA4Areas_Title()</f>
        <v>ABS Statistcal Areas Level 4 - Western Australia</v>
      </c>
    </row>
    <row r="19" spans="1:4" ht="20.100000000000001" customHeight="1" x14ac:dyDescent="0.25">
      <c r="A19" s="17" t="str">
        <f>HYPERLINK("#'4.6.1.10-11 Soil direct N2O'!A1", "4.6.1.10-11 Soil direct N2O")</f>
        <v>4.6.1.10-11 Soil direct N2O</v>
      </c>
      <c r="D19" s="5" t="str" cm="1">
        <f t="array" ref="D19">Common_SourceData.Common_SourceData_WASA4Areas_Source()</f>
        <v>Australian Bureau of Statistics (ABS) - Statistical Areas Level 2 - 2021 - Shapefile</v>
      </c>
    </row>
    <row r="20" spans="1:4" ht="20.100000000000001" customHeight="1" x14ac:dyDescent="0.25">
      <c r="A20" s="17" t="str">
        <f>HYPERLINK("#'4.6.1.12-13 Soil atmos dep'!A1", "4.6.1.12-13 Soil atmos dep")</f>
        <v>4.6.1.12-13 Soil atmos dep</v>
      </c>
      <c r="D20" s="36" t="s">
        <v>21</v>
      </c>
    </row>
    <row r="21" spans="1:4" ht="20.100000000000001" customHeight="1" x14ac:dyDescent="0.25">
      <c r="A21" s="17" t="str">
        <f>HYPERLINK("#'4.6.1.14-15 Soil leach runoff'!A1", "4.6.1.14-15 Soil leach runoff")</f>
        <v>4.6.1.14-15 Soil leach runoff</v>
      </c>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s="149" t="s">
        <v>1</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HYPERLINK("#'Constants - Poultry'!A1", "Constants - Poultry")</f>
        <v>Constants - Poultry</v>
      </c>
      <c r="D25" s="36" t="str" cm="1">
        <f t="array" ref="D25">Common_InputFunctions.Utility_DisplayArrayInTable(Common_SourceData.Common_SourceData_WASA4Areas_Data(), Table_WASA4Areas[[#Headers],[SA 4 Name]], 0)</f>
        <v>Perth - North West</v>
      </c>
    </row>
    <row r="26" spans="1:4" ht="20.100000000000001" customHeight="1" x14ac:dyDescent="0.25">
      <c r="A26" s="124" t="str">
        <f>HYPERLINK("#'Constants - Common'!A1", "Constants - Common")</f>
        <v>Constants - Common</v>
      </c>
      <c r="D26" s="36" t="str" cm="1">
        <f t="array" ref="D26">Common_InputFunctions.Utility_DisplayArrayInTable(Common_SourceData.Common_SourceData_WASA4Areas_Data(), Table_WASA4Areas[[#Headers],[SA 4 Name]], 0)</f>
        <v>Perth - South East</v>
      </c>
    </row>
    <row r="27" spans="1:4" ht="20.100000000000001" customHeight="1" x14ac:dyDescent="0.25">
      <c r="A27" s="17" t="str">
        <f>HYPERLINK("#'Constants - Livestock'!A1", "Constants - Livestock")</f>
        <v>Constants - Livestock</v>
      </c>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359</v>
      </c>
      <c r="E257" s="36" t="s">
        <v>360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2026-07-31T06:30:58Z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