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1618EC7D-783F-45F6-ADF9-653AE3BDB1E2}" xr6:coauthVersionLast="47" xr6:coauthVersionMax="47" xr10:uidLastSave="{00000000-0000-0000-0000-000000000000}"/>
  <bookViews>
    <workbookView xWindow="390" yWindow="195" windowWidth="28410" windowHeight="16890" firstSheet="1" activeTab="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10" r:id="rId15"/>
    <sheet name="Constants - Common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'Input - Dairy'!$E$50</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0" i="70" l="1"/>
  <c r="H120" i="70"/>
  <c r="E106" i="70"/>
  <c r="G120" i="70" s="1"/>
  <c r="E105" i="70"/>
  <c r="I119" i="70" s="1"/>
  <c r="I96" i="70"/>
  <c r="H96" i="70"/>
  <c r="G96" i="70"/>
  <c r="F96" i="70"/>
  <c r="E96" i="70"/>
  <c r="I95" i="70"/>
  <c r="F50" i="70"/>
  <c r="D29" i="70"/>
  <c r="D28" i="70"/>
  <c r="D25" i="70"/>
  <c r="D24" i="70"/>
  <c r="E18" i="70"/>
  <c r="E14" i="70"/>
  <c r="D10" i="70"/>
  <c r="E33" i="15"/>
  <c r="E32" i="15"/>
  <c r="E31" i="15"/>
  <c r="E30" i="15"/>
  <c r="E29" i="15"/>
  <c r="E13" i="15"/>
  <c r="I223" i="69"/>
  <c r="H39" i="95" a="1"/>
  <c r="H39" i="95" s="1"/>
  <c r="A29" i="74"/>
  <c r="A28" i="74"/>
  <c r="A27" i="74"/>
  <c r="A26" i="74"/>
  <c r="A25" i="74"/>
  <c r="A21" i="74"/>
  <c r="A20" i="74"/>
  <c r="A19" i="74"/>
  <c r="A18" i="74"/>
  <c r="A17" i="74"/>
  <c r="A16" i="74"/>
  <c r="A15" i="74"/>
  <c r="A14" i="74"/>
  <c r="A10" i="74"/>
  <c r="A9" i="74"/>
  <c r="A5" i="74"/>
  <c r="A4" i="74"/>
  <c r="A3" i="74"/>
  <c r="A29" i="72"/>
  <c r="A28" i="72"/>
  <c r="A27" i="72"/>
  <c r="A26" i="72"/>
  <c r="A25" i="72"/>
  <c r="A21" i="72"/>
  <c r="A20" i="72"/>
  <c r="A19" i="72"/>
  <c r="A18" i="72"/>
  <c r="A17" i="72"/>
  <c r="A16" i="72"/>
  <c r="A15" i="72"/>
  <c r="A14" i="72"/>
  <c r="A10" i="72"/>
  <c r="A9" i="72"/>
  <c r="A5" i="72"/>
  <c r="A4" i="72"/>
  <c r="A3" i="72"/>
  <c r="A29" i="43"/>
  <c r="A28" i="43"/>
  <c r="A27" i="43"/>
  <c r="A26" i="43"/>
  <c r="A25" i="43"/>
  <c r="A21" i="43"/>
  <c r="A20" i="43"/>
  <c r="A19" i="43"/>
  <c r="A18" i="43"/>
  <c r="A17" i="43"/>
  <c r="A16" i="43"/>
  <c r="A15" i="43"/>
  <c r="A14" i="43"/>
  <c r="A10" i="43"/>
  <c r="A9" i="43"/>
  <c r="A5" i="43"/>
  <c r="A4" i="43"/>
  <c r="A3" i="43"/>
  <c r="A29" i="110"/>
  <c r="A28" i="110"/>
  <c r="A27" i="110"/>
  <c r="A26" i="110"/>
  <c r="A25" i="110"/>
  <c r="A21" i="110"/>
  <c r="A20" i="110"/>
  <c r="A19" i="110"/>
  <c r="A18" i="110"/>
  <c r="A17" i="110"/>
  <c r="A16" i="110"/>
  <c r="A15" i="110"/>
  <c r="A14" i="110"/>
  <c r="A10" i="110"/>
  <c r="A9" i="110"/>
  <c r="A5" i="110"/>
  <c r="A4" i="110"/>
  <c r="A3" i="110"/>
  <c r="A29" i="79"/>
  <c r="A28" i="79"/>
  <c r="A27" i="79"/>
  <c r="A26" i="79"/>
  <c r="A25" i="79"/>
  <c r="A21" i="79"/>
  <c r="A20" i="79"/>
  <c r="A19" i="79"/>
  <c r="A18" i="79"/>
  <c r="A17" i="79"/>
  <c r="A16" i="79"/>
  <c r="A15" i="79"/>
  <c r="A14" i="79"/>
  <c r="A10" i="79"/>
  <c r="A9" i="79"/>
  <c r="A5" i="79"/>
  <c r="A4" i="79"/>
  <c r="A3" i="79"/>
  <c r="A29" i="98"/>
  <c r="A28" i="98"/>
  <c r="A27" i="98"/>
  <c r="A26" i="98"/>
  <c r="A25" i="98"/>
  <c r="A21" i="98"/>
  <c r="A20" i="98"/>
  <c r="A19" i="98"/>
  <c r="A18" i="98"/>
  <c r="A17" i="98"/>
  <c r="A16" i="98"/>
  <c r="A15" i="98"/>
  <c r="A14" i="98"/>
  <c r="A10" i="98"/>
  <c r="A9" i="98"/>
  <c r="A5" i="98"/>
  <c r="A4" i="98"/>
  <c r="A3" i="98"/>
  <c r="A29" i="97"/>
  <c r="A28" i="97"/>
  <c r="A27" i="97"/>
  <c r="A26" i="97"/>
  <c r="A25" i="97"/>
  <c r="A21" i="97"/>
  <c r="A20" i="97"/>
  <c r="A19" i="97"/>
  <c r="A18" i="97"/>
  <c r="A17" i="97"/>
  <c r="A16" i="97"/>
  <c r="A15" i="97"/>
  <c r="A14" i="97"/>
  <c r="A10" i="97"/>
  <c r="A9" i="97"/>
  <c r="A5" i="97"/>
  <c r="A4" i="97"/>
  <c r="A3" i="97"/>
  <c r="A29" i="96"/>
  <c r="A28" i="96"/>
  <c r="A27" i="96"/>
  <c r="A26" i="96"/>
  <c r="A25" i="96"/>
  <c r="A21" i="96"/>
  <c r="A20" i="96"/>
  <c r="A19" i="96"/>
  <c r="A18" i="96"/>
  <c r="A17" i="96"/>
  <c r="A16" i="96"/>
  <c r="A15" i="96"/>
  <c r="A14" i="96"/>
  <c r="A10" i="96"/>
  <c r="A9" i="96"/>
  <c r="A5" i="96"/>
  <c r="A4" i="96"/>
  <c r="A3" i="96"/>
  <c r="A29" i="81"/>
  <c r="A28" i="81"/>
  <c r="A27" i="81"/>
  <c r="A26" i="81"/>
  <c r="A25" i="81"/>
  <c r="A21" i="81"/>
  <c r="A20" i="81"/>
  <c r="A19" i="81"/>
  <c r="A18" i="81"/>
  <c r="A17" i="81"/>
  <c r="A16" i="81"/>
  <c r="A15" i="81"/>
  <c r="A14" i="81"/>
  <c r="A10" i="81"/>
  <c r="A9" i="81"/>
  <c r="A5" i="81"/>
  <c r="A4" i="81"/>
  <c r="A3" i="81"/>
  <c r="A29" i="95"/>
  <c r="A28" i="95"/>
  <c r="A27" i="95"/>
  <c r="A26" i="95"/>
  <c r="A25" i="95"/>
  <c r="A21" i="95"/>
  <c r="A20" i="95"/>
  <c r="A19" i="95"/>
  <c r="A18" i="95"/>
  <c r="A17" i="95"/>
  <c r="A16" i="95"/>
  <c r="A15" i="95"/>
  <c r="A14" i="95"/>
  <c r="A10" i="95"/>
  <c r="A9" i="95"/>
  <c r="A5" i="95"/>
  <c r="A4" i="95"/>
  <c r="A3" i="95"/>
  <c r="A29" i="82"/>
  <c r="A28" i="82"/>
  <c r="A27" i="82"/>
  <c r="A26" i="82"/>
  <c r="A25" i="82"/>
  <c r="A21" i="82"/>
  <c r="A20" i="82"/>
  <c r="A19" i="82"/>
  <c r="A18" i="82"/>
  <c r="A17" i="82"/>
  <c r="A16" i="82"/>
  <c r="A15" i="82"/>
  <c r="A14" i="82"/>
  <c r="A10" i="82"/>
  <c r="A9" i="82"/>
  <c r="A5" i="82"/>
  <c r="A4" i="82"/>
  <c r="A3" i="82"/>
  <c r="A29" i="76"/>
  <c r="A28" i="76"/>
  <c r="A27" i="76"/>
  <c r="A26" i="76"/>
  <c r="A25" i="76"/>
  <c r="A21" i="76"/>
  <c r="A20" i="76"/>
  <c r="A19" i="76"/>
  <c r="A18" i="76"/>
  <c r="A17" i="76"/>
  <c r="A16" i="76"/>
  <c r="A15" i="76"/>
  <c r="A14" i="76"/>
  <c r="A10" i="76"/>
  <c r="A9" i="76"/>
  <c r="A5" i="76"/>
  <c r="A4" i="76"/>
  <c r="A3" i="76"/>
  <c r="A29" i="69"/>
  <c r="A28" i="69"/>
  <c r="A27" i="69"/>
  <c r="A26" i="69"/>
  <c r="A25" i="69"/>
  <c r="A21" i="69"/>
  <c r="A20" i="69"/>
  <c r="A19" i="69"/>
  <c r="A18" i="69"/>
  <c r="A17" i="69"/>
  <c r="A16" i="69"/>
  <c r="A15" i="69"/>
  <c r="A14" i="69"/>
  <c r="A10" i="69"/>
  <c r="A9" i="69"/>
  <c r="A5" i="69"/>
  <c r="A4" i="69"/>
  <c r="A3" i="69"/>
  <c r="A29" i="70"/>
  <c r="A28" i="70"/>
  <c r="A27" i="70"/>
  <c r="A26" i="70"/>
  <c r="A25" i="70"/>
  <c r="A21" i="70"/>
  <c r="A20" i="70"/>
  <c r="A19" i="70"/>
  <c r="A18" i="70"/>
  <c r="A17" i="70"/>
  <c r="A16" i="70"/>
  <c r="A15" i="70"/>
  <c r="A14" i="70"/>
  <c r="A10" i="70"/>
  <c r="A9" i="70"/>
  <c r="A5" i="70"/>
  <c r="A4" i="70"/>
  <c r="A3" i="70"/>
  <c r="A29" i="15"/>
  <c r="A28" i="15"/>
  <c r="A27" i="15"/>
  <c r="A26" i="15"/>
  <c r="A25" i="15"/>
  <c r="A21" i="15"/>
  <c r="A20" i="15"/>
  <c r="A19" i="15"/>
  <c r="A18" i="15"/>
  <c r="A17" i="15"/>
  <c r="A16" i="15"/>
  <c r="A15" i="15"/>
  <c r="A14" i="15"/>
  <c r="A10" i="15"/>
  <c r="A9" i="15"/>
  <c r="A5" i="15"/>
  <c r="A4" i="15"/>
  <c r="A3" i="15"/>
  <c r="A29" i="13"/>
  <c r="A28" i="13"/>
  <c r="A27" i="13"/>
  <c r="A26" i="13"/>
  <c r="A25" i="13"/>
  <c r="A21" i="13"/>
  <c r="A20" i="13"/>
  <c r="A19" i="13"/>
  <c r="A18" i="13"/>
  <c r="A17" i="13"/>
  <c r="A16" i="13"/>
  <c r="A15" i="13"/>
  <c r="A14" i="13"/>
  <c r="A10" i="13"/>
  <c r="A9" i="13"/>
  <c r="A5" i="13"/>
  <c r="A4" i="13"/>
  <c r="A3" i="13"/>
  <c r="A29" i="106"/>
  <c r="A28" i="106"/>
  <c r="A27" i="106"/>
  <c r="A26" i="106"/>
  <c r="A25" i="106"/>
  <c r="A21" i="106"/>
  <c r="A20" i="106"/>
  <c r="A19" i="106"/>
  <c r="A18" i="106"/>
  <c r="A17" i="106"/>
  <c r="A16" i="106"/>
  <c r="A15" i="106"/>
  <c r="A14" i="106"/>
  <c r="A10" i="106"/>
  <c r="A9" i="106"/>
  <c r="A5" i="106"/>
  <c r="A4" i="106"/>
  <c r="A3" i="106"/>
  <c r="A29" i="71"/>
  <c r="A28" i="71"/>
  <c r="A27" i="71"/>
  <c r="A26" i="71"/>
  <c r="A25" i="71"/>
  <c r="A21" i="71"/>
  <c r="A20" i="71"/>
  <c r="A19" i="71"/>
  <c r="A18" i="71"/>
  <c r="A17" i="71"/>
  <c r="A16" i="71"/>
  <c r="A15" i="71"/>
  <c r="A14" i="71"/>
  <c r="A10" i="71"/>
  <c r="A9" i="71"/>
  <c r="A5" i="71"/>
  <c r="A4" i="71"/>
  <c r="A3" i="71"/>
  <c r="G9" i="79"/>
  <c r="G8" i="79"/>
  <c r="P231" i="69"/>
  <c r="P230" i="69"/>
  <c r="J45" i="98"/>
  <c r="I40" i="97"/>
  <c r="J45" i="96"/>
  <c r="I44" i="95"/>
  <c r="I63" i="82"/>
  <c r="I264" i="76"/>
  <c r="R50" i="98"/>
  <c r="G50" i="98"/>
  <c r="R48" i="97"/>
  <c r="G48" i="97"/>
  <c r="R56" i="96"/>
  <c r="G56" i="96"/>
  <c r="R55" i="95"/>
  <c r="G55" i="95"/>
  <c r="R71" i="82"/>
  <c r="G71" i="82"/>
  <c r="Q290" i="76"/>
  <c r="G290" i="76"/>
  <c r="R303" i="69"/>
  <c r="G303"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a="1"/>
  <c r="D228" i="110" s="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a="1"/>
  <c r="E175" i="110" s="1"/>
  <c r="D175" i="110" a="1"/>
  <c r="D175" i="110" s="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c r="D45" i="110" a="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c r="D35" i="110" a="1"/>
  <c r="D34" i="110"/>
  <c r="D34" i="110" a="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c r="D5" i="110" a="1"/>
  <c r="O37" i="69" a="1"/>
  <c r="O37" i="69" s="1"/>
  <c r="R37" i="69" a="1"/>
  <c r="R37" i="69" s="1"/>
  <c r="E55" i="82"/>
  <c r="E32" i="97"/>
  <c r="E36" i="95" a="1"/>
  <c r="E37" i="98"/>
  <c r="E95" i="70" l="1"/>
  <c r="F95" i="70"/>
  <c r="G95" i="70"/>
  <c r="E119" i="70"/>
  <c r="H95" i="70"/>
  <c r="F119" i="70"/>
  <c r="I120" i="70"/>
  <c r="G119" i="70"/>
  <c r="H119" i="70"/>
  <c r="E120" i="70"/>
  <c r="F120" i="70"/>
  <c r="E36" i="95"/>
  <c r="H50" i="110"/>
  <c r="H54" i="110"/>
  <c r="H53" i="110"/>
  <c r="H48" i="110"/>
  <c r="H52" i="110"/>
  <c r="H51" i="110"/>
  <c r="H49" i="110"/>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2" i="82" s="1"/>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I222" i="69"/>
  <c r="D215" i="79" a="1"/>
  <c r="D215" i="79" s="1"/>
  <c r="J15" i="95" s="1"/>
  <c r="D214" i="79" a="1"/>
  <c r="D214" i="79" s="1"/>
  <c r="D213" i="79" a="1"/>
  <c r="D213" i="79" s="1"/>
  <c r="D212" i="79" a="1"/>
  <c r="D212" i="79" s="1"/>
  <c r="D211" i="79" a="1"/>
  <c r="D211" i="79" s="1"/>
  <c r="F163" i="69"/>
  <c r="F165" i="69"/>
  <c r="F164" i="69"/>
  <c r="J14" i="95" l="1"/>
  <c r="I14" i="98"/>
  <c r="I39" i="97"/>
  <c r="J46" i="96"/>
  <c r="J44" i="96" s="1"/>
  <c r="I66" i="82"/>
  <c r="I43" i="97"/>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F53" i="70" l="1"/>
  <c r="T39" i="69" s="1"/>
  <c r="E53" i="70"/>
  <c r="I39" i="69" s="1"/>
  <c r="E54" i="70"/>
  <c r="I40" i="69" s="1"/>
  <c r="F54" i="70"/>
  <c r="T40" i="69" s="1"/>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A215" i="79"/>
  <c r="A174" i="79"/>
  <c r="A285" i="76"/>
  <c r="A245" i="76"/>
  <c r="A208" i="76"/>
  <c r="A171" i="76"/>
  <c r="N118" i="70"/>
  <c r="F71" i="81" s="1"/>
  <c r="N113" i="70"/>
  <c r="F70" i="81" s="1"/>
  <c r="N108" i="70"/>
  <c r="F69" i="81" s="1"/>
  <c r="N103" i="70"/>
  <c r="F68" i="81" s="1"/>
  <c r="N94" i="70"/>
  <c r="F67" i="81" s="1"/>
  <c r="N89" i="70"/>
  <c r="F66" i="81" s="1"/>
  <c r="N84" i="70"/>
  <c r="F65" i="81" s="1"/>
  <c r="N79" i="70"/>
  <c r="F64" i="81" s="1"/>
  <c r="E31" i="69" a="1"/>
  <c r="I88" i="76" l="1"/>
  <c r="I93" i="76"/>
  <c r="I98" i="76"/>
  <c r="S98" i="76"/>
  <c r="S88" i="76"/>
  <c r="I45" i="69"/>
  <c r="D50" i="69" a="1"/>
  <c r="D50" i="69" s="1"/>
  <c r="D88" i="76" s="1"/>
  <c r="O50" i="69" a="1"/>
  <c r="O50" i="69" s="1"/>
  <c r="N88" i="76" s="1"/>
  <c r="E31" i="69"/>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D249" i="69" l="1"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I15" i="98" s="1"/>
  <c r="D208" i="79" a="1"/>
  <c r="D208" i="79" s="1"/>
  <c r="D207" i="79" a="1"/>
  <c r="D207" i="79" s="1"/>
  <c r="D206" i="79" a="1"/>
  <c r="D206" i="79" s="1"/>
  <c r="D205" i="79" a="1"/>
  <c r="D205" i="79" s="1"/>
  <c r="D202" i="79" a="1"/>
  <c r="D202" i="79"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91" i="81" a="1"/>
  <c r="E7" i="95" a="1"/>
  <c r="E7" i="98" a="1"/>
  <c r="E7" i="81" a="1"/>
  <c r="E37" i="96" a="1"/>
  <c r="E7" i="96" a="1"/>
  <c r="E7" i="97" a="1"/>
  <c r="I43" i="95" l="1"/>
  <c r="J44" i="98"/>
  <c r="V76" i="81"/>
  <c r="Q85" i="81"/>
  <c r="F148" i="81"/>
  <c r="K142" i="81"/>
  <c r="V139" i="81"/>
  <c r="K144" i="81"/>
  <c r="K140" i="81"/>
  <c r="K146" i="81"/>
  <c r="K139" i="81"/>
  <c r="K141" i="81"/>
  <c r="K143" i="81"/>
  <c r="K145" i="81"/>
  <c r="Q148" i="81"/>
  <c r="Q47" i="98"/>
  <c r="P38" i="97"/>
  <c r="K28" i="98"/>
  <c r="V28" i="98"/>
  <c r="F30" i="98"/>
  <c r="F26" i="97"/>
  <c r="Q45" i="97"/>
  <c r="Q30" i="98"/>
  <c r="Q26" i="97"/>
  <c r="E7" i="98"/>
  <c r="K23" i="98"/>
  <c r="V24" i="97"/>
  <c r="K51" i="96"/>
  <c r="V51" i="96"/>
  <c r="K24" i="97"/>
  <c r="E7" i="97"/>
  <c r="K19" i="97"/>
  <c r="V31" i="96"/>
  <c r="F53" i="96"/>
  <c r="G11" i="13" s="1"/>
  <c r="E37" i="96"/>
  <c r="E7" i="96"/>
  <c r="V49" i="95"/>
  <c r="Q52" i="95"/>
  <c r="F52" i="95"/>
  <c r="G10" i="13" s="1"/>
  <c r="Q115" i="81"/>
  <c r="F85" i="81"/>
  <c r="F115" i="81"/>
  <c r="K76" i="81"/>
  <c r="K106" i="81"/>
  <c r="E91" i="81"/>
  <c r="E7" i="81"/>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I221" i="6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Q168" i="69"/>
  <c r="F168" i="69"/>
  <c r="Q167" i="69"/>
  <c r="F167" i="69"/>
  <c r="Q166" i="69"/>
  <c r="F166" i="69"/>
  <c r="D75" i="70"/>
  <c r="D99" i="70"/>
  <c r="E120" i="69" a="1"/>
  <c r="E7" i="76" a="1"/>
  <c r="E8" i="69" a="1"/>
  <c r="E7" i="82" a="1"/>
  <c r="E72" i="76" a="1"/>
  <c r="E183" i="76" a="1"/>
  <c r="E56" i="69" a="1"/>
  <c r="E132" i="76" a="1"/>
  <c r="E153" i="76" a="1"/>
  <c r="E256" i="76" a="1"/>
  <c r="E252" i="69" a="1"/>
  <c r="E219" i="76" a="1"/>
  <c r="E85" i="69" a="1"/>
  <c r="E186" i="69" a="1"/>
  <c r="E139" i="69" a="1"/>
  <c r="E109" i="76" a="1"/>
  <c r="E212" i="69" a="1"/>
  <c r="E35" i="76" a="1"/>
  <c r="R121" i="76" l="1"/>
  <c r="E37" i="70"/>
  <c r="D121" i="76" s="1"/>
  <c r="Q121" i="76"/>
  <c r="G121" i="76"/>
  <c r="P121" i="76"/>
  <c r="O121" i="76"/>
  <c r="H121" i="76"/>
  <c r="E41" i="70"/>
  <c r="N121" i="76" s="1"/>
  <c r="F121" i="76"/>
  <c r="E121" i="76"/>
  <c r="H19" i="69"/>
  <c r="E19" i="69"/>
  <c r="S19" i="69"/>
  <c r="S24" i="69" s="1" a="1"/>
  <c r="S24" i="69" s="1"/>
  <c r="S79" i="69" s="1" a="1"/>
  <c r="S79" i="69" s="1"/>
  <c r="E36" i="70"/>
  <c r="D19" i="69" s="1"/>
  <c r="D24" i="69" s="1" a="1"/>
  <c r="D24" i="69" s="1"/>
  <c r="D79" i="69" s="1" a="1"/>
  <c r="D79" i="69" s="1"/>
  <c r="D60" i="76" s="1"/>
  <c r="P19" i="69"/>
  <c r="P24" i="69" s="1" a="1"/>
  <c r="P24" i="69" s="1"/>
  <c r="P79" i="69" s="1" a="1"/>
  <c r="P79" i="69" s="1"/>
  <c r="G19" i="69"/>
  <c r="F19" i="69"/>
  <c r="E40" i="70"/>
  <c r="O19" i="69" s="1"/>
  <c r="O24" i="69" s="1" a="1"/>
  <c r="O24" i="69" s="1"/>
  <c r="O79" i="69" s="1" a="1"/>
  <c r="O79" i="69" s="1"/>
  <c r="R19" i="69"/>
  <c r="R24" i="69" s="1" a="1"/>
  <c r="R24" i="69" s="1"/>
  <c r="R79" i="69" s="1" a="1"/>
  <c r="R79" i="69" s="1"/>
  <c r="Q19" i="69"/>
  <c r="Q24" i="69" s="1" a="1"/>
  <c r="Q24" i="69" s="1"/>
  <c r="Q79" i="69" s="1" a="1"/>
  <c r="Q79" i="69" s="1"/>
  <c r="V40" i="82"/>
  <c r="K40" i="82"/>
  <c r="S146" i="76"/>
  <c r="F49" i="82"/>
  <c r="Q49" i="82"/>
  <c r="O61" i="82"/>
  <c r="P61" i="82"/>
  <c r="S29" i="76"/>
  <c r="S213" i="76"/>
  <c r="I213" i="76"/>
  <c r="I176" i="76"/>
  <c r="K29" i="95"/>
  <c r="S103" i="76"/>
  <c r="I126" i="76"/>
  <c r="F287" i="76"/>
  <c r="G8" i="13" s="1"/>
  <c r="T114" i="69"/>
  <c r="S50" i="76" s="1"/>
  <c r="T133" i="69"/>
  <c r="I65" i="76"/>
  <c r="V205" i="69"/>
  <c r="K206" i="69"/>
  <c r="K205"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E24" i="70" a="1"/>
  <c r="E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P285" i="69"/>
  <c r="R285" i="69"/>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5" i="70" a="1"/>
  <c r="E15" i="70" s="1"/>
  <c r="E19" i="70" a="1"/>
  <c r="E19" i="70" s="1"/>
  <c r="S25" i="96"/>
  <c r="T25" i="96"/>
  <c r="U25" i="96"/>
  <c r="R25" i="96"/>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R114" i="69" l="1" a="1"/>
  <c r="R114" i="69" s="1"/>
  <c r="Q50" i="76" s="1"/>
  <c r="U173" i="69"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T206" i="69" a="1"/>
  <c r="T206" i="69" s="1"/>
  <c r="S206" i="69" a="1"/>
  <c r="S206" i="69" s="1"/>
  <c r="U205" i="69" a="1"/>
  <c r="U205" i="69" s="1"/>
  <c r="Q205" i="69" a="1"/>
  <c r="Q205" i="69" s="1"/>
  <c r="R205" i="69" a="1"/>
  <c r="R205" i="69" s="1"/>
  <c r="H206" i="69" a="1"/>
  <c r="H206" i="69" s="1"/>
  <c r="T205" i="69" a="1"/>
  <c r="T205" i="69" s="1"/>
  <c r="R133" i="69" l="1" a="1"/>
  <c r="R133" i="69" s="1"/>
  <c r="F205" i="69"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R23" i="98" l="1"/>
  <c r="R28" i="98" s="1" a="1"/>
  <c r="R28" i="98" s="1"/>
  <c r="R19" i="97"/>
  <c r="R24" i="97" s="1" a="1"/>
  <c r="R24" i="97" s="1"/>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U19" i="97"/>
  <c r="U24" i="97" s="1" a="1"/>
  <c r="U24" i="97" s="1"/>
  <c r="P26" i="97" s="1"/>
  <c r="S38" i="97" s="1"/>
  <c r="P45" i="97" s="1" a="1"/>
  <c r="P45" i="97" s="1"/>
  <c r="I50" i="95" a="1"/>
  <c r="I50" i="95" s="1"/>
  <c r="I59" i="81"/>
  <c r="F44" i="81"/>
  <c r="F23" i="82"/>
  <c r="F44" i="82" s="1" a="1"/>
  <c r="F44" i="82" s="1"/>
  <c r="F19" i="97"/>
  <c r="F24" i="97" s="1" a="1"/>
  <c r="F24" i="97" s="1"/>
  <c r="E26" i="97" s="1"/>
  <c r="I38" i="97" s="1"/>
  <c r="E45" i="97" s="1" a="1"/>
  <c r="E45" i="97" s="1"/>
  <c r="F23" i="98"/>
  <c r="F28" i="98" s="1" a="1"/>
  <c r="F28" i="98" s="1"/>
  <c r="E30" i="98" s="1"/>
  <c r="J43" i="98" s="1"/>
  <c r="E47" i="98" s="1" a="1"/>
  <c r="E47" i="98" s="1"/>
  <c r="G49"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79" i="70"/>
  <c r="O229" i="69"/>
  <c r="P229" i="69" s="1"/>
  <c r="D229" i="69"/>
  <c r="E229" i="69" s="1" a="1"/>
  <c r="E229" i="69" s="1"/>
  <c r="D94" i="70"/>
  <c r="D118" i="70"/>
  <c r="O232" i="69"/>
  <c r="P232" i="69" s="1"/>
  <c r="D232" i="69"/>
  <c r="E232" i="69" s="1" a="1"/>
  <c r="E232" i="69" s="1"/>
  <c r="O231" i="69"/>
  <c r="D231" i="69"/>
  <c r="E231" i="69" s="1" a="1"/>
  <c r="E231" i="69" s="1"/>
  <c r="T284" i="76" a="1"/>
  <c r="T284" i="76" s="1"/>
  <c r="U51" i="96" a="1"/>
  <c r="U51" i="96" s="1"/>
  <c r="P53" i="96" s="1"/>
  <c r="R55" i="96" s="1"/>
  <c r="T280" i="76" a="1"/>
  <c r="T280" i="76" s="1"/>
  <c r="T282" i="76" a="1"/>
  <c r="T282" i="76" s="1"/>
  <c r="T285" i="76" a="1"/>
  <c r="T285" i="76" s="1"/>
  <c r="T281" i="76" a="1"/>
  <c r="T281" i="76" s="1"/>
  <c r="F283" i="76" a="1"/>
  <c r="F283" i="76" s="1"/>
  <c r="F282" i="76" a="1"/>
  <c r="F282" i="76" s="1"/>
  <c r="T278" i="76" a="1"/>
  <c r="T278" i="76" s="1"/>
  <c r="F51" i="96" a="1"/>
  <c r="F51" i="96" s="1"/>
  <c r="E53" i="96" s="1"/>
  <c r="G55"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4" i="70"/>
  <c r="D108" i="70"/>
  <c r="D89" i="70"/>
  <c r="D113" i="70"/>
  <c r="D103" i="70"/>
  <c r="E12" i="13" l="1"/>
  <c r="G47" i="97"/>
  <c r="F12" i="13"/>
  <c r="R47" i="97"/>
  <c r="P50" i="97" s="1" a="1"/>
  <c r="P50" i="97" s="1"/>
  <c r="I12" i="13" s="1"/>
  <c r="F13" i="13"/>
  <c r="R49" i="98"/>
  <c r="P52" i="98" s="1" a="1"/>
  <c r="P52" i="98" s="1"/>
  <c r="I13" i="13" s="1"/>
  <c r="P200" i="69"/>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H238" i="69" s="1" a="1"/>
  <c r="H238" i="69" s="1"/>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F239" i="69" s="1" a="1"/>
  <c r="F239" i="69" s="1"/>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H243" i="69" s="1" a="1"/>
  <c r="H243" i="69" s="1"/>
  <c r="E144" i="81"/>
  <c r="E236" i="76"/>
  <c r="E296" i="69"/>
  <c r="E167" i="69"/>
  <c r="E156" i="69"/>
  <c r="E69" i="81"/>
  <c r="P156" i="69"/>
  <c r="P111" i="81"/>
  <c r="P81" i="81"/>
  <c r="E111" i="81"/>
  <c r="E81" i="81"/>
  <c r="P57" i="81"/>
  <c r="P45" i="81"/>
  <c r="E57" i="81"/>
  <c r="P178" i="69"/>
  <c r="E45" i="81"/>
  <c r="U50" i="95" a="1"/>
  <c r="U50" i="95" s="1"/>
  <c r="U59" i="81"/>
  <c r="P58" i="96" a="1"/>
  <c r="P58" i="96" s="1"/>
  <c r="I11" i="13" s="1"/>
  <c r="F11" i="13"/>
  <c r="E58" i="96" a="1"/>
  <c r="E58" i="96" s="1"/>
  <c r="H11" i="13" s="1"/>
  <c r="E11" i="13"/>
  <c r="E52" i="98"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1" i="70"/>
  <c r="D80" i="70"/>
  <c r="D82" i="70"/>
  <c r="D104" i="70"/>
  <c r="D105" i="70"/>
  <c r="D106" i="70"/>
  <c r="D116" i="70"/>
  <c r="D115" i="70"/>
  <c r="D114" i="70"/>
  <c r="D111" i="70"/>
  <c r="D110" i="70"/>
  <c r="D109" i="70"/>
  <c r="D92" i="70"/>
  <c r="D91" i="70"/>
  <c r="D90" i="70"/>
  <c r="D87" i="70"/>
  <c r="D86" i="70"/>
  <c r="D85" i="70"/>
  <c r="O287" i="76"/>
  <c r="Q289" i="76" s="1"/>
  <c r="P49" i="82"/>
  <c r="R61" i="82" s="1"/>
  <c r="P68" i="82" s="1" a="1"/>
  <c r="P68" i="82" s="1"/>
  <c r="U49" i="95" a="1"/>
  <c r="U49" i="95" s="1"/>
  <c r="E287" i="76"/>
  <c r="E49" i="82"/>
  <c r="I61" i="82" s="1"/>
  <c r="E68" i="82" s="1" a="1"/>
  <c r="E68" i="82" s="1"/>
  <c r="F49" i="95" a="1"/>
  <c r="F49" i="95" s="1"/>
  <c r="F50" i="95" a="1"/>
  <c r="F50" i="95" s="1"/>
  <c r="E50" i="97" a="1"/>
  <c r="E50" i="97" s="1"/>
  <c r="H12" i="13" s="1"/>
  <c r="F242" i="69" a="1"/>
  <c r="F242" i="69" s="1"/>
  <c r="J245" i="69" a="1"/>
  <c r="J245" i="69" s="1"/>
  <c r="H241" i="69" a="1"/>
  <c r="H241" i="69" s="1"/>
  <c r="E9" i="13" l="1"/>
  <c r="G70" i="82"/>
  <c r="E8" i="13"/>
  <c r="G289" i="76"/>
  <c r="F9" i="13"/>
  <c r="R70" i="82"/>
  <c r="P73" i="82" s="1" a="1"/>
  <c r="P73" i="82" s="1"/>
  <c r="I9" i="13" s="1"/>
  <c r="P52" i="95"/>
  <c r="R54" i="95" s="1"/>
  <c r="F8" i="13"/>
  <c r="E52" i="95"/>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E73" i="82" a="1"/>
  <c r="E73" i="82" s="1"/>
  <c r="H9" i="13" s="1"/>
  <c r="E10" i="13" l="1"/>
  <c r="G54" i="95"/>
  <c r="E57" i="95" s="1" a="1"/>
  <c r="E57" i="95" s="1"/>
  <c r="H10" i="13" s="1"/>
  <c r="P57" i="95" a="1"/>
  <c r="P57" i="95" s="1"/>
  <c r="I10" i="13" s="1"/>
  <c r="F10" i="13"/>
  <c r="P85" i="81"/>
  <c r="F20" i="13" s="1"/>
  <c r="P300" i="69"/>
  <c r="R302" i="69" s="1"/>
  <c r="E300" i="69"/>
  <c r="G302" i="69" s="1"/>
  <c r="E85" i="81"/>
  <c r="E20" i="13" s="1"/>
  <c r="P115" i="81"/>
  <c r="F22" i="13" s="1"/>
  <c r="E115" i="81"/>
  <c r="E22" i="13" s="1"/>
  <c r="E148" i="81"/>
  <c r="E21" i="13" s="1"/>
  <c r="P148" i="81"/>
  <c r="F21" i="13" s="1"/>
  <c r="O292" i="76" a="1"/>
  <c r="O292" i="76" s="1"/>
  <c r="I8" i="13" s="1"/>
  <c r="E292" i="76" a="1"/>
  <c r="E292" i="76" s="1"/>
  <c r="H8" i="13" s="1"/>
  <c r="P305" i="69" l="1" a="1"/>
  <c r="P305" i="69" s="1"/>
  <c r="I7" i="13" s="1"/>
  <c r="I14" i="13" s="1"/>
  <c r="F7" i="13"/>
  <c r="E305" i="69"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<sst xmlns="http://schemas.openxmlformats.org/spreadsheetml/2006/main" count="1643" uniqueCount="471">
  <si>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</si>
  <si>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</si>
  <si>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</si>
  <si>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</si>
  <si>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</si>
  <si>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</si>
  <si>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</si>
  <si>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</si>
  <si>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</si>
  <si>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</si>
  <si>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</si>
  <si>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</si>
  <si>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</si>
  <si>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</si>
  <si>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</si>
  <si>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</si>
  <si>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</si>
  <si>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</si>
  <si>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</si>
  <si>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</si>
  <si>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</si>
  <si>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</si>
  <si>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</si>
  <si>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</si>
  <si>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</si>
  <si>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</si>
  <si>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</si>
  <si>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</si>
  <si>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</si>
  <si>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</si>
  <si>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</si>
  <si>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</si>
  <si>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</si>
  <si>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</si>
  <si>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</si>
  <si>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</si>
  <si>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</si>
  <si>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</si>
  <si>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</si>
  <si>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</si>
  <si>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</si>
  <si>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</si>
  <si>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</si>
  <si>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</si>
  <si>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</si>
  <si>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</si>
  <si>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</si>
  <si>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</si>
  <si>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</si>
  <si>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</si>
  <si>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</si>
  <si>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</si>
  <si>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</si>
  <si>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</si>
  <si>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</si>
  <si>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</si>
  <si>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</si>
  <si>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</si>
  <si>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</si>
  <si>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</si>
  <si>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</si>
  <si>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</si>
  <si>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</si>
  <si>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</si>
  <si>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</si>
  <si>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</si>
  <si>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</si>
  <si>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</si>
  <si>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</si>
  <si>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</si>
  <si>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</si>
  <si>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</si>
  <si>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</si>
  <si>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</si>
  <si>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</si>
  <si>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</si>
  <si>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</si>
  <si>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</si>
  <si>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</si>
  <si>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</si>
  <si>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</si>
  <si>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</si>
  <si>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</si>
  <si>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</si>
  <si>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</si>
  <si>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</si>
  <si>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</si>
  <si>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</si>
  <si>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</si>
  <si>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</si>
  <si>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</si>
  <si>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</si>
  <si>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</si>
  <si>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</si>
  <si>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</si>
  <si>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</si>
  <si>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</si>
  <si>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</si>
  <si>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</si>
  <si>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</si>
  <si>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</si>
  <si>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</si>
  <si>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</si>
  <si>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</si>
  <si>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</si>
  <si>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</si>
  <si>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</si>
  <si>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</si>
  <si>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</si>
  <si>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</si>
  <si>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</si>
  <si>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</si>
  <si>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</si>
  <si>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</si>
  <si>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</si>
  <si>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</si>
  <si>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</si>
  <si>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</si>
  <si>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</si>
  <si>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</si>
  <si>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</si>
  <si>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</si>
  <si>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</si>
  <si>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</si>
  <si>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</si>
  <si>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</si>
  <si>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</si>
  <si>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</si>
  <si>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</si>
  <si>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</si>
  <si>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</si>
  <si>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</si>
  <si>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</si>
  <si>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</si>
  <si>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</si>
  <si>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</si>
  <si>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</si>
  <si>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</si>
  <si>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</si>
  <si>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</si>
  <si>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</si>
  <si>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</si>
  <si>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</si>
  <si>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</si>
  <si>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</si>
  <si>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</si>
  <si>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</si>
  <si>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</si>
  <si>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</si>
  <si>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</si>
  <si>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</si>
  <si>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</si>
  <si>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</si>
  <si>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</si>
  <si>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</si>
  <si>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</si>
  <si>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</si>
  <si>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</si>
  <si>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</si>
  <si>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</si>
  <si>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</si>
  <si>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</si>
  <si>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</si>
  <si>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</si>
  <si>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</si>
  <si>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</si>
  <si>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</si>
  <si>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</si>
  <si>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</si>
  <si>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</si>
  <si>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</si>
  <si>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</si>
  <si>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</si>
  <si>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</si>
  <si>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</si>
  <si>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</si>
  <si>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</si>
  <si>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</si>
  <si>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</si>
  <si>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</si>
  <si>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</si>
  <si>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</si>
  <si>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</si>
  <si>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</si>
  <si>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</si>
  <si>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</si>
  <si>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</si>
  <si>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</si>
  <si>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</si>
  <si>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</si>
  <si>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</si>
  <si>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</si>
  <si>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</si>
  <si>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</si>
  <si>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</si>
  <si>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</si>
  <si>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</si>
  <si>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</si>
  <si>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</si>
  <si>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</si>
  <si>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</si>
  <si>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</si>
  <si>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</si>
  <si>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</si>
  <si>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</si>
  <si>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</si>
  <si>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</si>
  <si>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</si>
  <si>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</si>
  <si>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</si>
  <si>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</si>
  <si>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</si>
  <si>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</si>
  <si>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</si>
  <si>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</si>
  <si>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</si>
  <si>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</si>
  <si>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</si>
  <si>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</si>
  <si>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</si>
  <si>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</si>
  <si>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</si>
  <si>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</si>
  <si>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</si>
  <si>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</si>
  <si>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</si>
  <si>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</si>
  <si>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</si>
  <si>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</si>
  <si>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</si>
  <si>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</si>
  <si>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</si>
  <si>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</si>
  <si>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</si>
  <si>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</si>
  <si>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</si>
  <si>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</si>
  <si>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</si>
  <si>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</si>
  <si>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</si>
  <si>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</si>
  <si>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</si>
  <si>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</si>
  <si>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</si>
  <si>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</si>
  <si>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</si>
  <si>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</si>
  <si>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</si>
  <si>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</si>
  <si>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</si>
  <si>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</si>
  <si>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</si>
  <si>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</si>
  <si>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</si>
  <si>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</si>
  <si>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</si>
  <si>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</si>
  <si>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</si>
  <si>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</si>
  <si>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</si>
  <si>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</si>
  <si>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</si>
  <si>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</si>
  <si>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</si>
  <si>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</si>
  <si>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</si>
  <si>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</si>
  <si>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</si>
  <si>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</si>
  <si>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</si>
  <si>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</si>
  <si>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</si>
  <si>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</si>
  <si>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</si>
  <si>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</si>
  <si>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</si>
  <si>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</si>
  <si>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</si>
  <si>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</si>
  <si>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</si>
  <si>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</si>
  <si>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</si>
  <si>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</si>
  <si>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</si>
  <si>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</si>
  <si>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</si>
  <si>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</si>
  <si>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</si>
  <si>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</si>
  <si>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</si>
  <si>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</si>
  <si>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</si>
  <si>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</si>
  <si>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</si>
  <si>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</si>
  <si>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</si>
  <si>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</si>
  <si>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</si>
  <si>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</si>
  <si>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</si>
  <si>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</si>
  <si>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</si>
  <si>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</si>
  <si>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</si>
  <si>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</si>
  <si>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</si>
  <si>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</si>
  <si>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</si>
  <si>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</si>
  <si>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</si>
  <si>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</si>
  <si>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</si>
  <si>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</si>
  <si>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</si>
  <si>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</si>
  <si>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</si>
  <si>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</si>
  <si>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</si>
  <si>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</si>
  <si>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</si>
  <si>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</si>
  <si>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</si>
  <si>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</si>
  <si>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</si>
  <si>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</si>
  <si>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</si>
  <si>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</si>
  <si>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</si>
  <si>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</si>
  <si>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</si>
  <si>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</si>
  <si>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</si>
  <si>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</si>
  <si>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</si>
  <si>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</si>
  <si>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</si>
  <si>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</si>
  <si>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</si>
  <si>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</si>
  <si>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</si>
  <si>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</si>
  <si>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</si>
  <si>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</si>
  <si>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</si>
  <si>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</si>
  <si>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</si>
  <si>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</si>
  <si>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</si>
  <si>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</si>
  <si>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</si>
  <si>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</si>
  <si>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</si>
  <si>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</si>
  <si>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</si>
  <si>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</si>
  <si>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</si>
  <si>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</si>
  <si>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</si>
  <si>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</si>
  <si>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</si>
  <si>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</si>
  <si>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</si>
  <si>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</si>
  <si>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</si>
  <si>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</si>
  <si>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</si>
  <si>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</si>
  <si>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</si>
  <si>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</si>
  <si>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</si>
  <si>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</si>
  <si>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</si>
  <si>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</si>
  <si>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</si>
  <si>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</si>
  <si>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</si>
  <si>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</si>
  <si>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</si>
  <si>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</si>
  <si>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</si>
  <si>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</si>
  <si>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</si>
  <si>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</si>
  <si>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</si>
  <si>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</si>
  <si>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</si>
  <si>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</si>
  <si>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</si>
  <si>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</si>
  <si>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</si>
  <si>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</si>
  <si>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</si>
  <si>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</si>
  <si>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</si>
  <si>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</si>
  <si>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</si>
  <si>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</si>
  <si>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</si>
  <si>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</si>
  <si>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</si>
  <si>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</si>
  <si>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</si>
  <si>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</si>
  <si>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</si>
  <si>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</si>
  <si>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</si>
  <si>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</si>
  <si>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</si>
  <si>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</si>
  <si>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</si>
  <si>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</si>
  <si>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</si>
  <si>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</si>
  <si>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</si>
  <si>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</si>
  <si>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</si>
  <si>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</si>
  <si>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</si>
  <si>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</si>
  <si>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</si>
  <si>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</si>
  <si>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</si>
  <si>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</si>
  <si>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</si>
  <si>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</si>
  <si>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</si>
  <si>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</si>
  <si>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</si>
  <si>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</si>
  <si>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</si>
  <si>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</si>
  <si>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</si>
  <si>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</si>
  <si>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</si>
  <si>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</si>
  <si>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</si>
  <si>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</si>
  <si>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</si>
  <si>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</si>
  <si>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</si>
  <si>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</si>
  <si>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</si>
  <si>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</si>
  <si>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</si>
  <si>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</si>
  <si>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</si>
  <si>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</si>
  <si>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</si>
  <si>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</si>
  <si>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</si>
  <si>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</si>
  <si>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</si>
  <si>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</si>
  <si>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</si>
  <si>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</si>
  <si>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</si>
  <si>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</si>
  <si>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</si>
  <si>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</si>
  <si>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</si>
  <si>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</si>
  <si>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</si>
  <si>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</si>
  <si>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</si>
  <si>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</si>
  <si>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Livestock classes</t>
  </si>
  <si>
    <t>Livestock class</t>
  </si>
  <si>
    <t>Table_LivestockClasses_Dairy</t>
  </si>
  <si>
    <t>Victoria</t>
  </si>
  <si>
    <t>YES - In leaching zone</t>
  </si>
  <si>
    <t>Edited in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</si>
</sst>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sz val="9"/>
      <color rgb="FF404040"/>
      <name val="Times New Roman"/>
      <family val="1"/>
    </font>
  </fonts>
  <fills count="19">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92D05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3" fillId="15" borderId="2">
      <alignment horizontal="center" vertical="center"/>
    </xf>
    <xf numFmtId="0" fontId="64" fillId="4" borderId="2">
      <alignment horizontal="left" vertical="center"/>
    </xf>
    <xf numFmtId="0" fontId="65" fillId="16" borderId="2">
      <alignment horizontal="center" vertical="center"/>
    </xf>
    <xf numFmtId="0" fontId="35" fillId="4" borderId="2">
      <alignment horizontal="left" vertical="center"/>
    </xf>
    <xf numFmtId="0" fontId="66" fillId="0" borderId="0"/>
  </cellStyleXfs>
  <cellXfs count="158">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58" fillId="4" borderId="0" xfId="62" applyFont="1">
      <alignment horizontal="left" vertical="center"/>
    </xf>
    <xf numFmtId="0" fontId="39" fillId="4" borderId="0" xfId="8" applyAlignment="1">
      <alignment horizontal="center" vertical="center"/>
    </xf>
    <xf numFmtId="0" fontId="46" fillId="11" borderId="0" xfId="63">
      <alignment horizontal="center" vertical="center"/>
    </xf>
    <xf numFmtId="0" fontId="22" fillId="11" borderId="0" xfId="64">
      <alignment horizontal="left" vertical="center" indent="1"/>
    </xf>
    <xf numFmtId="0" fontId="59" fillId="0" borderId="0" xfId="2" applyFont="1"/>
    <xf numFmtId="0" fontId="55" fillId="2" borderId="0" xfId="8" applyFont="1" applyFill="1">
      <alignment horizontal="left" vertical="center"/>
    </xf>
    <xf numFmtId="0" fontId="17" fillId="4" borderId="0" xfId="32" applyFill="1">
      <alignment vertical="center"/>
    </xf>
    <xf numFmtId="170" fontId="39" fillId="4" borderId="0" xfId="8" applyNumberFormat="1">
      <alignment horizontal="left" vertical="center"/>
    </xf>
    <xf numFmtId="0" fontId="60" fillId="4" borderId="0" xfId="8" applyFont="1">
      <alignment horizontal="left" vertical="center"/>
    </xf>
    <xf numFmtId="0" fontId="61" fillId="4" borderId="0" xfId="8" applyFont="1">
      <alignment horizontal="left" vertical="center"/>
    </xf>
    <xf numFmtId="171" fontId="39" fillId="4" borderId="0" xfId="8" applyNumberFormat="1">
      <alignment horizontal="left" vertical="center"/>
    </xf>
    <xf numFmtId="43" fontId="39" fillId="4" borderId="0" xfId="42" applyFont="1" applyFill="1" applyAlignment="1">
      <alignment horizontal="left" vertical="center"/>
    </xf>
    <xf numFmtId="0" fontId="10" fillId="0" borderId="0" xfId="46"/>
    <xf numFmtId="0" fontId="63" fillId="15" borderId="2" xfId="65">
      <alignment horizontal="center" vertical="center"/>
    </xf>
    <xf numFmtId="0" fontId="64" fillId="4" borderId="2" xfId="66">
      <alignment horizontal="left" vertical="center"/>
    </xf>
    <xf numFmtId="0" fontId="65"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6" fillId="0" borderId="0" xfId="69"/>
    <xf numFmtId="0" fontId="35" fillId="4" borderId="19" xfId="68" applyBorder="1">
      <alignment horizontal="left" vertical="center"/>
    </xf>
    <xf numFmtId="0" fontId="67" fillId="9" borderId="0" xfId="33" applyFont="1" applyFill="1"/>
    <xf numFmtId="0" fontId="39" fillId="9" borderId="0" xfId="8" applyFill="1">
      <alignment horizontal="left" vertical="center"/>
    </xf>
    <xf numFmtId="0" fontId="17" fillId="11" borderId="0" xfId="32" applyFill="1">
      <alignment vertical="center"/>
    </xf>
    <xf numFmtId="0" fontId="68" fillId="4" borderId="0" xfId="62" applyFont="1">
      <alignment horizontal="left" vertical="center"/>
    </xf>
    <xf numFmtId="10" fontId="39"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39" fillId="4" borderId="0" xfId="8" applyAlignment="1">
      <alignment horizontal="left" vertical="center" indent="6"/>
    </xf>
    <xf numFmtId="0" fontId="44" fillId="13" borderId="21" xfId="41" applyBorder="1">
      <alignment horizontal="left" vertical="center"/>
    </xf>
    <xf numFmtId="0" fontId="44" fillId="13" borderId="20" xfId="41" applyBorder="1">
      <alignment horizontal="left" vertical="center"/>
    </xf>
    <xf numFmtId="0" fontId="45" fillId="13" borderId="21" xfId="41" applyFont="1" applyBorder="1">
      <alignment horizontal="left" vertical="center"/>
    </xf>
    <xf numFmtId="171" fontId="2" fillId="0" borderId="2" xfId="17" applyNumberFormat="1">
      <alignment horizontal="center" vertical="center"/>
    </xf>
    <xf numFmtId="0" fontId="39" fillId="4" borderId="0" xfId="8" applyAlignment="1">
      <alignment horizontal="left" vertical="center" indent="9"/>
    </xf>
    <xf numFmtId="0" fontId="39" fillId="4" borderId="0" xfId="8" applyAlignment="1">
      <alignment horizontal="left" vertical="center" indent="3"/>
    </xf>
    <xf numFmtId="0" fontId="13" fillId="6" borderId="0" xfId="29" applyAlignment="1">
      <alignment horizontal="left" vertical="center"/>
    </xf>
    <xf numFmtId="0" fontId="69" fillId="9" borderId="5" xfId="36" applyFont="1">
      <alignment horizontal="left" vertical="center" indent="1"/>
    </xf>
    <xf numFmtId="0" fontId="39" fillId="17" borderId="1" xfId="8" applyFill="1" applyBorder="1">
      <alignment horizontal="left" vertical="center"/>
    </xf>
    <xf numFmtId="0" fontId="35" fillId="14" borderId="2" xfId="55" applyFill="1">
      <alignment horizontal="center" vertical="center"/>
    </xf>
    <xf numFmtId="0" fontId="39" fillId="18" borderId="1" xfId="8" applyFill="1" applyBorder="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13</v>
    <v>24</v>
  </rv>
</rvData>
</file>

<file path=xl/richData/rdrichvaluestructure.xml><?xml version="1.0" encoding="utf-8"?>
<rvStructures xmlns="http://schemas.microsoft.com/office/spreadsheetml/2017/richdata" count="2">
  <s t="_localImage">
    <k n="_rvRel:LocalImageIdentifier" t="i"/>
    <k n="CalcOrigin" t="i"/>
  </s>
  <s t="_error">
    <k n="errorType" t="i"/>
    <k n="subType"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006A23F-3930-4C16-9B92-37DD408BCC17}" name="Table_LivestockClasses_Dairy" displayName="Table_LivestockClasses_Dairy" ref="L7:L12" totalsRowShown="0">
  <autoFilter ref="L7:L12" xr:uid="{F006A23F-3930-4C16-9B92-37DD408BCC17}">
    <filterColumn colId="0" hiddenButton="1"/>
  </autoFilter>
  <tableColumns count="1">
    <tableColumn id="1" xr3:uid="{B95B5B59-2A4B-46CF-AD90-30078B653BC2}"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43328F-89F6-40A3-8B08-6D6B0190A6F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D2AC9FE-FDCB-44C6-A7A2-5A9EE40882FC}" name="State/Territory">
      <calculatedColumnFormula array="1">Common_InputFunctions.Utility_DisplayArrayInTable(Common_SourceData.Common_SourceData_AustralianStatesTerritories_Data(),Table_AustralianStates[[#Headers],[State/Territory]],0)</calculatedColumnFormula>
    </tableColumn>
    <tableColumn id="2" xr3:uid="{34ED062C-0D40-495E-91CF-239E7C8049C2}" name="Common Name">
      <calculatedColumnFormula array="1">Common_InputFunctions.Utility_DisplayArrayInTable(Common_SourceData.Common_SourceData_AustralianStatesTerritories_Data(),Table_AustralianStates[[#Headers],[State/Territory]],0)</calculatedColumnFormula>
    </tableColumn>
    <tableColumn id="3" xr3:uid="{86BA58F9-1EE2-41CF-B0AF-DD283A046E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07B2F0-D45A-4B5F-9365-D0D39F74FC4A}" name="Table_WASA4Areas" displayName="Table_WASA4Areas" ref="D20:D30" totalsRowShown="0">
  <autoFilter ref="D20:D30" xr:uid="{5FA81339-C6C8-4D36-BEEA-6C4AEDD9E676}">
    <filterColumn colId="0" hiddenButton="1"/>
  </autoFilter>
  <tableColumns count="1">
    <tableColumn id="1" xr3:uid="{EF4CA605-4830-4990-A153-33DBCB4EB09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4B8994B-B843-4CC1-9C18-3905A7DFAFB3}" name="Table_GWPData" displayName="Table_GWPData" ref="D36:E43" totalsRowShown="0">
  <autoFilter ref="D36:E43" xr:uid="{B8E87A66-3E41-4AD3-925D-01EE21B43D7A}">
    <filterColumn colId="0" hiddenButton="1"/>
    <filterColumn colId="1" hiddenButton="1"/>
  </autoFilter>
  <tableColumns count="2">
    <tableColumn id="1" xr3:uid="{92859857-E37B-4834-BCAD-F2AD4753C955}" name="Gas">
      <calculatedColumnFormula array="1">Common_InputFunctions.Utility_DisplayArrayInTable(Common_SourceData.Common_SourceData_GWP_Data(), Table_GWPData[[#Headers],[Gas]], 0)</calculatedColumnFormula>
    </tableColumn>
    <tableColumn id="2" xr3:uid="{252BDD8D-4E3C-419C-BCE9-F976EE9B169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3629775-F60E-413E-B1B0-D820DBF917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30BCDB0-7AAA-4239-B278-1090DD89AF92}" name="Gas">
      <calculatedColumnFormula array="1">Common_InputFunctions.Utility_DisplayArrayInTable(Common_SourceData.Common_SourceData_ConvertGasElementalToMolecular_Data(),Table_GasToMolecularConversionFactor[[#Headers],[Gas]], 0)</calculatedColumnFormula>
    </tableColumn>
    <tableColumn id="5" xr3:uid="{22E3A412-E46D-4E41-86CA-91CE7EAA0B18}" name="Conversion factor">
      <calculatedColumnFormula array="1">Common_InputFunctions.Utility_DisplayArrayInTable(Common_SourceData.Common_SourceData_ConvertGasElementalToMolecular_Data(),Table_GasToMolecularConversionFactor[[#Headers],[Gas]], 0)</calculatedColumnFormula>
    </tableColumn>
    <tableColumn id="2" xr3:uid="{27916ED3-937D-4C71-BEDF-41BCA085167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FA37ED5-B78B-4A56-B4A1-82F4D9A1D0E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50194D2-0FD9-4B20-820D-66C414F85BC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5181BF1-0B4D-49F6-90CA-861D34B8AEB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D208451-2A02-4AEC-A97E-3282AB44D04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B31C220-C478-4FB6-9032-415C3644365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27A52EAE-5CAE-4519-BC51-F73F591E9327}"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97B6E421-2E3B-4879-9840-60249B49CAAD}"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E3E7BF59-B555-4BA4-9F41-570D8764BC26}"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B8E97CF3-CF29-4293-8BB8-57AF7A7B46C8}"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57FBBF1D-96A7-4539-B80C-8CAEF7E58EC9}"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91228659-2453-404B-A3EC-675B965654F2}"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A42C51A7-410D-40D2-B3FD-268B75DD6A69}"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6928653B-E238-4C03-8B2E-1DD530B292EA}"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E244F4BA-A3D5-4FF0-8510-6B5D07C9AE54}"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FF92AB3-A57B-4EDF-AB45-AD5F9C3C18C9}"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B09EF523-2FBE-453C-A084-D5094BBCC173}"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25CB5178-4D52-4140-A525-FCF50469D0F4}"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39CB1131-367B-4DE2-84D6-DCA507D2AA21}"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9A71E8E6-EF76-4C61-A864-97E7D0B485B5}"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59A177-155A-4954-9800-069E781F0F3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5D8328E5-72AE-48E8-A08C-622E4C2610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80DED5-E685-4D8F-9A59-FC748C6D6B2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9FE58B5-04E9-4C75-B111-C4543E895D6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2A436E9-1864-4B9E-8E06-64C5B6818ABA}" name="Temperature Zone">
      <calculatedColumnFormula array="1">Common_InputFunctions.Utility_DisplayArrayInTable(Common_SourceData.Common_SourceData_TemperatureZones_Data(),Table_SourceData_TemperatureZones[[#Headers],[Temperature Zone]],0)</calculatedColumnFormula>
    </tableColumn>
    <tableColumn id="2" xr3:uid="{14652FBB-8CF2-4C32-B5DB-4B9319B94678}" name="MAT">
      <calculatedColumnFormula array="1">Common_InputFunctions.Utility_DisplayArrayInTable(Common_SourceData.Common_SourceData_TemperatureZones_Data(),Table_SourceData_TemperatureZones[[#Headers],[Temperature Zone]],0)</calculatedColumnFormula>
    </tableColumn>
    <tableColumn id="3" xr3:uid="{D9265CE7-4B91-49F0-B8A4-255A33C6FA85}" name="Min MAT">
      <calculatedColumnFormula array="1">Common_InputFunctions.Utility_DisplayArrayInTable(Common_SourceData.Common_SourceData_TemperatureZones_Data(),Table_SourceData_TemperatureZones[[#Headers],[Temperature Zone]],0)</calculatedColumnFormula>
    </tableColumn>
    <tableColumn id="4" xr3:uid="{52DC5FA6-562A-4619-808A-AB04A170508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53E00E7-D0CA-41B3-B83B-03932F4F225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94CBE0B-78C7-46B4-B1FA-B174EA7E2CEE}" name="Rainfall Zone">
      <calculatedColumnFormula array="1">Common_InputFunctions.Utility_DisplayArrayInTable(Common_SourceData.Common_SourceData_RainfallZones_Data(),Table_SourceData_RainfallZones[[#Headers],[Rainfall Zone]],0)</calculatedColumnFormula>
    </tableColumn>
    <tableColumn id="2" xr3:uid="{DB43A04D-848E-42CF-9FC6-41E1AA98C7CE}" name="Annual rainfall">
      <calculatedColumnFormula array="1">Common_InputFunctions.Utility_DisplayArrayInTable(Common_SourceData.Common_SourceData_RainfallZones_Data(),Table_SourceData_RainfallZones[[#Headers],[Rainfall Zone]],0)</calculatedColumnFormula>
    </tableColumn>
    <tableColumn id="3" xr3:uid="{FECF2476-1093-45C5-B8BC-10E40617CEB2}" name="Min rainfall">
      <calculatedColumnFormula array="1">Common_InputFunctions.Utility_DisplayArrayInTable(Common_SourceData.Common_SourceData_RainfallZones_Data(),Table_SourceData_RainfallZones[[#Headers],[Rainfall Zone]],0)</calculatedColumnFormula>
    </tableColumn>
    <tableColumn id="4" xr3:uid="{6C2BF44B-AB8F-43F0-A3CC-2724C731A38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593D77D-B8CF-422B-9970-1E428180510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F366C8B-46C9-4048-9CF5-A2DFCF15238D}" name="Leaching Zone">
      <calculatedColumnFormula array="1">Common_InputFunctions.Utility_DisplayArrayInTable(Common_SourceData.Common_SourceData_LeachingZones_Data(), Table_SourceData_LeachingZones[[#Headers],[Leaching Zone]], 0)</calculatedColumnFormula>
    </tableColumn>
    <tableColumn id="2" xr3:uid="{CDCAD202-A77D-44DC-BE5E-E6C3238B421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7DA101-8FD7-4254-92AC-A339F871198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11A1115-68A3-4200-9618-07F2525D24D4}" name="Data source">
      <calculatedColumnFormula array="1">Common_InputFunctions.Utility_DisplayArrayInTable(Common_SourceData.Common_SourceData_DataScores_Scope3_Data(), Table_SourceData_DataScores_Scope3[[#Headers],[Data source]], 0)</calculatedColumnFormula>
    </tableColumn>
    <tableColumn id="2" xr3:uid="{0E947C80-3BBD-4D3E-BE0A-97B0DA8A60D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B8C267E-CA70-43F0-A9D7-58DE190630DE}" name="Table_SourceData_FracWET" displayName="Table_SourceData_FracWET" ref="D134:E136" totalsRowShown="0">
  <autoFilter ref="D134:E136" xr:uid="{308E99BE-FE1F-47A4-B2CA-97217277C4E9}">
    <filterColumn colId="0" hiddenButton="1"/>
    <filterColumn colId="1" hiddenButton="1"/>
  </autoFilter>
  <tableColumns count="2">
    <tableColumn id="1" xr3:uid="{212E479D-4D6F-4422-8D80-14FAEEE5040C}" name="Is in leaching zone">
      <calculatedColumnFormula array="1">Common_InputFunctions.Utility_DisplayArrayInTable(Common_SourceData.Common_SourceData_FracWET_Data(),Table_SourceData_FracWET[[#Headers],[Is in leaching zone]],0)</calculatedColumnFormula>
    </tableColumn>
    <tableColumn id="2" xr3:uid="{427AABAD-0AA4-4528-9E8C-86CA6A44408F}"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657269D-072D-4265-AEA5-850507292A1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40BB269-B826-4DB6-9DE7-C4105B644678}" name="Production system j">
      <calculatedColumnFormula array="1">Common_InputFunctions.Utility_DisplayArrayInTable(Common_SourceData.Common_SourceData_EFN2O_Data(), Table_SourceData_Common_EFN2O[[#Headers],[Production system j]], 0)</calculatedColumnFormula>
    </tableColumn>
    <tableColumn id="2" xr3:uid="{63C5BBDC-C908-4506-BCBB-4CEC6365B783}" name="EFN2O">
      <calculatedColumnFormula array="1">Common_InputFunctions.Utility_DisplayArrayInTable(Common_SourceData.Common_SourceData_EFN2O_Data(), Table_SourceData_Common_EFN2O[[#Headers],[Production system j]], 0)</calculatedColumnFormula>
    </tableColumn>
    <tableColumn id="3" xr3:uid="{4D3263E6-BF4C-4311-9F81-76A999D1D45F}" name="Production system only">
      <calculatedColumnFormula array="1">Common_InputFunctions.Utility_DisplayArrayInTable(Common_SourceData.Common_SourceData_EFN2O_Data(), Table_SourceData_Common_EFN2O[[#Headers],[Production system j]], 0)</calculatedColumnFormula>
    </tableColumn>
    <tableColumn id="4" xr3:uid="{E7F9C24B-8B74-4C71-ABA4-5BDD85AED4E6}" name="Irrigation method">
      <calculatedColumnFormula array="1">Common_InputFunctions.Utility_DisplayArrayInTable(Common_SourceData.Common_SourceData_EFN2O_Data(), Table_SourceData_Common_EFN2O[[#Headers],[Production system j]], 0)</calculatedColumnFormula>
    </tableColumn>
    <tableColumn id="5" xr3:uid="{75302D92-EE69-4509-9C30-B08F5087496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6EA4A29-F311-4792-9CAA-0AF16ACEF9C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DED6A73-F199-49A7-B070-6D3F05AC4F3A}" name="Irrigation type i">
      <calculatedColumnFormula array="1">Common_InputFunctions.Utility_DisplayArrayInTable(Common_SourceData.Common_SourceData_FracWETIrrigation_Data(), Table_SourceData_FracWETIrrigation[[#Headers],[Irrigation type i]], 0)</calculatedColumnFormula>
    </tableColumn>
    <tableColumn id="2" xr3:uid="{083AB535-118A-4078-B2CA-8F1E0359D524}"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AEFA1AD-68D3-457E-891C-891980B7F6C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E6BE192-53FF-47C2-BF89-2DDB4B2A961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6C0D436-5324-493A-8310-BA81E76CED16}"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7AC7120-B2AB-45C6-8A23-E4AF8DA463D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A1048CF-429D-4231-BDD7-6338596E7895}" name="Month">
      <calculatedColumnFormula array="1">Common_InputFunctions.Utility_DisplayArrayInTable(Common_SourceData.Common_SourceData_MonthsToSeasons_Data(), Table_SourceData_Common_MonthToSeason[[#Headers],[Month]], 0)</calculatedColumnFormula>
    </tableColumn>
    <tableColumn id="2" xr3:uid="{27B49675-3329-41DB-9596-F02B5A767BCD}"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2DC1E38-D851-408E-987E-A027329476E1}"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93E9EAE-7E83-4F68-8FA0-5FCD9894AB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61C5F54-69A0-4463-8340-E134A1D93C24}"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E7BF5BE-F247-442E-ABD8-AB2C00F77922}"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FEE3766-2C01-43B6-A036-3FBC24F46A24}"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E099EED-B3BC-4AA3-8B36-B45D911AE875}"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D45B4B9-2125-4CAC-A6EE-4AD62E784551}"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F7125D1-D5B7-4ABD-BE38-D6037EB0C7E8}"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F3F7ED9-DE9F-4414-871B-282E82D31E55}"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7DB74DE-4B71-4A06-81B7-4C9B57474A69}"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9FA4515F-3589-4EF9-B5D6-47D9939862B6}"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C383582-EF1D-4381-826F-10702DCF7F72}"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4F99F52-0078-4D65-A99E-B69BC7138280}"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BE73CF0-9C6F-4BA9-8FF7-859E093A911C}"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EF6E118-8302-4505-9165-508B2529398C}"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6F612AF-4732-4752-90B8-D2E836C6D7CC}"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448C8F9-F66A-4F65-A9CF-0AB34980166F}"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D711B36-FAB5-4D81-A9CA-D5554B8443F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AAB1132-CFAF-47F3-9325-DEF1E40F4F8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DCBDD51-9A82-4BB1-99A6-285A00BE777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7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10.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19"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17"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Normal="100" workbookViewId="0">
      <selection activeCell="A29" sqref="A29"/>
    </sheetView>
  </sheetViews>
  <sheetFormatPr defaultRowHeight="15" x14ac:dyDescent="0.25"/>
  <cols>
    <col min="1" max="1" width="30.7109375" customWidth="1"/>
    <col min="2" max="3" width="4.7109375" customWidth="1"/>
  </cols>
  <sheetData>
    <row r="1" spans="1:64" ht="30" customHeight="1" x14ac:dyDescent="0.35">
      <c r="A1" s="67" t="e" vm="1">
        <v>#VALUE!</v>
      </c>
      <c r="C1" s="139" t="s">
        <v>418</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5">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5">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5">
      <c r="A4" s="11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48" t="s">
        <v>428</v>
      </c>
      <c r="E5" s="148"/>
      <c r="F5" s="148"/>
      <c r="G5" s="148"/>
      <c r="H5" s="148"/>
      <c r="I5" s="111"/>
      <c r="J5" s="91"/>
      <c r="K5" s="91"/>
      <c r="L5" s="91"/>
      <c r="M5" s="91"/>
      <c r="N5" s="91"/>
      <c r="O5" s="91"/>
      <c r="P5" s="91"/>
      <c r="Q5" s="91"/>
      <c r="R5" s="91"/>
      <c r="S5" s="91"/>
      <c r="T5" s="91"/>
      <c r="U5" s="91"/>
      <c r="V5" s="87"/>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49" t="s">
        <v>417</v>
      </c>
      <c r="E6" s="147"/>
      <c r="F6" s="147"/>
      <c r="G6" s="147"/>
      <c r="H6" s="147"/>
      <c r="I6" s="93"/>
      <c r="J6" s="90"/>
      <c r="K6" s="90"/>
      <c r="L6" s="90"/>
      <c r="M6" s="90"/>
      <c r="N6" s="90"/>
      <c r="O6" s="90"/>
      <c r="P6" s="90"/>
      <c r="Q6" s="90"/>
      <c r="R6" s="90"/>
      <c r="S6" s="90"/>
      <c r="T6" s="90"/>
      <c r="U6" s="90"/>
      <c r="V6" s="88"/>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72</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HYPERLINK("#'4.3.1.1-2 Methane'!A1", "4.3.1.1-2 Methane")</f>
        <v>4.3.1.1-2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HYPERLINK("#'4.3.1.3-4 Direct N20'!A1", "4.3.1.3-4 Direct N20")</f>
        <v>4.3.1.3-4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HYPERLINK("#'4.3.1.5 Atmos deposition'!A1", "4.3.1.5 Atmos deposition")</f>
        <v>4.3.1.5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HYPERLINK("#'4.3.1.6-7 Leaching and runoff'!A1", "4.3.1.6-7 Leaching and runoff")</f>
        <v>4.3.1.6-7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HYPERLINK("#'4.3.1.8 Manure applied to soils'!A1", "4.3.1.8 Manure applied to soils")</f>
        <v>4.3.1.8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HYPERLINK("#'4.3.1.9 Soil direct N2O'!A1", "4.3.1.9 Soil direct N2O")</f>
        <v>4.3.1.9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HYPERLINK("#'4.3.1.10-11 Soil Atmos Dep'!A1", "4.3.1.10-11 Soil Atmos Dep")</f>
        <v>4.3.1.10-11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HYPERLINK("#'4.3.1.12-13 Soil leach runoff'!A1", "4.3.1.12-13 Soil leach runoff")</f>
        <v>4.3.1.12-13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54"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A25" s="17" t="str">
        <f>HYPERLINK("#'Constants - Dairy'!A1", "Constants - Dairy")</f>
        <v>Constants - Dairy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A27" s="17" t="str">
        <f>HYPERLINK("#'Constants - Livestock'!A1", "Constants - Livestock")</f>
        <v>Constants -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A28" s="17" t="str">
        <f>HYPERLINK("#'Acknowledgements'!A1", "Acknowledgements")</f>
        <v>Acknowledgements</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A29" s="17" t="str">
        <f>HYPERLINK("#'Tab template'!A1", "Tab template")</f>
        <v>Tab template</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7" t="e" vm="1">
        <v>#VALUE!</v>
      </c>
      <c r="C1" s="120" t="s">
        <v>309</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9" t="str">
        <f>HYPERLINK("#'Results'!A1", "Results")</f>
        <v>Results</v>
      </c>
      <c r="C5" s="23"/>
      <c r="D5" s="27"/>
      <c r="E5" s="28"/>
      <c r="F5" s="28"/>
      <c r="G5" s="28"/>
      <c r="H5" s="25"/>
      <c r="I5" s="23"/>
      <c r="J5" s="23"/>
      <c r="K5" s="23"/>
    </row>
    <row r="6" spans="1:11" ht="20.100000000000001" customHeight="1" x14ac:dyDescent="0.25">
      <c r="C6" s="23"/>
      <c r="D6" s="118" t="s">
        <v>133</v>
      </c>
      <c r="E6" s="118" t="s">
        <v>374</v>
      </c>
      <c r="F6" s="118" t="s">
        <v>375</v>
      </c>
      <c r="G6" s="118" t="s">
        <v>150</v>
      </c>
      <c r="H6" s="118" t="s">
        <v>380</v>
      </c>
      <c r="I6" s="118" t="s">
        <v>381</v>
      </c>
      <c r="J6" s="118" t="s">
        <v>151</v>
      </c>
      <c r="K6" s="23"/>
    </row>
    <row r="7" spans="1:11" ht="20.100000000000001" customHeight="1" x14ac:dyDescent="0.25">
      <c r="C7" s="23"/>
      <c r="D7" s="1" t="s">
        <v>376</v>
      </c>
      <c r="E7" s="113">
        <f ca="1">VEERG_4_3_1_1__1_TotalAnnualMethaneFromManureManagement_Result_Method1</f>
        <v>0.14170731411680171</v>
      </c>
      <c r="F7" s="113">
        <f ca="1">VEERG_4_3_1_1__1_TotalAnnualMethaneFromManureManagement_Result_Method2</f>
        <v>0.14170731411680171</v>
      </c>
      <c r="G7" s="55" t="str">
        <f>'4.3.1.1-2 Methane'!$F$300</f>
        <v>t CH4</v>
      </c>
      <c r="H7" s="113">
        <f ca="1">'4.3.1.1-2 Methane'!$E$305</f>
        <v>3.9678047952704478</v>
      </c>
      <c r="I7" s="113">
        <f ca="1">'4.3.1.1-2 Methane'!$P$305</f>
        <v>3.9678047952704478</v>
      </c>
      <c r="J7" s="55" t="str">
        <f>'4.3.1.1-2 Methane'!$F$305</f>
        <v>t CO2e</v>
      </c>
      <c r="K7" s="23"/>
    </row>
    <row r="8" spans="1:11" ht="20.100000000000001" customHeight="1" x14ac:dyDescent="0.25">
      <c r="A8" s="19" t="s">
        <v>0</v>
      </c>
      <c r="C8" s="23"/>
      <c r="D8" s="1" t="s">
        <v>377</v>
      </c>
      <c r="E8" s="113">
        <f>VEERG_4_3_1_3__1_TotalAnnualDirectNitrousOxideEmissionsFromMMS_Result_Method1</f>
        <v>0</v>
      </c>
      <c r="F8" s="113">
        <f>VEERG_4_3_1_3__1_TotalAnnualDirectNitrousOxideEmissionsFromMMS_Result_Method2</f>
        <v>0</v>
      </c>
      <c r="G8" s="55" t="str">
        <f>'4.3.1.3-4 Direct N20'!$F$287</f>
        <v>t N2O</v>
      </c>
      <c r="H8" s="113">
        <f>'4.3.1.3-4 Direct N20'!$E$292</f>
        <v>0</v>
      </c>
      <c r="I8" s="113">
        <f>'4.3.1.3-4 Direct N20'!$O$292</f>
        <v>0</v>
      </c>
      <c r="J8" s="55" t="str">
        <f>'4.3.1.3-4 Direct N20'!$F$292</f>
        <v>t CO2e</v>
      </c>
      <c r="K8" s="23"/>
    </row>
    <row r="9" spans="1:11" ht="20.100000000000001" customHeight="1" x14ac:dyDescent="0.25">
      <c r="A9" s="17" t="str">
        <f>HYPERLINK("#'Input - Site'!A1", "Site")</f>
        <v>Site</v>
      </c>
      <c r="C9" s="23"/>
      <c r="D9" s="1" t="s">
        <v>378</v>
      </c>
      <c r="E9" s="113">
        <f>VEERG_4_3_1_5__1_AnnualAtmosphericDepositionEmissionsFromMMS_Result_Method1</f>
        <v>1.1295670635650863E-2</v>
      </c>
      <c r="F9" s="113">
        <f>VEERG_4_3_1_5__1_AnnualAtmosphericDepositionEmissionsFromMMS_Result_Method2</f>
        <v>1.1295670635650863E-2</v>
      </c>
      <c r="G9" s="55" t="str">
        <f>'4.3.1.5 Atmos deposition'!$F$68</f>
        <v>t N2O</v>
      </c>
      <c r="H9" s="113">
        <f>'4.3.1.5 Atmos deposition'!$E$73</f>
        <v>2.9933527184474786</v>
      </c>
      <c r="I9" s="113">
        <f>'4.3.1.5 Atmos deposition'!$P$73</f>
        <v>2.9933527184474786</v>
      </c>
      <c r="J9" s="55" t="str">
        <f>'4.3.1.5 Atmos deposition'!$F$73</f>
        <v>t CO2e</v>
      </c>
      <c r="K9" s="23"/>
    </row>
    <row r="10" spans="1:11" ht="20.100000000000001" customHeight="1" x14ac:dyDescent="0.25">
      <c r="A10" s="17" t="str">
        <f>HYPERLINK("#'Input - Dairy'!A1", "Dairy")</f>
        <v>Dairy</v>
      </c>
      <c r="C10" s="23"/>
      <c r="D10" s="1" t="s">
        <v>379</v>
      </c>
      <c r="E10" s="113">
        <f>VEERG_4_3_1_6__1_AnnualEmissionsFromLeachingAndRunoffFromMMS_Result_Method1</f>
        <v>0</v>
      </c>
      <c r="F10" s="113">
        <f>VEERG_4_3_1_6__1_AnnualEmissionsFromLeachingAndRunoffFromMMS_Result_Method2</f>
        <v>0</v>
      </c>
      <c r="G10" s="55" t="str">
        <f>'4.3.1.6-7 Leaching and runoff'!$F$52</f>
        <v>t N2O</v>
      </c>
      <c r="H10" s="113">
        <f>'4.3.1.6-7 Leaching and runoff'!$E$57</f>
        <v>0</v>
      </c>
      <c r="I10" s="113">
        <f>'4.3.1.6-7 Leaching and runoff'!$P$57</f>
        <v>0</v>
      </c>
      <c r="J10" s="55" t="str">
        <f>'4.3.1.6-7 Leaching and runoff'!$F$57</f>
        <v>t CO2e</v>
      </c>
      <c r="K10" s="23"/>
    </row>
    <row r="11" spans="1:11" ht="20.100000000000001" customHeight="1" x14ac:dyDescent="0.25">
      <c r="C11" s="23"/>
      <c r="D11" s="1" t="s">
        <v>346</v>
      </c>
      <c r="E11" s="113">
        <f>VEERG_4_3_1_9__1_DirectNitrousOxideEmissionsOnPasture_Result_Method1</f>
        <v>0</v>
      </c>
      <c r="F11" s="113">
        <f>VEERG_4_3_1_9__1_DirectNitrousOxideEmissionsOnPasture_Result_Method2</f>
        <v>0</v>
      </c>
      <c r="G11" s="55" t="str">
        <f>'4.3.1.9 Soil direct N2O'!$F$53</f>
        <v>t N2O</v>
      </c>
      <c r="H11" s="113">
        <f>'4.3.1.9 Soil direct N2O'!$E$58</f>
        <v>0</v>
      </c>
      <c r="I11" s="113">
        <f>'4.3.1.9 Soil direct N2O'!$P$58</f>
        <v>0</v>
      </c>
      <c r="J11" s="55" t="str">
        <f>'4.3.1.9 Soil direct N2O'!$F$58</f>
        <v>t CO2e</v>
      </c>
      <c r="K11" s="23"/>
    </row>
    <row r="12" spans="1:11" ht="20.100000000000001" customHeight="1" x14ac:dyDescent="0.25">
      <c r="C12" s="23"/>
      <c r="D12" s="1" t="s">
        <v>362</v>
      </c>
      <c r="E12" s="113">
        <f>VEERG_4_3_1_10__1_AtmosphericDepositionEmissionsFromUrineAndDungOnPasture_Result_Method1</f>
        <v>0</v>
      </c>
      <c r="F12" s="113">
        <f>VEERG_4_3_1_10__1_AtmosphericDepositionEmissionsFromUrineAndDungOnPasture_Result_Method2</f>
        <v>0</v>
      </c>
      <c r="G12" s="55" t="str">
        <f>'4.3.1.10-11 Soil Atmos Dep'!$F$45</f>
        <v>t N2O</v>
      </c>
      <c r="H12" s="113">
        <f>'4.3.1.10-11 Soil Atmos Dep'!$E$50</f>
        <v>0</v>
      </c>
      <c r="I12" s="113">
        <f>'4.3.1.10-11 Soil Atmos Dep'!$P$50</f>
        <v>0</v>
      </c>
      <c r="J12" s="55" t="str">
        <f>'4.3.1.10-11 Soil Atmos Dep'!$F$50</f>
        <v>t CO2e</v>
      </c>
      <c r="K12" s="23"/>
    </row>
    <row r="13" spans="1:11" ht="20.100000000000001" customHeight="1" x14ac:dyDescent="0.25">
      <c r="A13" s="18" t="s">
        <v>72</v>
      </c>
      <c r="C13" s="23"/>
      <c r="D13" s="1" t="s">
        <v>363</v>
      </c>
      <c r="E13" s="113">
        <f>VEERG_4_3_1_12__1_LeachingAndRunoffEmissionsFromUrineAndDungOnPasture_Result_Method1</f>
        <v>0</v>
      </c>
      <c r="F13" s="113">
        <f>VEERG_4_3_1_12__1_LeachingAndRunoffEmissionsFromUrineAndDungOnPasture_Result_Method2</f>
        <v>0</v>
      </c>
      <c r="G13" s="55" t="str">
        <f>'4.3.1.12-13 Soil leach runoff'!$F$47</f>
        <v>t N2O</v>
      </c>
      <c r="H13" s="113">
        <f>'4.3.1.12-13 Soil leach runoff'!$E$52</f>
        <v>0</v>
      </c>
      <c r="I13" s="113">
        <f>'4.3.1.12-13 Soil leach runoff'!$P$52</f>
        <v>0</v>
      </c>
      <c r="J13" s="55" t="str">
        <f>'4.3.1.12-13 Soil leach runoff'!$F$52</f>
        <v>t CO2e</v>
      </c>
      <c r="K13" s="23"/>
    </row>
    <row r="14" spans="1:11" ht="20.100000000000001" customHeight="1" x14ac:dyDescent="0.3">
      <c r="A14" s="17" t="str">
        <f>HYPERLINK("#'4.3.1.1-2 Methane'!A1", "4.3.1.1-2 Methane")</f>
        <v>4.3.1.1-2 Methane</v>
      </c>
      <c r="C14" s="23"/>
      <c r="D14" s="30" t="s">
        <v>148</v>
      </c>
      <c r="E14" s="24"/>
      <c r="F14" s="24"/>
      <c r="G14" s="30"/>
      <c r="H14" s="115">
        <f ca="1">SUM(H7:H13)</f>
        <v>6.9611575137179269</v>
      </c>
      <c r="I14" s="115">
        <f ca="1">SUM(I7:I13)</f>
        <v>6.9611575137179269</v>
      </c>
      <c r="J14" s="108" t="s">
        <v>344</v>
      </c>
      <c r="K14" s="23"/>
    </row>
    <row r="15" spans="1:11" ht="20.100000000000001" customHeight="1" x14ac:dyDescent="0.25">
      <c r="A15" s="17" t="str">
        <f>HYPERLINK("#'4.3.1.3-4 Direct N20'!A1", "4.3.1.3-4 Direct N20")</f>
        <v>4.3.1.3-4 Direct N20</v>
      </c>
      <c r="C15" s="23"/>
      <c r="D15" s="1"/>
      <c r="E15" s="1"/>
      <c r="F15" s="1"/>
      <c r="G15" s="25"/>
      <c r="H15" s="23"/>
      <c r="I15" s="1"/>
      <c r="J15" s="1"/>
      <c r="K15" s="23"/>
    </row>
    <row r="16" spans="1:11" ht="20.100000000000001" customHeight="1" x14ac:dyDescent="0.25">
      <c r="A16" s="17" t="str">
        <f>HYPERLINK("#'4.3.1.5 Atmos deposition'!A1", "4.3.1.5 Atmos deposition")</f>
        <v>4.3.1.5 Atmos deposition</v>
      </c>
      <c r="C16" s="23"/>
      <c r="D16" s="49" t="s">
        <v>332</v>
      </c>
      <c r="E16" s="1"/>
      <c r="F16" s="1"/>
      <c r="G16" s="1"/>
      <c r="H16" s="25"/>
      <c r="I16" s="1"/>
      <c r="J16" s="1"/>
      <c r="K16" s="23"/>
    </row>
    <row r="17" spans="1:11" ht="20.100000000000001" customHeight="1" x14ac:dyDescent="0.25">
      <c r="A17" s="17" t="str">
        <f>HYPERLINK("#'4.3.1.6-7 Leaching and runoff'!A1", "4.3.1.6-7 Leaching and runoff")</f>
        <v>4.3.1.6-7 Leaching and runoff</v>
      </c>
      <c r="C17" s="23"/>
      <c r="D17" s="109" t="s">
        <v>155</v>
      </c>
      <c r="E17" s="1"/>
      <c r="F17" s="1"/>
      <c r="G17" s="1"/>
      <c r="H17" s="1"/>
      <c r="I17" s="1"/>
      <c r="J17" s="1"/>
      <c r="K17" s="23"/>
    </row>
    <row r="18" spans="1:11" ht="20.100000000000001" customHeight="1" x14ac:dyDescent="0.25">
      <c r="A18" s="17" t="str">
        <f>HYPERLINK("#'4.3.1.8 Manure applied to soils'!A1", "4.3.1.8 Manure applied to soils")</f>
        <v>4.3.1.8 Manure applied to soils</v>
      </c>
      <c r="C18" s="23"/>
      <c r="D18" s="116" t="s">
        <v>161</v>
      </c>
      <c r="E18" s="1"/>
      <c r="F18" s="1"/>
      <c r="G18" s="1"/>
      <c r="H18" s="1"/>
      <c r="I18" s="1"/>
      <c r="J18" s="1"/>
      <c r="K18" s="23"/>
    </row>
    <row r="19" spans="1:11" ht="20.100000000000001" customHeight="1" x14ac:dyDescent="0.25">
      <c r="A19" s="17" t="str">
        <f>HYPERLINK("#'4.3.1.9 Soil direct N2O'!A1", "4.3.1.9 Soil direct N2O")</f>
        <v>4.3.1.9 Soil direct N2O</v>
      </c>
      <c r="C19" s="23"/>
      <c r="D19" s="118" t="s">
        <v>156</v>
      </c>
      <c r="E19" s="118" t="s">
        <v>463</v>
      </c>
      <c r="F19" s="118" t="s">
        <v>464</v>
      </c>
      <c r="G19" s="118" t="s">
        <v>154</v>
      </c>
      <c r="H19" s="118" t="s">
        <v>149</v>
      </c>
      <c r="I19" s="118" t="s">
        <v>160</v>
      </c>
      <c r="J19" s="1"/>
      <c r="K19" s="23"/>
    </row>
    <row r="20" spans="1:11" ht="20.100000000000001" customHeight="1" x14ac:dyDescent="0.25">
      <c r="A20" s="17" t="str">
        <f>HYPERLINK("#'4.3.1.10-11 Soil Atmos Dep'!A1", "4.3.1.10-11 Soil Atmos Dep")</f>
        <v>4.3.1.10-11 Soil Atmos Dep</v>
      </c>
      <c r="C20" s="23"/>
      <c r="D20" s="1" t="s">
        <v>387</v>
      </c>
      <c r="E20" s="117">
        <f ca="1">VEERG_4_3_1_8__1_MassOfNitrogenAppliedToSoilsScope1_Result_Method1</f>
        <v>16186.400140455011</v>
      </c>
      <c r="F20" s="117">
        <f ca="1">VEERG_4_3_1_8__1_MassOfNitrogenAppliedToSoilsScope1_Result_Method2</f>
        <v>16186.400140455011</v>
      </c>
      <c r="G20" s="55" t="s">
        <v>124</v>
      </c>
      <c r="H20" s="1" t="s">
        <v>382</v>
      </c>
      <c r="I20" s="1" t="s">
        <v>159</v>
      </c>
      <c r="J20" s="1"/>
      <c r="K20" s="23"/>
    </row>
    <row r="21" spans="1:11" ht="20.100000000000001" customHeight="1" x14ac:dyDescent="0.25">
      <c r="A21" s="17" t="str">
        <f>HYPERLINK("#'4.3.1.12-13 Soil leach runoff'!A1", "4.3.1.12-13 Soil leach runoff")</f>
        <v>4.3.1.12-13 Soil leach runoff</v>
      </c>
      <c r="C21" s="23"/>
      <c r="D21" s="1" t="s">
        <v>157</v>
      </c>
      <c r="E21" s="117">
        <f>'4.3.1.8 Manure applied to soils'!$E$148</f>
        <v>0</v>
      </c>
      <c r="F21" s="117">
        <f>'4.3.1.8 Manure applied to soils'!$P$148</f>
        <v>0</v>
      </c>
      <c r="G21" s="55" t="s">
        <v>124</v>
      </c>
      <c r="H21" s="1" t="s">
        <v>382</v>
      </c>
      <c r="I21" s="1" t="s">
        <v>159</v>
      </c>
      <c r="J21" s="1"/>
      <c r="K21" s="23"/>
    </row>
    <row r="22" spans="1:11" ht="20.100000000000001" customHeight="1" x14ac:dyDescent="0.25">
      <c r="C22" s="23"/>
      <c r="D22" s="1" t="s">
        <v>152</v>
      </c>
      <c r="E22" s="117">
        <f ca="1">VEERG_4_3_1_8__2_MassOfNitrogenAppliedToSoilsScope3_Result_Method1</f>
        <v>0</v>
      </c>
      <c r="F22" s="117">
        <f ca="1">VEERG_4_3_1_8__2_MassOfNitrogenAppliedToSoilsScope3_Result_Method2</f>
        <v>0</v>
      </c>
      <c r="G22" s="55" t="s">
        <v>124</v>
      </c>
      <c r="H22" s="1" t="s">
        <v>153</v>
      </c>
      <c r="I22" s="1" t="s">
        <v>158</v>
      </c>
      <c r="J22" s="23"/>
      <c r="K22" s="23"/>
    </row>
    <row r="23" spans="1:11" ht="20.100000000000001" customHeight="1" x14ac:dyDescent="0.25">
      <c r="C23" s="23"/>
      <c r="D23" s="1"/>
      <c r="E23" s="1"/>
      <c r="F23" s="1"/>
      <c r="G23" s="1"/>
      <c r="H23" s="1"/>
      <c r="I23" s="23"/>
      <c r="J23" s="23"/>
      <c r="K23" s="23"/>
    </row>
    <row r="24" spans="1:11" ht="20.100000000000001" customHeight="1" x14ac:dyDescent="0.25">
      <c r="A24" s="154" t="s">
        <v>1</v>
      </c>
      <c r="C24" s="23"/>
      <c r="D24" s="1"/>
      <c r="E24" s="1"/>
      <c r="F24" s="1"/>
      <c r="G24" s="1"/>
      <c r="H24" s="25"/>
      <c r="I24" s="23"/>
      <c r="J24" s="23"/>
      <c r="K24" s="23"/>
    </row>
    <row r="25" spans="1:11" ht="20.100000000000001" customHeight="1" x14ac:dyDescent="0.3">
      <c r="A25" s="17" t="str">
        <f>HYPERLINK("#'Constants - Dairy'!A1", "Constants - Dairy")</f>
        <v>Constants - Dairy</v>
      </c>
      <c r="C25" s="23"/>
      <c r="D25" s="1"/>
      <c r="E25" s="1"/>
      <c r="F25" s="1"/>
      <c r="G25" s="1"/>
      <c r="H25" s="28"/>
      <c r="I25" s="23"/>
      <c r="J25" s="23"/>
      <c r="K25" s="23"/>
    </row>
    <row r="26" spans="1:11" ht="20.100000000000001" customHeight="1" x14ac:dyDescent="0.25">
      <c r="A26" s="17" t="str">
        <f>HYPERLINK("#'Constants - Common'!A1", "Constants - Common")</f>
        <v>Constants - Common</v>
      </c>
      <c r="C26" s="23"/>
      <c r="D26" s="1"/>
      <c r="E26" s="1"/>
      <c r="F26" s="1"/>
      <c r="G26" s="1"/>
      <c r="H26" s="1"/>
      <c r="I26" s="1"/>
      <c r="J26" s="1"/>
      <c r="K26" s="23"/>
    </row>
    <row r="27" spans="1:11" ht="20.100000000000001" customHeight="1" x14ac:dyDescent="0.25">
      <c r="A27" s="17" t="str">
        <f>HYPERLINK("#'Constants - Livestock'!A1", "Constants - Livestock")</f>
        <v>Constants - Livestock</v>
      </c>
      <c r="C27" s="23"/>
      <c r="D27" s="1"/>
      <c r="E27" s="1"/>
      <c r="F27" s="1"/>
      <c r="G27" s="1"/>
      <c r="H27" s="1"/>
      <c r="I27" s="1"/>
      <c r="J27" s="23"/>
      <c r="K27" s="23"/>
    </row>
    <row r="28" spans="1:11" ht="20.100000000000001" customHeight="1" x14ac:dyDescent="0.25">
      <c r="A28" s="17" t="str">
        <f>HYPERLINK("#'Acknowledgements'!A1", "Acknowledgements")</f>
        <v>Acknowledgements</v>
      </c>
      <c r="C28" s="23"/>
      <c r="D28" s="1"/>
      <c r="E28" s="1"/>
      <c r="F28" s="1"/>
      <c r="G28" s="1"/>
      <c r="H28" s="1"/>
      <c r="I28" s="1"/>
      <c r="J28" s="23"/>
      <c r="K28" s="23"/>
    </row>
    <row r="29" spans="1:11" ht="20.100000000000001" customHeight="1" x14ac:dyDescent="0.25">
      <c r="A29" s="17" t="str">
        <f>HYPERLINK("#'Tab template'!A1", "Tab template")</f>
        <v>Tab template</v>
      </c>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12"/>
      <c r="J38" s="112"/>
      <c r="K38" s="23"/>
    </row>
    <row r="39" spans="3:11" ht="20.100000000000001" customHeight="1" x14ac:dyDescent="0.25">
      <c r="C39" s="23"/>
      <c r="D39" s="1"/>
      <c r="E39" s="1"/>
      <c r="F39" s="1"/>
      <c r="G39" s="1"/>
      <c r="H39" s="1"/>
      <c r="I39" s="112"/>
      <c r="J39" s="112"/>
      <c r="K39" s="23"/>
    </row>
    <row r="40" spans="3:11" ht="20.100000000000001" customHeight="1" x14ac:dyDescent="0.25">
      <c r="C40" s="23"/>
      <c r="D40" s="1"/>
      <c r="E40" s="1"/>
      <c r="F40" s="1"/>
      <c r="G40" s="1"/>
      <c r="H40" s="1"/>
      <c r="I40" s="112"/>
      <c r="J40" s="112"/>
      <c r="K40" s="23"/>
    </row>
    <row r="41" spans="3:11" ht="20.100000000000001" customHeight="1" x14ac:dyDescent="0.25">
      <c r="C41" s="23"/>
      <c r="D41" s="1"/>
      <c r="E41" s="1"/>
      <c r="F41" s="1"/>
      <c r="G41" s="1"/>
      <c r="H41" s="1"/>
      <c r="I41" s="112"/>
      <c r="J41" s="112"/>
      <c r="K41" s="23"/>
    </row>
    <row r="42" spans="3:11" ht="20.100000000000001" customHeight="1" x14ac:dyDescent="0.25">
      <c r="C42" s="23"/>
      <c r="D42" s="1"/>
      <c r="E42" s="1"/>
      <c r="F42" s="1"/>
      <c r="G42" s="1"/>
      <c r="H42" s="1"/>
      <c r="I42" s="112"/>
      <c r="J42" s="112"/>
      <c r="K42" s="23"/>
    </row>
    <row r="43" spans="3:11" ht="20.100000000000001" customHeight="1" x14ac:dyDescent="0.25">
      <c r="C43" s="23"/>
      <c r="D43" s="1"/>
      <c r="E43" s="1"/>
      <c r="F43" s="1"/>
      <c r="G43" s="1"/>
      <c r="H43" s="1"/>
      <c r="I43" s="112"/>
      <c r="J43" s="112"/>
      <c r="K43" s="23"/>
    </row>
    <row r="44" spans="3:11" ht="20.100000000000001" customHeight="1" x14ac:dyDescent="0.25">
      <c r="C44" s="23"/>
      <c r="D44" s="1"/>
      <c r="E44" s="1"/>
      <c r="F44" s="1"/>
      <c r="G44" s="1"/>
      <c r="H44" s="1"/>
      <c r="I44" s="112"/>
      <c r="J44" s="112"/>
      <c r="K44" s="23"/>
    </row>
    <row r="45" spans="3:11" ht="20.100000000000001" customHeight="1" x14ac:dyDescent="0.25">
      <c r="C45" s="23"/>
      <c r="D45" s="1"/>
      <c r="E45" s="1"/>
      <c r="F45" s="1"/>
      <c r="G45" s="1"/>
      <c r="H45" s="1"/>
      <c r="I45" s="112"/>
      <c r="J45" s="112"/>
      <c r="K45" s="23"/>
    </row>
    <row r="46" spans="3:11" ht="20.100000000000001" customHeight="1" x14ac:dyDescent="0.25">
      <c r="C46" s="23"/>
      <c r="D46" s="1"/>
      <c r="E46" s="1"/>
      <c r="F46" s="1"/>
      <c r="G46" s="1"/>
      <c r="H46" s="1"/>
      <c r="I46" s="112"/>
      <c r="J46" s="112"/>
      <c r="K46" s="23"/>
    </row>
    <row r="47" spans="3:11" ht="20.100000000000001" customHeight="1" x14ac:dyDescent="0.25">
      <c r="C47" s="23"/>
      <c r="D47" s="1"/>
      <c r="E47" s="1"/>
      <c r="F47" s="1"/>
      <c r="G47" s="1"/>
      <c r="H47" s="1"/>
      <c r="I47" s="112"/>
      <c r="J47" s="112"/>
      <c r="K47" s="23"/>
    </row>
    <row r="48" spans="3:11" ht="20.100000000000001" customHeight="1" x14ac:dyDescent="0.25">
      <c r="C48" s="23"/>
      <c r="D48" s="1"/>
      <c r="E48" s="1"/>
      <c r="F48" s="1"/>
      <c r="G48" s="1"/>
      <c r="H48" s="1"/>
      <c r="I48" s="112"/>
      <c r="J48" s="112"/>
      <c r="K48" s="23"/>
    </row>
    <row r="49" spans="3:11" ht="20.100000000000001" customHeight="1" x14ac:dyDescent="0.25">
      <c r="C49" s="23"/>
      <c r="D49" s="1"/>
      <c r="E49" s="1"/>
      <c r="F49" s="1"/>
      <c r="G49" s="1"/>
      <c r="H49" s="112"/>
      <c r="I49" s="112"/>
      <c r="J49" s="112"/>
      <c r="K49" s="23"/>
    </row>
    <row r="50" spans="3:11" ht="20.100000000000001" customHeight="1" x14ac:dyDescent="0.25">
      <c r="C50" s="23"/>
      <c r="D50" s="1"/>
      <c r="E50" s="1"/>
      <c r="F50" s="1"/>
      <c r="G50" s="1"/>
      <c r="H50" s="112"/>
      <c r="I50" s="112"/>
      <c r="J50" s="112"/>
      <c r="K50" s="23"/>
    </row>
    <row r="51" spans="3:11" ht="20.100000000000001" customHeight="1" x14ac:dyDescent="0.25">
      <c r="C51" s="23"/>
      <c r="D51" s="1"/>
      <c r="E51" s="1"/>
      <c r="F51" s="1"/>
      <c r="G51" s="1"/>
      <c r="H51" s="112"/>
      <c r="I51" s="112"/>
      <c r="J51" s="112"/>
      <c r="K51" s="23"/>
    </row>
    <row r="52" spans="3:11" ht="20.100000000000001" customHeight="1" x14ac:dyDescent="0.25">
      <c r="C52" s="23"/>
      <c r="D52" s="1"/>
      <c r="E52" s="1"/>
      <c r="F52" s="1"/>
      <c r="G52" s="1"/>
      <c r="H52" s="112"/>
      <c r="I52" s="112"/>
      <c r="J52" s="112"/>
      <c r="K52" s="23"/>
    </row>
    <row r="53" spans="3:11" ht="20.100000000000001" customHeight="1" x14ac:dyDescent="0.25">
      <c r="C53" s="23"/>
      <c r="D53" s="1"/>
      <c r="E53" s="1"/>
      <c r="F53" s="1"/>
      <c r="G53" s="1"/>
      <c r="H53" s="112"/>
      <c r="I53" s="112"/>
      <c r="J53" s="112"/>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3" zoomScaleNormal="100" workbookViewId="0">
      <selection activeCell="E23" sqref="E23"/>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70</v>
      </c>
      <c r="E8" s="34" t="s">
        <v>71</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4" t="s">
        <v>85</v>
      </c>
      <c r="E10" s="92"/>
      <c r="F10" s="95"/>
      <c r="G10" s="89"/>
      <c r="N10" s="44"/>
    </row>
    <row r="11" spans="1:24" ht="20.100000000000001" customHeight="1" x14ac:dyDescent="0.25">
      <c r="A11"/>
      <c r="N11" s="45"/>
    </row>
    <row r="12" spans="1:24" ht="20.100000000000001" customHeight="1" x14ac:dyDescent="0.25">
      <c r="A12"/>
      <c r="D12" s="10" t="s">
        <v>90</v>
      </c>
      <c r="E12" s="65">
        <v>45292</v>
      </c>
      <c r="F12" s="2" t="s">
        <v>68</v>
      </c>
    </row>
    <row r="13" spans="1:24" ht="20.100000000000001" customHeight="1" x14ac:dyDescent="0.25">
      <c r="A13" s="18" t="s">
        <v>72</v>
      </c>
      <c r="D13" s="10" t="s">
        <v>91</v>
      </c>
      <c r="E13" s="70">
        <f>DATE(YEAR(X_Cell_Site_StartDate)+1,MONTH(X_Cell_Site_StartDate),DAY(X_Cell_Site_StartDate))-1</f>
        <v>45657</v>
      </c>
      <c r="F13" s="2" t="s">
        <v>14</v>
      </c>
      <c r="N13" s="39"/>
      <c r="O13" s="39"/>
    </row>
    <row r="14" spans="1:24" ht="20.100000000000001" customHeight="1" x14ac:dyDescent="0.25">
      <c r="A14" s="17" t="str">
        <f>HYPERLINK("#'4.3.1.1-2 Methane'!A1", "4.3.1.1-2 Methane")</f>
        <v>4.3.1.1-2 Methane</v>
      </c>
      <c r="N14" s="39"/>
      <c r="O14" s="39"/>
    </row>
    <row r="15" spans="1:24" ht="20.100000000000001" customHeight="1" x14ac:dyDescent="0.25">
      <c r="A15" s="17" t="str">
        <f>HYPERLINK("#'4.3.1.3-4 Direct N20'!A1", "4.3.1.3-4 Direct N20")</f>
        <v>4.3.1.3-4 Direct N20</v>
      </c>
      <c r="N15" s="39"/>
      <c r="O15" s="39"/>
    </row>
    <row r="16" spans="1:24" ht="20.100000000000001" customHeight="1" x14ac:dyDescent="0.25">
      <c r="A16" s="17" t="str">
        <f>HYPERLINK("#'4.3.1.5 Atmos deposition'!A1", "4.3.1.5 Atmos deposition")</f>
        <v>4.3.1.5 Atmos deposition</v>
      </c>
      <c r="D16" s="6" t="s">
        <v>11</v>
      </c>
      <c r="N16" s="39"/>
      <c r="O16" s="39"/>
    </row>
    <row r="17" spans="1:25" ht="20.100000000000001" customHeight="1" x14ac:dyDescent="0.25">
      <c r="A17" s="17" t="str">
        <f>HYPERLINK("#'4.3.1.6-7 Leaching and runoff'!A1", "4.3.1.6-7 Leaching and runoff")</f>
        <v>4.3.1.6-7 Leaching and runoff</v>
      </c>
    </row>
    <row r="18" spans="1:25" ht="20.100000000000001" customHeight="1" x14ac:dyDescent="0.25">
      <c r="A18" s="17" t="str">
        <f>HYPERLINK("#'4.3.1.8 Manure applied to soils'!A1", "4.3.1.8 Manure applied to soils")</f>
        <v>4.3.1.8 Manure applied to soils</v>
      </c>
      <c r="D18" s="96" t="s">
        <v>13</v>
      </c>
      <c r="E18" s="91"/>
      <c r="F18" s="91"/>
      <c r="G18" s="87"/>
    </row>
    <row r="19" spans="1:25" ht="20.100000000000001" customHeight="1" x14ac:dyDescent="0.25">
      <c r="A19" s="17" t="str">
        <f>HYPERLINK("#'4.3.1.9 Soil direct N2O'!A1", "4.3.1.9 Soil direct N2O")</f>
        <v>4.3.1.9 Soil direct N2O</v>
      </c>
      <c r="D19" s="93" t="s">
        <v>69</v>
      </c>
      <c r="E19" s="90"/>
      <c r="F19" s="90"/>
      <c r="G19" s="88"/>
      <c r="N19" s="42"/>
    </row>
    <row r="20" spans="1:25" ht="20.100000000000001" customHeight="1" x14ac:dyDescent="0.25">
      <c r="A20" s="17" t="str">
        <f>HYPERLINK("#'4.3.1.10-11 Soil Atmos Dep'!A1", "4.3.1.10-11 Soil Atmos Dep")</f>
        <v>4.3.1.10-11 Soil Atmos Dep</v>
      </c>
      <c r="D20" s="1"/>
      <c r="E20" s="32"/>
      <c r="F20" s="2"/>
      <c r="N20" s="43"/>
    </row>
    <row r="21" spans="1:25" ht="20.100000000000001" customHeight="1" x14ac:dyDescent="0.25">
      <c r="A21" s="17" t="str">
        <f>HYPERLINK("#'4.3.1.12-13 Soil leach runoff'!A1", "4.3.1.12-13 Soil leach runoff")</f>
        <v>4.3.1.12-13 Soil leach runoff</v>
      </c>
      <c r="D21" s="1" t="s">
        <v>5</v>
      </c>
      <c r="E21" s="41" t="s">
        <v>468</v>
      </c>
      <c r="F21" s="2" t="s">
        <v>8</v>
      </c>
    </row>
    <row r="22" spans="1:25" ht="20.100000000000001" customHeight="1" x14ac:dyDescent="0.25">
      <c r="A22"/>
      <c r="D22" s="1" t="s">
        <v>24</v>
      </c>
      <c r="E22" s="41"/>
      <c r="F22" s="2" t="s">
        <v>8</v>
      </c>
      <c r="G22" s="1"/>
    </row>
    <row r="23" spans="1:25" ht="20.100000000000001" customHeight="1" x14ac:dyDescent="0.25">
      <c r="A23"/>
      <c r="D23" s="1" t="s">
        <v>6</v>
      </c>
      <c r="E23" s="41" t="s">
        <v>469</v>
      </c>
      <c r="F23" s="2" t="s">
        <v>8</v>
      </c>
    </row>
    <row r="24" spans="1:25" ht="20.100000000000001" customHeight="1" x14ac:dyDescent="0.25">
      <c r="A24" s="154" t="s">
        <v>1</v>
      </c>
      <c r="D24" s="1" t="s">
        <v>37</v>
      </c>
      <c r="E24" s="34">
        <v>307.7</v>
      </c>
      <c r="F24" s="2" t="s">
        <v>51</v>
      </c>
    </row>
    <row r="25" spans="1:25" ht="20.100000000000001" customHeight="1" x14ac:dyDescent="0.25">
      <c r="A25" s="17" t="str">
        <f>HYPERLINK("#'Constants - Dairy'!A1", "Constants - Dairy")</f>
        <v>Constants - Dairy</v>
      </c>
      <c r="D25" s="1" t="s">
        <v>59</v>
      </c>
      <c r="E25" s="34">
        <v>18</v>
      </c>
      <c r="F25" s="2" t="s">
        <v>9</v>
      </c>
      <c r="N25" s="43"/>
    </row>
    <row r="26" spans="1:25" ht="20.100000000000001" customHeight="1" x14ac:dyDescent="0.25">
      <c r="A26" s="17" t="str">
        <f>HYPERLINK("#'Constants - Common'!A1", "Constants - Common")</f>
        <v>Constants - Common</v>
      </c>
      <c r="D26" s="1" t="s">
        <v>60</v>
      </c>
      <c r="E26" s="34">
        <v>601</v>
      </c>
      <c r="F26" s="2" t="s">
        <v>10</v>
      </c>
    </row>
    <row r="27" spans="1:25" ht="20.100000000000001" customHeight="1" x14ac:dyDescent="0.25">
      <c r="A27" s="17" t="str">
        <f>HYPERLINK("#'Constants - Livestock'!A1", "Constants - Livestock")</f>
        <v>Constants - Livestock</v>
      </c>
      <c r="D27" s="10" t="s">
        <v>61</v>
      </c>
      <c r="E27" s="34">
        <v>1326</v>
      </c>
      <c r="F27" s="2" t="s">
        <v>10</v>
      </c>
    </row>
    <row r="28" spans="1:25" ht="20.100000000000001" customHeight="1" x14ac:dyDescent="0.25">
      <c r="A28" s="17" t="str">
        <f>HYPERLINK("#'Acknowledgements'!A1", "Acknowledgements")</f>
        <v>Acknowledgements</v>
      </c>
      <c r="D28" s="1" t="s">
        <v>62</v>
      </c>
      <c r="E28" s="34">
        <v>7</v>
      </c>
      <c r="F28" s="2" t="s">
        <v>52</v>
      </c>
    </row>
    <row r="29" spans="1:25" ht="20.100000000000001" customHeight="1" x14ac:dyDescent="0.25">
      <c r="A29" s="17" t="str">
        <f>HYPERLINK("#'Tab template'!A1", "Tab template")</f>
        <v>Tab template</v>
      </c>
      <c r="D29" s="10" t="s">
        <v>58</v>
      </c>
      <c r="E29" s="53">
        <f>X_Cell_Site_TotalRainfall/X_Cell_Site_PotentialEvapotranspiration</f>
        <v>0.45324283559577677</v>
      </c>
      <c r="F29" s="2"/>
    </row>
    <row r="30" spans="1:25" ht="20.100000000000001" customHeight="1" x14ac:dyDescent="0.25">
      <c r="A30"/>
      <c r="D30" s="10" t="s">
        <v>33</v>
      </c>
      <c r="E30" s="53" t="str">
        <f>Common_InputFunctions.Utility_LookupItemFromMinMax(X_Cell_Site_TotalRainfall,Table_SourceData_RainfallZones[Min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5">
      <c r="A31"/>
      <c r="D31" s="1" t="s">
        <v>7</v>
      </c>
      <c r="E31" s="53"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8"/>
      <c r="M31" s="48"/>
      <c r="N31" s="48"/>
      <c r="O31" s="48"/>
      <c r="P31" s="48"/>
      <c r="Q31" s="48"/>
      <c r="R31" s="48"/>
      <c r="S31" s="48"/>
      <c r="T31" s="48"/>
      <c r="U31" s="48"/>
      <c r="V31" s="48"/>
      <c r="W31" s="48"/>
      <c r="X31" s="48"/>
      <c r="Y31" s="48"/>
    </row>
    <row r="32" spans="1:25" ht="20.100000000000001" customHeight="1" x14ac:dyDescent="0.25">
      <c r="A32"/>
      <c r="D32" s="1" t="s">
        <v>87</v>
      </c>
      <c r="E32" s="53" t="str">
        <f>Common_InputFunctions.Utility_LookupValueInTable(X_Cell_Site_ClimateZone,Table_SourceData_WetDryZones[Climate zone],Table_SourceData_WetDryZones[Wet or Dry Zone])</f>
        <v>Dry climate zone</v>
      </c>
      <c r="F32" s="1"/>
      <c r="G32" s="32"/>
      <c r="L32" s="48"/>
      <c r="M32" s="48"/>
      <c r="N32" s="48"/>
      <c r="O32" s="48"/>
      <c r="P32" s="48"/>
      <c r="Q32" s="48"/>
      <c r="R32" s="48"/>
      <c r="S32" s="48"/>
      <c r="T32" s="48"/>
      <c r="U32" s="48"/>
      <c r="V32" s="48"/>
      <c r="W32" s="48"/>
      <c r="X32" s="48"/>
      <c r="Y32" s="48"/>
    </row>
    <row r="33" spans="1:25" ht="20.100000000000001" customHeight="1" x14ac:dyDescent="0.25">
      <c r="A33"/>
      <c r="D33" s="1" t="s">
        <v>50</v>
      </c>
      <c r="E33" s="53" t="str">
        <f>Common_InputFunctions.Utility_LookupItemFromMinMax(X_Cell_Site_AverageTemperature,Table_SourceData_TemperatureZones[Min MAT],Table_SourceData_TemperatureZones[Max MAT],Table_SourceData_TemperatureZones[Temperature Zone])</f>
        <v>Temperate</v>
      </c>
      <c r="G33" s="71"/>
      <c r="L33" s="48"/>
      <c r="M33" s="48"/>
      <c r="N33" s="48"/>
      <c r="O33" s="48"/>
      <c r="P33" s="48"/>
      <c r="Q33" s="48"/>
      <c r="R33" s="48"/>
      <c r="S33" s="48"/>
      <c r="T33" s="48"/>
      <c r="U33" s="48"/>
      <c r="V33" s="48"/>
      <c r="W33" s="48"/>
      <c r="X33" s="48"/>
      <c r="Y33" s="48"/>
    </row>
    <row r="34" spans="1:25" ht="20.100000000000001" customHeight="1" x14ac:dyDescent="0.25">
      <c r="A34"/>
      <c r="J34" s="62"/>
      <c r="K34" s="74"/>
      <c r="L34" s="48"/>
      <c r="M34" s="48"/>
      <c r="N34" s="48"/>
      <c r="O34" s="48"/>
      <c r="P34" s="48"/>
      <c r="Q34" s="48"/>
      <c r="R34" s="48"/>
      <c r="S34" s="48"/>
      <c r="T34" s="48"/>
      <c r="U34" s="48"/>
      <c r="V34" s="48"/>
      <c r="W34" s="48"/>
      <c r="X34" s="48"/>
      <c r="Y34" s="48"/>
    </row>
    <row r="35" spans="1:25" ht="20.100000000000001" customHeight="1" x14ac:dyDescent="0.25">
      <c r="A35"/>
      <c r="J35" s="62"/>
      <c r="K35" s="74"/>
      <c r="L35" s="48"/>
      <c r="M35" s="48"/>
      <c r="N35" s="48"/>
      <c r="O35" s="48"/>
      <c r="P35" s="48"/>
      <c r="Q35" s="48"/>
      <c r="R35" s="48"/>
      <c r="S35" s="48"/>
      <c r="T35" s="48"/>
      <c r="U35" s="48"/>
      <c r="V35" s="48"/>
      <c r="W35" s="48"/>
      <c r="X35" s="48"/>
      <c r="Y35" s="48"/>
    </row>
    <row r="36" spans="1:25" ht="20.100000000000001" customHeight="1" x14ac:dyDescent="0.25">
      <c r="A36"/>
      <c r="D36" s="72"/>
      <c r="E36" s="72"/>
      <c r="F36" s="73"/>
      <c r="G36" s="62"/>
      <c r="H36" s="62"/>
      <c r="I36" s="63"/>
      <c r="J36" s="62"/>
      <c r="K36" s="74"/>
      <c r="L36" s="48"/>
      <c r="M36" s="48"/>
      <c r="N36" s="48"/>
      <c r="O36" s="48"/>
      <c r="P36" s="48"/>
      <c r="Q36" s="48"/>
      <c r="R36" s="48"/>
      <c r="S36" s="48"/>
      <c r="T36" s="48"/>
      <c r="U36" s="48"/>
      <c r="V36" s="48"/>
      <c r="W36" s="48"/>
      <c r="X36" s="48"/>
      <c r="Y36" s="48"/>
    </row>
    <row r="37" spans="1:25" ht="20.100000000000001" customHeight="1" x14ac:dyDescent="0.25">
      <c r="A37"/>
      <c r="D37" s="72"/>
      <c r="E37" s="72"/>
      <c r="F37" s="73"/>
      <c r="G37" s="62"/>
      <c r="H37" s="62"/>
      <c r="I37" s="63"/>
      <c r="J37" s="62"/>
      <c r="K37" s="74"/>
      <c r="L37" s="48"/>
      <c r="M37" s="48"/>
      <c r="N37" s="48"/>
      <c r="O37" s="48"/>
      <c r="P37" s="48"/>
      <c r="Q37" s="48"/>
      <c r="R37" s="48"/>
      <c r="S37" s="48"/>
      <c r="T37" s="48"/>
      <c r="U37" s="48"/>
      <c r="V37" s="48"/>
      <c r="W37" s="48"/>
      <c r="X37" s="48"/>
      <c r="Y37" s="48"/>
    </row>
    <row r="38" spans="1:25" ht="20.100000000000001" customHeight="1" x14ac:dyDescent="0.25">
      <c r="A38"/>
      <c r="D38" s="72"/>
      <c r="E38" s="72"/>
      <c r="F38" s="73"/>
      <c r="G38" s="62"/>
      <c r="H38" s="62"/>
      <c r="I38" s="63"/>
      <c r="J38" s="62"/>
      <c r="K38" s="74"/>
      <c r="L38" s="48"/>
      <c r="M38" s="48"/>
      <c r="N38" s="48"/>
      <c r="O38" s="48"/>
      <c r="P38" s="48"/>
      <c r="Q38" s="48"/>
      <c r="R38" s="48"/>
      <c r="S38" s="48"/>
      <c r="T38" s="48"/>
      <c r="U38" s="48"/>
      <c r="V38" s="48"/>
      <c r="W38" s="48"/>
      <c r="X38" s="48"/>
      <c r="Y38" s="48"/>
    </row>
    <row r="39" spans="1:25" ht="20.100000000000001" customHeight="1" x14ac:dyDescent="0.25">
      <c r="A39"/>
      <c r="D39" s="72"/>
      <c r="E39" s="72"/>
      <c r="F39" s="73"/>
      <c r="G39" s="62"/>
      <c r="H39" s="62"/>
      <c r="I39" s="63"/>
      <c r="J39" s="62"/>
      <c r="K39" s="74"/>
      <c r="L39" s="48"/>
      <c r="M39" s="48"/>
      <c r="N39" s="48"/>
      <c r="O39" s="48"/>
      <c r="P39" s="48"/>
      <c r="Q39" s="48"/>
      <c r="R39" s="48"/>
      <c r="S39" s="48"/>
      <c r="T39" s="48"/>
      <c r="U39" s="48"/>
      <c r="V39" s="48"/>
      <c r="W39" s="48"/>
      <c r="X39" s="48"/>
      <c r="Y39" s="48"/>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8"/>
      <c r="E47" s="78"/>
      <c r="F47" s="78"/>
      <c r="G47" s="78"/>
      <c r="H47" s="78"/>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9"/>
      <c r="E51" s="80"/>
      <c r="F51" s="80"/>
      <c r="G51" s="80"/>
      <c r="H51" s="81"/>
    </row>
    <row r="52" spans="1:8" ht="20.100000000000001" customHeight="1" x14ac:dyDescent="0.25">
      <c r="A52"/>
    </row>
    <row r="53" spans="1:8" ht="20.100000000000001" customHeight="1" x14ac:dyDescent="0.25">
      <c r="A53"/>
    </row>
    <row r="54" spans="1:8" ht="20.100000000000001" customHeight="1" x14ac:dyDescent="0.25">
      <c r="A54"/>
      <c r="G54" s="82"/>
    </row>
    <row r="55" spans="1:8" ht="20.100000000000001" customHeight="1" x14ac:dyDescent="0.25">
      <c r="A55"/>
      <c r="D55" s="6"/>
    </row>
    <row r="56" spans="1:8" ht="20.100000000000001" customHeight="1" x14ac:dyDescent="0.25">
      <c r="A56"/>
    </row>
    <row r="57" spans="1:8" ht="20.100000000000001" customHeight="1" x14ac:dyDescent="0.25">
      <c r="A57"/>
      <c r="D57" s="22"/>
      <c r="F57" s="83"/>
    </row>
    <row r="58" spans="1:8" ht="20.100000000000001" customHeight="1" x14ac:dyDescent="0.25">
      <c r="A58"/>
      <c r="D58" s="1"/>
      <c r="E58" s="84"/>
    </row>
    <row r="59" spans="1:8" ht="20.100000000000001" customHeight="1" x14ac:dyDescent="0.25">
      <c r="A59"/>
      <c r="D59" s="1"/>
      <c r="E59" s="84"/>
    </row>
    <row r="60" spans="1:8" ht="20.100000000000001" customHeight="1" x14ac:dyDescent="0.25">
      <c r="A60"/>
      <c r="D60" s="1"/>
      <c r="E60" s="85"/>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4"/>
    </row>
    <row r="65" spans="1:9" ht="20.100000000000001" customHeight="1" x14ac:dyDescent="0.25">
      <c r="A65"/>
      <c r="D65" s="1"/>
      <c r="E65" s="84"/>
    </row>
    <row r="66" spans="1:9" ht="20.100000000000001" customHeight="1" x14ac:dyDescent="0.25">
      <c r="A66"/>
      <c r="D66" s="1"/>
      <c r="E66" s="85"/>
    </row>
    <row r="67" spans="1:9" ht="20.100000000000001" customHeight="1" x14ac:dyDescent="0.25">
      <c r="A67"/>
    </row>
    <row r="68" spans="1:9" ht="20.100000000000001" customHeight="1" x14ac:dyDescent="0.25">
      <c r="A68"/>
    </row>
    <row r="69" spans="1:9" ht="20.100000000000001" customHeight="1" x14ac:dyDescent="0.25">
      <c r="A69"/>
      <c r="D69" s="61"/>
      <c r="E69" s="61"/>
      <c r="F69" s="61"/>
      <c r="G69" s="61"/>
      <c r="H69" s="61"/>
      <c r="I69" s="61"/>
    </row>
    <row r="70" spans="1:9" ht="20.100000000000001" customHeight="1" x14ac:dyDescent="0.25">
      <c r="A70"/>
      <c r="D70" s="61"/>
      <c r="E70" s="61"/>
      <c r="F70" s="61"/>
      <c r="G70" s="61"/>
      <c r="H70" s="61"/>
      <c r="I70" s="61"/>
    </row>
    <row r="71" spans="1:9" ht="20.100000000000001" customHeight="1" x14ac:dyDescent="0.25">
      <c r="A71"/>
      <c r="D71" s="61"/>
      <c r="E71" s="61"/>
      <c r="F71" s="61"/>
      <c r="G71" s="61"/>
      <c r="H71" s="61"/>
      <c r="I71" s="61"/>
    </row>
    <row r="72" spans="1:9" ht="20.100000000000001" customHeight="1" x14ac:dyDescent="0.25">
      <c r="A72"/>
      <c r="D72" s="61"/>
      <c r="E72" s="61"/>
      <c r="F72" s="61"/>
      <c r="G72" s="61"/>
      <c r="H72" s="61"/>
      <c r="I72" s="6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6"/>
    </row>
    <row r="79" spans="1:9" ht="20.100000000000001" customHeight="1" x14ac:dyDescent="0.25">
      <c r="A79"/>
      <c r="D79" s="86"/>
    </row>
    <row r="80" spans="1:9" ht="20.100000000000001" customHeight="1" x14ac:dyDescent="0.25">
      <c r="A80"/>
      <c r="D80" s="86"/>
    </row>
    <row r="81" spans="1:4" ht="20.100000000000001" customHeight="1" x14ac:dyDescent="0.25">
      <c r="A81"/>
      <c r="D81" s="86"/>
    </row>
    <row r="82" spans="1:4" ht="20.100000000000001" customHeight="1" x14ac:dyDescent="0.25">
      <c r="A82"/>
      <c r="D82" s="86"/>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abSelected="1" topLeftCell="C75" zoomScaleNormal="100" workbookViewId="0">
      <selection activeCell="E85" sqref="E85"/>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7" customWidth="1"/>
    <col min="18" max="23" width="30.7109375" style="57" customWidth="1"/>
    <col min="24" max="24" width="4.7109375" style="57" customWidth="1"/>
  </cols>
  <sheetData>
    <row r="1" spans="1:24" s="67" customFormat="1" ht="30" customHeight="1" x14ac:dyDescent="0.35">
      <c r="A1" s="67" t="e" vm="1">
        <v>#VALUE!</v>
      </c>
      <c r="C1" s="67" t="s">
        <v>186</v>
      </c>
      <c r="P1" s="57"/>
      <c r="Q1" s="57"/>
      <c r="R1" s="57"/>
      <c r="S1" s="57"/>
      <c r="T1" s="57"/>
      <c r="U1" s="57"/>
      <c r="V1" s="57"/>
      <c r="W1" s="57"/>
      <c r="X1" s="57"/>
    </row>
    <row r="2" spans="1:24" s="9" customFormat="1" ht="20.100000000000001" customHeight="1" x14ac:dyDescent="0.25">
      <c r="A2"/>
      <c r="P2" s="57"/>
      <c r="Q2" s="57"/>
      <c r="R2" s="57"/>
      <c r="S2" s="57"/>
      <c r="T2" s="57"/>
      <c r="U2" s="57"/>
      <c r="V2" s="57"/>
      <c r="W2" s="57"/>
      <c r="X2" s="57"/>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97</v>
      </c>
      <c r="O5" s="3"/>
      <c r="S5" s="7"/>
    </row>
    <row r="6" spans="1:24" ht="20.100000000000001" customHeight="1" x14ac:dyDescent="0.25">
      <c r="O6" s="3"/>
      <c r="S6" s="7"/>
    </row>
    <row r="7" spans="1:24" ht="20.100000000000001" customHeight="1" x14ac:dyDescent="0.25">
      <c r="D7" s="1" t="s">
        <v>164</v>
      </c>
      <c r="E7" s="41" t="s">
        <v>207</v>
      </c>
      <c r="F7" s="2" t="s">
        <v>8</v>
      </c>
      <c r="O7" s="3"/>
      <c r="S7" s="7"/>
    </row>
    <row r="8" spans="1:24" ht="20.100000000000001" customHeight="1" x14ac:dyDescent="0.25">
      <c r="A8" s="19" t="s">
        <v>0</v>
      </c>
      <c r="O8" s="3"/>
      <c r="S8" s="7"/>
    </row>
    <row r="9" spans="1:24" ht="20.100000000000001" customHeight="1" x14ac:dyDescent="0.25">
      <c r="A9" s="17" t="str">
        <f>HYPERLINK("#'Input - Site'!A1", "Site")</f>
        <v>Site</v>
      </c>
      <c r="D9" s="64"/>
      <c r="E9" s="40" t="s">
        <v>165</v>
      </c>
      <c r="F9" s="40" t="s">
        <v>182</v>
      </c>
      <c r="G9" s="40" t="s">
        <v>183</v>
      </c>
      <c r="H9" s="40" t="s">
        <v>184</v>
      </c>
      <c r="I9" s="40" t="s">
        <v>185</v>
      </c>
      <c r="S9" s="7"/>
    </row>
    <row r="10" spans="1:24" ht="20.100000000000001" customHeight="1" x14ac:dyDescent="0.25">
      <c r="A10" s="20" t="str">
        <f>HYPERLINK("#'Input - Dairy'!A1", "Dairy")</f>
        <v>Dairy</v>
      </c>
      <c r="D10" s="1" t="str">
        <f>"Average number of head between " &amp; TEXT(X_Cell_Site_StartDate, "dd mmm yy") &amp; " and " &amp; TEXT(X_Cell_Site_EndDate, "dd mmm yy")</f>
        <v>Average number of head between 01 Jan 24 and 31 Dec 24</v>
      </c>
      <c r="E10" s="102">
        <v>100</v>
      </c>
      <c r="F10" s="102">
        <v>0</v>
      </c>
      <c r="G10" s="102">
        <v>0</v>
      </c>
      <c r="H10" s="102">
        <v>0</v>
      </c>
      <c r="I10" s="102">
        <v>0</v>
      </c>
      <c r="J10" s="2" t="s">
        <v>99</v>
      </c>
      <c r="K10" s="2"/>
      <c r="L10" s="2"/>
      <c r="M10" s="2"/>
      <c r="N10" s="2"/>
      <c r="S10" s="7"/>
    </row>
    <row r="11" spans="1:24" ht="20.100000000000001" customHeight="1" x14ac:dyDescent="0.25">
      <c r="S11" s="7"/>
    </row>
    <row r="12" spans="1:24" ht="20.100000000000001" customHeight="1" x14ac:dyDescent="0.25">
      <c r="D12" s="49" t="s">
        <v>204</v>
      </c>
      <c r="S12" s="7"/>
    </row>
    <row r="13" spans="1:24" ht="20.100000000000001" customHeight="1" x14ac:dyDescent="0.25">
      <c r="A13" s="18" t="s">
        <v>72</v>
      </c>
      <c r="D13" s="64" t="s">
        <v>198</v>
      </c>
      <c r="E13" s="40" t="s">
        <v>165</v>
      </c>
      <c r="F13" s="40" t="s">
        <v>182</v>
      </c>
      <c r="G13" s="40" t="s">
        <v>183</v>
      </c>
      <c r="H13" s="40" t="s">
        <v>184</v>
      </c>
      <c r="I13" s="40" t="s">
        <v>185</v>
      </c>
      <c r="S13" s="39"/>
    </row>
    <row r="14" spans="1:24" ht="20.100000000000001" customHeight="1" x14ac:dyDescent="0.25">
      <c r="A14" s="17" t="str">
        <f>HYPERLINK("#'4.3.1.1-2 Methane'!A1", "4.3.1.1-2 Methane")</f>
        <v>4.3.1.1-2 Methane</v>
      </c>
      <c r="D14" s="1" t="s">
        <v>205</v>
      </c>
      <c r="E14" s="53">
        <f>Common_InputFunctions.Utility_LookupValueInTableNumber(X_Cell_Dairy_Breed, Table_SourceData_Dairy_WjCowsHeifers[Breed],Table_SourceData_Dairy_WjCowsHeifers[Milking cows])</f>
        <v>550</v>
      </c>
      <c r="F14" s="53">
        <v>0</v>
      </c>
      <c r="G14" s="53">
        <v>0</v>
      </c>
      <c r="H14" s="53">
        <v>0</v>
      </c>
      <c r="I14" s="53">
        <v>0</v>
      </c>
      <c r="J14" s="2" t="s">
        <v>187</v>
      </c>
      <c r="K14" s="2"/>
      <c r="L14" s="2"/>
      <c r="M14" s="2"/>
      <c r="N14" s="2"/>
      <c r="S14" s="39"/>
    </row>
    <row r="15" spans="1:24" ht="20.100000000000001" customHeight="1" x14ac:dyDescent="0.25">
      <c r="A15" s="17" t="str">
        <f>HYPERLINK("#'4.3.1.3-4 Direct N20'!A1", "4.3.1.3-4 Direct N20")</f>
        <v>4.3.1.3-4 Direct N20</v>
      </c>
      <c r="D15" s="1" t="s">
        <v>206</v>
      </c>
      <c r="E15" s="53" cm="1">
        <f t="array" ref="E15">Table_SourceData_Dairy_LWGj[Milking cows]</f>
        <v>1.6E-2</v>
      </c>
      <c r="F15" s="53">
        <v>0</v>
      </c>
      <c r="G15" s="53">
        <v>0</v>
      </c>
      <c r="H15" s="53">
        <v>0</v>
      </c>
      <c r="I15" s="53">
        <v>0</v>
      </c>
      <c r="J15" s="2" t="s">
        <v>188</v>
      </c>
      <c r="K15" s="2"/>
      <c r="L15" s="2"/>
      <c r="M15" s="2"/>
      <c r="N15" s="2"/>
      <c r="S15" s="39"/>
    </row>
    <row r="16" spans="1:24" ht="20.100000000000001" customHeight="1" x14ac:dyDescent="0.25">
      <c r="A16" s="17" t="str">
        <f>HYPERLINK("#'4.3.1.5 Atmos deposition'!A1", "4.3.1.5 Atmos deposition")</f>
        <v>4.3.1.5 Atmos deposition</v>
      </c>
      <c r="S16" s="39"/>
    </row>
    <row r="17" spans="1:19" ht="20.100000000000001" customHeight="1" x14ac:dyDescent="0.25">
      <c r="A17" s="17" t="str">
        <f>HYPERLINK("#'4.3.1.6-7 Leaching and runoff'!A1", "4.3.1.6-7 Leaching and runoff")</f>
        <v>4.3.1.6-7 Leaching and runoff</v>
      </c>
      <c r="D17" s="64" t="s">
        <v>197</v>
      </c>
      <c r="E17" s="40" t="s">
        <v>165</v>
      </c>
      <c r="F17" s="40" t="s">
        <v>182</v>
      </c>
      <c r="G17" s="40" t="s">
        <v>183</v>
      </c>
      <c r="H17" s="40" t="s">
        <v>184</v>
      </c>
      <c r="I17" s="40" t="s">
        <v>185</v>
      </c>
      <c r="S17" s="7"/>
    </row>
    <row r="18" spans="1:19" ht="20.100000000000001" customHeight="1" x14ac:dyDescent="0.25">
      <c r="A18" s="17" t="str">
        <f>HYPERLINK("#'4.3.1.8 Manure applied to soils'!A1", "4.3.1.8 Manure applied to soils")</f>
        <v>4.3.1.8 Manure applied to soils</v>
      </c>
      <c r="D18" s="1" t="s">
        <v>205</v>
      </c>
      <c r="E18" s="66">
        <f>Common_InputFunctions.Utility_LookupValueInTableNumber(X_Cell_Dairy_Breed, Table_SourceData_Dairy_WjCowsHeifers[Breed],Table_SourceData_Dairy_WjCowsHeifers[Milking cows])</f>
        <v>550</v>
      </c>
      <c r="F18" s="66">
        <v>0</v>
      </c>
      <c r="G18" s="66">
        <v>0</v>
      </c>
      <c r="H18" s="66">
        <v>0</v>
      </c>
      <c r="I18" s="66">
        <v>0</v>
      </c>
      <c r="J18" s="2" t="s">
        <v>187</v>
      </c>
      <c r="K18" s="2"/>
      <c r="L18" s="2"/>
      <c r="M18" s="2"/>
      <c r="N18" s="2"/>
      <c r="S18" s="7"/>
    </row>
    <row r="19" spans="1:19" ht="20.100000000000001" customHeight="1" x14ac:dyDescent="0.25">
      <c r="A19" s="17" t="str">
        <f>HYPERLINK("#'4.3.1.9 Soil direct N2O'!A1", "4.3.1.9 Soil direct N2O")</f>
        <v>4.3.1.9 Soil direct N2O</v>
      </c>
      <c r="D19" s="1" t="s">
        <v>206</v>
      </c>
      <c r="E19" s="66" cm="1">
        <f t="array" ref="E19">Table_SourceData_Dairy_LWGj[Milking cows]</f>
        <v>1.6E-2</v>
      </c>
      <c r="F19" s="66">
        <v>0</v>
      </c>
      <c r="G19" s="66">
        <v>0</v>
      </c>
      <c r="H19" s="66">
        <v>0</v>
      </c>
      <c r="I19" s="66">
        <v>0</v>
      </c>
      <c r="J19" s="2" t="s">
        <v>188</v>
      </c>
      <c r="K19" s="2"/>
      <c r="L19" s="2"/>
      <c r="M19" s="2"/>
      <c r="N19" s="2"/>
      <c r="S19" s="7"/>
    </row>
    <row r="20" spans="1:19" ht="20.100000000000001" customHeight="1" x14ac:dyDescent="0.25">
      <c r="A20" s="17" t="str">
        <f>HYPERLINK("#'4.3.1.10-11 Soil Atmos Dep'!A1", "4.3.1.10-11 Soil Atmos Dep")</f>
        <v>4.3.1.10-11 Soil Atmos Dep</v>
      </c>
      <c r="S20" s="7"/>
    </row>
    <row r="21" spans="1:19" ht="20.100000000000001" customHeight="1" x14ac:dyDescent="0.25">
      <c r="A21" s="17" t="str">
        <f>HYPERLINK("#'4.3.1.12-13 Soil leach runoff'!A1", "4.3.1.12-13 Soil leach runoff")</f>
        <v>4.3.1.12-13 Soil leach runoff</v>
      </c>
      <c r="D21" s="49" t="s">
        <v>98</v>
      </c>
      <c r="S21" s="7"/>
    </row>
    <row r="22" spans="1:19" ht="20.100000000000001" customHeight="1" x14ac:dyDescent="0.25">
      <c r="S22" s="7"/>
    </row>
    <row r="23" spans="1:19" ht="20.100000000000001" customHeight="1" x14ac:dyDescent="0.25">
      <c r="D23" s="64" t="s">
        <v>198</v>
      </c>
      <c r="E23" s="40" t="s">
        <v>165</v>
      </c>
      <c r="F23" s="40" t="s">
        <v>182</v>
      </c>
      <c r="G23" s="40" t="s">
        <v>183</v>
      </c>
      <c r="H23" s="40" t="s">
        <v>184</v>
      </c>
      <c r="I23" s="40" t="s">
        <v>185</v>
      </c>
      <c r="S23" s="7"/>
    </row>
    <row r="24" spans="1:19" ht="20.100000000000001" customHeight="1" x14ac:dyDescent="0.25">
      <c r="A24" s="154" t="s">
        <v>1</v>
      </c>
      <c r="D24" s="1" t="str">
        <f>"Average duration of stay between " &amp; TEXT(X_Cell_Site_StartDate, "dd mmm yy") &amp; " and " &amp; TEXT(X_Cell_Site_EndDate, "dd mmm yy") &amp; " weaned livestock"</f>
        <v>Average duration of stay between 01 Jan 24 and 31 Dec 24 weaned livestock</v>
      </c>
      <c r="E24" s="53" cm="1">
        <f t="array" ref="E24">Common_InputFunctions.Utility_LookupValueInTableNumber(E23,Table_SourceData_Dairy_Duration[Animal class j],Table_SourceData_Dairy_Duration[Duration (weaned)])</f>
        <v>365</v>
      </c>
      <c r="F24" s="53">
        <v>0</v>
      </c>
      <c r="G24" s="53">
        <v>0</v>
      </c>
      <c r="H24" s="53">
        <v>0</v>
      </c>
      <c r="I24" s="53">
        <v>0</v>
      </c>
      <c r="J24" s="2" t="s">
        <v>52</v>
      </c>
      <c r="K24" s="2"/>
      <c r="L24" s="2"/>
      <c r="M24" s="2"/>
      <c r="N24" s="2"/>
      <c r="S24" s="7"/>
    </row>
    <row r="25" spans="1:19" ht="20.100000000000001" customHeight="1" x14ac:dyDescent="0.25">
      <c r="A25" s="17" t="str">
        <f>HYPERLINK("#'Constants - Dairy'!A1", "Constants - Dairy")</f>
        <v>Constants - Dairy</v>
      </c>
      <c r="D25" s="1" t="str">
        <f>"Average duration of stay between " &amp; TEXT(X_Cell_Site_StartDate, "dd mmm yy") &amp; " and " &amp; TEXT(X_Cell_Site_EndDate, "dd mmm yy") &amp; " pre-weaned livestock"</f>
        <v>Average duration of stay between 01 Jan 24 and 31 Dec 24 pre-weaned livestock</v>
      </c>
      <c r="E25" s="53" cm="1">
        <f t="array" ref="E25">Common_InputFunctions.Utility_LookupValueInTableNumber(E23,Table_SourceData_Dairy_Duration[Animal class j],Table_SourceData_Dairy_Duration[Duration (pre-weaned)])</f>
        <v>0</v>
      </c>
      <c r="F25" s="53">
        <v>0</v>
      </c>
      <c r="G25" s="53">
        <v>0</v>
      </c>
      <c r="H25" s="53">
        <v>0</v>
      </c>
      <c r="I25" s="53">
        <v>0</v>
      </c>
      <c r="J25" s="2" t="s">
        <v>52</v>
      </c>
      <c r="K25" s="2"/>
      <c r="L25" s="2"/>
      <c r="M25" s="2"/>
      <c r="N25" s="2"/>
      <c r="S25" s="7"/>
    </row>
    <row r="26" spans="1:19" ht="20.100000000000001" customHeight="1" x14ac:dyDescent="0.25">
      <c r="A26" s="17" t="str">
        <f>HYPERLINK("#'Constants - Common'!A1", "Constants - Common")</f>
        <v>Constants - Common</v>
      </c>
      <c r="S26" s="7"/>
    </row>
    <row r="27" spans="1:19" ht="20.100000000000001" customHeight="1" x14ac:dyDescent="0.25">
      <c r="A27" s="17" t="str">
        <f>HYPERLINK("#'Constants - Livestock'!A1", "Constants - Livestock")</f>
        <v>Constants - Livestock</v>
      </c>
      <c r="D27" s="64" t="s">
        <v>197</v>
      </c>
      <c r="E27" s="40" t="s">
        <v>165</v>
      </c>
      <c r="F27" s="40" t="s">
        <v>182</v>
      </c>
      <c r="G27" s="40" t="s">
        <v>183</v>
      </c>
      <c r="H27" s="40" t="s">
        <v>184</v>
      </c>
      <c r="I27" s="40" t="s">
        <v>185</v>
      </c>
      <c r="S27" s="7"/>
    </row>
    <row r="28" spans="1:19" ht="20.100000000000001" customHeight="1" x14ac:dyDescent="0.25">
      <c r="A28" s="17" t="str">
        <f>HYPERLINK("#'Acknowledgements'!A1", "Acknowledgements")</f>
        <v>Acknowledgements</v>
      </c>
      <c r="D28" s="1" t="str">
        <f>"Average duration of stay between " &amp; TEXT(X_Cell_Site_StartDate, "dd mmm yy") &amp; " and " &amp; TEXT(X_Cell_Site_EndDate, "dd mmm yy") &amp; " weaned livestock"</f>
        <v>Average duration of stay between 01 Jan 24 and 31 Dec 24 weaned livestock</v>
      </c>
      <c r="E28" s="66" cm="1">
        <f t="array" ref="E28">Common_InputFunctions.Utility_LookupValueInTableNumber(E27,Table_SourceData_Dairy_Duration[Animal class j],Table_SourceData_Dairy_Duration[Duration (weaned)])</f>
        <v>365</v>
      </c>
      <c r="F28" s="66">
        <v>0</v>
      </c>
      <c r="G28" s="66">
        <v>0</v>
      </c>
      <c r="H28" s="66">
        <v>0</v>
      </c>
      <c r="I28" s="66">
        <v>0</v>
      </c>
      <c r="J28" s="2" t="s">
        <v>52</v>
      </c>
      <c r="K28" s="2"/>
      <c r="L28" s="2"/>
      <c r="M28" s="2"/>
      <c r="N28" s="2"/>
      <c r="S28" s="7"/>
    </row>
    <row r="29" spans="1:19" ht="20.100000000000001" customHeight="1" x14ac:dyDescent="0.25">
      <c r="A29" s="17" t="str">
        <f>HYPERLINK("#'Tab template'!A1", "Tab template")</f>
        <v>Tab template</v>
      </c>
      <c r="D29" s="1" t="str">
        <f>"Average duration of stay between " &amp; TEXT(X_Cell_Site_StartDate, "dd mmm yy") &amp; " and " &amp; TEXT(X_Cell_Site_EndDate, "dd mmm yy") &amp; " pre-weaned livestock"</f>
        <v>Average duration of stay between 01 Jan 24 and 31 Dec 24 pre-weaned livestock</v>
      </c>
      <c r="E29" s="53">
        <f>365-E28</f>
        <v>0</v>
      </c>
      <c r="F29" s="53">
        <v>0</v>
      </c>
      <c r="G29" s="53">
        <v>0</v>
      </c>
      <c r="H29" s="53">
        <v>0</v>
      </c>
      <c r="I29" s="53">
        <v>0</v>
      </c>
      <c r="J29" s="2" t="s">
        <v>52</v>
      </c>
      <c r="K29" s="2"/>
      <c r="L29" s="2"/>
      <c r="M29" s="2"/>
      <c r="N29" s="2"/>
      <c r="S29" s="7"/>
    </row>
    <row r="30" spans="1:19" ht="20.100000000000001" customHeight="1" x14ac:dyDescent="0.25">
      <c r="S30" s="7"/>
    </row>
    <row r="31" spans="1:19" ht="20.100000000000001" customHeight="1" x14ac:dyDescent="0.25">
      <c r="S31" s="7"/>
    </row>
    <row r="32" spans="1:19" ht="20.100000000000001" customHeight="1" x14ac:dyDescent="0.25">
      <c r="C32" s="46"/>
      <c r="D32" s="46"/>
      <c r="E32" s="46"/>
      <c r="F32" s="46"/>
      <c r="G32" s="46"/>
      <c r="H32" s="46"/>
      <c r="I32" s="46"/>
      <c r="J32" s="46"/>
      <c r="K32" s="46"/>
      <c r="L32" s="46"/>
      <c r="M32" s="46"/>
      <c r="N32" s="46"/>
      <c r="O32" s="46"/>
      <c r="S32" s="7"/>
    </row>
    <row r="33" spans="3:19" ht="20.100000000000001" customHeight="1" x14ac:dyDescent="0.25">
      <c r="D33" s="6" t="s">
        <v>203</v>
      </c>
      <c r="S33" s="7"/>
    </row>
    <row r="34" spans="3:19" ht="20.100000000000001" customHeight="1" x14ac:dyDescent="0.25">
      <c r="D34" s="49"/>
      <c r="S34" s="7"/>
    </row>
    <row r="35" spans="3:19" ht="20.100000000000001" customHeight="1" x14ac:dyDescent="0.25">
      <c r="D35" s="64" t="s">
        <v>198</v>
      </c>
      <c r="E35" s="40" t="s">
        <v>165</v>
      </c>
      <c r="F35" s="40" t="s">
        <v>182</v>
      </c>
      <c r="G35" s="40" t="s">
        <v>183</v>
      </c>
      <c r="H35" s="40" t="s">
        <v>184</v>
      </c>
      <c r="I35" s="40" t="s">
        <v>185</v>
      </c>
      <c r="S35" s="7"/>
    </row>
    <row r="36" spans="3:19" ht="20.100000000000001" customHeight="1" x14ac:dyDescent="0.25">
      <c r="D36" s="1" t="s">
        <v>16</v>
      </c>
      <c r="E36" s="53">
        <f>SourceData_Dairy_DryMatterDigestibility_Data</f>
        <v>0.75</v>
      </c>
      <c r="F36" s="53">
        <v>0</v>
      </c>
      <c r="G36" s="53">
        <v>0</v>
      </c>
      <c r="H36" s="53">
        <v>0</v>
      </c>
      <c r="I36" s="53">
        <v>0</v>
      </c>
      <c r="J36" s="2" t="s">
        <v>93</v>
      </c>
      <c r="K36" s="2"/>
      <c r="L36" s="2"/>
      <c r="M36" s="2"/>
      <c r="N36" s="2"/>
      <c r="S36" s="7"/>
    </row>
    <row r="37" spans="3:19" ht="20.100000000000001" customHeight="1" x14ac:dyDescent="0.25">
      <c r="D37" s="1" t="s">
        <v>104</v>
      </c>
      <c r="E37" s="53">
        <f>SourceData_Dairy_CrudeProtein_Data</f>
        <v>0.2</v>
      </c>
      <c r="F37" s="53">
        <v>0</v>
      </c>
      <c r="G37" s="53">
        <v>0</v>
      </c>
      <c r="H37" s="53">
        <v>0</v>
      </c>
      <c r="I37" s="53">
        <v>0</v>
      </c>
      <c r="J37" s="2" t="s">
        <v>93</v>
      </c>
      <c r="L37" s="2"/>
      <c r="M37" s="2"/>
      <c r="N37" s="2"/>
      <c r="S37" s="7"/>
    </row>
    <row r="38" spans="3:19" ht="20.100000000000001" customHeight="1" x14ac:dyDescent="0.25">
      <c r="M38" s="2"/>
      <c r="N38" s="2"/>
      <c r="S38" s="7"/>
    </row>
    <row r="39" spans="3:19" ht="20.100000000000001" customHeight="1" x14ac:dyDescent="0.25">
      <c r="D39" s="64" t="s">
        <v>197</v>
      </c>
      <c r="E39" s="40" t="s">
        <v>165</v>
      </c>
      <c r="F39" s="40" t="s">
        <v>182</v>
      </c>
      <c r="G39" s="40" t="s">
        <v>183</v>
      </c>
      <c r="H39" s="40" t="s">
        <v>184</v>
      </c>
      <c r="I39" s="40" t="s">
        <v>185</v>
      </c>
      <c r="S39" s="7"/>
    </row>
    <row r="40" spans="3:19" ht="20.100000000000001" customHeight="1" x14ac:dyDescent="0.25">
      <c r="D40" s="1" t="s">
        <v>16</v>
      </c>
      <c r="E40" s="66">
        <f>SourceData_Dairy_DryMatterDigestibility_Data</f>
        <v>0.75</v>
      </c>
      <c r="F40" s="66">
        <v>0</v>
      </c>
      <c r="G40" s="66">
        <v>0</v>
      </c>
      <c r="H40" s="66">
        <v>0</v>
      </c>
      <c r="I40" s="66">
        <v>0</v>
      </c>
      <c r="J40" s="2" t="s">
        <v>93</v>
      </c>
      <c r="K40" s="2"/>
      <c r="S40" s="7"/>
    </row>
    <row r="41" spans="3:19" ht="20.100000000000001" customHeight="1" x14ac:dyDescent="0.25">
      <c r="D41" s="1" t="s">
        <v>104</v>
      </c>
      <c r="E41" s="66">
        <f>SourceData_Dairy_CrudeProtein_Data</f>
        <v>0.2</v>
      </c>
      <c r="F41" s="66">
        <v>0</v>
      </c>
      <c r="G41" s="66">
        <v>0</v>
      </c>
      <c r="H41" s="66">
        <v>0</v>
      </c>
      <c r="I41" s="66">
        <v>0</v>
      </c>
      <c r="J41" s="2" t="s">
        <v>93</v>
      </c>
      <c r="L41" s="2"/>
      <c r="S41" s="7"/>
    </row>
    <row r="42" spans="3:19" ht="20.100000000000001" customHeight="1" x14ac:dyDescent="0.25">
      <c r="L42" s="2"/>
      <c r="M42" s="2"/>
      <c r="N42" s="2"/>
      <c r="S42" s="7"/>
    </row>
    <row r="43" spans="3:19" ht="20.100000000000001" customHeight="1" x14ac:dyDescent="0.25">
      <c r="S43" s="7"/>
    </row>
    <row r="44" spans="3:19" ht="20.100000000000001" customHeight="1" x14ac:dyDescent="0.25">
      <c r="C44" s="46"/>
      <c r="D44" s="46"/>
      <c r="E44" s="46"/>
      <c r="F44" s="46"/>
      <c r="G44" s="46"/>
      <c r="H44" s="46"/>
      <c r="I44" s="46"/>
      <c r="J44" s="46"/>
      <c r="K44" s="46"/>
      <c r="L44" s="46"/>
      <c r="M44" s="46"/>
      <c r="N44" s="46"/>
      <c r="O44" s="46"/>
      <c r="S44" s="7"/>
    </row>
    <row r="45" spans="3:19" ht="20.100000000000001" customHeight="1" x14ac:dyDescent="0.25">
      <c r="D45" s="6" t="s">
        <v>189</v>
      </c>
      <c r="E45" s="3"/>
      <c r="F45" s="3"/>
      <c r="G45" s="3"/>
      <c r="H45" s="3"/>
      <c r="I45" s="3"/>
      <c r="J45" s="3"/>
      <c r="K45" s="3"/>
      <c r="L45" s="3"/>
      <c r="M45" s="3"/>
      <c r="N45" s="3"/>
      <c r="S45" s="7"/>
    </row>
    <row r="46" spans="3:19" ht="20.100000000000001" customHeight="1" x14ac:dyDescent="0.25">
      <c r="D46" s="22" t="s">
        <v>445</v>
      </c>
      <c r="G46" s="6"/>
      <c r="H46" s="6"/>
      <c r="I46" s="6"/>
      <c r="J46" s="122"/>
      <c r="K46" s="122"/>
      <c r="L46" s="122"/>
      <c r="M46" s="122"/>
      <c r="N46" s="122"/>
      <c r="S46" s="7"/>
    </row>
    <row r="47" spans="3:19" ht="20.100000000000001" customHeight="1" x14ac:dyDescent="0.25">
      <c r="D47" s="1" t="s">
        <v>430</v>
      </c>
      <c r="E47" s="41" t="s">
        <v>443</v>
      </c>
      <c r="F47" s="2" t="s">
        <v>8</v>
      </c>
      <c r="S47" s="7"/>
    </row>
    <row r="48" spans="3:19" ht="20.100000000000001" customHeight="1" x14ac:dyDescent="0.25">
      <c r="S48" s="7"/>
    </row>
    <row r="49" spans="3:19" ht="20.100000000000001" customHeight="1" x14ac:dyDescent="0.25">
      <c r="E49" s="40" t="s">
        <v>165</v>
      </c>
      <c r="S49" s="7"/>
    </row>
    <row r="50" spans="3:19" ht="20.100000000000001" customHeight="1" x14ac:dyDescent="0.25">
      <c r="D50" s="1" t="s">
        <v>190</v>
      </c>
      <c r="E50" s="66">
        <f>6569/365</f>
        <v>17.997260273972604</v>
      </c>
      <c r="F50" s="2" t="str">
        <f>IF(X_Cell_Dairy_MilkProductionUnit="Litres of milk", "litres/head/day", "kg milk solids/head/day")</f>
        <v>litres/head/day</v>
      </c>
      <c r="S50" s="7"/>
    </row>
    <row r="51" spans="3:19" ht="20.100000000000001" customHeight="1" x14ac:dyDescent="0.25">
      <c r="E51" s="6"/>
      <c r="F51" s="6"/>
      <c r="S51" s="7"/>
    </row>
    <row r="52" spans="3:19" ht="20.100000000000001" customHeight="1" x14ac:dyDescent="0.25">
      <c r="D52" s="54" t="s">
        <v>431</v>
      </c>
      <c r="E52" s="40" t="s">
        <v>432</v>
      </c>
      <c r="F52" s="40" t="s">
        <v>433</v>
      </c>
      <c r="S52" s="7"/>
    </row>
    <row r="53" spans="3:19" ht="20.100000000000001" customHeight="1" x14ac:dyDescent="0.25">
      <c r="D53" s="1" t="s">
        <v>434</v>
      </c>
      <c r="E53" s="136">
        <f>SourceData_Dairy_FatContentInMilk_Data/100</f>
        <v>0.04</v>
      </c>
      <c r="F53" s="150">
        <f>SourceData_Dairy_FatContentInMilk_Data/100</f>
        <v>0.04</v>
      </c>
      <c r="G53" s="2" t="s">
        <v>435</v>
      </c>
      <c r="S53" s="7"/>
    </row>
    <row r="54" spans="3:19" ht="20.100000000000001" customHeight="1" x14ac:dyDescent="0.25">
      <c r="D54" s="1" t="s">
        <v>436</v>
      </c>
      <c r="E54" s="136">
        <f>SourceData_Dairy_ProteinContentInMilk_Data/100</f>
        <v>3.3000000000000002E-2</v>
      </c>
      <c r="F54" s="150">
        <f>SourceData_Dairy_ProteinContentInMilk_Data/100</f>
        <v>3.3000000000000002E-2</v>
      </c>
      <c r="G54" s="2" t="s">
        <v>435</v>
      </c>
      <c r="S54" s="7"/>
    </row>
    <row r="55" spans="3:19" ht="20.100000000000001" customHeight="1" x14ac:dyDescent="0.25">
      <c r="S55" s="7"/>
    </row>
    <row r="56" spans="3:19" ht="20.100000000000001" customHeight="1" x14ac:dyDescent="0.25">
      <c r="S56" s="7"/>
    </row>
    <row r="57" spans="3:19" ht="20.100000000000001" customHeight="1" x14ac:dyDescent="0.25">
      <c r="C57" s="46"/>
      <c r="D57" s="46"/>
      <c r="E57" s="46"/>
      <c r="F57" s="46"/>
      <c r="G57" s="46"/>
      <c r="H57" s="46"/>
      <c r="I57" s="46"/>
      <c r="J57" s="46"/>
      <c r="K57" s="46"/>
      <c r="L57" s="46"/>
      <c r="M57" s="46"/>
      <c r="N57" s="46"/>
      <c r="O57" s="46"/>
      <c r="S57" s="7"/>
    </row>
    <row r="58" spans="3:19" ht="20.100000000000001" customHeight="1" x14ac:dyDescent="0.25">
      <c r="D58" s="6" t="s">
        <v>200</v>
      </c>
      <c r="S58" s="7"/>
    </row>
    <row r="59" spans="3:19" ht="20.100000000000001" customHeight="1" x14ac:dyDescent="0.25">
      <c r="D59" s="49" t="s">
        <v>193</v>
      </c>
      <c r="S59" s="7"/>
    </row>
    <row r="60" spans="3:19" ht="20.100000000000001" customHeight="1" x14ac:dyDescent="0.25">
      <c r="D60" s="1" t="s">
        <v>195</v>
      </c>
      <c r="E60" s="41" t="s">
        <v>202</v>
      </c>
      <c r="F60" s="2" t="s">
        <v>8</v>
      </c>
      <c r="O60" s="3"/>
      <c r="S60" s="7"/>
    </row>
    <row r="61" spans="3:19" ht="20.100000000000001" customHeight="1" x14ac:dyDescent="0.25">
      <c r="O61" s="3"/>
      <c r="S61" s="7"/>
    </row>
    <row r="62" spans="3:19" ht="20.100000000000001" customHeight="1" x14ac:dyDescent="0.25">
      <c r="D62" s="64" t="s">
        <v>198</v>
      </c>
      <c r="E62" s="40" t="s">
        <v>165</v>
      </c>
      <c r="F62" s="40" t="s">
        <v>182</v>
      </c>
      <c r="G62" s="40" t="s">
        <v>183</v>
      </c>
      <c r="H62" s="40" t="s">
        <v>184</v>
      </c>
      <c r="I62" s="40" t="s">
        <v>185</v>
      </c>
      <c r="O62" s="3"/>
      <c r="S62" s="7"/>
    </row>
    <row r="63" spans="3:19" ht="20.100000000000001" customHeight="1" x14ac:dyDescent="0.25">
      <c r="D63" s="1" t="s">
        <v>139</v>
      </c>
      <c r="E63" s="136">
        <v>0</v>
      </c>
      <c r="F63" s="136">
        <v>0</v>
      </c>
      <c r="G63" s="136">
        <v>0</v>
      </c>
      <c r="H63" s="136">
        <v>0</v>
      </c>
      <c r="I63" s="136">
        <v>0</v>
      </c>
      <c r="J63" s="2" t="s">
        <v>17</v>
      </c>
      <c r="K63" s="2"/>
      <c r="L63" s="2"/>
      <c r="M63" s="2"/>
      <c r="N63" s="2"/>
      <c r="O63" s="3"/>
      <c r="S63" s="7"/>
    </row>
    <row r="64" spans="3:19" ht="20.100000000000001" customHeight="1" x14ac:dyDescent="0.25">
      <c r="D64" s="1" t="s">
        <v>179</v>
      </c>
      <c r="E64" s="136">
        <v>1</v>
      </c>
      <c r="F64" s="136">
        <v>0</v>
      </c>
      <c r="G64" s="136">
        <v>0</v>
      </c>
      <c r="H64" s="136">
        <v>0</v>
      </c>
      <c r="I64" s="136">
        <v>0</v>
      </c>
      <c r="J64" s="2" t="s">
        <v>17</v>
      </c>
      <c r="K64" s="2"/>
      <c r="L64" s="2"/>
      <c r="M64" s="2"/>
      <c r="N64" s="2"/>
      <c r="O64" s="3"/>
      <c r="S64" s="7"/>
    </row>
    <row r="65" spans="3:19" ht="20.100000000000001" customHeight="1" x14ac:dyDescent="0.25">
      <c r="D65" s="1" t="s">
        <v>194</v>
      </c>
      <c r="E65" s="136">
        <v>0</v>
      </c>
      <c r="F65" s="136">
        <v>0</v>
      </c>
      <c r="G65" s="136">
        <v>0</v>
      </c>
      <c r="H65" s="136">
        <v>0</v>
      </c>
      <c r="I65" s="136">
        <v>0</v>
      </c>
      <c r="J65" s="2" t="s">
        <v>17</v>
      </c>
      <c r="K65" s="2"/>
      <c r="L65" s="2"/>
      <c r="M65" s="2"/>
      <c r="N65" s="2"/>
      <c r="O65" s="3"/>
    </row>
    <row r="66" spans="3:19" ht="20.100000000000001" customHeight="1" x14ac:dyDescent="0.25">
      <c r="O66" s="3"/>
    </row>
    <row r="67" spans="3:19" ht="20.100000000000001" customHeight="1" x14ac:dyDescent="0.25">
      <c r="D67" s="64" t="s">
        <v>197</v>
      </c>
      <c r="E67" s="40" t="s">
        <v>165</v>
      </c>
      <c r="F67" s="40" t="s">
        <v>182</v>
      </c>
      <c r="G67" s="40" t="s">
        <v>183</v>
      </c>
      <c r="H67" s="40" t="s">
        <v>184</v>
      </c>
      <c r="I67" s="40" t="s">
        <v>185</v>
      </c>
      <c r="O67" s="3"/>
    </row>
    <row r="68" spans="3:19" ht="20.100000000000001" customHeight="1" x14ac:dyDescent="0.25">
      <c r="D68" s="1" t="s">
        <v>139</v>
      </c>
      <c r="E68" s="135">
        <v>0</v>
      </c>
      <c r="F68" s="135">
        <v>0</v>
      </c>
      <c r="G68" s="135">
        <v>0</v>
      </c>
      <c r="H68" s="135">
        <v>0</v>
      </c>
      <c r="I68" s="135">
        <v>0</v>
      </c>
      <c r="J68" s="2" t="s">
        <v>17</v>
      </c>
      <c r="K68" s="2"/>
      <c r="L68" s="2"/>
      <c r="M68" s="2"/>
      <c r="N68" s="2"/>
      <c r="O68" s="3"/>
    </row>
    <row r="69" spans="3:19" ht="20.100000000000001" customHeight="1" x14ac:dyDescent="0.25">
      <c r="D69" s="1" t="s">
        <v>179</v>
      </c>
      <c r="E69" s="135">
        <v>1</v>
      </c>
      <c r="F69" s="135">
        <v>0</v>
      </c>
      <c r="G69" s="135">
        <v>0</v>
      </c>
      <c r="H69" s="135">
        <v>0</v>
      </c>
      <c r="I69" s="135">
        <v>0</v>
      </c>
      <c r="J69" s="2" t="s">
        <v>17</v>
      </c>
      <c r="K69" s="2"/>
      <c r="L69" s="2"/>
      <c r="M69" s="2"/>
      <c r="N69" s="2"/>
      <c r="O69" s="3"/>
    </row>
    <row r="70" spans="3:19" ht="20.100000000000001" customHeight="1" x14ac:dyDescent="0.25">
      <c r="D70" s="1" t="s">
        <v>194</v>
      </c>
      <c r="E70" s="135">
        <v>0</v>
      </c>
      <c r="F70" s="135">
        <v>0</v>
      </c>
      <c r="G70" s="135">
        <v>0</v>
      </c>
      <c r="H70" s="135">
        <v>0</v>
      </c>
      <c r="I70" s="135">
        <v>0</v>
      </c>
      <c r="J70" s="2" t="s">
        <v>17</v>
      </c>
      <c r="K70" s="2"/>
      <c r="L70" s="2"/>
      <c r="M70" s="2"/>
      <c r="N70" s="2"/>
      <c r="O70" s="3"/>
    </row>
    <row r="71" spans="3:19" ht="20.100000000000001" customHeight="1" x14ac:dyDescent="0.25">
      <c r="E71" s="126"/>
      <c r="O71" s="3"/>
    </row>
    <row r="72" spans="3:19" ht="20.100000000000001" customHeight="1" x14ac:dyDescent="0.25"/>
    <row r="73" spans="3:19" ht="20.100000000000001" customHeight="1" x14ac:dyDescent="0.25">
      <c r="C73" s="46"/>
      <c r="D73" s="46"/>
      <c r="E73" s="46"/>
      <c r="F73" s="46"/>
      <c r="G73" s="46"/>
      <c r="H73" s="46"/>
      <c r="I73" s="46"/>
      <c r="J73" s="46"/>
      <c r="K73" s="46"/>
      <c r="L73" s="46"/>
      <c r="M73" s="46"/>
      <c r="N73" s="46"/>
      <c r="O73" s="46"/>
    </row>
    <row r="74" spans="3:19" ht="20.100000000000001" customHeight="1" x14ac:dyDescent="0.25">
      <c r="D74" s="6" t="s">
        <v>96</v>
      </c>
      <c r="F74" s="123"/>
    </row>
    <row r="75" spans="3:19" ht="20.100000000000001" customHeight="1" x14ac:dyDescent="0.25">
      <c r="D75" s="49" t="str">
        <f>"From " &amp; $D$64</f>
        <v>From Milking shed</v>
      </c>
      <c r="O75" s="3"/>
    </row>
    <row r="76" spans="3:19" ht="20.100000000000001" customHeight="1" x14ac:dyDescent="0.25">
      <c r="O76" s="3"/>
    </row>
    <row r="77" spans="3:19" ht="20.100000000000001" customHeight="1" x14ac:dyDescent="0.25">
      <c r="D77" s="153" t="s">
        <v>95</v>
      </c>
      <c r="E77" s="40" t="s">
        <v>165</v>
      </c>
      <c r="F77" s="40" t="s">
        <v>182</v>
      </c>
      <c r="G77" s="40" t="s">
        <v>183</v>
      </c>
      <c r="H77" s="40" t="s">
        <v>184</v>
      </c>
      <c r="I77" s="40" t="s">
        <v>185</v>
      </c>
      <c r="J77" s="142" t="s">
        <v>420</v>
      </c>
      <c r="K77" s="142"/>
      <c r="L77" s="64" t="s">
        <v>419</v>
      </c>
      <c r="M77" s="64"/>
      <c r="N77" s="40"/>
      <c r="O77" s="3"/>
    </row>
    <row r="78" spans="3:19" ht="20.100000000000001" customHeight="1" x14ac:dyDescent="0.25">
      <c r="L78" s="117" t="s">
        <v>421</v>
      </c>
      <c r="M78" s="117" t="s">
        <v>422</v>
      </c>
      <c r="N78" s="117" t="s">
        <v>423</v>
      </c>
      <c r="O78" s="3"/>
    </row>
    <row r="79" spans="3:19" ht="20.100000000000001" customHeight="1" x14ac:dyDescent="0.25">
      <c r="D79" s="54" t="str">
        <f>'Constants - Dairy'!$D$8</f>
        <v>Anaerobic lagoon</v>
      </c>
      <c r="E79" s="47">
        <v>0</v>
      </c>
      <c r="F79" s="47">
        <v>0</v>
      </c>
      <c r="G79" s="47">
        <v>0</v>
      </c>
      <c r="H79" s="47">
        <v>0</v>
      </c>
      <c r="I79" s="47">
        <v>0</v>
      </c>
      <c r="J79" s="2" t="s">
        <v>17</v>
      </c>
      <c r="K79" s="2"/>
      <c r="L79" s="47">
        <v>0</v>
      </c>
      <c r="M79" s="47">
        <v>0</v>
      </c>
      <c r="N79" s="97">
        <f>1-SUM(L79:M79)</f>
        <v>1</v>
      </c>
      <c r="O79" s="3"/>
    </row>
    <row r="80" spans="3:19" ht="20.100000000000001" customHeight="1" x14ac:dyDescent="0.25">
      <c r="D80" s="152" t="str">
        <f>"Were solids separated from " &amp; D79 &amp; "?"</f>
        <v>Were solids separated from Anaerobic lagoon?</v>
      </c>
      <c r="E80" s="41" t="s">
        <v>201</v>
      </c>
      <c r="O80" s="3"/>
      <c r="S80" s="7"/>
    </row>
    <row r="81" spans="4:19" ht="20.100000000000001" customHeight="1" x14ac:dyDescent="0.25">
      <c r="D81" s="152" t="str">
        <f>"Percent solids separated from " &amp; D79 &amp; " (Method 1)"</f>
        <v>Percent solids separated from Anaerobic lagoon (Method 1)</v>
      </c>
      <c r="E81" s="97">
        <v>0</v>
      </c>
      <c r="O81" s="3"/>
      <c r="S81" s="7"/>
    </row>
    <row r="82" spans="4:19" ht="20.100000000000001" customHeight="1" x14ac:dyDescent="0.25">
      <c r="D82" s="152" t="str">
        <f>"Percent solids separated from " &amp; D79 &amp; " (Method 2)"</f>
        <v>Percent solids separated from Anaerobic lagoon (Method 2)</v>
      </c>
      <c r="E82" s="47">
        <v>0</v>
      </c>
      <c r="O82" s="3"/>
      <c r="S82" s="7"/>
    </row>
    <row r="83" spans="4:19" ht="20.100000000000001" customHeight="1" x14ac:dyDescent="0.25">
      <c r="S83" s="7"/>
    </row>
    <row r="84" spans="4:19" ht="20.100000000000001" customHeight="1" x14ac:dyDescent="0.25">
      <c r="D84" s="54" t="str">
        <f>'Constants - Dairy'!$D$9</f>
        <v>Sump and dispersal system</v>
      </c>
      <c r="E84" s="47">
        <v>1</v>
      </c>
      <c r="F84" s="47">
        <v>0</v>
      </c>
      <c r="G84" s="47">
        <v>0</v>
      </c>
      <c r="H84" s="47">
        <v>0</v>
      </c>
      <c r="I84" s="47">
        <v>0</v>
      </c>
      <c r="J84" s="2" t="s">
        <v>17</v>
      </c>
      <c r="K84" s="2"/>
      <c r="L84" s="47">
        <v>0</v>
      </c>
      <c r="M84" s="47">
        <v>0</v>
      </c>
      <c r="N84" s="97">
        <f t="shared" ref="N84" si="0">1-SUM(L84:M84)</f>
        <v>1</v>
      </c>
      <c r="S84" s="7"/>
    </row>
    <row r="85" spans="4:19" ht="20.100000000000001" customHeight="1" x14ac:dyDescent="0.25">
      <c r="D85" s="152" t="str">
        <f>"Were solids separated from " &amp; D84 &amp; "?"</f>
        <v>Were solids separated from Sump and dispersal system?</v>
      </c>
      <c r="E85" s="41" t="s">
        <v>199</v>
      </c>
      <c r="S85" s="7"/>
    </row>
    <row r="86" spans="4:19" ht="20.100000000000001" customHeight="1" x14ac:dyDescent="0.25">
      <c r="D86" s="152" t="str">
        <f>"Percent solids separated from " &amp; D84 &amp; " (Method 1)"</f>
        <v>Percent solids separated from Sump and dispersal system (Method 1)</v>
      </c>
      <c r="E86" s="97">
        <v>0</v>
      </c>
      <c r="S86" s="7"/>
    </row>
    <row r="87" spans="4:19" ht="20.100000000000001" customHeight="1" x14ac:dyDescent="0.25">
      <c r="D87" s="152" t="str">
        <f>"Percent solids separated from " &amp; D84 &amp; " (Method 2)"</f>
        <v>Percent solids separated from Sump and dispersal system (Method 2)</v>
      </c>
      <c r="E87" s="47">
        <v>0</v>
      </c>
      <c r="S87" s="7"/>
    </row>
    <row r="88" spans="4:19" ht="20.100000000000001" customHeight="1" x14ac:dyDescent="0.25">
      <c r="S88" s="7"/>
    </row>
    <row r="89" spans="4:19" ht="20.100000000000001" customHeight="1" x14ac:dyDescent="0.25">
      <c r="D89" s="54" t="str">
        <f>'Constants - Dairy'!$D$10</f>
        <v>Drains to paddock</v>
      </c>
      <c r="E89" s="47">
        <v>0</v>
      </c>
      <c r="F89" s="47">
        <v>0</v>
      </c>
      <c r="G89" s="47">
        <v>0</v>
      </c>
      <c r="H89" s="47">
        <v>0</v>
      </c>
      <c r="I89" s="47">
        <v>0</v>
      </c>
      <c r="J89" s="2" t="s">
        <v>17</v>
      </c>
      <c r="K89" s="2"/>
      <c r="L89" s="47">
        <v>0</v>
      </c>
      <c r="M89" s="47">
        <v>0</v>
      </c>
      <c r="N89" s="97">
        <f>1-SUM(L89:M89)</f>
        <v>1</v>
      </c>
      <c r="S89" s="7"/>
    </row>
    <row r="90" spans="4:19" ht="20.100000000000001" customHeight="1" x14ac:dyDescent="0.25">
      <c r="D90" s="152" t="str">
        <f>"Were solids separated from " &amp; D89 &amp; "?"</f>
        <v>Were solids separated from Drains to paddock?</v>
      </c>
      <c r="E90" s="41" t="s">
        <v>199</v>
      </c>
      <c r="S90" s="7"/>
    </row>
    <row r="91" spans="4:19" ht="20.100000000000001" customHeight="1" x14ac:dyDescent="0.25">
      <c r="D91" s="152" t="str">
        <f>"Percent solids separated from " &amp; D89 &amp; " (Method 1)"</f>
        <v>Percent solids separated from Drains to paddock (Method 1)</v>
      </c>
      <c r="E91" s="97">
        <v>0</v>
      </c>
      <c r="S91" s="7"/>
    </row>
    <row r="92" spans="4:19" ht="20.100000000000001" customHeight="1" x14ac:dyDescent="0.25">
      <c r="D92" s="152" t="str">
        <f>"Percent solids separated from " &amp; D89 &amp; " (Method 2)"</f>
        <v>Percent solids separated from Drains to paddock (Method 2)</v>
      </c>
      <c r="E92" s="47">
        <v>0</v>
      </c>
      <c r="S92" s="7"/>
    </row>
    <row r="93" spans="4:19" ht="20.100000000000001" customHeight="1" x14ac:dyDescent="0.25">
      <c r="S93" s="7"/>
    </row>
    <row r="94" spans="4:19" ht="20.100000000000001" customHeight="1" x14ac:dyDescent="0.25">
      <c r="D94" s="54" t="str">
        <f>'Constants - Dairy'!$D$11 &amp; " (before solid separation)"</f>
        <v>Solid storage (before solid separation)</v>
      </c>
      <c r="E94" s="47">
        <v>0</v>
      </c>
      <c r="F94" s="47">
        <v>0</v>
      </c>
      <c r="G94" s="47">
        <v>0</v>
      </c>
      <c r="H94" s="47">
        <v>0</v>
      </c>
      <c r="I94" s="47">
        <v>0</v>
      </c>
      <c r="J94" s="2" t="s">
        <v>17</v>
      </c>
      <c r="K94" s="2"/>
      <c r="L94" s="47">
        <v>0</v>
      </c>
      <c r="M94" s="47">
        <v>0</v>
      </c>
      <c r="N94" s="97">
        <f t="shared" ref="N94" si="1">1-SUM(L94:M94)</f>
        <v>1</v>
      </c>
      <c r="S94" s="7"/>
    </row>
    <row r="95" spans="4:19" ht="20.100000000000001" customHeight="1" x14ac:dyDescent="0.25">
      <c r="D95" s="1" t="s">
        <v>426</v>
      </c>
      <c r="E95" s="97">
        <f>E94+(E79*X_Cell_Dairy_Stage1MMS_1_AnaerobicLagoon_AmountSeparated_Method1)+(E84*X_Cell_Dairy_Stage1MMS_1_SumpAndDispersal_AmountSeparated_Method1)+(E89*X_Cell_Dairy_Stage1MMS_1_DrainsToPaddock_AmountSeparated_Method1)</f>
        <v>0</v>
      </c>
      <c r="F95" s="97">
        <f>F94+(F79*X_Cell_Dairy_Stage1MMS_1_AnaerobicLagoon_AmountSeparated_Method1)+(F84*X_Cell_Dairy_Stage1MMS_1_SumpAndDispersal_AmountSeparated_Method1)+(F89*X_Cell_Dairy_Stage1MMS_1_DrainsToPaddock_AmountSeparated_Method1)</f>
        <v>0</v>
      </c>
      <c r="G95" s="97">
        <f>G94+(G79*X_Cell_Dairy_Stage1MMS_1_AnaerobicLagoon_AmountSeparated_Method1)+(G84*X_Cell_Dairy_Stage1MMS_1_SumpAndDispersal_AmountSeparated_Method1)+(G89*X_Cell_Dairy_Stage1MMS_1_DrainsToPaddock_AmountSeparated_Method1)</f>
        <v>0</v>
      </c>
      <c r="H95" s="97">
        <f>H94+(H79*X_Cell_Dairy_Stage1MMS_1_AnaerobicLagoon_AmountSeparated_Method1)+(H84*X_Cell_Dairy_Stage1MMS_1_SumpAndDispersal_AmountSeparated_Method1)+(H89*X_Cell_Dairy_Stage1MMS_1_DrainsToPaddock_AmountSeparated_Method1)</f>
        <v>0</v>
      </c>
      <c r="I95" s="97">
        <f>I94+(I79*X_Cell_Dairy_Stage1MMS_1_AnaerobicLagoon_AmountSeparated_Method1)+(I84*X_Cell_Dairy_Stage1MMS_1_SumpAndDispersal_AmountSeparated_Method1)+(I89*X_Cell_Dairy_Stage1MMS_1_DrainsToPaddock_AmountSeparated_Method1)</f>
        <v>0</v>
      </c>
      <c r="J95" s="2" t="s">
        <v>17</v>
      </c>
      <c r="K95" s="2"/>
      <c r="L95" s="2"/>
      <c r="M95" s="2"/>
      <c r="N95" s="2"/>
      <c r="S95" s="7"/>
    </row>
    <row r="96" spans="4:19" ht="20.100000000000001" customHeight="1" x14ac:dyDescent="0.25">
      <c r="D96" s="1" t="s">
        <v>427</v>
      </c>
      <c r="E96" s="97">
        <f>E94+(E79*X_Cell_Dairy_Stage1MMS_1_AnaerobicLagoon_AmountSeparated_Method2)+(E84*X_Cell_Dairy_Stage1MMS_1_SumpAndDispersal_AmountSeparated_Method2)+(E89*X_Cell_Dairy_Stage1MMS_1_DrainsToPaddock_AmountSeparated_Method2)</f>
        <v>0</v>
      </c>
      <c r="F96" s="97">
        <f>F94+(F79*X_Cell_Dairy_Stage1MMS_1_AnaerobicLagoon_AmountSeparated_Method2)+(F84*X_Cell_Dairy_Stage1MMS_1_SumpAndDispersal_AmountSeparated_Method2)+(F89*X_Cell_Dairy_Stage1MMS_1_DrainsToPaddock_AmountSeparated_Method2)</f>
        <v>0</v>
      </c>
      <c r="G96" s="97">
        <f>G94+(G79*X_Cell_Dairy_Stage1MMS_1_AnaerobicLagoon_AmountSeparated_Method2)+(G84*X_Cell_Dairy_Stage1MMS_1_SumpAndDispersal_AmountSeparated_Method2)+(G89*X_Cell_Dairy_Stage1MMS_1_DrainsToPaddock_AmountSeparated_Method2)</f>
        <v>0</v>
      </c>
      <c r="H96" s="97">
        <f>H94+(H79*X_Cell_Dairy_Stage1MMS_1_AnaerobicLagoon_AmountSeparated_Method2)+(H84*X_Cell_Dairy_Stage1MMS_1_SumpAndDispersal_AmountSeparated_Method2)+(H89*X_Cell_Dairy_Stage1MMS_1_DrainsToPaddock_AmountSeparated_Method2)</f>
        <v>0</v>
      </c>
      <c r="I96" s="97">
        <f>I94+(I79*X_Cell_Dairy_Stage1MMS_1_AnaerobicLagoon_AmountSeparated_Method2)+(I84*X_Cell_Dairy_Stage1MMS_1_SumpAndDispersal_AmountSeparated_Method2)+(I89*X_Cell_Dairy_Stage1MMS_1_DrainsToPaddock_AmountSeparated_Method2)</f>
        <v>0</v>
      </c>
      <c r="J96" s="2" t="s">
        <v>17</v>
      </c>
      <c r="K96" s="2"/>
      <c r="S96" s="7"/>
    </row>
    <row r="97" spans="4:19" ht="20.100000000000001" customHeight="1" x14ac:dyDescent="0.25">
      <c r="F97" s="2"/>
      <c r="S97" s="7"/>
    </row>
    <row r="98" spans="4:19" ht="20.100000000000001" customHeight="1" x14ac:dyDescent="0.25">
      <c r="F98" s="143"/>
      <c r="S98" s="7"/>
    </row>
    <row r="99" spans="4:19" ht="20.100000000000001" customHeight="1" x14ac:dyDescent="0.25">
      <c r="D99" s="49" t="str">
        <f>"From " &amp; $D$65</f>
        <v>From Feed pad</v>
      </c>
      <c r="S99" s="7"/>
    </row>
    <row r="100" spans="4:19" ht="20.100000000000001" customHeight="1" x14ac:dyDescent="0.25">
      <c r="S100" s="7"/>
    </row>
    <row r="101" spans="4:19" ht="20.100000000000001" customHeight="1" x14ac:dyDescent="0.25">
      <c r="D101" s="144" t="s">
        <v>95</v>
      </c>
      <c r="E101" s="40" t="s">
        <v>165</v>
      </c>
      <c r="F101" s="40" t="s">
        <v>182</v>
      </c>
      <c r="G101" s="40" t="s">
        <v>183</v>
      </c>
      <c r="H101" s="40" t="s">
        <v>184</v>
      </c>
      <c r="I101" s="40" t="s">
        <v>185</v>
      </c>
      <c r="J101" s="142" t="s">
        <v>420</v>
      </c>
      <c r="K101" s="142"/>
      <c r="L101" s="64" t="s">
        <v>419</v>
      </c>
      <c r="M101" s="64"/>
      <c r="N101" s="40"/>
      <c r="S101" s="7"/>
    </row>
    <row r="102" spans="4:19" ht="20.100000000000001" customHeight="1" x14ac:dyDescent="0.25">
      <c r="D102" s="146"/>
      <c r="L102" s="117" t="s">
        <v>421</v>
      </c>
      <c r="M102" s="117" t="s">
        <v>422</v>
      </c>
      <c r="N102" s="117" t="s">
        <v>423</v>
      </c>
      <c r="S102" s="7"/>
    </row>
    <row r="103" spans="4:19" ht="20.100000000000001" customHeight="1" x14ac:dyDescent="0.25">
      <c r="D103" s="145" t="str">
        <f>'Constants - Dairy'!$D$8</f>
        <v>Anaerobic lagoon</v>
      </c>
      <c r="E103" s="47">
        <v>0</v>
      </c>
      <c r="F103" s="47">
        <v>0</v>
      </c>
      <c r="G103" s="47">
        <v>0</v>
      </c>
      <c r="H103" s="47">
        <v>0</v>
      </c>
      <c r="I103" s="47">
        <v>0</v>
      </c>
      <c r="J103" s="2" t="s">
        <v>17</v>
      </c>
      <c r="K103" s="2"/>
      <c r="L103" s="47">
        <v>0</v>
      </c>
      <c r="M103" s="47">
        <v>0</v>
      </c>
      <c r="N103" s="97">
        <f>1-SUM(L103:M103)</f>
        <v>1</v>
      </c>
      <c r="S103" s="7"/>
    </row>
    <row r="104" spans="4:19" ht="20.100000000000001" customHeight="1" x14ac:dyDescent="0.25">
      <c r="D104" s="151" t="str">
        <f>"Were solids separated from " &amp; D103 &amp; "?"</f>
        <v>Were solids separated from Anaerobic lagoon?</v>
      </c>
      <c r="E104" s="41" t="s">
        <v>201</v>
      </c>
      <c r="S104" s="7"/>
    </row>
    <row r="105" spans="4:19" ht="20.100000000000001" customHeight="1" x14ac:dyDescent="0.25">
      <c r="D105" s="151" t="str">
        <f>"Percent solids separated from " &amp; D103 &amp; " (Method 1)"</f>
        <v>Percent solids separated from Anaerobic lagoon (Method 1)</v>
      </c>
      <c r="E105" s="97">
        <f>IF(X_Cell_Dairy_Stage1MMS_2_AnaerobicLagoon_SolidsSeparated="Yes", 20%, 0)</f>
        <v>0</v>
      </c>
      <c r="S105" s="7"/>
    </row>
    <row r="106" spans="4:19" ht="20.100000000000001" customHeight="1" x14ac:dyDescent="0.25">
      <c r="D106" s="151" t="str">
        <f>"Percent solids separated from " &amp; D103 &amp; " (Method 2)"</f>
        <v>Percent solids separated from Anaerobic lagoon (Method 2)</v>
      </c>
      <c r="E106" s="47">
        <f>IF(X_Cell_Dairy_Stage1MMS_2_AnaerobicLagoon_SolidsSeparated="Yes", 20%, 0)</f>
        <v>0</v>
      </c>
      <c r="S106" s="7"/>
    </row>
    <row r="107" spans="4:19" ht="20.100000000000001" customHeight="1" x14ac:dyDescent="0.25"/>
    <row r="108" spans="4:19" ht="20.100000000000001" customHeight="1" x14ac:dyDescent="0.25">
      <c r="D108" s="145" t="str">
        <f>'Constants - Dairy'!$D$9</f>
        <v>Sump and dispersal system</v>
      </c>
      <c r="E108" s="47">
        <v>0</v>
      </c>
      <c r="F108" s="47">
        <v>0</v>
      </c>
      <c r="G108" s="47">
        <v>0</v>
      </c>
      <c r="H108" s="47">
        <v>0</v>
      </c>
      <c r="I108" s="47">
        <v>0</v>
      </c>
      <c r="J108" s="2" t="s">
        <v>17</v>
      </c>
      <c r="K108" s="2"/>
      <c r="L108" s="47">
        <v>0</v>
      </c>
      <c r="M108" s="47">
        <v>0</v>
      </c>
      <c r="N108" s="97">
        <f t="shared" ref="N108" si="2">1-SUM(L108:M108)</f>
        <v>1</v>
      </c>
    </row>
    <row r="109" spans="4:19" ht="20.100000000000001" customHeight="1" x14ac:dyDescent="0.25">
      <c r="D109" s="151" t="str">
        <f>"Were solids separated from " &amp; D108 &amp; "?"</f>
        <v>Were solids separated from Sump and dispersal system?</v>
      </c>
      <c r="E109" s="41" t="s">
        <v>199</v>
      </c>
    </row>
    <row r="110" spans="4:19" ht="20.100000000000001" customHeight="1" x14ac:dyDescent="0.25">
      <c r="D110" s="151" t="str">
        <f>"Percent solids separated from " &amp; D108 &amp; " (Method 1)"</f>
        <v>Percent solids separated from Sump and dispersal system (Method 1)</v>
      </c>
      <c r="E110" s="97">
        <v>0</v>
      </c>
    </row>
    <row r="111" spans="4:19" ht="20.100000000000001" customHeight="1" x14ac:dyDescent="0.25">
      <c r="D111" s="151" t="str">
        <f>"Percent solids separated from " &amp; D108 &amp; " (Method 2)"</f>
        <v>Percent solids separated from Sump and dispersal system (Method 2)</v>
      </c>
      <c r="E111" s="47">
        <v>0</v>
      </c>
    </row>
    <row r="112" spans="4:19" ht="20.100000000000001" customHeight="1" x14ac:dyDescent="0.25"/>
    <row r="113" spans="4:14" ht="20.100000000000001" customHeight="1" x14ac:dyDescent="0.25">
      <c r="D113" s="145" t="str">
        <f>'Constants - Dairy'!$D$10</f>
        <v>Drains to paddock</v>
      </c>
      <c r="E113" s="47">
        <v>0</v>
      </c>
      <c r="F113" s="47">
        <v>0</v>
      </c>
      <c r="G113" s="47">
        <v>0</v>
      </c>
      <c r="H113" s="47">
        <v>0</v>
      </c>
      <c r="I113" s="47">
        <v>0</v>
      </c>
      <c r="J113" s="2" t="s">
        <v>17</v>
      </c>
      <c r="K113" s="2"/>
      <c r="L113" s="47">
        <v>0</v>
      </c>
      <c r="M113" s="47">
        <v>0</v>
      </c>
      <c r="N113" s="97">
        <f>1-SUM(L113:M113)</f>
        <v>1</v>
      </c>
    </row>
    <row r="114" spans="4:14" ht="20.100000000000001" customHeight="1" x14ac:dyDescent="0.25">
      <c r="D114" s="151" t="str">
        <f>"Were solids separated from " &amp; D113 &amp; "?"</f>
        <v>Were solids separated from Drains to paddock?</v>
      </c>
      <c r="E114" s="41" t="s">
        <v>199</v>
      </c>
    </row>
    <row r="115" spans="4:14" ht="20.100000000000001" customHeight="1" x14ac:dyDescent="0.25">
      <c r="D115" s="151" t="str">
        <f>"Percent solids separated from " &amp; D113 &amp; " (Method 1)"</f>
        <v>Percent solids separated from Drains to paddock (Method 1)</v>
      </c>
      <c r="E115" s="97">
        <v>0</v>
      </c>
    </row>
    <row r="116" spans="4:14" ht="20.100000000000001" customHeight="1" x14ac:dyDescent="0.25">
      <c r="D116" s="151" t="str">
        <f>"Percent solids separated from " &amp; D113 &amp; " (Method 2)"</f>
        <v>Percent solids separated from Drains to paddock (Method 2)</v>
      </c>
      <c r="E116" s="47">
        <v>0</v>
      </c>
    </row>
    <row r="117" spans="4:14" ht="20.100000000000001" customHeight="1" x14ac:dyDescent="0.25"/>
    <row r="118" spans="4:14" ht="20.100000000000001" customHeight="1" x14ac:dyDescent="0.25">
      <c r="D118" s="145" t="str">
        <f>'Constants - Dairy'!$D$11 &amp; " (before solid separation)"</f>
        <v>Solid storage (before solid separation)</v>
      </c>
      <c r="E118" s="47">
        <v>0</v>
      </c>
      <c r="F118" s="47">
        <v>0</v>
      </c>
      <c r="G118" s="47">
        <v>0</v>
      </c>
      <c r="H118" s="47">
        <v>0</v>
      </c>
      <c r="I118" s="47">
        <v>0</v>
      </c>
      <c r="J118" s="2" t="s">
        <v>17</v>
      </c>
      <c r="K118" s="2"/>
      <c r="L118" s="47">
        <v>0</v>
      </c>
      <c r="M118" s="47">
        <v>0</v>
      </c>
      <c r="N118" s="97">
        <f>1-SUM(L118:M118)</f>
        <v>1</v>
      </c>
    </row>
    <row r="119" spans="4:14" ht="20.100000000000001" customHeight="1" x14ac:dyDescent="0.25">
      <c r="D119" s="146" t="s">
        <v>426</v>
      </c>
      <c r="E119" s="97">
        <f>E118+(E103*X_Cell_Dairy_Stage1MMS_2_AnaerobicLagoon_AmountSeparated_Method1)+(E108*X_Cell_Dairy_Stage1MMS_2_SumpAndDispersal_AmountSeparated_Method1)+(E113*X_Cell_Dairy_Stage1MMS_2_DrainsToPaddock_AmountSeparated_Method1)</f>
        <v>0</v>
      </c>
      <c r="F119" s="97">
        <f>F118+(F103*X_Cell_Dairy_Stage1MMS_2_AnaerobicLagoon_AmountSeparated_Method1)+(F108*X_Cell_Dairy_Stage1MMS_2_SumpAndDispersal_AmountSeparated_Method1)+(F113*X_Cell_Dairy_Stage1MMS_2_DrainsToPaddock_AmountSeparated_Method1)</f>
        <v>0</v>
      </c>
      <c r="G119" s="97">
        <f>G118+(G103*X_Cell_Dairy_Stage1MMS_2_AnaerobicLagoon_AmountSeparated_Method1)+(G108*X_Cell_Dairy_Stage1MMS_2_SumpAndDispersal_AmountSeparated_Method1)+(G113*X_Cell_Dairy_Stage1MMS_2_DrainsToPaddock_AmountSeparated_Method1)</f>
        <v>0</v>
      </c>
      <c r="H119" s="97">
        <f>H118+(H103*X_Cell_Dairy_Stage1MMS_2_AnaerobicLagoon_AmountSeparated_Method1)+(H108*X_Cell_Dairy_Stage1MMS_2_SumpAndDispersal_AmountSeparated_Method1)+(H113*X_Cell_Dairy_Stage1MMS_2_DrainsToPaddock_AmountSeparated_Method1)</f>
        <v>0</v>
      </c>
      <c r="I119" s="97">
        <f>I118+(I103*X_Cell_Dairy_Stage1MMS_2_AnaerobicLagoon_AmountSeparated_Method1)+(I108*X_Cell_Dairy_Stage1MMS_2_SumpAndDispersal_AmountSeparated_Method1)+(I113*X_Cell_Dairy_Stage1MMS_2_DrainsToPaddock_AmountSeparated_Method1)</f>
        <v>0</v>
      </c>
      <c r="J119" s="2" t="s">
        <v>17</v>
      </c>
      <c r="K119" s="2"/>
      <c r="L119" s="2"/>
      <c r="M119" s="2"/>
      <c r="N119" s="2"/>
    </row>
    <row r="120" spans="4:14" ht="20.100000000000001" customHeight="1" x14ac:dyDescent="0.25">
      <c r="D120" s="146" t="s">
        <v>427</v>
      </c>
      <c r="E120" s="97">
        <f>E118+(E103*X_Cell_Dairy_Stage1MMS_2_AnaerobicLagoon_AmountSeparated_Method2)+(E108*X_Cell_Dairy_Stage1MMS_2_SumpAndDispersal_AmountSeparated_Method2)+(E113*X_Cell_Dairy_Stage1MMS_2_DrainsToPaddock_AmountSeparated_Method2)</f>
        <v>0</v>
      </c>
      <c r="F120" s="97">
        <f>F118+(F103*X_Cell_Dairy_Stage1MMS_2_AnaerobicLagoon_AmountSeparated_Method2)+(F108*X_Cell_Dairy_Stage1MMS_2_SumpAndDispersal_AmountSeparated_Method2)+(F113*X_Cell_Dairy_Stage1MMS_2_DrainsToPaddock_AmountSeparated_Method2)</f>
        <v>0</v>
      </c>
      <c r="G120" s="97">
        <f>G118+(G103*X_Cell_Dairy_Stage1MMS_2_AnaerobicLagoon_AmountSeparated_Method2)+(G108*X_Cell_Dairy_Stage1MMS_2_SumpAndDispersal_AmountSeparated_Method2)+(G113*X_Cell_Dairy_Stage1MMS_2_DrainsToPaddock_AmountSeparated_Method2)</f>
        <v>0</v>
      </c>
      <c r="H120" s="97">
        <f>H118+(H103*X_Cell_Dairy_Stage1MMS_2_AnaerobicLagoon_AmountSeparated_Method2)+(H108*X_Cell_Dairy_Stage1MMS_2_SumpAndDispersal_AmountSeparated_Method2)+(H113*X_Cell_Dairy_Stage1MMS_2_DrainsToPaddock_AmountSeparated_Method2)</f>
        <v>0</v>
      </c>
      <c r="I120" s="97">
        <f>I118+(I103*X_Cell_Dairy_Stage1MMS_2_AnaerobicLagoon_AmountSeparated_Method2)+(I108*X_Cell_Dairy_Stage1MMS_2_SumpAndDispersal_AmountSeparated_Method2)+(I113*X_Cell_Dairy_Stage1MMS_2_DrainsToPaddock_AmountSeparated_Method2)</f>
        <v>0</v>
      </c>
      <c r="J120" s="2" t="s">
        <v>17</v>
      </c>
      <c r="K120" s="2"/>
    </row>
    <row r="121" spans="4:14" ht="20.100000000000001" customHeight="1" x14ac:dyDescent="0.25"/>
    <row r="122" spans="4:14" ht="20.100000000000001" customHeight="1" x14ac:dyDescent="0.25"/>
    <row r="123" spans="4:14" ht="20.100000000000001" customHeight="1" x14ac:dyDescent="0.25">
      <c r="D123" s="1" t="s">
        <v>134</v>
      </c>
      <c r="E123" s="41" t="s">
        <v>139</v>
      </c>
      <c r="F123" s="2" t="s">
        <v>8</v>
      </c>
    </row>
    <row r="124" spans="4:14" ht="20.100000000000001" customHeight="1" x14ac:dyDescent="0.25">
      <c r="E124" s="41" t="s">
        <v>144</v>
      </c>
      <c r="F124" s="2" t="s">
        <v>8</v>
      </c>
      <c r="L124" s="2"/>
      <c r="M124" s="2"/>
      <c r="N124" s="2"/>
    </row>
    <row r="125" spans="4:14" ht="20.100000000000001" customHeight="1" x14ac:dyDescent="0.25"/>
    <row r="126" spans="4:14" ht="20.100000000000001" customHeight="1" x14ac:dyDescent="0.25"/>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2 M42:N42 P43:Q43 J79:K79 J84:K84 F89 J89:K89 F94 J94:K96 L95:N95 F100 J103:K103 J108:K108 J113:K113 J118:K120 L119:N119 L124:N124">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97">
    <cfRule type="cellIs" dxfId="2" priority="22" operator="lessThan">
      <formula>0</formula>
    </cfRule>
  </conditionalFormatting>
  <conditionalFormatting sqref="J63:N65">
    <cfRule type="cellIs" dxfId="1" priority="26" operator="lessThan">
      <formula>0</formula>
    </cfRule>
  </conditionalFormatting>
  <conditionalFormatting sqref="J68:N70">
    <cfRule type="cellIs" dxfId="0" priority="25" operator="lessThan">
      <formula>0</formula>
    </cfRule>
  </conditionalFormatting>
  <dataValidations count="6">
    <dataValidation type="list" allowBlank="1" showInputMessage="1" showErrorMessage="1" sqref="E123" xr:uid="{AF94BFC8-A9BD-4286-932B-111409BF1EB6}">
      <formula1>INDIRECT("Table_SourceData_Dairy_CropProdSystems[Production system]")</formula1>
    </dataValidation>
    <dataValidation type="list" allowBlank="1" showInputMessage="1" showErrorMessage="1" sqref="E124" xr:uid="{20E9D9A1-CABD-46A5-B149-02F06B30AA0E}">
      <formula1>INDIRECT("Table_SourceData_Dairy_IrrigationMethods[Irrigation method]")</formula1>
    </dataValidation>
    <dataValidation type="list" allowBlank="1" showInputMessage="1" showErrorMessage="1" sqref="E60" xr:uid="{9FB53635-991F-44AA-A123-E8ABEF9EE0A6}">
      <formula1>INDIRECT("Table_SourceData_Dairy_ProductionSystemTemplates[Area]")</formula1>
    </dataValidation>
    <dataValidation type="list" allowBlank="1" showInputMessage="1" showErrorMessage="1" sqref="E80 E85 E90 E104 E109 E114"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7"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85" zoomScaleNormal="100" workbookViewId="0">
      <selection activeCell="F230" sqref="F23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273</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D6" s="5" t="str" cm="1">
        <f t="array" ref="D6">EntericMethane_Dairy_Equations.VEERG_3_3_1_1__6_MetabolisabilityOfDiet_Source()</f>
        <v>VEERG 2026: 3.3.1.1, Equation (6)</v>
      </c>
    </row>
    <row r="7" spans="1:23" ht="20.100000000000001" customHeight="1" x14ac:dyDescent="0.25">
      <c r="D7" s="56"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9" t="s">
        <v>0</v>
      </c>
      <c r="D8" s="13" t="s">
        <v>25</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Site'!A1", "Site")</f>
        <v>Site</v>
      </c>
    </row>
    <row r="10" spans="1:23" ht="20.100000000000001" customHeight="1" x14ac:dyDescent="0.25">
      <c r="A10" s="17" t="str">
        <f>HYPERLINK("#'Input - Dairy'!A1", "Dairy")</f>
        <v>Dairy</v>
      </c>
    </row>
    <row r="11" spans="1:23" ht="20.100000000000001" customHeight="1" x14ac:dyDescent="0.25">
      <c r="D11" s="54" t="s">
        <v>28</v>
      </c>
      <c r="E11" s="1" t="str" cm="1">
        <f t="array" ref="E11">EntericMethane_Dairy_Equations.VEERG_3_3_1_1__6_MetabolisabilityOfDiet_Variable()</f>
        <v>qm_j</v>
      </c>
    </row>
    <row r="12" spans="1:23" ht="20.100000000000001" customHeight="1" x14ac:dyDescent="0.25">
      <c r="D12" s="54" t="s">
        <v>18</v>
      </c>
      <c r="E12" s="55" t="str" cm="1">
        <f t="array" ref="E12">EntericMethane_Dairy_Equations.VEERG_3_3_1_1__6_MetabolisabilityOfDiet_Unit()</f>
        <v>fraction</v>
      </c>
    </row>
    <row r="13" spans="1:23" ht="20.100000000000001" customHeight="1" x14ac:dyDescent="0.25">
      <c r="A13" s="18" t="s">
        <v>72</v>
      </c>
    </row>
    <row r="14" spans="1:23" ht="20.100000000000001" customHeight="1" x14ac:dyDescent="0.25">
      <c r="A14" s="21" t="str">
        <f>HYPERLINK("#'4.3.1.1-2 Methane'!A1", "4.3.1.1-2 Methane")</f>
        <v>4.3.1.1-2 Methane</v>
      </c>
      <c r="D14" s="133" t="str" cm="1">
        <f t="array" ref="D14:E14">_xlfn.CHOOSECOLS(EntericMethane_Dairy_Equations.VEERG_3_3_1_1__6_MetabolisabilityOfDiet_Arguments(), 1,2)</f>
        <v>DMD_j</v>
      </c>
      <c r="E14" s="133" t="str">
        <v>dry matter digestibility expressed as a fraction</v>
      </c>
      <c r="F14" s="133"/>
      <c r="G14" s="133" t="str" cm="1">
        <f t="array" ref="G14:H14">_xlfn.CHOOSECOLS(EntericMethane_Dairy_Equations.VEERG_3_3_1_1__6_MetabolisabilityOfDiet_Arguments(), 3,4)</f>
        <v>fraction</v>
      </c>
      <c r="H14" s="131" t="str">
        <v>Input</v>
      </c>
      <c r="I14" s="133" t="str">
        <f>"See " &amp; D16</f>
        <v>See M1_Table_DMD_j</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117</v>
      </c>
      <c r="O16" s="100" t="s">
        <v>120</v>
      </c>
    </row>
    <row r="17" spans="1:23" ht="20.100000000000001" customHeight="1" x14ac:dyDescent="0.25">
      <c r="A17" s="17" t="str">
        <f>HYPERLINK("#'4.3.1.6-7 Leaching and runoff'!A1", "4.3.1.6-7 Leaching and runoff")</f>
        <v>4.3.1.6-7 Leaching and runoff</v>
      </c>
      <c r="D17" s="99" t="s">
        <v>119</v>
      </c>
      <c r="O17" s="99" t="s">
        <v>229</v>
      </c>
    </row>
    <row r="18" spans="1:23"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O18" s="40" t="s">
        <v>165</v>
      </c>
      <c r="P18" s="40" t="s">
        <v>182</v>
      </c>
      <c r="Q18" s="40" t="s">
        <v>183</v>
      </c>
      <c r="R18" s="40" t="s">
        <v>184</v>
      </c>
      <c r="S18" s="40" t="s">
        <v>185</v>
      </c>
    </row>
    <row r="19" spans="1:23" ht="20.100000000000001" customHeight="1" x14ac:dyDescent="0.25">
      <c r="A19" s="17" t="str">
        <f>HYPERLINK("#'4.3.1.9 Soil direct N2O'!A1", "4.3.1.9 Soil direct N2O")</f>
        <v>4.3.1.9 Soil direct N2O</v>
      </c>
      <c r="D19" s="53">
        <f>INDEX(X_Table_Dairy_Diet_Method1,2,2)</f>
        <v>0.75</v>
      </c>
      <c r="E19" s="53">
        <f>INDEX(X_Table_Dairy_Diet_Method1,2,3)</f>
        <v>0</v>
      </c>
      <c r="F19" s="53">
        <f>INDEX(X_Table_Dairy_Diet_Method1,2,4)</f>
        <v>0</v>
      </c>
      <c r="G19" s="53">
        <f>INDEX(X_Table_Dairy_Diet_Method1,2,5)</f>
        <v>0</v>
      </c>
      <c r="H19" s="53">
        <f>INDEX(X_Table_Dairy_Diet_Method1,2,6)</f>
        <v>0</v>
      </c>
      <c r="I19" s="2" t="s">
        <v>218</v>
      </c>
      <c r="J19" s="2"/>
      <c r="K19" s="2"/>
      <c r="O19" s="53">
        <f>INDEX(X_Table_Dairy_Diet_Method2,2,2)</f>
        <v>0.75</v>
      </c>
      <c r="P19" s="53">
        <f>INDEX(X_Table_Dairy_Diet_Method2,2,3)</f>
        <v>0</v>
      </c>
      <c r="Q19" s="53">
        <f>INDEX(X_Table_Dairy_Diet_Method2,2,4)</f>
        <v>0</v>
      </c>
      <c r="R19" s="53">
        <f>INDEX(X_Table_Dairy_Diet_Method2,2,5)</f>
        <v>0</v>
      </c>
      <c r="S19" s="53">
        <f>INDEX(X_Table_Dairy_Diet_Method2,2,6)</f>
        <v>0</v>
      </c>
      <c r="T19" s="2" t="s">
        <v>218</v>
      </c>
      <c r="U19" s="2"/>
      <c r="V19" s="2"/>
    </row>
    <row r="20" spans="1:23" ht="20.100000000000001" customHeight="1" x14ac:dyDescent="0.25">
      <c r="A20" s="17"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219</v>
      </c>
      <c r="O21" s="100" t="s">
        <v>221</v>
      </c>
    </row>
    <row r="22" spans="1:23" ht="20.100000000000001" customHeight="1" x14ac:dyDescent="0.25">
      <c r="D22" s="99" t="s">
        <v>220</v>
      </c>
      <c r="O22" s="99" t="s">
        <v>222</v>
      </c>
    </row>
    <row r="23" spans="1:23" ht="20.100000000000001" customHeight="1" x14ac:dyDescent="0.25">
      <c r="D23" s="52" t="s">
        <v>165</v>
      </c>
      <c r="E23" s="52" t="s">
        <v>182</v>
      </c>
      <c r="F23" s="52" t="s">
        <v>183</v>
      </c>
      <c r="G23" s="52" t="s">
        <v>184</v>
      </c>
      <c r="H23" s="52" t="s">
        <v>185</v>
      </c>
      <c r="O23" s="52" t="s">
        <v>165</v>
      </c>
      <c r="P23" s="52" t="s">
        <v>182</v>
      </c>
      <c r="Q23" s="52" t="s">
        <v>183</v>
      </c>
      <c r="R23" s="52" t="s">
        <v>184</v>
      </c>
      <c r="S23" s="52" t="s">
        <v>185</v>
      </c>
    </row>
    <row r="24" spans="1:23" ht="20.100000000000001" customHeight="1" x14ac:dyDescent="0.25">
      <c r="A24" s="154" t="s">
        <v>1</v>
      </c>
      <c r="D24" s="53" cm="1">
        <f t="array" ref="D24">EntericMethane_Dairy_Equations.VEERG_3_3_1_1__6_MetabolisabilityOfDietVariation(D19)</f>
        <v>0.5948500000000001</v>
      </c>
      <c r="E24" s="53" cm="1">
        <f t="array" ref="E24">EntericMethane_Dairy_Equations.VEERG_3_3_1_1__6_MetabolisabilityOfDietVariation(E19)</f>
        <v>-1.4E-3</v>
      </c>
      <c r="F24" s="53" cm="1">
        <f t="array" ref="F24">EntericMethane_Dairy_Equations.VEERG_3_3_1_1__6_MetabolisabilityOfDietVariation(F19)</f>
        <v>-1.4E-3</v>
      </c>
      <c r="G24" s="53" cm="1">
        <f t="array" ref="G24">EntericMethane_Dairy_Equations.VEERG_3_3_1_1__6_MetabolisabilityOfDietVariation(G19)</f>
        <v>-1.4E-3</v>
      </c>
      <c r="H24" s="53" cm="1">
        <f t="array" ref="H24">EntericMethane_Dairy_Equations.VEERG_3_3_1_1__6_MetabolisabilityOfDietVariation(H19)</f>
        <v>-1.4E-3</v>
      </c>
      <c r="I24" s="2" t="str">
        <f>$E$12</f>
        <v>fraction</v>
      </c>
      <c r="J24" s="2"/>
      <c r="K24" s="2"/>
      <c r="O24" s="53" cm="1">
        <f t="array" ref="O24">EntericMethane_Dairy_Equations.VEERG_3_3_1_1__6_MetabolisabilityOfDietVariation(O19)</f>
        <v>0.5948500000000001</v>
      </c>
      <c r="P24" s="53" cm="1">
        <f t="array" ref="P24">EntericMethane_Dairy_Equations.VEERG_3_3_1_1__6_MetabolisabilityOfDietVariation(P19)</f>
        <v>-1.4E-3</v>
      </c>
      <c r="Q24" s="53" cm="1">
        <f t="array" ref="Q24">EntericMethane_Dairy_Equations.VEERG_3_3_1_1__6_MetabolisabilityOfDietVariation(Q19)</f>
        <v>-1.4E-3</v>
      </c>
      <c r="R24" s="53" cm="1">
        <f t="array" ref="R24">EntericMethane_Dairy_Equations.VEERG_3_3_1_1__6_MetabolisabilityOfDietVariation(R19)</f>
        <v>-1.4E-3</v>
      </c>
      <c r="S24" s="53" cm="1">
        <f t="array" ref="S24">EntericMethane_Dairy_Equations.VEERG_3_3_1_1__6_MetabolisabilityOfDietVariation(S19)</f>
        <v>-1.4E-3</v>
      </c>
      <c r="T24" s="2" t="str">
        <f>$E$12</f>
        <v>fraction</v>
      </c>
      <c r="U24" s="2"/>
      <c r="V24" s="2"/>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row>
    <row r="27" spans="1:23" ht="20.100000000000001" customHeight="1" x14ac:dyDescent="0.25">
      <c r="A27" s="17" t="str">
        <f>HYPERLINK("#'Constants - Livestock'!A1", "Constants - Livestock")</f>
        <v>Constants - Livestock</v>
      </c>
      <c r="C27" s="46"/>
      <c r="D27" s="46"/>
      <c r="E27" s="46"/>
      <c r="F27" s="46"/>
      <c r="G27" s="46"/>
      <c r="H27" s="46"/>
      <c r="I27" s="46"/>
      <c r="J27" s="46"/>
      <c r="K27" s="46"/>
      <c r="L27" s="46"/>
      <c r="N27" s="46"/>
      <c r="O27" s="46"/>
      <c r="P27" s="46"/>
      <c r="Q27" s="46"/>
      <c r="R27" s="46"/>
      <c r="S27" s="46"/>
      <c r="T27" s="46"/>
      <c r="U27" s="46"/>
      <c r="V27" s="46"/>
      <c r="W27" s="46"/>
    </row>
    <row r="28" spans="1:23" ht="20.100000000000001" customHeight="1" x14ac:dyDescent="0.25">
      <c r="A28" s="17" t="str">
        <f>HYPERLINK("#'Acknowledgements'!A1", "Acknowledgements")</f>
        <v>Acknowledgements</v>
      </c>
      <c r="D28" s="6" t="str" cm="1">
        <f t="array" ref="D28">EntericMethane_Dairy_Equations.VEERG_3_3_1_1__5_MilkProductionFromMilkSolids_Title()</f>
        <v>Milk production converted from milk solids</v>
      </c>
    </row>
    <row r="29" spans="1:23" ht="20.100000000000001" customHeight="1" x14ac:dyDescent="0.25">
      <c r="A29" s="17" t="str">
        <f>HYPERLINK("#'Tab template'!A1", "Tab template")</f>
        <v>Tab template</v>
      </c>
      <c r="D29" s="5" t="str" cm="1">
        <f t="array" ref="D29">EntericMethane_Dairy_Equations.VEERG_3_3_1_1__5_MilkProductionFromMilkSolids_Source()</f>
        <v>VEERG 2026: 3.3.1.1, Equation (5)</v>
      </c>
    </row>
    <row r="30" spans="1:23" ht="20.100000000000001" customHeight="1" x14ac:dyDescent="0.25">
      <c r="D30" s="56"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25</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4" t="s">
        <v>28</v>
      </c>
      <c r="E34" s="1" t="str" cm="1">
        <f t="array" ref="E34">EntericMethane_Dairy_Equations.VEERG_3_3_1_1__5_MilkProductionFromMilkSolids_Variable()</f>
        <v>MP_j</v>
      </c>
    </row>
    <row r="35" spans="4:20" ht="20.100000000000001" customHeight="1" x14ac:dyDescent="0.25">
      <c r="D35" s="54" t="s">
        <v>18</v>
      </c>
      <c r="E35" s="55" t="str" cm="1">
        <f t="array" ref="E35">EntericMethane_Dairy_Equations.VEERG_3_3_1_1__5_MilkProductionFromMilkSolids_Unit()</f>
        <v>L/head/day</v>
      </c>
    </row>
    <row r="36" spans="4:20" ht="20.100000000000001" customHeight="1" x14ac:dyDescent="0.25"/>
    <row r="37" spans="4:20" ht="20.100000000000001" customHeight="1" x14ac:dyDescent="0.25">
      <c r="D37" s="133" t="str" cm="1">
        <f t="array" ref="D37:E40">_xlfn.CHOOSECOLS(EntericMethane_Dairy_Equations.VEERG_3_3_1_1__5_MilkProductionFromMilkSolids_Arguments(),1,2)</f>
        <v>MPU</v>
      </c>
      <c r="E37" s="132" t="str">
        <v>input milk production unit</v>
      </c>
      <c r="F37" s="134"/>
      <c r="G37" s="133" t="str" cm="1">
        <f t="array" ref="G37:H40">_xlfn.CHOOSECOLS(EntericMethane_Dairy_Equations.VEERG_3_3_1_1__5_MilkProductionFromMilkSolids_Arguments(),3,4)</f>
        <v/>
      </c>
      <c r="H37" s="131" t="str">
        <v>Input</v>
      </c>
      <c r="I37" s="133" t="str">
        <f>X_Cell_Dairy_MilkProductionUnit</f>
        <v>Litres of milk</v>
      </c>
      <c r="O37" s="133" t="str" cm="1">
        <f t="array" ref="O37:P40">_xlfn.CHOOSECOLS(EntericMethane_Dairy_Equations.VEERG_3_3_1_1__5_MilkProductionFromMilkSolids_Arguments_Method2(),1,2)</f>
        <v>MPU</v>
      </c>
      <c r="P37" s="132" t="str">
        <v>milk production unit</v>
      </c>
      <c r="Q37" s="134"/>
      <c r="R37" s="133" t="str" cm="1">
        <f t="array" ref="R37:S40">_xlfn.CHOOSECOLS(EntericMethane_Dairy_Equations.VEERG_3_3_1_1__5_MilkProductionFromMilkSolids_Arguments_Method2(),3,4)</f>
        <v/>
      </c>
      <c r="S37" s="131" t="str">
        <v>Input</v>
      </c>
      <c r="T37" s="133"/>
    </row>
    <row r="38" spans="4:20" ht="20.100000000000001" customHeight="1" x14ac:dyDescent="0.25">
      <c r="D38" s="133" t="str">
        <v>MS_j</v>
      </c>
      <c r="E38" s="132" t="str">
        <v>daily production of milk solids</v>
      </c>
      <c r="F38" s="134"/>
      <c r="G38" s="133" t="str">
        <v>kg MS/head/day</v>
      </c>
      <c r="H38" s="131" t="str">
        <v>Input</v>
      </c>
      <c r="I38" s="130" t="str" cm="1">
        <f t="array" aca="1" ref="I38" ca="1">HYPERLINK(Common_InputFunctions.Utility_SourceHyperlink($D$42),$D$42)</f>
        <v>M1_Table_MS_j</v>
      </c>
      <c r="O38" s="133" t="str">
        <v>MS_j</v>
      </c>
      <c r="P38" s="132" t="str">
        <v>daily production of milk solids</v>
      </c>
      <c r="Q38" s="134"/>
      <c r="R38" s="133" t="str">
        <v>kg MS/head/day</v>
      </c>
      <c r="S38" s="131" t="str">
        <v>Input</v>
      </c>
      <c r="T38" s="130"/>
    </row>
    <row r="39" spans="4:20" ht="20.100000000000001" customHeight="1" x14ac:dyDescent="0.25">
      <c r="D39" s="133" t="str">
        <v>FC_j</v>
      </c>
      <c r="E39" s="132" t="str">
        <v>fat content in fat and protein corrected milk</v>
      </c>
      <c r="F39" s="134"/>
      <c r="G39" s="133" t="str">
        <v>per cent</v>
      </c>
      <c r="H39" s="131" t="str">
        <v>Input</v>
      </c>
      <c r="I39" s="133">
        <f>INDEX(X_Table_Dairy_MilkSolidAttributes,2,2)*100</f>
        <v>4</v>
      </c>
      <c r="O39" s="133" t="str">
        <v>FC_j</v>
      </c>
      <c r="P39" s="132" t="str">
        <v>fat content in fat and protein corrected milk</v>
      </c>
      <c r="Q39" s="134"/>
      <c r="R39" s="133" t="str">
        <v>per cent</v>
      </c>
      <c r="S39" s="131" t="str">
        <v>Input</v>
      </c>
      <c r="T39" s="133">
        <f>INDEX(X_Table_Dairy_MilkSolidAttributes,2,3)*100</f>
        <v>4</v>
      </c>
    </row>
    <row r="40" spans="4:20" ht="20.100000000000001" customHeight="1" x14ac:dyDescent="0.25">
      <c r="D40" s="133" t="str">
        <v>PC_j</v>
      </c>
      <c r="E40" s="133" t="str">
        <v>protein content in fat and protein corrected milk</v>
      </c>
      <c r="F40" s="133"/>
      <c r="G40" s="133" t="str">
        <v>per cent</v>
      </c>
      <c r="H40" s="131" t="str">
        <v>Input</v>
      </c>
      <c r="I40" s="133">
        <f>INDEX(X_Table_Dairy_MilkSolidAttributes,3,2)*100</f>
        <v>3.3000000000000003</v>
      </c>
      <c r="O40" s="133" t="str">
        <v>PC_j</v>
      </c>
      <c r="P40" s="133" t="str">
        <v>protein content in fat and protein corrected milk</v>
      </c>
      <c r="Q40" s="133"/>
      <c r="R40" s="133" t="str">
        <v>per cent</v>
      </c>
      <c r="S40" s="131" t="str">
        <v>Input</v>
      </c>
      <c r="T40" s="133">
        <f>INDEX(X_Table_Dairy_MilkSolidAttributes,3,3)*100</f>
        <v>3.3000000000000003</v>
      </c>
    </row>
    <row r="41" spans="4:20" ht="20.100000000000001" customHeight="1" x14ac:dyDescent="0.25"/>
    <row r="42" spans="4:20" ht="20.100000000000001" customHeight="1" x14ac:dyDescent="0.25">
      <c r="D42" s="100" t="s">
        <v>437</v>
      </c>
    </row>
    <row r="43" spans="4:20" ht="20.100000000000001" customHeight="1" x14ac:dyDescent="0.25">
      <c r="D43" s="99" t="s">
        <v>438</v>
      </c>
    </row>
    <row r="44" spans="4:20" ht="20.100000000000001" customHeight="1" x14ac:dyDescent="0.25">
      <c r="D44" s="40" t="s">
        <v>165</v>
      </c>
      <c r="E44" s="40" t="s">
        <v>182</v>
      </c>
      <c r="F44" s="40" t="s">
        <v>183</v>
      </c>
      <c r="G44" s="40" t="s">
        <v>184</v>
      </c>
      <c r="H44" s="40" t="s">
        <v>185</v>
      </c>
    </row>
    <row r="45" spans="4:20" ht="20.100000000000001" customHeight="1" x14ac:dyDescent="0.25">
      <c r="D45" s="53">
        <f>IF($I$37="Milk solids", X_Cell_Dairy_MilkProductionAmount, 0)</f>
        <v>0</v>
      </c>
      <c r="E45" s="53">
        <v>0</v>
      </c>
      <c r="F45" s="53">
        <v>0</v>
      </c>
      <c r="G45" s="53">
        <v>0</v>
      </c>
      <c r="H45" s="53">
        <v>0</v>
      </c>
      <c r="I45" s="2" t="str">
        <f>G38</f>
        <v>kg MS/head/day</v>
      </c>
    </row>
    <row r="46" spans="4:20" ht="20.100000000000001" customHeight="1" x14ac:dyDescent="0.25"/>
    <row r="47" spans="4:20" ht="20.100000000000001" customHeight="1" x14ac:dyDescent="0.25">
      <c r="D47" s="100" t="s">
        <v>439</v>
      </c>
      <c r="O47" s="100" t="s">
        <v>441</v>
      </c>
    </row>
    <row r="48" spans="4:20" ht="20.100000000000001" customHeight="1" x14ac:dyDescent="0.25">
      <c r="D48" s="99" t="s">
        <v>440</v>
      </c>
      <c r="O48" s="99" t="s">
        <v>442</v>
      </c>
    </row>
    <row r="49" spans="3:23" ht="20.100000000000001" customHeight="1" x14ac:dyDescent="0.25">
      <c r="D49" s="52" t="s">
        <v>165</v>
      </c>
      <c r="E49" s="52" t="s">
        <v>182</v>
      </c>
      <c r="F49" s="52" t="s">
        <v>183</v>
      </c>
      <c r="G49" s="52" t="s">
        <v>184</v>
      </c>
      <c r="H49" s="52" t="s">
        <v>185</v>
      </c>
      <c r="O49" s="52" t="s">
        <v>165</v>
      </c>
      <c r="P49" s="52" t="s">
        <v>182</v>
      </c>
      <c r="Q49" s="52" t="s">
        <v>183</v>
      </c>
      <c r="R49" s="52" t="s">
        <v>184</v>
      </c>
      <c r="S49" s="52" t="s">
        <v>185</v>
      </c>
    </row>
    <row r="50" spans="3:23" ht="20.100000000000001" customHeight="1" x14ac:dyDescent="0.25">
      <c r="D50" s="53" cm="1">
        <f t="array" ref="D50">EntericMethane_Dairy_Equations.VEERG_3_3_1_1__5_MilkProductionFromMilkSolids(D45,$I$39,$I$40)</f>
        <v>0</v>
      </c>
      <c r="E50" s="53">
        <v>0</v>
      </c>
      <c r="F50" s="53">
        <v>0</v>
      </c>
      <c r="G50" s="53">
        <v>0</v>
      </c>
      <c r="H50" s="53">
        <v>0</v>
      </c>
      <c r="I50" s="2" t="s">
        <v>225</v>
      </c>
      <c r="O50" s="53" cm="1">
        <f t="array" ref="O50">EntericMethane_Dairy_Equations.VEERG_3_3_1_1__5_MilkProductionFromMilkSolids(D45,$T$39,$T$40)</f>
        <v>0</v>
      </c>
      <c r="P50" s="53">
        <v>0</v>
      </c>
      <c r="Q50" s="53">
        <v>0</v>
      </c>
      <c r="R50" s="53">
        <v>0</v>
      </c>
      <c r="S50" s="53">
        <v>0</v>
      </c>
      <c r="T50" s="2" t="s">
        <v>225</v>
      </c>
    </row>
    <row r="51" spans="3:23" ht="20.100000000000001" customHeight="1" x14ac:dyDescent="0.25"/>
    <row r="52" spans="3:23" ht="20.100000000000001" customHeight="1" x14ac:dyDescent="0.25"/>
    <row r="53" spans="3:23" ht="20.100000000000001" customHeight="1" x14ac:dyDescent="0.25">
      <c r="C53" s="46"/>
      <c r="D53" s="46"/>
      <c r="E53" s="46"/>
      <c r="F53" s="46"/>
      <c r="G53" s="46"/>
      <c r="H53" s="46"/>
      <c r="I53" s="46"/>
      <c r="J53" s="46"/>
      <c r="K53" s="46"/>
      <c r="L53" s="46"/>
      <c r="N53" s="46"/>
      <c r="O53" s="46"/>
      <c r="P53" s="46"/>
      <c r="Q53" s="46"/>
      <c r="R53" s="46"/>
      <c r="S53" s="46"/>
      <c r="T53" s="46"/>
      <c r="U53" s="46"/>
      <c r="V53" s="46"/>
      <c r="W53" s="46"/>
    </row>
    <row r="54" spans="3:23" ht="20.100000000000001" customHeight="1" x14ac:dyDescent="0.25">
      <c r="D54" s="6" t="str" cm="1">
        <f t="array" ref="D54">EntericMethane_Dairy_Equations.VEERG_3_3_1_1__4_AdditionalIntakeForMilkProduction_Title()</f>
        <v>Additional intake required for milk production</v>
      </c>
    </row>
    <row r="55" spans="3:23" ht="20.100000000000001" customHeight="1" x14ac:dyDescent="0.25">
      <c r="D55" s="5" t="str" cm="1">
        <f t="array" ref="D55">EntericMethane_Dairy_Equations.VEERG_3_3_1_1__4_AdditionalIntakeForMilkProduction_Source()</f>
        <v>VEERG 2026: 3.3.1.1, Equation (4)</v>
      </c>
    </row>
    <row r="56" spans="3:23" ht="20.100000000000001" customHeight="1" x14ac:dyDescent="0.25">
      <c r="D56" s="13" t="s">
        <v>25</v>
      </c>
      <c r="E56" s="13" t="str" cm="1">
        <f t="array" aca="1" ref="E56" ca="1">Common_InputFunctions.Utility_DisplayFunctionName(D79)</f>
        <v>=EntericMethane_Dairy_Equations.VEERG_3_3_1_1__4_AdditionalIntakeForMilkProduction</v>
      </c>
    </row>
    <row r="57" spans="3:23" ht="20.100000000000001" customHeight="1" x14ac:dyDescent="0.25"/>
    <row r="58" spans="3:23" ht="20.100000000000001" customHeight="1" x14ac:dyDescent="0.25">
      <c r="D58" s="6"/>
    </row>
    <row r="59" spans="3:23" ht="20.100000000000001" customHeight="1" x14ac:dyDescent="0.25">
      <c r="D59" s="54" t="s">
        <v>28</v>
      </c>
      <c r="E59" s="1" t="str" cm="1">
        <f t="array" ref="E59">EntericMethane_Dairy_Equations.VEERG_3_3_1_1__4_AdditionalIntakeForMilkProduction_Variable()</f>
        <v>MI_j</v>
      </c>
    </row>
    <row r="60" spans="3:23" ht="20.100000000000001" customHeight="1" x14ac:dyDescent="0.25">
      <c r="D60" s="54" t="s">
        <v>18</v>
      </c>
      <c r="E60" s="55" t="str" cm="1">
        <f t="array" ref="E60">EntericMethane_Dairy_Equations.VEERG_3_3_1_1__4_AdditionalIntakeForMilkProduction_Unit()</f>
        <v>kg DM/head/day</v>
      </c>
    </row>
    <row r="61" spans="3:23" ht="20.100000000000001" customHeight="1" x14ac:dyDescent="0.25"/>
    <row r="62" spans="3:23" ht="20.100000000000001" customHeight="1" x14ac:dyDescent="0.25">
      <c r="D62" s="133" t="str" cm="1">
        <f t="array" ref="D62:E68">_xlfn.CHOOSECOLS(EntericMethane_Dairy_Equations.VEERG_3_3_1_1__4_AdditionalIntakeForMilkProduction_Arguments(), 1,2)</f>
        <v>MPU</v>
      </c>
      <c r="E62" s="132" t="str">
        <v>input milk production unit</v>
      </c>
      <c r="F62" s="134"/>
      <c r="G62" s="133" t="str" cm="1">
        <f t="array" ref="G62:H68">_xlfn.CHOOSECOLS(EntericMethane_Dairy_Equations.VEERG_3_3_1_1__4_AdditionalIntakeForMilkProduction_Arguments(), 3,4)</f>
        <v/>
      </c>
      <c r="H62" s="131" t="str">
        <v>Input</v>
      </c>
      <c r="I62" s="133" t="str">
        <f>X_Cell_Dairy_MilkProductionUnit</f>
        <v>Litres of milk</v>
      </c>
    </row>
    <row r="63" spans="3:23" ht="20.100000000000001" customHeight="1" x14ac:dyDescent="0.25">
      <c r="D63" s="133" t="str">
        <v>MP_j</v>
      </c>
      <c r="E63" s="132" t="str">
        <v>milk production (if input as litres of milk)</v>
      </c>
      <c r="F63" s="134"/>
      <c r="G63" s="133" t="str">
        <v>L/head/day</v>
      </c>
      <c r="H63" s="129" t="str">
        <v>Input</v>
      </c>
      <c r="I63" s="130" t="str" cm="1">
        <f t="array" aca="1" ref="I63" ca="1">HYPERLINK(Common_InputFunctions.Utility_SourceHyperlink($D$71), $D$71)</f>
        <v>Table_MP_j</v>
      </c>
    </row>
    <row r="64" spans="3:23" ht="20.100000000000001" customHeight="1" x14ac:dyDescent="0.25">
      <c r="D64" s="133" t="str">
        <v>MP_j</v>
      </c>
      <c r="E64" s="132" t="str">
        <v>milk production (if input as milk solids)</v>
      </c>
      <c r="F64" s="134"/>
      <c r="G64" s="133" t="str">
        <v>L/head/day</v>
      </c>
      <c r="H64" s="129" t="str">
        <v>Calculated from 3.3.1.1 (5)</v>
      </c>
      <c r="I64" s="130" t="str" cm="1">
        <f t="array" aca="1" ref="I64" ca="1">HYPERLINK(Common_InputFunctions.Utility_SourceHyperlink($D$47),$D$47)</f>
        <v>M1_Table_MP_j_from_solids</v>
      </c>
    </row>
    <row r="65" spans="4:22" ht="20.100000000000001" customHeight="1" x14ac:dyDescent="0.25">
      <c r="D65" s="133" t="str">
        <v>NE</v>
      </c>
      <c r="E65" s="132" t="str">
        <v>net energy</v>
      </c>
      <c r="F65" s="134"/>
      <c r="G65" s="133" t="str">
        <v>MJ net energy/kg milk</v>
      </c>
      <c r="H65" s="129" t="str">
        <v>Constant</v>
      </c>
      <c r="I65" s="133">
        <f>SourceData_Dairy_NetEnergy_Data</f>
        <v>3.0539999999999998</v>
      </c>
    </row>
    <row r="66" spans="4:22" ht="20.100000000000001" customHeight="1" x14ac:dyDescent="0.25">
      <c r="D66" s="133" t="str">
        <v>GEC</v>
      </c>
      <c r="E66" s="132" t="str">
        <v>gross energy content</v>
      </c>
      <c r="F66" s="134"/>
      <c r="G66" s="133" t="str">
        <v>MJ/kgDM</v>
      </c>
      <c r="H66" s="129" t="str">
        <v>Constant</v>
      </c>
      <c r="I66" s="133">
        <f>SourceData_Dairy_GrossEnergyContent_Data</f>
        <v>18.399999999999999</v>
      </c>
    </row>
    <row r="67" spans="4:22" ht="20.100000000000001" customHeight="1" x14ac:dyDescent="0.25">
      <c r="D67" s="133" t="str">
        <v>k</v>
      </c>
      <c r="E67" s="133" t="str">
        <v>efficiency of metabolizable energy use for milk production</v>
      </c>
      <c r="F67" s="133"/>
      <c r="G67" s="133" t="str">
        <v>fraction</v>
      </c>
      <c r="H67" s="129" t="str">
        <v>Constant</v>
      </c>
      <c r="I67" s="133">
        <f>SourceData_Dairy_EfficiencyOfUseOfMetabolizableEnergy_Data</f>
        <v>0.6</v>
      </c>
    </row>
    <row r="68" spans="4:22" ht="20.100000000000001" customHeight="1" x14ac:dyDescent="0.25">
      <c r="D68" s="133" t="str">
        <v>qm_j</v>
      </c>
      <c r="E68" s="132" t="str">
        <v>metabolisability of the diet</v>
      </c>
      <c r="F68" s="134"/>
      <c r="G68" s="133" t="str">
        <v>fraction</v>
      </c>
      <c r="H68" s="129" t="str">
        <v>Calculated from 3.3.1.1 (6)</v>
      </c>
      <c r="I68" s="130"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0" t="s">
        <v>228</v>
      </c>
    </row>
    <row r="72" spans="4:22" ht="20.100000000000001" customHeight="1" x14ac:dyDescent="0.25">
      <c r="D72" s="99" t="s">
        <v>189</v>
      </c>
    </row>
    <row r="73" spans="4:22" ht="20.100000000000001" customHeight="1" x14ac:dyDescent="0.25">
      <c r="D73" s="40" t="s">
        <v>165</v>
      </c>
      <c r="E73" s="40" t="s">
        <v>182</v>
      </c>
      <c r="F73" s="40" t="s">
        <v>183</v>
      </c>
      <c r="G73" s="40" t="s">
        <v>184</v>
      </c>
      <c r="H73" s="40" t="s">
        <v>185</v>
      </c>
    </row>
    <row r="74" spans="4:22" ht="20.100000000000001" customHeight="1" x14ac:dyDescent="0.25">
      <c r="D74" s="53">
        <f>IF(I62="Milk solids", 0, X_Cell_Dairy_MilkProductionAmount)</f>
        <v>17.997260273972604</v>
      </c>
      <c r="E74" s="53">
        <v>0</v>
      </c>
      <c r="F74" s="53">
        <v>0</v>
      </c>
      <c r="G74" s="53">
        <v>0</v>
      </c>
      <c r="H74" s="53">
        <v>0</v>
      </c>
      <c r="I74" s="2" t="s">
        <v>225</v>
      </c>
      <c r="J74" s="2"/>
      <c r="K74" s="2"/>
    </row>
    <row r="75" spans="4:22" ht="20.100000000000001" customHeight="1" x14ac:dyDescent="0.25"/>
    <row r="76" spans="4:22" ht="20.100000000000001" customHeight="1" x14ac:dyDescent="0.25">
      <c r="D76" s="100" t="s">
        <v>223</v>
      </c>
      <c r="O76" s="100" t="s">
        <v>226</v>
      </c>
    </row>
    <row r="77" spans="4:22" ht="20.100000000000001" customHeight="1" x14ac:dyDescent="0.25">
      <c r="D77" s="99" t="s">
        <v>224</v>
      </c>
      <c r="O77" s="99" t="s">
        <v>227</v>
      </c>
    </row>
    <row r="78" spans="4:22" ht="20.100000000000001" customHeight="1" x14ac:dyDescent="0.25">
      <c r="D78" s="52" t="s">
        <v>165</v>
      </c>
      <c r="E78" s="52" t="s">
        <v>182</v>
      </c>
      <c r="F78" s="52" t="s">
        <v>183</v>
      </c>
      <c r="G78" s="52" t="s">
        <v>184</v>
      </c>
      <c r="H78" s="52" t="s">
        <v>185</v>
      </c>
      <c r="O78" s="52" t="s">
        <v>165</v>
      </c>
      <c r="P78" s="52" t="s">
        <v>182</v>
      </c>
      <c r="Q78" s="52" t="s">
        <v>183</v>
      </c>
      <c r="R78" s="52" t="s">
        <v>184</v>
      </c>
      <c r="S78" s="52" t="s">
        <v>185</v>
      </c>
    </row>
    <row r="79" spans="4:22" ht="20.100000000000001" customHeight="1" x14ac:dyDescent="0.25">
      <c r="D79" s="53" cm="1">
        <f t="array" ref="D79">EntericMethane_Dairy_Equations.VEERG_3_3_1_1__4_AdditionalIntakeForMilkProduction(IF(I62="Milk solids", D50, D74), $I$65,$I$66,$I$67,D24)</f>
        <v>8.6205726359911861</v>
      </c>
      <c r="E79" s="53" cm="1">
        <f t="array" ref="E79">EntericMethane_Dairy_Equations.VEERG_3_3_1_1__4_AdditionalIntakeForMilkProduction(E74, $I$65,$I$66,$I$67,E24)</f>
        <v>0</v>
      </c>
      <c r="F79" s="53" cm="1">
        <f t="array" ref="F79">EntericMethane_Dairy_Equations.VEERG_3_3_1_1__4_AdditionalIntakeForMilkProduction(F74, $I$65,$I$66,$I$67,F24)</f>
        <v>0</v>
      </c>
      <c r="G79" s="53" cm="1">
        <f t="array" ref="G79">EntericMethane_Dairy_Equations.VEERG_3_3_1_1__4_AdditionalIntakeForMilkProduction(G74, $I$65,$I$66,$I$67,G24)</f>
        <v>0</v>
      </c>
      <c r="H79" s="53" cm="1">
        <f t="array" ref="H79">EntericMethane_Dairy_Equations.VEERG_3_3_1_1__4_AdditionalIntakeForMilkProduction(H74, $I$65,$I$66,$I$67,H24)</f>
        <v>0</v>
      </c>
      <c r="I79" s="2" t="str">
        <f>$E$60</f>
        <v>kg DM/head/day</v>
      </c>
      <c r="J79" s="2"/>
      <c r="K79" s="2"/>
      <c r="O79" s="53" cm="1">
        <f t="array" ref="O79">EntericMethane_Dairy_Equations.VEERG_3_3_1_1__4_AdditionalIntakeForMilkProduction(IF(I62="Milk solids", O50, D74), $I$65,$I$66,$I$67,O24)</f>
        <v>8.6205726359911861</v>
      </c>
      <c r="P79" s="53" cm="1">
        <f t="array" ref="P79">EntericMethane_Dairy_Equations.VEERG_3_3_1_1__4_AdditionalIntakeForMilkProduction(E74, $I$65,$I$66,$I$67,P24)</f>
        <v>0</v>
      </c>
      <c r="Q79" s="53" cm="1">
        <f t="array" ref="Q79">EntericMethane_Dairy_Equations.VEERG_3_3_1_1__4_AdditionalIntakeForMilkProduction(F74, $I$65,$I$66,$I$67,Q24)</f>
        <v>0</v>
      </c>
      <c r="R79" s="53" cm="1">
        <f t="array" ref="R79">EntericMethane_Dairy_Equations.VEERG_3_3_1_1__4_AdditionalIntakeForMilkProduction(G74, $I$65,$I$66,$I$67,R24)</f>
        <v>0</v>
      </c>
      <c r="S79" s="53"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6"/>
      <c r="D82" s="46"/>
      <c r="E82" s="46"/>
      <c r="F82" s="46"/>
      <c r="G82" s="46"/>
      <c r="H82" s="46"/>
      <c r="I82" s="46"/>
      <c r="J82" s="46"/>
      <c r="K82" s="46"/>
      <c r="L82" s="46"/>
      <c r="N82" s="46"/>
      <c r="O82" s="46"/>
      <c r="P82" s="46"/>
      <c r="Q82" s="46"/>
      <c r="R82" s="46"/>
      <c r="S82" s="46"/>
      <c r="T82" s="46"/>
      <c r="U82" s="46"/>
      <c r="V82" s="46"/>
      <c r="W82" s="46"/>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25</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4" t="s">
        <v>28</v>
      </c>
      <c r="E88" s="1" t="str" cm="1">
        <f t="array" ref="E88">EntericMethane_Dairy_Equations.VEERG_3_3_1_1__3_DryMatterFeedIntake_Variable()</f>
        <v>I_j</v>
      </c>
    </row>
    <row r="89" spans="3:23" ht="20.100000000000001" customHeight="1" x14ac:dyDescent="0.25">
      <c r="D89" s="54" t="s">
        <v>18</v>
      </c>
      <c r="E89" s="55" t="str" cm="1">
        <f t="array" ref="E89">EntericMethane_Dairy_Equations.VEERG_3_3_1_1__3_DryMatterFeedIntake_Unit()</f>
        <v>kg DM/head/day</v>
      </c>
    </row>
    <row r="90" spans="3:23" ht="20.100000000000001" customHeight="1" x14ac:dyDescent="0.25"/>
    <row r="91" spans="3:23" ht="20.100000000000001" customHeight="1" x14ac:dyDescent="0.25">
      <c r="D91" s="133" t="str" cm="1">
        <f t="array" ref="D91:E94">_xlfn.CHOOSECOLS(EntericMethane_Dairy_Equations.VEERG_3_3_1_1__3_DryMatterFeedIntake_Arguments(),1,2)</f>
        <v>W_j</v>
      </c>
      <c r="E91" s="132" t="str">
        <v>liveweight</v>
      </c>
      <c r="F91" s="134"/>
      <c r="G91" s="133" t="str" cm="1">
        <f t="array" ref="G91:H94">_xlfn.CHOOSECOLS(EntericMethane_Dairy_Equations.VEERG_3_3_1_1__3_DryMatterFeedIntake_Arguments(),3,4)</f>
        <v>kg</v>
      </c>
      <c r="H91" s="131" t="str">
        <v>Input</v>
      </c>
      <c r="I91" s="130" t="str" cm="1">
        <f t="array" aca="1" ref="I91" ca="1">HYPERLINK(Common_InputFunctions.Utility_SourceHyperlink($D$96), $D$96)</f>
        <v>M1_Table_W_j</v>
      </c>
    </row>
    <row r="92" spans="3:23" ht="20.100000000000001" customHeight="1" x14ac:dyDescent="0.25">
      <c r="D92" s="133" t="str">
        <v>LWG_j</v>
      </c>
      <c r="E92" s="132" t="str">
        <v>liveweight gain</v>
      </c>
      <c r="F92" s="134"/>
      <c r="G92" s="133" t="str">
        <v>kg/head/day</v>
      </c>
      <c r="H92" s="131" t="str">
        <v>Input</v>
      </c>
      <c r="I92" s="130" t="str" cm="1">
        <f t="array" aca="1" ref="I92" ca="1">HYPERLINK(Common_InputFunctions.Utility_SourceHyperlink($D$101), $D$101)</f>
        <v>M1_Table_LWG_j</v>
      </c>
    </row>
    <row r="93" spans="3:23" ht="20.100000000000001" customHeight="1" x14ac:dyDescent="0.25">
      <c r="D93" s="133" t="str">
        <v>MR_j</v>
      </c>
      <c r="E93" s="132" t="str">
        <v>increase in metabolic rate when producing milk</v>
      </c>
      <c r="F93" s="134"/>
      <c r="G93" s="133" t="str">
        <v>fraction</v>
      </c>
      <c r="H93" s="129" t="str">
        <v>Constant</v>
      </c>
      <c r="I93" s="130" t="str" cm="1">
        <f t="array" aca="1" ref="I93" ca="1">HYPERLINK(Common_InputFunctions.Utility_SourceHyperlink($D$106), $D$106)</f>
        <v>Table_MR_j</v>
      </c>
    </row>
    <row r="94" spans="3:23" ht="20.100000000000001" customHeight="1" x14ac:dyDescent="0.25">
      <c r="D94" s="133" t="str">
        <v>MI_j</v>
      </c>
      <c r="E94" s="132" t="str">
        <v>additional intake required for milk production</v>
      </c>
      <c r="F94" s="134"/>
      <c r="G94" s="133" t="str">
        <v>kg DM/head/day</v>
      </c>
      <c r="H94" s="129" t="str">
        <v>Calculated from 3.3.1.1 (4)</v>
      </c>
      <c r="I94" s="130" t="str" cm="1">
        <f t="array" aca="1" ref="I94" ca="1">HYPERLINK(Common_InputFunctions.Utility_SourceHyperlink($D$76), $D$76)</f>
        <v>M1_Table_MI_j</v>
      </c>
    </row>
    <row r="95" spans="3:23" ht="20.100000000000001" customHeight="1" x14ac:dyDescent="0.25"/>
    <row r="96" spans="3:23" ht="20.100000000000001" customHeight="1" x14ac:dyDescent="0.25">
      <c r="D96" s="100" t="s">
        <v>208</v>
      </c>
      <c r="O96" s="100" t="s">
        <v>210</v>
      </c>
    </row>
    <row r="97" spans="4:22" ht="20.100000000000001" customHeight="1" x14ac:dyDescent="0.25">
      <c r="D97" s="99" t="s">
        <v>209</v>
      </c>
      <c r="O97" s="99" t="s">
        <v>211</v>
      </c>
    </row>
    <row r="98" spans="4:22" ht="20.100000000000001" customHeight="1" x14ac:dyDescent="0.25">
      <c r="D98" s="40" t="s">
        <v>165</v>
      </c>
      <c r="E98" s="40" t="s">
        <v>182</v>
      </c>
      <c r="F98" s="40" t="s">
        <v>183</v>
      </c>
      <c r="G98" s="40" t="s">
        <v>184</v>
      </c>
      <c r="H98" s="40" t="s">
        <v>185</v>
      </c>
      <c r="O98" s="40" t="s">
        <v>165</v>
      </c>
      <c r="P98" s="40" t="s">
        <v>182</v>
      </c>
      <c r="Q98" s="40" t="s">
        <v>183</v>
      </c>
      <c r="R98" s="40" t="s">
        <v>184</v>
      </c>
      <c r="S98" s="40" t="s">
        <v>185</v>
      </c>
    </row>
    <row r="99" spans="4:22" ht="20.100000000000001" customHeight="1" x14ac:dyDescent="0.25">
      <c r="D99" s="53">
        <f>INDEX(X_Table_Dairy_Liveweight_Method1,2,2)</f>
        <v>550</v>
      </c>
      <c r="E99" s="53">
        <f>INDEX(X_Table_Dairy_Liveweight_Method1,2,3)</f>
        <v>0</v>
      </c>
      <c r="F99" s="53">
        <f>INDEX(X_Table_Dairy_Liveweight_Method1,2,4)</f>
        <v>0</v>
      </c>
      <c r="G99" s="53">
        <f>INDEX(X_Table_Dairy_Liveweight_Method1,2,5)</f>
        <v>0</v>
      </c>
      <c r="H99" s="53">
        <f>INDEX(X_Table_Dairy_Liveweight_Method1,2,6)</f>
        <v>0</v>
      </c>
      <c r="I99" s="2" t="s">
        <v>187</v>
      </c>
      <c r="J99" s="2"/>
      <c r="K99" s="2"/>
      <c r="O99" s="53">
        <f>INDEX(X_Table_Dairy_Liveweight_Method2,2,2)</f>
        <v>550</v>
      </c>
      <c r="P99" s="53">
        <f>INDEX(X_Table_Dairy_Liveweight_Method2,2,3)</f>
        <v>0</v>
      </c>
      <c r="Q99" s="53">
        <f>INDEX(X_Table_Dairy_Liveweight_Method2,2,4)</f>
        <v>0</v>
      </c>
      <c r="R99" s="53">
        <f>INDEX(X_Table_Dairy_Liveweight_Method2,2,5)</f>
        <v>0</v>
      </c>
      <c r="S99" s="53">
        <f>INDEX(X_Table_Dairy_Liveweight_Method2,2,6)</f>
        <v>0</v>
      </c>
      <c r="T99" s="2" t="s">
        <v>187</v>
      </c>
      <c r="U99" s="2"/>
      <c r="V99" s="2"/>
    </row>
    <row r="100" spans="4:22" ht="20.100000000000001" customHeight="1" x14ac:dyDescent="0.25"/>
    <row r="101" spans="4:22" ht="20.100000000000001" customHeight="1" x14ac:dyDescent="0.25">
      <c r="D101" s="100" t="s">
        <v>212</v>
      </c>
      <c r="O101" s="100" t="s">
        <v>214</v>
      </c>
    </row>
    <row r="102" spans="4:22" ht="20.100000000000001" customHeight="1" x14ac:dyDescent="0.25">
      <c r="D102" s="99" t="s">
        <v>213</v>
      </c>
      <c r="O102" s="99" t="s">
        <v>215</v>
      </c>
    </row>
    <row r="103" spans="4:22" ht="20.100000000000001" customHeight="1" x14ac:dyDescent="0.25">
      <c r="D103" s="40" t="s">
        <v>165</v>
      </c>
      <c r="E103" s="40" t="s">
        <v>182</v>
      </c>
      <c r="F103" s="40" t="s">
        <v>183</v>
      </c>
      <c r="G103" s="40" t="s">
        <v>184</v>
      </c>
      <c r="H103" s="40" t="s">
        <v>185</v>
      </c>
      <c r="O103" s="40" t="s">
        <v>165</v>
      </c>
      <c r="P103" s="40" t="s">
        <v>182</v>
      </c>
      <c r="Q103" s="40" t="s">
        <v>183</v>
      </c>
      <c r="R103" s="40" t="s">
        <v>184</v>
      </c>
      <c r="S103" s="40" t="s">
        <v>185</v>
      </c>
    </row>
    <row r="104" spans="4:22" ht="20.100000000000001" customHeight="1" x14ac:dyDescent="0.25">
      <c r="D104" s="53">
        <f>INDEX(X_Table_Dairy_Liveweight_Method1,3,2)</f>
        <v>1.6E-2</v>
      </c>
      <c r="E104" s="53">
        <f>INDEX(X_Table_Dairy_Liveweight_Method1,3,3)</f>
        <v>0</v>
      </c>
      <c r="F104" s="53">
        <f>INDEX(X_Table_Dairy_Liveweight_Method1,3,4)</f>
        <v>0</v>
      </c>
      <c r="G104" s="53">
        <f>INDEX(X_Table_Dairy_Liveweight_Method1,3,5)</f>
        <v>0</v>
      </c>
      <c r="H104" s="53">
        <f>INDEX(X_Table_Dairy_Liveweight_Method1,3,6)</f>
        <v>0</v>
      </c>
      <c r="I104" s="2" t="s">
        <v>188</v>
      </c>
      <c r="J104" s="2"/>
      <c r="K104" s="2"/>
      <c r="O104" s="53">
        <f>INDEX(X_Table_Dairy_Liveweight_Method2,3,2)</f>
        <v>1.6E-2</v>
      </c>
      <c r="P104" s="53">
        <f>INDEX(X_Table_Dairy_Liveweight_Method2,3,3)</f>
        <v>0</v>
      </c>
      <c r="Q104" s="53">
        <f>INDEX(X_Table_Dairy_Liveweight_Method2,3,4)</f>
        <v>0</v>
      </c>
      <c r="R104" s="53">
        <f>INDEX(X_Table_Dairy_Liveweight_Method2,3,5)</f>
        <v>0</v>
      </c>
      <c r="S104" s="53">
        <f>INDEX(X_Table_Dairy_Liveweight_Method2,3,6)</f>
        <v>0</v>
      </c>
      <c r="T104" s="2" t="s">
        <v>188</v>
      </c>
      <c r="U104" s="2"/>
      <c r="V104" s="2"/>
    </row>
    <row r="105" spans="4:22" ht="20.100000000000001" customHeight="1" x14ac:dyDescent="0.25"/>
    <row r="106" spans="4:22" ht="20.100000000000001" customHeight="1" x14ac:dyDescent="0.25">
      <c r="D106" s="100" t="s">
        <v>216</v>
      </c>
    </row>
    <row r="107" spans="4:22" ht="20.100000000000001" customHeight="1" x14ac:dyDescent="0.25">
      <c r="D107" s="99" t="s">
        <v>217</v>
      </c>
    </row>
    <row r="108" spans="4:22" ht="20.100000000000001" customHeight="1" x14ac:dyDescent="0.25">
      <c r="D108" s="52" t="s">
        <v>165</v>
      </c>
      <c r="E108" s="52" t="s">
        <v>182</v>
      </c>
      <c r="F108" s="52" t="s">
        <v>183</v>
      </c>
      <c r="G108" s="52" t="s">
        <v>184</v>
      </c>
      <c r="H108" s="52" t="s">
        <v>185</v>
      </c>
    </row>
    <row r="109" spans="4:22" ht="20.100000000000001" customHeight="1" x14ac:dyDescent="0.25">
      <c r="D109" s="53">
        <f>'Constants - Dairy'!$E$108</f>
        <v>1.1000000000000001</v>
      </c>
      <c r="E109" s="53">
        <f>'Constants - Dairy'!$E$109</f>
        <v>1</v>
      </c>
      <c r="F109" s="53">
        <f>'Constants - Dairy'!$E$109</f>
        <v>1</v>
      </c>
      <c r="G109" s="53">
        <f>'Constants - Dairy'!$E$109</f>
        <v>1</v>
      </c>
      <c r="H109" s="53">
        <f>'Constants - Dairy'!$E$109</f>
        <v>1</v>
      </c>
      <c r="I109" s="2" t="s">
        <v>93</v>
      </c>
      <c r="J109" s="2"/>
      <c r="K109" s="2"/>
    </row>
    <row r="110" spans="4:22" ht="20.100000000000001" customHeight="1" x14ac:dyDescent="0.25"/>
    <row r="111" spans="4:22" ht="20.100000000000001" customHeight="1" x14ac:dyDescent="0.25">
      <c r="D111" s="100" t="s">
        <v>105</v>
      </c>
      <c r="O111" s="100" t="s">
        <v>107</v>
      </c>
    </row>
    <row r="112" spans="4:22" ht="20.100000000000001" customHeight="1" x14ac:dyDescent="0.25">
      <c r="D112" s="99" t="s">
        <v>231</v>
      </c>
      <c r="O112" s="99" t="s">
        <v>230</v>
      </c>
    </row>
    <row r="113" spans="3:23" ht="20.100000000000001" customHeight="1" x14ac:dyDescent="0.25">
      <c r="D113" s="52" t="s">
        <v>165</v>
      </c>
      <c r="E113" s="52" t="s">
        <v>182</v>
      </c>
      <c r="F113" s="52" t="s">
        <v>183</v>
      </c>
      <c r="G113" s="52" t="s">
        <v>184</v>
      </c>
      <c r="H113" s="52" t="s">
        <v>185</v>
      </c>
      <c r="O113" s="52" t="s">
        <v>165</v>
      </c>
      <c r="P113" s="52" t="s">
        <v>182</v>
      </c>
      <c r="Q113" s="52" t="s">
        <v>183</v>
      </c>
      <c r="R113" s="52" t="s">
        <v>184</v>
      </c>
      <c r="S113" s="52" t="s">
        <v>185</v>
      </c>
    </row>
    <row r="114" spans="3:23" ht="20.100000000000001" customHeight="1" x14ac:dyDescent="0.25">
      <c r="D114" s="53" cm="1">
        <f t="array" ref="D114">EntericMethane_Dairy_Equations.VEERG_3_3_1_1__3_DryMatterFeedIntake(D99,D104,D109,D79)</f>
        <v>17.875018156751189</v>
      </c>
      <c r="E114" s="53" cm="1">
        <f t="array" ref="E114">EntericMethane_Dairy_Equations.VEERG_3_3_1_1__3_DryMatterFeedIntake(E99,E104,E109,E79)</f>
        <v>1.4042250000000001</v>
      </c>
      <c r="F114" s="53" cm="1">
        <f t="array" ref="F114">EntericMethane_Dairy_Equations.VEERG_3_3_1_1__3_DryMatterFeedIntake(F99,F104,F109,F79)</f>
        <v>1.4042250000000001</v>
      </c>
      <c r="G114" s="53" cm="1">
        <f t="array" ref="G114">EntericMethane_Dairy_Equations.VEERG_3_3_1_1__3_DryMatterFeedIntake(G99,G104,G109,G79)</f>
        <v>1.4042250000000001</v>
      </c>
      <c r="H114" s="53" cm="1">
        <f t="array" ref="H114">EntericMethane_Dairy_Equations.VEERG_3_3_1_1__3_DryMatterFeedIntake(H99,H104,H109,H79)</f>
        <v>1.4042250000000001</v>
      </c>
      <c r="I114" s="2" t="str">
        <f>$E$89</f>
        <v>kg DM/head/day</v>
      </c>
      <c r="J114" s="2"/>
      <c r="K114" s="2"/>
      <c r="O114" s="53" cm="1">
        <f t="array" ref="O114">EntericMethane_Dairy_Equations.VEERG_3_3_1_1__3_DryMatterFeedIntake(O99,O104,D109,O79)</f>
        <v>17.875018156751189</v>
      </c>
      <c r="P114" s="53" cm="1">
        <f t="array" ref="P114">EntericMethane_Dairy_Equations.VEERG_3_3_1_1__3_DryMatterFeedIntake(P99,P104,E109,P79)</f>
        <v>1.4042250000000001</v>
      </c>
      <c r="Q114" s="53" cm="1">
        <f t="array" ref="Q114">EntericMethane_Dairy_Equations.VEERG_3_3_1_1__3_DryMatterFeedIntake(Q99,Q104,F109,Q79)</f>
        <v>1.4042250000000001</v>
      </c>
      <c r="R114" s="53" cm="1">
        <f t="array" ref="R114">EntericMethane_Dairy_Equations.VEERG_3_3_1_1__3_DryMatterFeedIntake(R99,R104,G109,R79)</f>
        <v>1.4042250000000001</v>
      </c>
      <c r="S114" s="53" cm="1">
        <f t="array" ref="S114">EntericMethane_Dairy_Equations.VEERG_3_3_1_1__3_DryMatterFeedIntake(S99,S104,H109,S79)</f>
        <v>1.4042250000000001</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6"/>
      <c r="D117" s="46"/>
      <c r="E117" s="46"/>
      <c r="F117" s="46"/>
      <c r="G117" s="46"/>
      <c r="H117" s="46"/>
      <c r="I117" s="46"/>
      <c r="J117" s="46"/>
      <c r="K117" s="46"/>
      <c r="L117" s="46"/>
      <c r="N117" s="46"/>
      <c r="O117" s="46"/>
      <c r="P117" s="46"/>
      <c r="Q117" s="46"/>
      <c r="R117" s="46"/>
      <c r="S117" s="46"/>
      <c r="T117" s="46"/>
      <c r="U117" s="46"/>
      <c r="V117" s="46"/>
      <c r="W117" s="46"/>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25</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4" t="s">
        <v>28</v>
      </c>
      <c r="E123" s="1" t="str" cm="1">
        <f t="array" ref="E123">MMS_Dairy_Methane_Equations.VEERG_4_3_1_1__3_VolatileSolidsForWeanedDairyCattle_Variable()</f>
        <v>VS_j</v>
      </c>
    </row>
    <row r="124" spans="3:23" ht="20.100000000000001" customHeight="1" x14ac:dyDescent="0.25">
      <c r="D124" s="54" t="s">
        <v>18</v>
      </c>
      <c r="E124" s="55"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3" t="str" cm="1">
        <f t="array" ref="D126:E128">_xlfn.CHOOSECOLS(MMS_Dairy_Methane_Equations.VEERG_4_3_1_1__3_VolatileSolidsForWeanedDairyCattle_Arguments(), 1,2)</f>
        <v>I_j</v>
      </c>
      <c r="E126" s="132" t="str">
        <v>dry matter feed intake (kgDM/head/day)</v>
      </c>
      <c r="F126" s="134"/>
      <c r="G126" s="133" t="str" cm="1">
        <f t="array" ref="G126:H128">_xlfn.CHOOSECOLS(MMS_Dairy_Methane_Equations.VEERG_4_3_1_1__3_VolatileSolidsForWeanedDairyCattle_Arguments(), 3,4)</f>
        <v>kgDM/head/day</v>
      </c>
      <c r="H126" s="129" t="str">
        <v>Calculated from 3.3.1.1 (3)</v>
      </c>
      <c r="I126" s="130" t="str" cm="1">
        <f t="array" aca="1" ref="I126" ca="1">HYPERLINK(Common_InputFunctions.Utility_SourceHyperlink($D$111), $D$111)</f>
        <v>M1_Table_I_j</v>
      </c>
    </row>
    <row r="127" spans="3:23" ht="20.100000000000001" customHeight="1" x14ac:dyDescent="0.25">
      <c r="D127" s="133" t="str">
        <v>DMD_j</v>
      </c>
      <c r="E127" s="132" t="str">
        <v>dry matter digestibility</v>
      </c>
      <c r="F127" s="134"/>
      <c r="G127" s="133" t="str">
        <v>fraction</v>
      </c>
      <c r="H127" s="131" t="str">
        <v>Input</v>
      </c>
      <c r="I127" s="130" t="str" cm="1">
        <f t="array" aca="1" ref="I127" ca="1">HYPERLINK(Common_InputFunctions.Utility_SourceHyperlink($D$16), $D$16)</f>
        <v>M1_Table_DMD_j</v>
      </c>
    </row>
    <row r="128" spans="3:23" ht="20.100000000000001" customHeight="1" x14ac:dyDescent="0.25">
      <c r="D128" s="133" t="str">
        <v>A</v>
      </c>
      <c r="E128" s="132" t="str">
        <v>ash content of feed intake</v>
      </c>
      <c r="F128" s="134"/>
      <c r="G128" s="133" t="str">
        <v>fraction</v>
      </c>
      <c r="H128" s="129" t="str">
        <v>Constant</v>
      </c>
      <c r="I128" s="133">
        <f>SourceData_Dairy_AshContent_Data</f>
        <v>0.08</v>
      </c>
    </row>
    <row r="129" spans="3:23" ht="20.100000000000001" customHeight="1" x14ac:dyDescent="0.25"/>
    <row r="130" spans="3:23" ht="20.100000000000001" customHeight="1" x14ac:dyDescent="0.25">
      <c r="D130" s="100" t="s">
        <v>118</v>
      </c>
      <c r="O130" s="100" t="s">
        <v>121</v>
      </c>
    </row>
    <row r="131" spans="3:23" ht="20.100000000000001" customHeight="1" x14ac:dyDescent="0.25">
      <c r="D131" s="99" t="s">
        <v>232</v>
      </c>
      <c r="O131" s="99" t="s">
        <v>233</v>
      </c>
    </row>
    <row r="132" spans="3:23" ht="20.100000000000001" customHeight="1" x14ac:dyDescent="0.25">
      <c r="D132" s="52" t="s">
        <v>165</v>
      </c>
      <c r="E132" s="52" t="s">
        <v>182</v>
      </c>
      <c r="F132" s="52" t="s">
        <v>183</v>
      </c>
      <c r="G132" s="52" t="s">
        <v>184</v>
      </c>
      <c r="H132" s="52" t="s">
        <v>185</v>
      </c>
      <c r="O132" s="52" t="s">
        <v>165</v>
      </c>
      <c r="P132" s="52" t="s">
        <v>182</v>
      </c>
      <c r="Q132" s="52" t="s">
        <v>183</v>
      </c>
      <c r="R132" s="52" t="s">
        <v>184</v>
      </c>
      <c r="S132" s="52" t="s">
        <v>185</v>
      </c>
    </row>
    <row r="133" spans="3:23" ht="20.100000000000001" customHeight="1" x14ac:dyDescent="0.25">
      <c r="D133" s="53" cm="1">
        <f t="array" ref="D133">MMS_Dairy_Methane_Equations.VEERG_4_3_1_1__3_VolatileSolidsForWeanedDairyCattle(D114,D19,$I$128)</f>
        <v>4.7690548442212171</v>
      </c>
      <c r="E133" s="53" cm="1">
        <f t="array" ref="E133">MMS_Dairy_Methane_Equations.VEERG_4_3_1_1__3_VolatileSolidsForWeanedDairyCattle(E114,E19,$I$128)</f>
        <v>1.3435624800000001</v>
      </c>
      <c r="F133" s="53" cm="1">
        <f t="array" ref="F133">MMS_Dairy_Methane_Equations.VEERG_4_3_1_1__3_VolatileSolidsForWeanedDairyCattle(F114,F19,$I$128)</f>
        <v>1.3435624800000001</v>
      </c>
      <c r="G133" s="53" cm="1">
        <f t="array" ref="G133">MMS_Dairy_Methane_Equations.VEERG_4_3_1_1__3_VolatileSolidsForWeanedDairyCattle(G114,G19,$I$128)</f>
        <v>1.3435624800000001</v>
      </c>
      <c r="H133" s="53" cm="1">
        <f t="array" ref="H133">MMS_Dairy_Methane_Equations.VEERG_4_3_1_1__3_VolatileSolidsForWeanedDairyCattle(H114,H19,$I$128)</f>
        <v>1.3435624800000001</v>
      </c>
      <c r="I133" s="2" t="str">
        <f>$E$124</f>
        <v>kg/head/day</v>
      </c>
      <c r="O133" s="53" cm="1">
        <f t="array" ref="O133">MMS_Dairy_Methane_Equations.VEERG_4_3_1_1__3_VolatileSolidsForWeanedDairyCattle(O114,O19,$I$128)</f>
        <v>4.7690548442212171</v>
      </c>
      <c r="P133" s="53" cm="1">
        <f t="array" ref="P133">MMS_Dairy_Methane_Equations.VEERG_4_3_1_1__3_VolatileSolidsForWeanedDairyCattle(P114,P19,$I$128)</f>
        <v>1.3435624800000001</v>
      </c>
      <c r="Q133" s="53" cm="1">
        <f t="array" ref="Q133">MMS_Dairy_Methane_Equations.VEERG_4_3_1_1__3_VolatileSolidsForWeanedDairyCattle(Q114,Q19,$I$128)</f>
        <v>1.3435624800000001</v>
      </c>
      <c r="R133" s="53" cm="1">
        <f t="array" ref="R133">MMS_Dairy_Methane_Equations.VEERG_4_3_1_1__3_VolatileSolidsForWeanedDairyCattle(R114,R19,$I$128)</f>
        <v>1.3435624800000001</v>
      </c>
      <c r="S133" s="53" cm="1">
        <f t="array" ref="S133">MMS_Dairy_Methane_Equations.VEERG_4_3_1_1__3_VolatileSolidsForWeanedDairyCattle(S114,S19,$I$128)</f>
        <v>1.3435624800000001</v>
      </c>
      <c r="T133" s="2" t="str">
        <f>$E$124</f>
        <v>kg/head/day</v>
      </c>
    </row>
    <row r="134" spans="3:23" ht="20.100000000000001" customHeight="1" x14ac:dyDescent="0.25"/>
    <row r="135" spans="3:23" ht="20.100000000000001" customHeight="1" x14ac:dyDescent="0.25"/>
    <row r="136" spans="3:23" ht="20.100000000000001" customHeight="1" x14ac:dyDescent="0.25">
      <c r="C136" s="46"/>
      <c r="D136" s="46"/>
      <c r="E136" s="46"/>
      <c r="F136" s="46"/>
      <c r="G136" s="46"/>
      <c r="H136" s="46"/>
      <c r="I136" s="46"/>
      <c r="J136" s="46"/>
      <c r="K136" s="46"/>
      <c r="L136" s="46"/>
      <c r="N136" s="46"/>
      <c r="O136" s="46"/>
      <c r="P136" s="46"/>
      <c r="Q136" s="46"/>
      <c r="R136" s="46"/>
      <c r="S136" s="46"/>
      <c r="T136" s="46"/>
      <c r="U136" s="46"/>
      <c r="V136" s="46"/>
      <c r="W136" s="46"/>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25</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4" t="s">
        <v>28</v>
      </c>
      <c r="E142" s="1" t="str" cm="1">
        <f t="array" ref="E142">MMS_Dairy_Methane_Equations.VEERG_4_3_1_1__4_FractionVolatileSolidsNotSolidStorage_Variable()</f>
        <v>FVS_jm</v>
      </c>
    </row>
    <row r="143" spans="3:23" ht="20.100000000000001" customHeight="1" x14ac:dyDescent="0.25">
      <c r="D143" s="54" t="s">
        <v>18</v>
      </c>
      <c r="E143" s="55"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33" t="str" cm="1">
        <f t="array" ref="D145:E146">_xlfn.CHOOSECOLS(MMS_Dairy_Methane_Equations.VEERG_4_3_1_1__4_FractionVolatileSolidsNotSolidStorage_Arguments(),1,2)</f>
        <v>MMS_jm</v>
      </c>
      <c r="E145" s="133" t="str">
        <v>fraction of manure to each primary MMS for each class prior to solid separation</v>
      </c>
      <c r="F145" s="133"/>
      <c r="G145" s="133" t="str" cm="1">
        <f t="array" ref="G145:H146">_xlfn.CHOOSECOLS(MMS_Dairy_Methane_Equations.VEERG_4_3_1_1__4_FractionVolatileSolidsNotSolidStorage_Arguments(),3,4)</f>
        <v>fraction</v>
      </c>
      <c r="H145" s="131" t="str">
        <v>Input</v>
      </c>
      <c r="I145" s="130" t="str" cm="1">
        <f t="array" aca="1" ref="I145" ca="1">HYPERLINK(Common_InputFunctions.Utility_SourceHyperlink($D$148),$D$148)</f>
        <v>M1_Table_MMS_j_m</v>
      </c>
    </row>
    <row r="146" spans="4:22" ht="20.100000000000001" customHeight="1" x14ac:dyDescent="0.25">
      <c r="D146" s="133" t="str">
        <v>SS_m</v>
      </c>
      <c r="E146" s="133" t="str">
        <v>fraction of volatile solids separated to solid storage for each MMS</v>
      </c>
      <c r="F146" s="133"/>
      <c r="G146" s="133" t="str">
        <v>fraction</v>
      </c>
      <c r="H146" s="131" t="str">
        <v>Input</v>
      </c>
      <c r="I146" s="130" t="str" cm="1">
        <f t="array" aca="1" ref="I146" ca="1">HYPERLINK(Common_InputFunctions.Utility_SourceHyperlink($D$159),$D$159)</f>
        <v>M1_Table_SS_m</v>
      </c>
    </row>
    <row r="147" spans="4:22" ht="20.100000000000001" customHeight="1" x14ac:dyDescent="0.25"/>
    <row r="148" spans="4:22" ht="20.100000000000001" customHeight="1" x14ac:dyDescent="0.25">
      <c r="D148" s="100" t="s">
        <v>238</v>
      </c>
      <c r="O148" s="100" t="s">
        <v>240</v>
      </c>
    </row>
    <row r="149" spans="4:22" ht="20.100000000000001" customHeight="1" x14ac:dyDescent="0.25">
      <c r="D149" s="99" t="s">
        <v>239</v>
      </c>
      <c r="O149" s="99" t="s">
        <v>241</v>
      </c>
    </row>
    <row r="150" spans="4:22" ht="20.100000000000001" customHeight="1" x14ac:dyDescent="0.25">
      <c r="D150" s="40" t="s">
        <v>140</v>
      </c>
      <c r="E150" s="40" t="s">
        <v>65</v>
      </c>
      <c r="F150" s="40" t="s">
        <v>165</v>
      </c>
      <c r="G150" s="40" t="s">
        <v>182</v>
      </c>
      <c r="H150" s="40" t="s">
        <v>183</v>
      </c>
      <c r="I150" s="40" t="s">
        <v>184</v>
      </c>
      <c r="J150" s="40" t="s">
        <v>185</v>
      </c>
      <c r="O150" s="40" t="s">
        <v>140</v>
      </c>
      <c r="P150" s="40" t="s">
        <v>65</v>
      </c>
      <c r="Q150" s="40" t="s">
        <v>165</v>
      </c>
      <c r="R150" s="40" t="s">
        <v>182</v>
      </c>
      <c r="S150" s="40" t="s">
        <v>183</v>
      </c>
      <c r="T150" s="40" t="s">
        <v>184</v>
      </c>
      <c r="U150" s="40" t="s">
        <v>185</v>
      </c>
    </row>
    <row r="151" spans="4:22" ht="20.100000000000001" customHeight="1" x14ac:dyDescent="0.25">
      <c r="D151" s="53" t="str">
        <f>INDEX(X_Table_Dairy_ProductionSystems_Method1,2,1)</f>
        <v>Pasture</v>
      </c>
      <c r="E151" s="53" t="str">
        <f>'Constants - Common Livestock'!$E$27</f>
        <v>Pasture range and paddock</v>
      </c>
      <c r="F151" s="53" cm="1">
        <f t="array" aca="1" ref="F151:J151" ca="1">OFFSET(X_Table_Dairy_ProductionSystems_Method1, 1,1,1,5)</f>
        <v>0</v>
      </c>
      <c r="G151" s="53">
        <f ca="1"/>
        <v>0</v>
      </c>
      <c r="H151" s="53">
        <f ca="1"/>
        <v>0</v>
      </c>
      <c r="I151" s="53">
        <f ca="1"/>
        <v>0</v>
      </c>
      <c r="J151" s="53">
        <f ca="1"/>
        <v>0</v>
      </c>
      <c r="K151" s="2" t="str">
        <f>$G$145</f>
        <v>fraction</v>
      </c>
      <c r="O151" s="53" t="str">
        <f>INDEX(X_Table_Dairy_ProductionSystems_Method1,2,1)</f>
        <v>Pasture</v>
      </c>
      <c r="P151" s="53" t="str">
        <f>'Constants - Common Livestock'!$E$27</f>
        <v>Pasture range and paddock</v>
      </c>
      <c r="Q151" s="53" cm="1">
        <f t="array" aca="1" ref="Q151:U151" ca="1">OFFSET(X_Table_Dairy_ProductionSystems_Method2, 1,1,1,5)</f>
        <v>0</v>
      </c>
      <c r="R151" s="53">
        <f ca="1"/>
        <v>0</v>
      </c>
      <c r="S151" s="53">
        <f ca="1"/>
        <v>0</v>
      </c>
      <c r="T151" s="53">
        <f ca="1"/>
        <v>0</v>
      </c>
      <c r="U151" s="53">
        <f ca="1"/>
        <v>0</v>
      </c>
    </row>
    <row r="152" spans="4:22" ht="20.100000000000001" customHeight="1" x14ac:dyDescent="0.25">
      <c r="D152" s="53" t="str">
        <f>INDEX(X_Table_Dairy_ProductionSystems_Method1,3,1)</f>
        <v>Milking shed</v>
      </c>
      <c r="E152" s="53" t="str">
        <f>INDEX(X_Table_Dairy_Stage1MMS_1_AnaerobicLagoon,2,1)</f>
        <v>Anaerobic lagoon</v>
      </c>
      <c r="F152" s="53" cm="1">
        <f t="array" aca="1" ref="F152:J152" ca="1">OFFSET(X_Table_Dairy_ProductionSystems_Method1, 2,1,1,5)*OFFSET(X_Table_Dairy_Stage1MMS_1_AnaerobicLagoon, 1,1,1,5)</f>
        <v>0</v>
      </c>
      <c r="G152" s="53">
        <f ca="1"/>
        <v>0</v>
      </c>
      <c r="H152" s="53">
        <f ca="1"/>
        <v>0</v>
      </c>
      <c r="I152" s="53">
        <f ca="1"/>
        <v>0</v>
      </c>
      <c r="J152" s="53">
        <f ca="1"/>
        <v>0</v>
      </c>
      <c r="K152" s="2"/>
      <c r="O152" s="53" t="str">
        <f>INDEX(X_Table_Dairy_ProductionSystems_Method1,3,1)</f>
        <v>Milking shed</v>
      </c>
      <c r="P152" s="53" t="str">
        <f>INDEX(X_Table_Dairy_Stage1MMS_1_AnaerobicLagoon,2,1)</f>
        <v>Anaerobic lagoon</v>
      </c>
      <c r="Q152" s="53" cm="1">
        <f t="array" aca="1" ref="Q152:U152" ca="1">OFFSET(X_Table_Dairy_ProductionSystems_Method2, 2,1,1,5)*OFFSET(X_Table_Dairy_Stage1MMS_1_AnaerobicLagoon, 1,1,1,5)</f>
        <v>0</v>
      </c>
      <c r="R152" s="53">
        <f ca="1"/>
        <v>0</v>
      </c>
      <c r="S152" s="53">
        <f ca="1"/>
        <v>0</v>
      </c>
      <c r="T152" s="53">
        <f ca="1"/>
        <v>0</v>
      </c>
      <c r="U152" s="53">
        <f ca="1"/>
        <v>0</v>
      </c>
      <c r="V152" s="2" t="str">
        <f>$G$145</f>
        <v>fraction</v>
      </c>
    </row>
    <row r="153" spans="4:22" ht="20.100000000000001" customHeight="1" x14ac:dyDescent="0.25">
      <c r="D153" s="53" t="str">
        <f>INDEX(X_Table_Dairy_ProductionSystems_Method1,3,1)</f>
        <v>Milking shed</v>
      </c>
      <c r="E153" s="53" t="str">
        <f>INDEX(X_Table_Dairy_Stage1MMS_1_SumpAndDispersal,2,1)</f>
        <v>Sump and dispersal system</v>
      </c>
      <c r="F153" s="53" cm="1">
        <f t="array" aca="1" ref="F153:J153" ca="1">OFFSET(X_Table_Dairy_ProductionSystems_Method1, 2,1,1,5)*OFFSET(X_Table_Dairy_Stage1MMS_1_SumpAndDispersal, 1,1,1,5)</f>
        <v>1</v>
      </c>
      <c r="G153" s="53">
        <f ca="1"/>
        <v>0</v>
      </c>
      <c r="H153" s="53">
        <f ca="1"/>
        <v>0</v>
      </c>
      <c r="I153" s="53">
        <f ca="1"/>
        <v>0</v>
      </c>
      <c r="J153" s="53">
        <f ca="1"/>
        <v>0</v>
      </c>
      <c r="K153" s="2"/>
      <c r="O153" s="53" t="str">
        <f>INDEX(X_Table_Dairy_ProductionSystems_Method1,3,1)</f>
        <v>Milking shed</v>
      </c>
      <c r="P153" s="53" t="str">
        <f>INDEX(X_Table_Dairy_Stage1MMS_1_SumpAndDispersal,2,1)</f>
        <v>Sump and dispersal system</v>
      </c>
      <c r="Q153" s="53" cm="1">
        <f t="array" aca="1" ref="Q153:U153" ca="1">OFFSET(X_Table_Dairy_ProductionSystems_Method2, 2,1,1,5)*OFFSET(X_Table_Dairy_Stage1MMS_1_SumpAndDispersal, 1,1,1,5)</f>
        <v>1</v>
      </c>
      <c r="R153" s="53">
        <f ca="1"/>
        <v>0</v>
      </c>
      <c r="S153" s="53">
        <f ca="1"/>
        <v>0</v>
      </c>
      <c r="T153" s="53">
        <f ca="1"/>
        <v>0</v>
      </c>
      <c r="U153" s="53">
        <f ca="1"/>
        <v>0</v>
      </c>
      <c r="V153" s="2"/>
    </row>
    <row r="154" spans="4:22" ht="20.100000000000001" customHeight="1" x14ac:dyDescent="0.25">
      <c r="D154" s="53" t="str">
        <f>INDEX(X_Table_Dairy_ProductionSystems_Method1,3,1)</f>
        <v>Milking shed</v>
      </c>
      <c r="E154" s="53" t="str">
        <f>INDEX(X_Table_Dairy_Stage1MMS_1_DrainsToPaddock,2,1)</f>
        <v>Drains to paddock</v>
      </c>
      <c r="F154" s="53" cm="1">
        <f t="array" aca="1" ref="F154:J154" ca="1">OFFSET(X_Table_Dairy_ProductionSystems_Method1, 2,1,1,5)*OFFSET(X_Table_Dairy_Stage1MMS_1_DrainsToPaddock, 1,1,1,5)</f>
        <v>0</v>
      </c>
      <c r="G154" s="53">
        <f ca="1"/>
        <v>0</v>
      </c>
      <c r="H154" s="53">
        <f ca="1"/>
        <v>0</v>
      </c>
      <c r="I154" s="53">
        <f ca="1"/>
        <v>0</v>
      </c>
      <c r="J154" s="53">
        <f ca="1"/>
        <v>0</v>
      </c>
      <c r="K154" s="2"/>
      <c r="O154" s="53" t="str">
        <f>INDEX(X_Table_Dairy_ProductionSystems_Method1,3,1)</f>
        <v>Milking shed</v>
      </c>
      <c r="P154" s="53" t="str">
        <f>INDEX(X_Table_Dairy_Stage1MMS_1_DrainsToPaddock,2,1)</f>
        <v>Drains to paddock</v>
      </c>
      <c r="Q154" s="53" cm="1">
        <f t="array" aca="1" ref="Q154:U154" ca="1">OFFSET(X_Table_Dairy_ProductionSystems_Method2, 2,1,1,5)*OFFSET(X_Table_Dairy_Stage1MMS_1_DrainsToPaddock, 1,1,1,5)</f>
        <v>0</v>
      </c>
      <c r="R154" s="53">
        <f ca="1"/>
        <v>0</v>
      </c>
      <c r="S154" s="53">
        <f ca="1"/>
        <v>0</v>
      </c>
      <c r="T154" s="53">
        <f ca="1"/>
        <v>0</v>
      </c>
      <c r="U154" s="53">
        <f ca="1"/>
        <v>0</v>
      </c>
      <c r="V154" s="2"/>
    </row>
    <row r="155" spans="4:22" ht="20.100000000000001" customHeight="1" x14ac:dyDescent="0.25">
      <c r="D155" s="53" t="str">
        <f>INDEX(X_Table_Dairy_ProductionSystems_Method1,4,1)</f>
        <v>Feed pad</v>
      </c>
      <c r="E155" s="53" t="str">
        <f>INDEX(X_Table_Dairy_Stage1MMS_2_AnaerobicLagoon,2,1)</f>
        <v>Anaerobic lagoon</v>
      </c>
      <c r="F155" s="53" cm="1">
        <f t="array" aca="1" ref="F155:J155" ca="1">OFFSET(X_Table_Dairy_ProductionSystems_Method1, 3,1,1,5)*OFFSET(X_Table_Dairy_Stage1MMS_1_AnaerobicLagoon, 1,1,1,5)</f>
        <v>0</v>
      </c>
      <c r="G155" s="53">
        <f ca="1"/>
        <v>0</v>
      </c>
      <c r="H155" s="53">
        <f ca="1"/>
        <v>0</v>
      </c>
      <c r="I155" s="53">
        <f ca="1"/>
        <v>0</v>
      </c>
      <c r="J155" s="53">
        <f ca="1"/>
        <v>0</v>
      </c>
      <c r="K155" s="2"/>
      <c r="O155" s="53" t="str">
        <f>INDEX(X_Table_Dairy_ProductionSystems_Method1,4,1)</f>
        <v>Feed pad</v>
      </c>
      <c r="P155" s="53" t="str">
        <f>INDEX(X_Table_Dairy_Stage1MMS_2_AnaerobicLagoon,2,1)</f>
        <v>Anaerobic lagoon</v>
      </c>
      <c r="Q155" s="53" cm="1">
        <f t="array" aca="1" ref="Q155:U155" ca="1">OFFSET(X_Table_Dairy_ProductionSystems_Method2, 3,1,1,5)*OFFSET(X_Table_Dairy_Stage1MMS_1_AnaerobicLagoon, 1,1,1,5)</f>
        <v>0</v>
      </c>
      <c r="R155" s="53">
        <f ca="1"/>
        <v>0</v>
      </c>
      <c r="S155" s="53">
        <f ca="1"/>
        <v>0</v>
      </c>
      <c r="T155" s="53">
        <f ca="1"/>
        <v>0</v>
      </c>
      <c r="U155" s="53">
        <f ca="1"/>
        <v>0</v>
      </c>
      <c r="V155" s="2"/>
    </row>
    <row r="156" spans="4:22" ht="20.100000000000001" customHeight="1" x14ac:dyDescent="0.25">
      <c r="D156" s="53" t="str">
        <f>INDEX(X_Table_Dairy_ProductionSystems_Method1,4,1)</f>
        <v>Feed pad</v>
      </c>
      <c r="E156" s="53" t="str">
        <f>INDEX(X_Table_Dairy_Stage1MMS_2_SumpAndDispersal,2,1)</f>
        <v>Sump and dispersal system</v>
      </c>
      <c r="F156" s="53" cm="1">
        <f t="array" aca="1" ref="F156:J156" ca="1">OFFSET(X_Table_Dairy_ProductionSystems_Method1, 3,1,1,5)*OFFSET(X_Table_Dairy_Stage1MMS_1_SumpAndDispersal, 1,1,1,5)</f>
        <v>0</v>
      </c>
      <c r="G156" s="53">
        <f ca="1"/>
        <v>0</v>
      </c>
      <c r="H156" s="53">
        <f ca="1"/>
        <v>0</v>
      </c>
      <c r="I156" s="53">
        <f ca="1"/>
        <v>0</v>
      </c>
      <c r="J156" s="53">
        <f ca="1"/>
        <v>0</v>
      </c>
      <c r="K156" s="2"/>
      <c r="O156" s="53" t="str">
        <f>INDEX(X_Table_Dairy_ProductionSystems_Method1,4,1)</f>
        <v>Feed pad</v>
      </c>
      <c r="P156" s="53" t="str">
        <f>INDEX(X_Table_Dairy_Stage1MMS_2_SumpAndDispersal,2,1)</f>
        <v>Sump and dispersal system</v>
      </c>
      <c r="Q156" s="53" cm="1">
        <f t="array" aca="1" ref="Q156:U156" ca="1">OFFSET(X_Table_Dairy_ProductionSystems_Method2, 3,1,1,5)*OFFSET(X_Table_Dairy_Stage1MMS_1_SumpAndDispersal, 1,1,1,5)</f>
        <v>0</v>
      </c>
      <c r="R156" s="53">
        <f ca="1"/>
        <v>0</v>
      </c>
      <c r="S156" s="53">
        <f ca="1"/>
        <v>0</v>
      </c>
      <c r="T156" s="53">
        <f ca="1"/>
        <v>0</v>
      </c>
      <c r="U156" s="53">
        <f ca="1"/>
        <v>0</v>
      </c>
      <c r="V156" s="2"/>
    </row>
    <row r="157" spans="4:22" ht="20.100000000000001" customHeight="1" x14ac:dyDescent="0.25">
      <c r="D157" s="53" t="str">
        <f>INDEX(X_Table_Dairy_ProductionSystems_Method1,4,1)</f>
        <v>Feed pad</v>
      </c>
      <c r="E157" s="53" t="str">
        <f>INDEX(X_Table_Dairy_Stage1MMS_2_DrainsToPaddock,2,1)</f>
        <v>Drains to paddock</v>
      </c>
      <c r="F157" s="53" cm="1">
        <f t="array" aca="1" ref="F157:J157" ca="1">OFFSET(X_Table_Dairy_ProductionSystems_Method1, 3,1,1,5)*OFFSET(X_Table_Dairy_Stage1MMS_1_DrainsToPaddock, 1,1,1,5)</f>
        <v>0</v>
      </c>
      <c r="G157" s="53">
        <f ca="1"/>
        <v>0</v>
      </c>
      <c r="H157" s="53">
        <f ca="1"/>
        <v>0</v>
      </c>
      <c r="I157" s="53">
        <f ca="1"/>
        <v>0</v>
      </c>
      <c r="J157" s="53">
        <f ca="1"/>
        <v>0</v>
      </c>
      <c r="K157" s="2"/>
      <c r="O157" s="53" t="str">
        <f>INDEX(X_Table_Dairy_ProductionSystems_Method1,4,1)</f>
        <v>Feed pad</v>
      </c>
      <c r="P157" s="53" t="str">
        <f>INDEX(X_Table_Dairy_Stage1MMS_2_DrainsToPaddock,2,1)</f>
        <v>Drains to paddock</v>
      </c>
      <c r="Q157" s="53" cm="1">
        <f t="array" aca="1" ref="Q157:U157" ca="1">OFFSET(X_Table_Dairy_ProductionSystems_Method2, 3,1,1,5)*OFFSET(X_Table_Dairy_Stage1MMS_1_DrainsToPaddock, 1,1,1,5)</f>
        <v>0</v>
      </c>
      <c r="R157" s="53">
        <f ca="1"/>
        <v>0</v>
      </c>
      <c r="S157" s="53">
        <f ca="1"/>
        <v>0</v>
      </c>
      <c r="T157" s="53">
        <f ca="1"/>
        <v>0</v>
      </c>
      <c r="U157" s="53">
        <f ca="1"/>
        <v>0</v>
      </c>
      <c r="V157" s="2"/>
    </row>
    <row r="158" spans="4:22" ht="20.100000000000001" customHeight="1" x14ac:dyDescent="0.25"/>
    <row r="159" spans="4:22" ht="20.100000000000001" customHeight="1" x14ac:dyDescent="0.25">
      <c r="D159" s="100" t="s">
        <v>236</v>
      </c>
      <c r="O159" s="100" t="s">
        <v>242</v>
      </c>
    </row>
    <row r="160" spans="4:22" ht="20.100000000000001" customHeight="1" x14ac:dyDescent="0.25">
      <c r="D160" s="99" t="s">
        <v>245</v>
      </c>
      <c r="O160" s="99" t="s">
        <v>246</v>
      </c>
    </row>
    <row r="161" spans="4:22" ht="20.100000000000001" customHeight="1" x14ac:dyDescent="0.25">
      <c r="D161" s="40" t="s">
        <v>140</v>
      </c>
      <c r="E161" s="40" t="s">
        <v>65</v>
      </c>
      <c r="F161" s="40" t="s">
        <v>237</v>
      </c>
      <c r="O161" s="40" t="s">
        <v>140</v>
      </c>
      <c r="P161" s="40" t="s">
        <v>65</v>
      </c>
      <c r="Q161" s="40" t="s">
        <v>237</v>
      </c>
    </row>
    <row r="162" spans="4:22" ht="20.100000000000001" customHeight="1" x14ac:dyDescent="0.25">
      <c r="D162" s="53" t="str">
        <f>INDEX(X_Table_Dairy_ProductionSystems_Method1,2,1)</f>
        <v>Pasture</v>
      </c>
      <c r="E162" s="53" t="str">
        <f>'Constants - Common Livestock'!$E$27</f>
        <v>Pasture range and paddock</v>
      </c>
      <c r="F162" s="53">
        <v>0</v>
      </c>
      <c r="G162" s="2" t="str">
        <f>$G$146</f>
        <v>fraction</v>
      </c>
      <c r="O162" s="53" t="str">
        <f>INDEX(X_Table_Dairy_ProductionSystems_Method1,2,1)</f>
        <v>Pasture</v>
      </c>
      <c r="P162" s="53" t="str">
        <f>'Constants - Common Livestock'!$E$27</f>
        <v>Pasture range and paddock</v>
      </c>
      <c r="Q162" s="53">
        <v>0</v>
      </c>
      <c r="R162" s="2" t="str">
        <f>$G$146</f>
        <v>fraction</v>
      </c>
    </row>
    <row r="163" spans="4:22" ht="20.100000000000001" customHeight="1" x14ac:dyDescent="0.25">
      <c r="D163" s="53" t="str">
        <f>INDEX(X_Table_Dairy_ProductionSystems_Method1,3,1)</f>
        <v>Milking shed</v>
      </c>
      <c r="E163" s="53" t="str">
        <f>INDEX(X_Table_Dairy_Stage1MMS_1_AnaerobicLagoon,2,1)</f>
        <v>Anaerobic lagoon</v>
      </c>
      <c r="F163" s="53">
        <f>X_Cell_Dairy_Stage1MMS_1_AnaerobicLagoon_AmountSeparated_Method1</f>
        <v>0</v>
      </c>
      <c r="O163" s="53" t="str">
        <f>INDEX(X_Table_Dairy_ProductionSystems_Method1,3,1)</f>
        <v>Milking shed</v>
      </c>
      <c r="P163" s="53" t="str">
        <f>INDEX(X_Table_Dairy_Stage1MMS_1_AnaerobicLagoon,2,1)</f>
        <v>Anaerobic lagoon</v>
      </c>
      <c r="Q163" s="53">
        <f>X_Cell_Dairy_Stage1MMS_1_AnaerobicLagoon_AmountSeparated_Method2</f>
        <v>0</v>
      </c>
      <c r="R163" s="2"/>
    </row>
    <row r="164" spans="4:22" ht="20.100000000000001" customHeight="1" x14ac:dyDescent="0.25">
      <c r="D164" s="53" t="str">
        <f>INDEX(X_Table_Dairy_ProductionSystems_Method1,3,1)</f>
        <v>Milking shed</v>
      </c>
      <c r="E164" s="53" t="str">
        <f>INDEX(X_Table_Dairy_Stage1MMS_1_SumpAndDispersal,2,1)</f>
        <v>Sump and dispersal system</v>
      </c>
      <c r="F164" s="53">
        <f>X_Cell_Dairy_Stage1MMS_1_SumpAndDispersal_AmountSeparated_Method1</f>
        <v>0</v>
      </c>
      <c r="G164" s="2"/>
      <c r="O164" s="53" t="str">
        <f>INDEX(X_Table_Dairy_ProductionSystems_Method1,3,1)</f>
        <v>Milking shed</v>
      </c>
      <c r="P164" s="53" t="str">
        <f>INDEX(X_Table_Dairy_Stage1MMS_1_SumpAndDispersal,2,1)</f>
        <v>Sump and dispersal system</v>
      </c>
      <c r="Q164" s="53">
        <f>X_Cell_Dairy_Stage1MMS_1_SumpAndDispersal_AmountSeparated_Method2</f>
        <v>0</v>
      </c>
      <c r="R164" s="2"/>
    </row>
    <row r="165" spans="4:22" ht="20.100000000000001" customHeight="1" x14ac:dyDescent="0.25">
      <c r="D165" s="53" t="str">
        <f>INDEX(X_Table_Dairy_ProductionSystems_Method1,3,1)</f>
        <v>Milking shed</v>
      </c>
      <c r="E165" s="53" t="str">
        <f>INDEX(X_Table_Dairy_Stage1MMS_1_DrainsToPaddock,2,1)</f>
        <v>Drains to paddock</v>
      </c>
      <c r="F165" s="53">
        <f>X_Cell_Dairy_Stage1MMS_1_DrainsToPaddock_AmountSeparated_Method1</f>
        <v>0</v>
      </c>
      <c r="G165" s="2"/>
      <c r="O165" s="53" t="str">
        <f>INDEX(X_Table_Dairy_ProductionSystems_Method1,3,1)</f>
        <v>Milking shed</v>
      </c>
      <c r="P165" s="53" t="str">
        <f>INDEX(X_Table_Dairy_Stage1MMS_1_DrainsToPaddock,2,1)</f>
        <v>Drains to paddock</v>
      </c>
      <c r="Q165" s="53">
        <f>X_Cell_Dairy_Stage1MMS_1_DrainsToPaddock_AmountSeparated_Method2</f>
        <v>0</v>
      </c>
      <c r="R165" s="2"/>
    </row>
    <row r="166" spans="4:22" ht="20.100000000000001" customHeight="1" x14ac:dyDescent="0.25">
      <c r="D166" s="53" t="str">
        <f>INDEX(X_Table_Dairy_ProductionSystems_Method1,4,1)</f>
        <v>Feed pad</v>
      </c>
      <c r="E166" s="53" t="str">
        <f>INDEX(X_Table_Dairy_Stage1MMS_2_AnaerobicLagoon,2,1)</f>
        <v>Anaerobic lagoon</v>
      </c>
      <c r="F166" s="53">
        <f>X_Cell_Dairy_Stage1MMS_2_AnaerobicLagoon_AmountSeparated_Method1</f>
        <v>0</v>
      </c>
      <c r="G166" s="2"/>
      <c r="O166" s="53" t="str">
        <f>INDEX(X_Table_Dairy_ProductionSystems_Method1,4,1)</f>
        <v>Feed pad</v>
      </c>
      <c r="P166" s="53" t="str">
        <f>INDEX(X_Table_Dairy_Stage1MMS_2_AnaerobicLagoon,2,1)</f>
        <v>Anaerobic lagoon</v>
      </c>
      <c r="Q166" s="53">
        <f>X_Cell_Dairy_Stage1MMS_2_AnaerobicLagoon_AmountSeparated_Method2</f>
        <v>0</v>
      </c>
      <c r="R166" s="2"/>
    </row>
    <row r="167" spans="4:22" ht="20.100000000000001" customHeight="1" x14ac:dyDescent="0.25">
      <c r="D167" s="53" t="str">
        <f>INDEX(X_Table_Dairy_ProductionSystems_Method1,4,1)</f>
        <v>Feed pad</v>
      </c>
      <c r="E167" s="53" t="str">
        <f>INDEX(X_Table_Dairy_Stage1MMS_2_SumpAndDispersal,2,1)</f>
        <v>Sump and dispersal system</v>
      </c>
      <c r="F167" s="53">
        <f>X_Cell_Dairy_Stage1MMS_2_SumpAndDispersal_AmountSeparated_Method1</f>
        <v>0</v>
      </c>
      <c r="G167" s="2"/>
      <c r="O167" s="53" t="str">
        <f>INDEX(X_Table_Dairy_ProductionSystems_Method1,4,1)</f>
        <v>Feed pad</v>
      </c>
      <c r="P167" s="53" t="str">
        <f>INDEX(X_Table_Dairy_Stage1MMS_2_SumpAndDispersal,2,1)</f>
        <v>Sump and dispersal system</v>
      </c>
      <c r="Q167" s="53">
        <f>X_Cell_Dairy_Stage1MMS_2_SumpAndDispersal_AmountSeparated_Method2</f>
        <v>0</v>
      </c>
      <c r="R167" s="2"/>
    </row>
    <row r="168" spans="4:22" ht="20.100000000000001" customHeight="1" x14ac:dyDescent="0.25">
      <c r="D168" s="53" t="str">
        <f>INDEX(X_Table_Dairy_ProductionSystems_Method1,4,1)</f>
        <v>Feed pad</v>
      </c>
      <c r="E168" s="53" t="str">
        <f>INDEX(X_Table_Dairy_Stage1MMS_2_DrainsToPaddock,2,1)</f>
        <v>Drains to paddock</v>
      </c>
      <c r="F168" s="53">
        <f>X_Cell_Dairy_Stage1MMS_2_DrainsToPaddock_AmountSeparated_Method1</f>
        <v>0</v>
      </c>
      <c r="G168" s="2"/>
      <c r="O168" s="53" t="str">
        <f>INDEX(X_Table_Dairy_ProductionSystems_Method1,4,1)</f>
        <v>Feed pad</v>
      </c>
      <c r="P168" s="53" t="str">
        <f>INDEX(X_Table_Dairy_Stage1MMS_2_DrainsToPaddock,2,1)</f>
        <v>Drains to paddock</v>
      </c>
      <c r="Q168" s="53">
        <f>X_Cell_Dairy_Stage1MMS_2_DrainsToPaddock_AmountSeparated_Method2</f>
        <v>0</v>
      </c>
      <c r="R168" s="2"/>
    </row>
    <row r="169" spans="4:22" ht="20.100000000000001" customHeight="1" x14ac:dyDescent="0.25"/>
    <row r="170" spans="4:22" ht="20.100000000000001" customHeight="1" x14ac:dyDescent="0.25">
      <c r="D170" s="100" t="s">
        <v>235</v>
      </c>
      <c r="O170" s="100" t="s">
        <v>235</v>
      </c>
    </row>
    <row r="171" spans="4:22" ht="20.100000000000001" customHeight="1" x14ac:dyDescent="0.25">
      <c r="D171" s="99" t="s">
        <v>234</v>
      </c>
      <c r="O171" s="99" t="s">
        <v>446</v>
      </c>
    </row>
    <row r="172" spans="4:22" ht="20.100000000000001" customHeight="1" x14ac:dyDescent="0.25">
      <c r="D172" s="52" t="s">
        <v>140</v>
      </c>
      <c r="E172" s="52" t="s">
        <v>65</v>
      </c>
      <c r="F172" s="52" t="s">
        <v>165</v>
      </c>
      <c r="G172" s="52" t="s">
        <v>182</v>
      </c>
      <c r="H172" s="52" t="s">
        <v>183</v>
      </c>
      <c r="I172" s="52" t="s">
        <v>184</v>
      </c>
      <c r="J172" s="52" t="s">
        <v>185</v>
      </c>
      <c r="O172" s="52" t="s">
        <v>140</v>
      </c>
      <c r="P172" s="52" t="s">
        <v>65</v>
      </c>
      <c r="Q172" s="52" t="s">
        <v>165</v>
      </c>
      <c r="R172" s="52" t="s">
        <v>182</v>
      </c>
      <c r="S172" s="52" t="s">
        <v>183</v>
      </c>
      <c r="T172" s="52" t="s">
        <v>184</v>
      </c>
      <c r="U172" s="52" t="s">
        <v>185</v>
      </c>
    </row>
    <row r="173" spans="4:22" ht="20.100000000000001" customHeight="1" x14ac:dyDescent="0.25">
      <c r="D173" s="53" t="str">
        <f>INDEX(X_Table_Dairy_ProductionSystems_Method1,2,1)</f>
        <v>Pasture</v>
      </c>
      <c r="E173" s="53" t="str">
        <f>'Constants - Common Livestock'!$E$27</f>
        <v>Pasture range and paddock</v>
      </c>
      <c r="F173" s="53" cm="1">
        <f t="array" aca="1" ref="F173" ca="1">MMS_Dairy_Methane_Equations.VEERG_4_3_1_1__4_FractionVolatileSolidsNotSolidStorage(F151,$F162)</f>
        <v>0</v>
      </c>
      <c r="G173" s="53" cm="1">
        <f t="array" aca="1" ref="G173" ca="1">MMS_Dairy_Methane_Equations.VEERG_4_3_1_1__4_FractionVolatileSolidsNotSolidStorage(G151,$F162)</f>
        <v>0</v>
      </c>
      <c r="H173" s="53" cm="1">
        <f t="array" aca="1" ref="H173" ca="1">MMS_Dairy_Methane_Equations.VEERG_4_3_1_1__4_FractionVolatileSolidsNotSolidStorage(H151,$F162)</f>
        <v>0</v>
      </c>
      <c r="I173" s="53" cm="1">
        <f t="array" aca="1" ref="I173" ca="1">MMS_Dairy_Methane_Equations.VEERG_4_3_1_1__4_FractionVolatileSolidsNotSolidStorage(I151,$F162)</f>
        <v>0</v>
      </c>
      <c r="J173" s="53" cm="1">
        <f t="array" aca="1" ref="J173" ca="1">MMS_Dairy_Methane_Equations.VEERG_4_3_1_1__4_FractionVolatileSolidsNotSolidStorage(J151,$F162)</f>
        <v>0</v>
      </c>
      <c r="K173" s="2" t="str">
        <f>$E$143</f>
        <v>fraction</v>
      </c>
      <c r="O173" s="53" t="str">
        <f>INDEX(X_Table_Dairy_ProductionSystems_Method1,2,1)</f>
        <v>Pasture</v>
      </c>
      <c r="P173" s="53" t="str">
        <f>'Constants - Common Livestock'!$E$27</f>
        <v>Pasture range and paddock</v>
      </c>
      <c r="Q173" s="53" cm="1">
        <f t="array" aca="1" ref="Q173" ca="1">MMS_Dairy_Methane_Equations.VEERG_4_3_1_1__4_FractionVolatileSolidsNotSolidStorage(Q151,$Q162)</f>
        <v>0</v>
      </c>
      <c r="R173" s="53" cm="1">
        <f t="array" aca="1" ref="R173" ca="1">MMS_Dairy_Methane_Equations.VEERG_4_3_1_1__4_FractionVolatileSolidsNotSolidStorage(R151,$Q162)</f>
        <v>0</v>
      </c>
      <c r="S173" s="53" cm="1">
        <f t="array" aca="1" ref="S173" ca="1">MMS_Dairy_Methane_Equations.VEERG_4_3_1_1__4_FractionVolatileSolidsNotSolidStorage(S151,$Q162)</f>
        <v>0</v>
      </c>
      <c r="T173" s="53" cm="1">
        <f t="array" aca="1" ref="T173" ca="1">MMS_Dairy_Methane_Equations.VEERG_4_3_1_1__4_FractionVolatileSolidsNotSolidStorage(T151,$Q162)</f>
        <v>0</v>
      </c>
      <c r="U173" s="53" cm="1">
        <f t="array" aca="1" ref="U173" ca="1">MMS_Dairy_Methane_Equations.VEERG_4_3_1_1__4_FractionVolatileSolidsNotSolidStorage(U151,$Q162)</f>
        <v>0</v>
      </c>
      <c r="V173" s="2" t="str">
        <f>$E$143</f>
        <v>fraction</v>
      </c>
    </row>
    <row r="174" spans="4:22" ht="20.100000000000001" customHeight="1" x14ac:dyDescent="0.25">
      <c r="D174" s="53" t="str">
        <f>INDEX(X_Table_Dairy_ProductionSystems_Method1,3,1)</f>
        <v>Milking shed</v>
      </c>
      <c r="E174" s="53" t="str">
        <f>INDEX(X_Table_Dairy_Stage1MMS_1_AnaerobicLagoon,2,1)</f>
        <v>Anaerobic lagoon</v>
      </c>
      <c r="F174" s="53" cm="1">
        <f t="array" aca="1" ref="F174" ca="1">MMS_Dairy_Methane_Equations.VEERG_4_3_1_1__4_FractionVolatileSolidsNotSolidStorage(F152,$F163)</f>
        <v>0</v>
      </c>
      <c r="G174" s="53" cm="1">
        <f t="array" aca="1" ref="G174" ca="1">MMS_Dairy_Methane_Equations.VEERG_4_3_1_1__4_FractionVolatileSolidsNotSolidStorage(G152,$F163)</f>
        <v>0</v>
      </c>
      <c r="H174" s="53" cm="1">
        <f t="array" aca="1" ref="H174" ca="1">MMS_Dairy_Methane_Equations.VEERG_4_3_1_1__4_FractionVolatileSolidsNotSolidStorage(H152,$F163)</f>
        <v>0</v>
      </c>
      <c r="I174" s="53" cm="1">
        <f t="array" aca="1" ref="I174" ca="1">MMS_Dairy_Methane_Equations.VEERG_4_3_1_1__4_FractionVolatileSolidsNotSolidStorage(I152,$F163)</f>
        <v>0</v>
      </c>
      <c r="J174" s="53" cm="1">
        <f t="array" aca="1" ref="J174" ca="1">MMS_Dairy_Methane_Equations.VEERG_4_3_1_1__4_FractionVolatileSolidsNotSolidStorage(J152,$F163)</f>
        <v>0</v>
      </c>
      <c r="O174" s="53" t="str">
        <f>INDEX(X_Table_Dairy_ProductionSystems_Method1,3,1)</f>
        <v>Milking shed</v>
      </c>
      <c r="P174" s="53" t="str">
        <f>INDEX(X_Table_Dairy_Stage1MMS_1_AnaerobicLagoon,2,1)</f>
        <v>Anaerobic lagoon</v>
      </c>
      <c r="Q174" s="53" cm="1">
        <f t="array" aca="1" ref="Q174" ca="1">MMS_Dairy_Methane_Equations.VEERG_4_3_1_1__4_FractionVolatileSolidsNotSolidStorage(Q152,$Q163)</f>
        <v>0</v>
      </c>
      <c r="R174" s="53" cm="1">
        <f t="array" aca="1" ref="R174" ca="1">MMS_Dairy_Methane_Equations.VEERG_4_3_1_1__4_FractionVolatileSolidsNotSolidStorage(R152,$Q163)</f>
        <v>0</v>
      </c>
      <c r="S174" s="53" cm="1">
        <f t="array" aca="1" ref="S174" ca="1">MMS_Dairy_Methane_Equations.VEERG_4_3_1_1__4_FractionVolatileSolidsNotSolidStorage(S152,$Q163)</f>
        <v>0</v>
      </c>
      <c r="T174" s="53" cm="1">
        <f t="array" aca="1" ref="T174" ca="1">MMS_Dairy_Methane_Equations.VEERG_4_3_1_1__4_FractionVolatileSolidsNotSolidStorage(T152,$Q163)</f>
        <v>0</v>
      </c>
      <c r="U174" s="53" cm="1">
        <f t="array" aca="1" ref="U174" ca="1">MMS_Dairy_Methane_Equations.VEERG_4_3_1_1__4_FractionVolatileSolidsNotSolidStorage(U152,$Q163)</f>
        <v>0</v>
      </c>
    </row>
    <row r="175" spans="4:22" ht="20.100000000000001" customHeight="1" x14ac:dyDescent="0.25">
      <c r="D175" s="53" t="str">
        <f>INDEX(X_Table_Dairy_ProductionSystems_Method1,3,1)</f>
        <v>Milking shed</v>
      </c>
      <c r="E175" s="53" t="str">
        <f>INDEX(X_Table_Dairy_Stage1MMS_1_SumpAndDispersal,2,1)</f>
        <v>Sump and dispersal system</v>
      </c>
      <c r="F175" s="53" cm="1">
        <f t="array" aca="1" ref="F175" ca="1">MMS_Dairy_Methane_Equations.VEERG_4_3_1_1__4_FractionVolatileSolidsNotSolidStorage(F153,$F164)</f>
        <v>1</v>
      </c>
      <c r="G175" s="53" cm="1">
        <f t="array" aca="1" ref="G175" ca="1">MMS_Dairy_Methane_Equations.VEERG_4_3_1_1__4_FractionVolatileSolidsNotSolidStorage(G153,$F164)</f>
        <v>0</v>
      </c>
      <c r="H175" s="53" cm="1">
        <f t="array" aca="1" ref="H175" ca="1">MMS_Dairy_Methane_Equations.VEERG_4_3_1_1__4_FractionVolatileSolidsNotSolidStorage(H153,$F164)</f>
        <v>0</v>
      </c>
      <c r="I175" s="53" cm="1">
        <f t="array" aca="1" ref="I175" ca="1">MMS_Dairy_Methane_Equations.VEERG_4_3_1_1__4_FractionVolatileSolidsNotSolidStorage(I153,$F164)</f>
        <v>0</v>
      </c>
      <c r="J175" s="53" cm="1">
        <f t="array" aca="1" ref="J175" ca="1">MMS_Dairy_Methane_Equations.VEERG_4_3_1_1__4_FractionVolatileSolidsNotSolidStorage(J153,$F164)</f>
        <v>0</v>
      </c>
      <c r="K175" s="2"/>
      <c r="O175" s="53" t="str">
        <f>INDEX(X_Table_Dairy_ProductionSystems_Method1,3,1)</f>
        <v>Milking shed</v>
      </c>
      <c r="P175" s="53" t="str">
        <f>INDEX(X_Table_Dairy_Stage1MMS_1_SumpAndDispersal,2,1)</f>
        <v>Sump and dispersal system</v>
      </c>
      <c r="Q175" s="53" cm="1">
        <f t="array" aca="1" ref="Q175" ca="1">MMS_Dairy_Methane_Equations.VEERG_4_3_1_1__4_FractionVolatileSolidsNotSolidStorage(Q153,$Q164)</f>
        <v>1</v>
      </c>
      <c r="R175" s="53" cm="1">
        <f t="array" aca="1" ref="R175" ca="1">MMS_Dairy_Methane_Equations.VEERG_4_3_1_1__4_FractionVolatileSolidsNotSolidStorage(R153,$Q164)</f>
        <v>0</v>
      </c>
      <c r="S175" s="53" cm="1">
        <f t="array" aca="1" ref="S175" ca="1">MMS_Dairy_Methane_Equations.VEERG_4_3_1_1__4_FractionVolatileSolidsNotSolidStorage(S153,$Q164)</f>
        <v>0</v>
      </c>
      <c r="T175" s="53" cm="1">
        <f t="array" aca="1" ref="T175" ca="1">MMS_Dairy_Methane_Equations.VEERG_4_3_1_1__4_FractionVolatileSolidsNotSolidStorage(T153,$Q164)</f>
        <v>0</v>
      </c>
      <c r="U175" s="53" cm="1">
        <f t="array" aca="1" ref="U175" ca="1">MMS_Dairy_Methane_Equations.VEERG_4_3_1_1__4_FractionVolatileSolidsNotSolidStorage(U153,$Q164)</f>
        <v>0</v>
      </c>
      <c r="V175" s="2"/>
    </row>
    <row r="176" spans="4:22" ht="20.100000000000001" customHeight="1" x14ac:dyDescent="0.25">
      <c r="D176" s="53" t="str">
        <f>INDEX(X_Table_Dairy_ProductionSystems_Method1,3,1)</f>
        <v>Milking shed</v>
      </c>
      <c r="E176" s="53" t="str">
        <f>INDEX(X_Table_Dairy_Stage1MMS_1_DrainsToPaddock,2,1)</f>
        <v>Drains to paddock</v>
      </c>
      <c r="F176" s="53" cm="1">
        <f t="array" aca="1" ref="F176" ca="1">MMS_Dairy_Methane_Equations.VEERG_4_3_1_1__4_FractionVolatileSolidsNotSolidStorage(F154,$F165)</f>
        <v>0</v>
      </c>
      <c r="G176" s="53" cm="1">
        <f t="array" aca="1" ref="G176" ca="1">MMS_Dairy_Methane_Equations.VEERG_4_3_1_1__4_FractionVolatileSolidsNotSolidStorage(G154,$F165)</f>
        <v>0</v>
      </c>
      <c r="H176" s="53" cm="1">
        <f t="array" aca="1" ref="H176" ca="1">MMS_Dairy_Methane_Equations.VEERG_4_3_1_1__4_FractionVolatileSolidsNotSolidStorage(H154,$F165)</f>
        <v>0</v>
      </c>
      <c r="I176" s="53" cm="1">
        <f t="array" aca="1" ref="I176" ca="1">MMS_Dairy_Methane_Equations.VEERG_4_3_1_1__4_FractionVolatileSolidsNotSolidStorage(I154,$F165)</f>
        <v>0</v>
      </c>
      <c r="J176" s="53" cm="1">
        <f t="array" aca="1" ref="J176" ca="1">MMS_Dairy_Methane_Equations.VEERG_4_3_1_1__4_FractionVolatileSolidsNotSolidStorage(J154,$F165)</f>
        <v>0</v>
      </c>
      <c r="K176" s="2"/>
      <c r="O176" s="53" t="str">
        <f>INDEX(X_Table_Dairy_ProductionSystems_Method1,3,1)</f>
        <v>Milking shed</v>
      </c>
      <c r="P176" s="53" t="str">
        <f>INDEX(X_Table_Dairy_Stage1MMS_1_DrainsToPaddock,2,1)</f>
        <v>Drains to paddock</v>
      </c>
      <c r="Q176" s="53" cm="1">
        <f t="array" aca="1" ref="Q176" ca="1">MMS_Dairy_Methane_Equations.VEERG_4_3_1_1__4_FractionVolatileSolidsNotSolidStorage(Q154,$Q165)</f>
        <v>0</v>
      </c>
      <c r="R176" s="53" cm="1">
        <f t="array" aca="1" ref="R176" ca="1">MMS_Dairy_Methane_Equations.VEERG_4_3_1_1__4_FractionVolatileSolidsNotSolidStorage(R154,$Q165)</f>
        <v>0</v>
      </c>
      <c r="S176" s="53" cm="1">
        <f t="array" aca="1" ref="S176" ca="1">MMS_Dairy_Methane_Equations.VEERG_4_3_1_1__4_FractionVolatileSolidsNotSolidStorage(S154,$Q165)</f>
        <v>0</v>
      </c>
      <c r="T176" s="53" cm="1">
        <f t="array" aca="1" ref="T176" ca="1">MMS_Dairy_Methane_Equations.VEERG_4_3_1_1__4_FractionVolatileSolidsNotSolidStorage(T154,$Q165)</f>
        <v>0</v>
      </c>
      <c r="U176" s="53" cm="1">
        <f t="array" aca="1" ref="U176" ca="1">MMS_Dairy_Methane_Equations.VEERG_4_3_1_1__4_FractionVolatileSolidsNotSolidStorage(U154,$Q165)</f>
        <v>0</v>
      </c>
      <c r="V176" s="2"/>
    </row>
    <row r="177" spans="1:23" ht="20.100000000000001" customHeight="1" x14ac:dyDescent="0.25">
      <c r="D177" s="53" t="str">
        <f>INDEX(X_Table_Dairy_ProductionSystems_Method1,4,1)</f>
        <v>Feed pad</v>
      </c>
      <c r="E177" s="53" t="str">
        <f>INDEX(X_Table_Dairy_Stage1MMS_2_AnaerobicLagoon,2,1)</f>
        <v>Anaerobic lagoon</v>
      </c>
      <c r="F177" s="53" cm="1">
        <f t="array" aca="1" ref="F177" ca="1">MMS_Dairy_Methane_Equations.VEERG_4_3_1_1__4_FractionVolatileSolidsNotSolidStorage(F155,$F166)</f>
        <v>0</v>
      </c>
      <c r="G177" s="53" cm="1">
        <f t="array" aca="1" ref="G177" ca="1">MMS_Dairy_Methane_Equations.VEERG_4_3_1_1__4_FractionVolatileSolidsNotSolidStorage(G155,$F166)</f>
        <v>0</v>
      </c>
      <c r="H177" s="53" cm="1">
        <f t="array" aca="1" ref="H177" ca="1">MMS_Dairy_Methane_Equations.VEERG_4_3_1_1__4_FractionVolatileSolidsNotSolidStorage(H155,$F166)</f>
        <v>0</v>
      </c>
      <c r="I177" s="53" cm="1">
        <f t="array" aca="1" ref="I177" ca="1">MMS_Dairy_Methane_Equations.VEERG_4_3_1_1__4_FractionVolatileSolidsNotSolidStorage(I155,$F166)</f>
        <v>0</v>
      </c>
      <c r="J177" s="53" cm="1">
        <f t="array" aca="1" ref="J177" ca="1">MMS_Dairy_Methane_Equations.VEERG_4_3_1_1__4_FractionVolatileSolidsNotSolidStorage(J155,$F166)</f>
        <v>0</v>
      </c>
      <c r="K177" s="2"/>
      <c r="O177" s="53" t="str">
        <f>INDEX(X_Table_Dairy_ProductionSystems_Method1,4,1)</f>
        <v>Feed pad</v>
      </c>
      <c r="P177" s="53" t="str">
        <f>INDEX(X_Table_Dairy_Stage1MMS_2_AnaerobicLagoon,2,1)</f>
        <v>Anaerobic lagoon</v>
      </c>
      <c r="Q177" s="53" cm="1">
        <f t="array" aca="1" ref="Q177" ca="1">MMS_Dairy_Methane_Equations.VEERG_4_3_1_1__4_FractionVolatileSolidsNotSolidStorage(Q155,$Q166)</f>
        <v>0</v>
      </c>
      <c r="R177" s="53" cm="1">
        <f t="array" aca="1" ref="R177" ca="1">MMS_Dairy_Methane_Equations.VEERG_4_3_1_1__4_FractionVolatileSolidsNotSolidStorage(R155,$Q166)</f>
        <v>0</v>
      </c>
      <c r="S177" s="53" cm="1">
        <f t="array" aca="1" ref="S177" ca="1">MMS_Dairy_Methane_Equations.VEERG_4_3_1_1__4_FractionVolatileSolidsNotSolidStorage(S155,$Q166)</f>
        <v>0</v>
      </c>
      <c r="T177" s="53" cm="1">
        <f t="array" aca="1" ref="T177" ca="1">MMS_Dairy_Methane_Equations.VEERG_4_3_1_1__4_FractionVolatileSolidsNotSolidStorage(T155,$Q166)</f>
        <v>0</v>
      </c>
      <c r="U177" s="53" cm="1">
        <f t="array" aca="1" ref="U177" ca="1">MMS_Dairy_Methane_Equations.VEERG_4_3_1_1__4_FractionVolatileSolidsNotSolidStorage(U155,$Q166)</f>
        <v>0</v>
      </c>
      <c r="V177" s="2"/>
    </row>
    <row r="178" spans="1:23" ht="20.100000000000001" customHeight="1" x14ac:dyDescent="0.25">
      <c r="A178" s="137" t="str">
        <f>HYPERLINK("#A1", "▲ Back to top")</f>
        <v>▲ Back to top</v>
      </c>
      <c r="D178" s="53" t="str">
        <f>INDEX(X_Table_Dairy_ProductionSystems_Method1,4,1)</f>
        <v>Feed pad</v>
      </c>
      <c r="E178" s="53" t="str">
        <f>INDEX(X_Table_Dairy_Stage1MMS_2_SumpAndDispersal,2,1)</f>
        <v>Sump and dispersal system</v>
      </c>
      <c r="F178" s="53" cm="1">
        <f t="array" aca="1" ref="F178" ca="1">MMS_Dairy_Methane_Equations.VEERG_4_3_1_1__4_FractionVolatileSolidsNotSolidStorage(F156,$F167)</f>
        <v>0</v>
      </c>
      <c r="G178" s="53" cm="1">
        <f t="array" aca="1" ref="G178" ca="1">MMS_Dairy_Methane_Equations.VEERG_4_3_1_1__4_FractionVolatileSolidsNotSolidStorage(G156,$F167)</f>
        <v>0</v>
      </c>
      <c r="H178" s="53" cm="1">
        <f t="array" aca="1" ref="H178" ca="1">MMS_Dairy_Methane_Equations.VEERG_4_3_1_1__4_FractionVolatileSolidsNotSolidStorage(H156,$F167)</f>
        <v>0</v>
      </c>
      <c r="I178" s="53" cm="1">
        <f t="array" aca="1" ref="I178" ca="1">MMS_Dairy_Methane_Equations.VEERG_4_3_1_1__4_FractionVolatileSolidsNotSolidStorage(I156,$F167)</f>
        <v>0</v>
      </c>
      <c r="J178" s="53" cm="1">
        <f t="array" aca="1" ref="J178" ca="1">MMS_Dairy_Methane_Equations.VEERG_4_3_1_1__4_FractionVolatileSolidsNotSolidStorage(J156,$F167)</f>
        <v>0</v>
      </c>
      <c r="K178" s="2"/>
      <c r="O178" s="53" t="str">
        <f>INDEX(X_Table_Dairy_ProductionSystems_Method1,4,1)</f>
        <v>Feed pad</v>
      </c>
      <c r="P178" s="53" t="str">
        <f>INDEX(X_Table_Dairy_Stage1MMS_2_SumpAndDispersal,2,1)</f>
        <v>Sump and dispersal system</v>
      </c>
      <c r="Q178" s="53" cm="1">
        <f t="array" aca="1" ref="Q178" ca="1">MMS_Dairy_Methane_Equations.VEERG_4_3_1_1__4_FractionVolatileSolidsNotSolidStorage(Q156,$Q167)</f>
        <v>0</v>
      </c>
      <c r="R178" s="53" cm="1">
        <f t="array" aca="1" ref="R178" ca="1">MMS_Dairy_Methane_Equations.VEERG_4_3_1_1__4_FractionVolatileSolidsNotSolidStorage(R156,$Q167)</f>
        <v>0</v>
      </c>
      <c r="S178" s="53" cm="1">
        <f t="array" aca="1" ref="S178" ca="1">MMS_Dairy_Methane_Equations.VEERG_4_3_1_1__4_FractionVolatileSolidsNotSolidStorage(S156,$Q167)</f>
        <v>0</v>
      </c>
      <c r="T178" s="53" cm="1">
        <f t="array" aca="1" ref="T178" ca="1">MMS_Dairy_Methane_Equations.VEERG_4_3_1_1__4_FractionVolatileSolidsNotSolidStorage(T156,$Q167)</f>
        <v>0</v>
      </c>
      <c r="U178" s="53" cm="1">
        <f t="array" aca="1" ref="U178" ca="1">MMS_Dairy_Methane_Equations.VEERG_4_3_1_1__4_FractionVolatileSolidsNotSolidStorage(U156,$Q167)</f>
        <v>0</v>
      </c>
      <c r="V178" s="2"/>
    </row>
    <row r="179" spans="1:23" ht="20.100000000000001" customHeight="1" x14ac:dyDescent="0.25">
      <c r="D179" s="53" t="str">
        <f>INDEX(X_Table_Dairy_ProductionSystems_Method1,4,1)</f>
        <v>Feed pad</v>
      </c>
      <c r="E179" s="53" t="str">
        <f>INDEX(X_Table_Dairy_Stage1MMS_2_DrainsToPaddock,2,1)</f>
        <v>Drains to paddock</v>
      </c>
      <c r="F179" s="53" cm="1">
        <f t="array" aca="1" ref="F179" ca="1">MMS_Dairy_Methane_Equations.VEERG_4_3_1_1__4_FractionVolatileSolidsNotSolidStorage(F157,$F168)</f>
        <v>0</v>
      </c>
      <c r="G179" s="53" cm="1">
        <f t="array" aca="1" ref="G179" ca="1">MMS_Dairy_Methane_Equations.VEERG_4_3_1_1__4_FractionVolatileSolidsNotSolidStorage(G157,$F168)</f>
        <v>0</v>
      </c>
      <c r="H179" s="53" cm="1">
        <f t="array" aca="1" ref="H179" ca="1">MMS_Dairy_Methane_Equations.VEERG_4_3_1_1__4_FractionVolatileSolidsNotSolidStorage(H157,$F168)</f>
        <v>0</v>
      </c>
      <c r="I179" s="53" cm="1">
        <f t="array" aca="1" ref="I179" ca="1">MMS_Dairy_Methane_Equations.VEERG_4_3_1_1__4_FractionVolatileSolidsNotSolidStorage(I157,$F168)</f>
        <v>0</v>
      </c>
      <c r="J179" s="53" cm="1">
        <f t="array" aca="1" ref="J179" ca="1">MMS_Dairy_Methane_Equations.VEERG_4_3_1_1__4_FractionVolatileSolidsNotSolidStorage(J157,$F168)</f>
        <v>0</v>
      </c>
      <c r="K179" s="2"/>
      <c r="O179" s="53" t="str">
        <f>INDEX(X_Table_Dairy_ProductionSystems_Method1,4,1)</f>
        <v>Feed pad</v>
      </c>
      <c r="P179" s="53" t="str">
        <f>INDEX(X_Table_Dairy_Stage1MMS_2_DrainsToPaddock,2,1)</f>
        <v>Drains to paddock</v>
      </c>
      <c r="Q179" s="53" cm="1">
        <f t="array" aca="1" ref="Q179" ca="1">MMS_Dairy_Methane_Equations.VEERG_4_3_1_1__4_FractionVolatileSolidsNotSolidStorage(Q157,$Q168)</f>
        <v>0</v>
      </c>
      <c r="R179" s="53" cm="1">
        <f t="array" aca="1" ref="R179" ca="1">MMS_Dairy_Methane_Equations.VEERG_4_3_1_1__4_FractionVolatileSolidsNotSolidStorage(R157,$Q168)</f>
        <v>0</v>
      </c>
      <c r="S179" s="53" cm="1">
        <f t="array" aca="1" ref="S179" ca="1">MMS_Dairy_Methane_Equations.VEERG_4_3_1_1__4_FractionVolatileSolidsNotSolidStorage(S157,$Q168)</f>
        <v>0</v>
      </c>
      <c r="T179" s="53" cm="1">
        <f t="array" aca="1" ref="T179" ca="1">MMS_Dairy_Methane_Equations.VEERG_4_3_1_1__4_FractionVolatileSolidsNotSolidStorage(T157,$Q168)</f>
        <v>0</v>
      </c>
      <c r="U179" s="53" cm="1">
        <f t="array" aca="1" ref="U179" ca="1">MMS_Dairy_Methane_Equations.VEERG_4_3_1_1__4_FractionVolatileSolidsNotSolidStorage(U157,$Q168)</f>
        <v>0</v>
      </c>
      <c r="V179" s="2"/>
    </row>
    <row r="180" spans="1:23" ht="20.100000000000001" customHeight="1" x14ac:dyDescent="0.25"/>
    <row r="181" spans="1:23" ht="20.100000000000001" customHeight="1" x14ac:dyDescent="0.25"/>
    <row r="182" spans="1:23" ht="20.100000000000001" customHeight="1" x14ac:dyDescent="0.25">
      <c r="C182" s="46"/>
      <c r="D182" s="46"/>
      <c r="E182" s="46"/>
      <c r="F182" s="46"/>
      <c r="G182" s="46"/>
      <c r="H182" s="46"/>
      <c r="I182" s="46"/>
      <c r="J182" s="46"/>
      <c r="K182" s="46"/>
      <c r="L182" s="46"/>
      <c r="N182" s="46"/>
      <c r="O182" s="46"/>
      <c r="P182" s="46"/>
      <c r="Q182" s="46"/>
      <c r="R182" s="46"/>
      <c r="S182" s="46"/>
      <c r="T182" s="46"/>
      <c r="U182" s="46"/>
      <c r="V182" s="46"/>
      <c r="W182" s="46"/>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6" t="str" cm="1">
        <f t="array" ref="D185">MMS_Dairy_Methane_Equations.VEERG_4_3_1_1__5_FractionVolatileSolidsSolidStorage_Variation()</f>
        <v>Used separate variables for MMS and SS m 1, 7 and 9.</v>
      </c>
    </row>
    <row r="186" spans="1:23" ht="20.100000000000001" customHeight="1" x14ac:dyDescent="0.25">
      <c r="D186" s="13" t="s">
        <v>25</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4" t="s">
        <v>28</v>
      </c>
      <c r="E189" s="1" t="str" cm="1">
        <f t="array" ref="E189">MMS_Dairy_Methane_Equations.VEERG_4_3_1_1__5_FractionVolatileSolidsSolidStorage_Variable()</f>
        <v>FVS_jm4</v>
      </c>
    </row>
    <row r="190" spans="1:23" ht="20.100000000000001" customHeight="1" x14ac:dyDescent="0.25">
      <c r="D190" s="54" t="s">
        <v>18</v>
      </c>
      <c r="E190" s="55" t="str" cm="1">
        <f t="array" ref="E190">MMS_Dairy_Methane_Equations.VEERG_4_3_1_1__5_FractionVolatileSolidsSolidStorage_Unit()</f>
        <v>fraction</v>
      </c>
    </row>
    <row r="191" spans="1:23" ht="20.100000000000001" customHeight="1" x14ac:dyDescent="0.25"/>
    <row r="192" spans="1:23" ht="20.100000000000001" customHeight="1" x14ac:dyDescent="0.25">
      <c r="D192" s="133" t="str" cm="1">
        <f t="array" ref="D192:E194">_xlfn.CHOOSECOLS(MMS_Dairy_Methane_Equations.VEERG_4_3_1_1__5_FractionVolatileSolidsSolidStorage_Arguments(),1,2)</f>
        <v>MMS_jm4</v>
      </c>
      <c r="E192" s="133" t="str">
        <v>fraction of volatile solids in solid storage before transfer</v>
      </c>
      <c r="F192" s="133"/>
      <c r="G192" s="133" t="str" cm="1">
        <f t="array" ref="G192:H194">_xlfn.CHOOSECOLS(MMS_Dairy_Methane_Equations.VEERG_4_3_1_1__5_FractionVolatileSolidsSolidStorage_Arguments(),3,4)</f>
        <v>fraction</v>
      </c>
      <c r="H192" s="131" t="str">
        <v>Input</v>
      </c>
      <c r="I192" s="130" t="str" cm="1">
        <f t="array" aca="1" ref="I192" ca="1">HYPERLINK(Common_InputFunctions.Utility_SourceHyperlink($D$196),$D$196)</f>
        <v>M1_Table_MMS_j_m-4</v>
      </c>
    </row>
    <row r="193" spans="4:22" ht="20.100000000000001" customHeight="1" x14ac:dyDescent="0.25">
      <c r="D193" s="133" t="str">
        <v>MMS_jm179</v>
      </c>
      <c r="E193" s="133" t="str">
        <v>fraction of volatile solids in MMS m=1,7,9 before transfer</v>
      </c>
      <c r="F193" s="133"/>
      <c r="G193" s="133" t="str">
        <v>fraction</v>
      </c>
      <c r="H193" s="131" t="str">
        <v>Input</v>
      </c>
      <c r="I193" s="130" t="str" cm="1">
        <f t="array" aca="1" ref="I193" ca="1">HYPERLINK(Common_InputFunctions.Utility_SourceHyperlink($D$148),$D$148)</f>
        <v>M1_Table_MMS_j_m</v>
      </c>
    </row>
    <row r="194" spans="4:22" ht="20.100000000000001" customHeight="1" x14ac:dyDescent="0.25">
      <c r="D194" s="133" t="str">
        <v>SS_m</v>
      </c>
      <c r="E194" s="133" t="str">
        <v>fraction of volatile solids separated to solid storage for each MMS</v>
      </c>
      <c r="F194" s="133"/>
      <c r="G194" s="133" t="str">
        <v>fraction</v>
      </c>
      <c r="H194" s="131" t="str">
        <v>Input</v>
      </c>
      <c r="I194" s="130" t="str" cm="1">
        <f t="array" aca="1" ref="I194" ca="1">HYPERLINK(Common_InputFunctions.Utility_SourceHyperlink($D$159),$D$159)</f>
        <v>M1_Table_SS_m</v>
      </c>
    </row>
    <row r="195" spans="4:22" ht="20.100000000000001" customHeight="1" x14ac:dyDescent="0.25"/>
    <row r="196" spans="4:22" ht="20.100000000000001" customHeight="1" x14ac:dyDescent="0.25">
      <c r="D196" s="100" t="s">
        <v>243</v>
      </c>
      <c r="O196" s="100" t="s">
        <v>249</v>
      </c>
    </row>
    <row r="197" spans="4:22" ht="20.100000000000001" customHeight="1" x14ac:dyDescent="0.25">
      <c r="D197" s="99" t="s">
        <v>244</v>
      </c>
      <c r="O197" s="99" t="s">
        <v>250</v>
      </c>
    </row>
    <row r="198" spans="4:22" ht="20.100000000000001" customHeight="1" x14ac:dyDescent="0.25">
      <c r="D198" s="40" t="s">
        <v>140</v>
      </c>
      <c r="E198" s="40" t="s">
        <v>65</v>
      </c>
      <c r="F198" s="40" t="s">
        <v>165</v>
      </c>
      <c r="G198" s="40" t="s">
        <v>182</v>
      </c>
      <c r="H198" s="40" t="s">
        <v>183</v>
      </c>
      <c r="I198" s="40" t="s">
        <v>184</v>
      </c>
      <c r="J198" s="40" t="s">
        <v>185</v>
      </c>
      <c r="O198" s="40" t="s">
        <v>140</v>
      </c>
      <c r="P198" s="40" t="s">
        <v>65</v>
      </c>
      <c r="Q198" s="40" t="s">
        <v>165</v>
      </c>
      <c r="R198" s="40" t="s">
        <v>182</v>
      </c>
      <c r="S198" s="40" t="s">
        <v>183</v>
      </c>
      <c r="T198" s="40" t="s">
        <v>184</v>
      </c>
      <c r="U198" s="40" t="s">
        <v>185</v>
      </c>
    </row>
    <row r="199" spans="4:22" ht="20.100000000000001" customHeight="1" x14ac:dyDescent="0.25">
      <c r="D199" s="53" t="str">
        <f>INDEX(X_Table_Dairy_ProductionSystems_Method1,3,1)</f>
        <v>Milking shed</v>
      </c>
      <c r="E199" s="53" t="str">
        <f>INDEX(X_Table_Dairy_Stage1MMS_1_SolidStorage,2,1)</f>
        <v>Solid storage (before solid separation)</v>
      </c>
      <c r="F199" s="53" cm="1">
        <f t="array" aca="1" ref="F199:J199" ca="1">OFFSET(X_Table_Dairy_ProductionSystems_Method1, 2,1,1,5)*OFFSET(X_Table_Dairy_Stage1MMS_1_SolidStorage, 1,1,1,5)</f>
        <v>0</v>
      </c>
      <c r="G199" s="53">
        <f ca="1"/>
        <v>0</v>
      </c>
      <c r="H199" s="53">
        <f ca="1"/>
        <v>0</v>
      </c>
      <c r="I199" s="53">
        <f ca="1"/>
        <v>0</v>
      </c>
      <c r="J199" s="53">
        <f ca="1"/>
        <v>0</v>
      </c>
      <c r="K199" s="2" t="s">
        <v>93</v>
      </c>
      <c r="O199" s="53" t="str">
        <f>INDEX(X_Table_Dairy_ProductionSystems_Method1,3,1)</f>
        <v>Milking shed</v>
      </c>
      <c r="P199" s="53" t="str">
        <f>INDEX(X_Table_Dairy_Stage1MMS_1_SolidStorage,2,1)</f>
        <v>Solid storage (before solid separation)</v>
      </c>
      <c r="Q199" s="53" cm="1">
        <f t="array" aca="1" ref="Q199:U199" ca="1">OFFSET(X_Table_Dairy_ProductionSystems_Method2, 2,1,1,5)*OFFSET(X_Table_Dairy_Stage1MMS_1_SolidStorage, 1,1,1,5)</f>
        <v>0</v>
      </c>
      <c r="R199" s="53">
        <f ca="1"/>
        <v>0</v>
      </c>
      <c r="S199" s="53">
        <f ca="1"/>
        <v>0</v>
      </c>
      <c r="T199" s="53">
        <f ca="1"/>
        <v>0</v>
      </c>
      <c r="U199" s="53">
        <f ca="1"/>
        <v>0</v>
      </c>
      <c r="V199" s="2" t="s">
        <v>93</v>
      </c>
    </row>
    <row r="200" spans="4:22" ht="20.100000000000001" customHeight="1" x14ac:dyDescent="0.25">
      <c r="D200" s="53" t="str">
        <f>INDEX(X_Table_Dairy_ProductionSystems_Method1,4,1)</f>
        <v>Feed pad</v>
      </c>
      <c r="E200" s="53" t="str">
        <f>INDEX(X_Table_Dairy_Stage1MMS_2_SolidStorage,2,1)</f>
        <v>Solid storage (before solid separation)</v>
      </c>
      <c r="F200" s="53" cm="1">
        <f t="array" aca="1" ref="F200:J200" ca="1">OFFSET(X_Table_Dairy_ProductionSystems_Method1, 3,1,1,5)*OFFSET(X_Table_Dairy_Stage1MMS_1_SolidStorage, 1,1,1,5)</f>
        <v>0</v>
      </c>
      <c r="G200" s="53">
        <f ca="1"/>
        <v>0</v>
      </c>
      <c r="H200" s="53">
        <f ca="1"/>
        <v>0</v>
      </c>
      <c r="I200" s="53">
        <f ca="1"/>
        <v>0</v>
      </c>
      <c r="J200" s="53">
        <f ca="1"/>
        <v>0</v>
      </c>
      <c r="K200" s="2" t="s">
        <v>93</v>
      </c>
      <c r="O200" s="53" t="str">
        <f>INDEX(X_Table_Dairy_ProductionSystems_Method1,4,1)</f>
        <v>Feed pad</v>
      </c>
      <c r="P200" s="53" t="str">
        <f>INDEX(X_Table_Dairy_Stage1MMS_2_SolidStorage,2,1)</f>
        <v>Solid storage (before solid separation)</v>
      </c>
      <c r="Q200" s="53" cm="1">
        <f t="array" aca="1" ref="Q200:U200" ca="1">OFFSET(X_Table_Dairy_ProductionSystems_Method2, 3,1,1,5)*OFFSET(X_Table_Dairy_Stage1MMS_1_SolidStorage, 1,1,1,5)</f>
        <v>0</v>
      </c>
      <c r="R200" s="53">
        <f ca="1"/>
        <v>0</v>
      </c>
      <c r="S200" s="53">
        <f ca="1"/>
        <v>0</v>
      </c>
      <c r="T200" s="53">
        <f ca="1"/>
        <v>0</v>
      </c>
      <c r="U200" s="53">
        <f ca="1"/>
        <v>0</v>
      </c>
      <c r="V200" s="2" t="s">
        <v>93</v>
      </c>
    </row>
    <row r="201" spans="4:22" ht="20.100000000000001" customHeight="1" x14ac:dyDescent="0.25"/>
    <row r="202" spans="4:22" ht="20.100000000000001" customHeight="1" x14ac:dyDescent="0.25">
      <c r="D202" s="100" t="s">
        <v>247</v>
      </c>
      <c r="O202" s="100" t="s">
        <v>251</v>
      </c>
    </row>
    <row r="203" spans="4:22" ht="20.100000000000001" customHeight="1" x14ac:dyDescent="0.25">
      <c r="D203" s="99" t="s">
        <v>248</v>
      </c>
      <c r="O203" s="99" t="s">
        <v>252</v>
      </c>
    </row>
    <row r="204" spans="4:22" ht="20.100000000000001" customHeight="1" x14ac:dyDescent="0.25">
      <c r="D204" s="52" t="s">
        <v>140</v>
      </c>
      <c r="E204" s="52" t="s">
        <v>65</v>
      </c>
      <c r="F204" s="52" t="s">
        <v>165</v>
      </c>
      <c r="G204" s="52" t="s">
        <v>182</v>
      </c>
      <c r="H204" s="52" t="s">
        <v>183</v>
      </c>
      <c r="I204" s="52" t="s">
        <v>184</v>
      </c>
      <c r="J204" s="52" t="s">
        <v>185</v>
      </c>
      <c r="O204" s="52" t="s">
        <v>140</v>
      </c>
      <c r="P204" s="52" t="s">
        <v>65</v>
      </c>
      <c r="Q204" s="52" t="s">
        <v>165</v>
      </c>
      <c r="R204" s="52" t="s">
        <v>182</v>
      </c>
      <c r="S204" s="52" t="s">
        <v>183</v>
      </c>
      <c r="T204" s="52" t="s">
        <v>184</v>
      </c>
      <c r="U204" s="52" t="s">
        <v>185</v>
      </c>
    </row>
    <row r="205" spans="4:22" ht="20.100000000000001" customHeight="1" x14ac:dyDescent="0.25">
      <c r="D205" s="53" t="str">
        <f>INDEX(X_Table_Dairy_ProductionSystems_Method1,3,1)</f>
        <v>Milking shed</v>
      </c>
      <c r="E205" s="53" t="s">
        <v>398</v>
      </c>
      <c r="F205" s="53" cm="1">
        <f t="array" aca="1" ref="F205" ca="1">MMS_Dairy_Methane_Equations.VEERG_4_3_1_1__5_FractionVolatileSolidsSolidStorageVariation(F199,F152,$F163,F153,$F164,F154,$F165)</f>
        <v>0</v>
      </c>
      <c r="G205" s="53" cm="1">
        <f t="array" aca="1" ref="G205" ca="1">MMS_Dairy_Methane_Equations.VEERG_4_3_1_1__5_FractionVolatileSolidsSolidStorageVariation(G199,G152,$F163,G153,$F164,G154,$F165)</f>
        <v>0</v>
      </c>
      <c r="H205" s="53" cm="1">
        <f t="array" aca="1" ref="H205" ca="1">MMS_Dairy_Methane_Equations.VEERG_4_3_1_1__5_FractionVolatileSolidsSolidStorageVariation(H199,H152,$F163,H153,$F164,H154,$F165)</f>
        <v>0</v>
      </c>
      <c r="I205" s="53" cm="1">
        <f t="array" aca="1" ref="I205" ca="1">MMS_Dairy_Methane_Equations.VEERG_4_3_1_1__5_FractionVolatileSolidsSolidStorageVariation(I199,I152,$F163,I153,$F164,I154,$F165)</f>
        <v>0</v>
      </c>
      <c r="J205" s="53" cm="1">
        <f t="array" aca="1" ref="J205" ca="1">MMS_Dairy_Methane_Equations.VEERG_4_3_1_1__5_FractionVolatileSolidsSolidStorageVariation(J199,J152,$F163,J153,$F164,J154,$F165)</f>
        <v>0</v>
      </c>
      <c r="K205" s="2" t="str">
        <f>$E$190</f>
        <v>fraction</v>
      </c>
      <c r="O205" s="53" t="str">
        <f>INDEX(X_Table_Dairy_ProductionSystems_Method1,3,1)</f>
        <v>Milking shed</v>
      </c>
      <c r="P205" s="53" t="s">
        <v>398</v>
      </c>
      <c r="Q205" s="53" cm="1">
        <f t="array" aca="1" ref="Q205" ca="1">MMS_Dairy_Methane_Equations.VEERG_4_3_1_1__5_FractionVolatileSolidsSolidStorageVariation(Q199,Q152,$Q163,Q153,$Q164,Q154,$Q165)</f>
        <v>0</v>
      </c>
      <c r="R205" s="53" cm="1">
        <f t="array" aca="1" ref="R205" ca="1">MMS_Dairy_Methane_Equations.VEERG_4_3_1_1__5_FractionVolatileSolidsSolidStorageVariation(R199,R152,$Q163,R153,$Q164,R154,$Q165)</f>
        <v>0</v>
      </c>
      <c r="S205" s="53" cm="1">
        <f t="array" aca="1" ref="S205" ca="1">MMS_Dairy_Methane_Equations.VEERG_4_3_1_1__5_FractionVolatileSolidsSolidStorageVariation(S199,S152,$Q163,S153,$Q164,S154,$Q165)</f>
        <v>0</v>
      </c>
      <c r="T205" s="53" cm="1">
        <f t="array" aca="1" ref="T205" ca="1">MMS_Dairy_Methane_Equations.VEERG_4_3_1_1__5_FractionVolatileSolidsSolidStorageVariation(T199,T152,$Q163,T153,$Q164,T154,$Q165)</f>
        <v>0</v>
      </c>
      <c r="U205" s="53" cm="1">
        <f t="array" aca="1" ref="U205" ca="1">MMS_Dairy_Methane_Equations.VEERG_4_3_1_1__5_FractionVolatileSolidsSolidStorageVariation(U199,U152,$Q163,U153,$Q164,U154,$Q165)</f>
        <v>0</v>
      </c>
      <c r="V205" s="2" t="str">
        <f>$E$190</f>
        <v>fraction</v>
      </c>
    </row>
    <row r="206" spans="4:22" ht="20.100000000000001" customHeight="1" x14ac:dyDescent="0.25">
      <c r="D206" s="53" t="str">
        <f>INDEX(X_Table_Dairy_ProductionSystems_Method1,4,1)</f>
        <v>Feed pad</v>
      </c>
      <c r="E206" s="53" t="s">
        <v>398</v>
      </c>
      <c r="F206" s="53" cm="1">
        <f t="array" aca="1" ref="F206" ca="1">MMS_Dairy_Methane_Equations.VEERG_4_3_1_1__5_FractionVolatileSolidsSolidStorageVariation(F200,F155,$F166,F156,$F167,F157,$F168)</f>
        <v>0</v>
      </c>
      <c r="G206" s="53" cm="1">
        <f t="array" aca="1" ref="G206" ca="1">MMS_Dairy_Methane_Equations.VEERG_4_3_1_1__5_FractionVolatileSolidsSolidStorageVariation(G200,G155,$F166,G156,$F167,G157,$F168)</f>
        <v>0</v>
      </c>
      <c r="H206" s="53" cm="1">
        <f t="array" aca="1" ref="H206" ca="1">MMS_Dairy_Methane_Equations.VEERG_4_3_1_1__5_FractionVolatileSolidsSolidStorageVariation(H200,H155,$F166,H156,$F167,H157,$F168)</f>
        <v>0</v>
      </c>
      <c r="I206" s="53" cm="1">
        <f t="array" aca="1" ref="I206" ca="1">MMS_Dairy_Methane_Equations.VEERG_4_3_1_1__5_FractionVolatileSolidsSolidStorageVariation(I200,I155,$F166,I156,$F167,I157,$F168)</f>
        <v>0</v>
      </c>
      <c r="J206" s="53" cm="1">
        <f t="array" aca="1" ref="J206" ca="1">MMS_Dairy_Methane_Equations.VEERG_4_3_1_1__5_FractionVolatileSolidsSolidStorageVariation(J200,J155,$F166,J156,$F167,J157,$F168)</f>
        <v>0</v>
      </c>
      <c r="K206" s="2" t="str">
        <f>$E$190</f>
        <v>fraction</v>
      </c>
      <c r="O206" s="53" t="str">
        <f>INDEX(X_Table_Dairy_ProductionSystems_Method1,4,1)</f>
        <v>Feed pad</v>
      </c>
      <c r="P206" s="53" t="s">
        <v>398</v>
      </c>
      <c r="Q206" s="53" cm="1">
        <f t="array" aca="1" ref="Q206" ca="1">MMS_Dairy_Methane_Equations.VEERG_4_3_1_1__5_FractionVolatileSolidsSolidStorageVariation(Q200,Q155,$Q166,Q156,$Q167,Q157,$Q168)</f>
        <v>0</v>
      </c>
      <c r="R206" s="53" cm="1">
        <f t="array" aca="1" ref="R206" ca="1">MMS_Dairy_Methane_Equations.VEERG_4_3_1_1__5_FractionVolatileSolidsSolidStorageVariation(R200,R155,$Q166,R156,$Q167,R157,$Q168)</f>
        <v>0</v>
      </c>
      <c r="S206" s="53" cm="1">
        <f t="array" aca="1" ref="S206" ca="1">MMS_Dairy_Methane_Equations.VEERG_4_3_1_1__5_FractionVolatileSolidsSolidStorageVariation(S200,S155,$Q166,S156,$Q167,S157,$Q168)</f>
        <v>0</v>
      </c>
      <c r="T206" s="53" cm="1">
        <f t="array" aca="1" ref="T206" ca="1">MMS_Dairy_Methane_Equations.VEERG_4_3_1_1__5_FractionVolatileSolidsSolidStorageVariation(T200,T155,$Q166,T156,$Q167,T157,$Q168)</f>
        <v>0</v>
      </c>
      <c r="U206" s="53" cm="1">
        <f t="array" aca="1" ref="U206" ca="1">MMS_Dairy_Methane_Equations.VEERG_4_3_1_1__5_FractionVolatileSolidsSolidStorageVariation(U200,U155,$Q166,U156,$Q167,U157,$Q168)</f>
        <v>0</v>
      </c>
      <c r="V206" s="2" t="str">
        <f>$E$190</f>
        <v>fraction</v>
      </c>
    </row>
    <row r="207" spans="4:22" ht="20.100000000000001" customHeight="1" x14ac:dyDescent="0.25"/>
    <row r="208" spans="4:22" ht="20.100000000000001" customHeight="1" x14ac:dyDescent="0.25"/>
    <row r="209" spans="1:23" ht="20.100000000000001" customHeight="1" x14ac:dyDescent="0.25">
      <c r="C209" s="46"/>
      <c r="D209" s="46"/>
      <c r="E209" s="46"/>
      <c r="F209" s="46"/>
      <c r="G209" s="46"/>
      <c r="H209" s="46"/>
      <c r="I209" s="46"/>
      <c r="J209" s="46"/>
      <c r="K209" s="46"/>
      <c r="L209" s="46"/>
      <c r="N209" s="46"/>
      <c r="O209" s="46"/>
      <c r="P209" s="46"/>
      <c r="Q209" s="46"/>
      <c r="R209" s="46"/>
      <c r="S209" s="46"/>
      <c r="T209" s="46"/>
      <c r="U209" s="46"/>
      <c r="V209" s="46"/>
      <c r="W209" s="46"/>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25</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4" t="s">
        <v>28</v>
      </c>
      <c r="E215" s="1" t="str" cm="1">
        <f t="array" ref="E215">MMS_Dairy_Methane_Equations.VEERG_4_3_1_1__2_MethaneFromManureProduction_Variable()</f>
        <v>M_jm</v>
      </c>
    </row>
    <row r="216" spans="1:23" ht="20.100000000000001" customHeight="1" x14ac:dyDescent="0.25">
      <c r="D216" s="54" t="s">
        <v>18</v>
      </c>
      <c r="E216" s="55" t="str" cm="1">
        <f t="array" ref="E216">MMS_Dairy_Methane_Equations.VEERG_4_3_1_1__2_MethaneFromManureProduction_Unit()</f>
        <v>kg CH4/head/day</v>
      </c>
    </row>
    <row r="217" spans="1:23" ht="20.100000000000001" customHeight="1" x14ac:dyDescent="0.25">
      <c r="A217" s="137" t="str">
        <f>HYPERLINK("#A1", "▲ Back to top")</f>
        <v>▲ Back to top</v>
      </c>
    </row>
    <row r="218" spans="1:23" ht="20.100000000000001" customHeight="1" x14ac:dyDescent="0.25">
      <c r="D218" s="133" t="str" cm="1">
        <f t="array" ref="D218:E223">_xlfn.CHOOSECOLS(MMS_Dairy_Methane_Equations.VEERG_4_3_1_1__2_MethaneFromManureProduction_Arguments(),1,2)</f>
        <v>VS_j</v>
      </c>
      <c r="E218" s="132" t="str">
        <v>daily volatile solids production per head for dairy cattle (kg/head/day)</v>
      </c>
      <c r="F218" s="134"/>
      <c r="G218" s="133" t="str" cm="1">
        <f t="array" ref="G218:H223">_xlfn.CHOOSECOLS(MMS_Dairy_Methane_Equations.VEERG_4_3_1_1__2_MethaneFromManureProduction_Arguments(),3,4)</f>
        <v>kg/head/day</v>
      </c>
      <c r="H218" s="129" t="str">
        <v>Calculated from 4.3.1.1 (3)</v>
      </c>
      <c r="I218" s="130" t="str" cm="1">
        <f t="array" aca="1" ref="I218" ca="1">HYPERLINK(Common_InputFunctions.Utility_SourceHyperlink($D$130),$D$130)</f>
        <v>M1_Table_VS_j</v>
      </c>
      <c r="J218" s="133"/>
      <c r="O218" s="133" t="str" cm="1">
        <f t="array" ref="O218:P223">_xlfn.CHOOSECOLS(MMS_Dairy_Methane_Equations.VEERG_4_3_1_1__2_MethaneFromManureProduction_Arguments_Method2(),1,2)</f>
        <v>VS_j</v>
      </c>
      <c r="P218" s="132" t="str">
        <v>daily volatile solids production per head for dairy cattle (kg/head/day)</v>
      </c>
      <c r="Q218" s="134"/>
      <c r="R218" s="133" t="str" cm="1">
        <f t="array" ref="R218:S223">_xlfn.CHOOSECOLS(MMS_Dairy_Methane_Equations.VEERG_4_3_1_1__2_MethaneFromManureProduction_Arguments_Method2(),3,4)</f>
        <v>kg/head/day</v>
      </c>
      <c r="S218" s="129" t="str">
        <v>Calculated from 4.3.1.1 (3)</v>
      </c>
      <c r="T218" s="133"/>
    </row>
    <row r="219" spans="1:23" ht="20.100000000000001" customHeight="1" x14ac:dyDescent="0.25">
      <c r="D219" s="133" t="str">
        <v>FVS_jmT1</v>
      </c>
      <c r="E219" s="132" t="str">
        <v>fraction of waste from each class in each management system</v>
      </c>
      <c r="F219" s="134"/>
      <c r="G219" s="133" t="str">
        <v>fraction</v>
      </c>
      <c r="H219" s="129" t="str">
        <v>Calculated from 4.3.1.1 (4)(5)</v>
      </c>
      <c r="I219" s="130" t="str" cm="1">
        <f t="array" aca="1" ref="I219" ca="1">HYPERLINK(Common_InputFunctions.Utility_SourceHyperlink($D$170),$D$170)</f>
        <v>M1_Table_FVS_j_m</v>
      </c>
      <c r="J219" s="130" t="str" cm="1">
        <f t="array" aca="1" ref="J219" ca="1">HYPERLINK(Common_InputFunctions.Utility_SourceHyperlink($D$202),$D$202)</f>
        <v>M1_Table_FVS_j_m-4</v>
      </c>
      <c r="O219" s="133" t="str">
        <v>FVS_jmT1</v>
      </c>
      <c r="P219" s="132" t="str">
        <v>fraction of waste from each class in each management system</v>
      </c>
      <c r="Q219" s="134"/>
      <c r="R219" s="133" t="str">
        <v>fraction</v>
      </c>
      <c r="S219" s="129" t="str">
        <v>Calculated from 4.3.1.1 (4)(5)</v>
      </c>
      <c r="T219" s="133"/>
    </row>
    <row r="220" spans="1:23" ht="20.100000000000001" customHeight="1" x14ac:dyDescent="0.25">
      <c r="D220" s="133" t="str">
        <v>MCF_im</v>
      </c>
      <c r="E220" s="132" t="str">
        <v>methane conversion factor for temperature zone and MMS</v>
      </c>
      <c r="F220" s="134"/>
      <c r="G220" s="133" t="str">
        <v>fraction</v>
      </c>
      <c r="H220" s="129" t="str">
        <v>Constant</v>
      </c>
      <c r="I220" s="130" t="str" cm="1">
        <f t="array" aca="1" ref="I220" ca="1">HYPERLINK(Common_InputFunctions.Utility_SourceHyperlink($D$225),$D$225)</f>
        <v>M1_Table_MCF_i_m</v>
      </c>
      <c r="J220" s="133"/>
      <c r="O220" s="133" t="str">
        <v>MCF_im</v>
      </c>
      <c r="P220" s="132" t="str">
        <v>methane conversion factor for temperature zone and MMS</v>
      </c>
      <c r="Q220" s="134"/>
      <c r="R220" s="133" t="str">
        <v>fraction</v>
      </c>
      <c r="S220" s="129" t="str">
        <v>Constant</v>
      </c>
      <c r="T220" s="130" t="str" cm="1">
        <f t="array" aca="1" ref="T220" ca="1">HYPERLINK(Common_InputFunctions.Utility_SourceHyperlink($O$225),$O$225)</f>
        <v>M2_Table_MCF_i_m</v>
      </c>
    </row>
    <row r="221" spans="1:23" ht="20.100000000000001" customHeight="1" x14ac:dyDescent="0.25">
      <c r="D221" s="133" t="str">
        <v>B_o</v>
      </c>
      <c r="E221" s="132" t="str">
        <v>emissions potential (m3 CH4/kgVS)</v>
      </c>
      <c r="F221" s="134"/>
      <c r="G221" s="133" t="str">
        <v>m3 CH4/kgVS</v>
      </c>
      <c r="H221" s="129" t="str">
        <v>Constant</v>
      </c>
      <c r="I221" s="133">
        <f>SourceData_Dairy_MethaneEmissionsPotential_Data</f>
        <v>0.24</v>
      </c>
      <c r="J221" s="133"/>
      <c r="O221" s="133" t="str">
        <v>B_o</v>
      </c>
      <c r="P221" s="132" t="str">
        <v>emissions potential (m3 CH4/kgVS)</v>
      </c>
      <c r="Q221" s="134"/>
      <c r="R221" s="133" t="str">
        <v>m3 CH4/kgVS</v>
      </c>
      <c r="S221" s="129" t="str">
        <v>Constant</v>
      </c>
      <c r="T221" s="133"/>
    </row>
    <row r="222" spans="1:23" ht="20.100000000000001" customHeight="1" x14ac:dyDescent="0.25">
      <c r="D222" s="133" t="str">
        <v>rho</v>
      </c>
      <c r="E222" s="132" t="str">
        <v>density of methane (kg/m3)</v>
      </c>
      <c r="F222" s="134"/>
      <c r="G222" s="133" t="str">
        <v>kg/m3</v>
      </c>
      <c r="H222" s="129" t="str">
        <v>Constant</v>
      </c>
      <c r="I222" s="133">
        <f>Common_SourceData_DensityOfMethane_Data</f>
        <v>0.6784</v>
      </c>
      <c r="J222" s="133"/>
      <c r="O222" s="133" t="str">
        <v>rho</v>
      </c>
      <c r="P222" s="132" t="str">
        <v>density of methane (kg/m3)</v>
      </c>
      <c r="Q222" s="134"/>
      <c r="R222" s="133" t="str">
        <v>kg/m3</v>
      </c>
      <c r="S222" s="129" t="str">
        <v>Constant</v>
      </c>
      <c r="T222" s="133"/>
    </row>
    <row r="223" spans="1:23" ht="20.100000000000001" customHeight="1" x14ac:dyDescent="0.25">
      <c r="D223" s="133" t="str">
        <v>i</v>
      </c>
      <c r="E223" s="132" t="str">
        <v>state</v>
      </c>
      <c r="F223" s="134"/>
      <c r="G223" s="133" t="str">
        <v>state</v>
      </c>
      <c r="H223" s="131" t="str">
        <v>Input</v>
      </c>
      <c r="I223" s="133" t="str">
        <f>Common_InputFunctions.Utility_LookupValueInTable(X_Cell_Site_State, Table_AustralianStates[Common Name],Table_AustralianStates[Abbreviation])</f>
        <v>VIC</v>
      </c>
      <c r="J223" s="133"/>
      <c r="O223" s="133" t="str">
        <v>MAT</v>
      </c>
      <c r="P223" s="132" t="str">
        <v>Mean annual temperature</v>
      </c>
      <c r="Q223" s="134"/>
      <c r="R223" s="133" t="str">
        <v>°C</v>
      </c>
      <c r="S223" s="131" t="str">
        <v>Input</v>
      </c>
      <c r="T223" s="133">
        <f>X_Cell_Site_AverageTemperature</f>
        <v>18</v>
      </c>
    </row>
    <row r="224" spans="1:23" ht="20.100000000000001" customHeight="1" x14ac:dyDescent="0.25"/>
    <row r="225" spans="4:22" ht="20.100000000000001" customHeight="1" x14ac:dyDescent="0.25">
      <c r="D225" s="124" t="s">
        <v>253</v>
      </c>
      <c r="O225" s="124" t="s">
        <v>409</v>
      </c>
    </row>
    <row r="226" spans="4:22" ht="20.100000000000001" customHeight="1" x14ac:dyDescent="0.25">
      <c r="D226" s="125" t="s">
        <v>254</v>
      </c>
      <c r="O226" s="125" t="s">
        <v>410</v>
      </c>
    </row>
    <row r="227" spans="4:22" ht="20.100000000000001" customHeight="1" x14ac:dyDescent="0.25">
      <c r="D227" s="52" t="s">
        <v>65</v>
      </c>
      <c r="E227" s="52" t="s">
        <v>92</v>
      </c>
      <c r="O227" s="52" t="s">
        <v>65</v>
      </c>
      <c r="P227" s="52" t="s">
        <v>92</v>
      </c>
    </row>
    <row r="228" spans="4:22" ht="20.100000000000001" customHeight="1" x14ac:dyDescent="0.25">
      <c r="D228" s="58" t="str">
        <f>'Constants - Common Livestock'!$E$27</f>
        <v>Pasture range and paddock</v>
      </c>
      <c r="E228" s="53" cm="1">
        <f t="array" ref="E228">CommonLivestock_InputFunctions.Livestock_LookupMCFState(D228,Table_SourceData_Dairy_MCFjm[NIR reference],$I$223,Table_SourceData_Dairy_MCFjm[#Headers],Table_SourceData_Dairy_MCFjm[])</f>
        <v>0.01</v>
      </c>
      <c r="O228" s="58" t="str">
        <f>'Constants - Common Livestock'!$E$27</f>
        <v>Pasture range and paddock</v>
      </c>
      <c r="P228" s="53" cm="1">
        <f t="array" ref="P228">CommonLivestock_InputFunctions.Livestock_LookupMCFState(O228,Table_SourceData_Dairy_MCFjm[NIR reference],$I$223,Table_SourceData_Dairy_MCFjm[#Headers],Table_SourceData_Dairy_MCFjm[])</f>
        <v>0.01</v>
      </c>
      <c r="Q228" s="22" t="s">
        <v>411</v>
      </c>
      <c r="R228" s="22"/>
    </row>
    <row r="229" spans="4:22" ht="20.100000000000001" customHeight="1" x14ac:dyDescent="0.25">
      <c r="D229" s="58" t="str">
        <f>'Constants - Dairy'!$D$8</f>
        <v>Anaerobic lagoon</v>
      </c>
      <c r="E229" s="156" cm="1">
        <f t="array" ref="E229">CommonLivestock_InputFunctions.Livestock_LookupMCFState(D229,Table_SourceData_Dairy_MCFjm[NIR reference],$I$223,Table_SourceData_Dairy_MCFjm[#Headers],Table_SourceData_Dairy_MCFjm[])</f>
        <v>0.73</v>
      </c>
      <c r="F229" s="1" t="s">
        <v>470</v>
      </c>
      <c r="O229" s="58" t="str">
        <f>'Constants - Dairy'!$D$8</f>
        <v>Anaerobic lagoon</v>
      </c>
      <c r="P229" s="53">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58" t="str">
        <f>'Constants - Dairy'!$D$9</f>
        <v>Sump and dispersal system</v>
      </c>
      <c r="E230" s="53" cm="1">
        <f t="array" ref="E230">CommonLivestock_InputFunctions.Livestock_LookupMCFState(D230,Table_SourceData_Dairy_MCFjm[NIR reference],$I$223,Table_SourceData_Dairy_MCFjm[#Headers],Table_SourceData_Dairy_MCFjm[])</f>
        <v>5.0000000000000001E-3</v>
      </c>
      <c r="O230" s="58" t="str">
        <f>'Constants - Dairy'!$D$9</f>
        <v>Sump and dispersal system</v>
      </c>
      <c r="P230" s="53">
        <f>Common_InputFunctions.Common_GetMCFTemperatureZone($T$223, "Daily spread",Table_SourceData_Common_MCFTemperatureZone[MAT raw],Table_SourceData_Common_MCFTemperatureZone[#Headers],Table_SourceData_Common_MCFTemperatureZone[])</f>
        <v>5.0000000000000001E-3</v>
      </c>
      <c r="Q230" s="22" t="s">
        <v>408</v>
      </c>
      <c r="R230" s="22"/>
    </row>
    <row r="231" spans="4:22" ht="20.100000000000001" customHeight="1" x14ac:dyDescent="0.25">
      <c r="D231" s="58" t="str">
        <f>'Constants - Dairy'!$D$10</f>
        <v>Drains to paddock</v>
      </c>
      <c r="E231" s="53" cm="1">
        <f t="array" ref="E231">CommonLivestock_InputFunctions.Livestock_LookupMCFState(D231,Table_SourceData_Dairy_MCFjm[NIR reference],$I$223,Table_SourceData_Dairy_MCFjm[#Headers],Table_SourceData_Dairy_MCFjm[])</f>
        <v>0.17</v>
      </c>
      <c r="O231" s="58" t="str">
        <f>'Constants - Dairy'!$D$10</f>
        <v>Drains to paddock</v>
      </c>
      <c r="P231" s="53">
        <f>Common_InputFunctions.Common_GetMCFTemperatureZone($T$223, "Liquid systems",Table_SourceData_Common_MCFTemperatureZone[MAT raw],Table_SourceData_Common_MCFTemperatureZone[#Headers],Table_SourceData_Common_MCFTemperatureZone[])</f>
        <v>0.22</v>
      </c>
      <c r="Q231" s="22" t="s">
        <v>407</v>
      </c>
      <c r="R231" s="22"/>
    </row>
    <row r="232" spans="4:22" ht="20.100000000000001" customHeight="1" x14ac:dyDescent="0.25">
      <c r="D232" s="58" t="str">
        <f>'Constants - Dairy'!$D$11</f>
        <v>Solid storage</v>
      </c>
      <c r="E232" s="53" cm="1">
        <f t="array" ref="E232">CommonLivestock_InputFunctions.Livestock_LookupMCFState(D232,Table_SourceData_Dairy_MCFjm[NIR reference],$I$223,Table_SourceData_Dairy_MCFjm[#Headers],Table_SourceData_Dairy_MCFjm[])</f>
        <v>0.02</v>
      </c>
      <c r="O232" s="58" t="str">
        <f>'Constants - Dairy'!$D$11</f>
        <v>Solid storage</v>
      </c>
      <c r="P232" s="53">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4" t="s">
        <v>255</v>
      </c>
      <c r="O234" s="124" t="s">
        <v>269</v>
      </c>
    </row>
    <row r="235" spans="4:22" ht="20.100000000000001" customHeight="1" x14ac:dyDescent="0.25">
      <c r="D235" s="125" t="s">
        <v>271</v>
      </c>
      <c r="O235" s="125" t="s">
        <v>270</v>
      </c>
    </row>
    <row r="236" spans="4:22" ht="20.100000000000001" customHeight="1" x14ac:dyDescent="0.25">
      <c r="D236" s="52" t="s">
        <v>140</v>
      </c>
      <c r="E236" s="52" t="s">
        <v>65</v>
      </c>
      <c r="F236" s="52" t="s">
        <v>165</v>
      </c>
      <c r="G236" s="52" t="s">
        <v>182</v>
      </c>
      <c r="H236" s="52" t="s">
        <v>183</v>
      </c>
      <c r="I236" s="52" t="s">
        <v>184</v>
      </c>
      <c r="J236" s="52" t="s">
        <v>185</v>
      </c>
      <c r="O236" s="52" t="s">
        <v>140</v>
      </c>
      <c r="P236" s="52" t="s">
        <v>65</v>
      </c>
      <c r="Q236" s="52" t="s">
        <v>165</v>
      </c>
      <c r="R236" s="52" t="s">
        <v>182</v>
      </c>
      <c r="S236" s="52" t="s">
        <v>183</v>
      </c>
      <c r="T236" s="52" t="s">
        <v>184</v>
      </c>
      <c r="U236" s="52" t="s">
        <v>185</v>
      </c>
    </row>
    <row r="237" spans="4:22" ht="20.100000000000001" customHeight="1" x14ac:dyDescent="0.25">
      <c r="D237" s="53" t="str">
        <f>INDEX(X_Table_Dairy_ProductionSystems_Method1,2,1)</f>
        <v>Pasture</v>
      </c>
      <c r="E237" s="53" t="str">
        <f>'Constants - Common Livestock'!$E$27</f>
        <v>Pasture range and paddock</v>
      </c>
      <c r="F237" s="53" cm="1">
        <f t="array" aca="1" ref="F237" ca="1">MMS_Dairy_Methane_Equations.VEERG_4_3_1_1__2_MethaneFromManureProduction(D$133,F173,_xlfn.XLOOKUP($E237,$D$228:$D$232,$E$228:$E$232),$I$221,$I$222)</f>
        <v>0</v>
      </c>
      <c r="G237" s="53" cm="1">
        <f t="array" aca="1" ref="G237" ca="1">MMS_Dairy_Methane_Equations.VEERG_4_3_1_1__2_MethaneFromManureProduction(E$133,G173,_xlfn.XLOOKUP($E237,$D$228:$D$232,$E$228:$E$232),$I$221,$I$222)</f>
        <v>0</v>
      </c>
      <c r="H237" s="53" cm="1">
        <f t="array" aca="1" ref="H237" ca="1">MMS_Dairy_Methane_Equations.VEERG_4_3_1_1__2_MethaneFromManureProduction(F$133,H173,_xlfn.XLOOKUP($E237,$D$228:$D$232,$E$228:$E$232),$I$221,$I$222)</f>
        <v>0</v>
      </c>
      <c r="I237" s="53" cm="1">
        <f t="array" aca="1" ref="I237" ca="1">MMS_Dairy_Methane_Equations.VEERG_4_3_1_1__2_MethaneFromManureProduction(G$133,I173,_xlfn.XLOOKUP($E237,$D$228:$D$232,$E$228:$E$232),$I$221,$I$222)</f>
        <v>0</v>
      </c>
      <c r="J237" s="53" cm="1">
        <f t="array" aca="1" ref="J237" ca="1">MMS_Dairy_Methane_Equations.VEERG_4_3_1_1__2_MethaneFromManureProduction(H$133,J173,_xlfn.XLOOKUP($E237,$D$228:$D$232,$E$228:$E$232),$I$221,$I$222)</f>
        <v>0</v>
      </c>
      <c r="K237" s="2" t="str">
        <f>$E$216</f>
        <v>kg CH4/head/day</v>
      </c>
      <c r="O237" s="53" t="str">
        <f>INDEX(X_Table_Dairy_ProductionSystems_Method1,2,1)</f>
        <v>Pasture</v>
      </c>
      <c r="P237" s="53" t="str">
        <f>'Constants - Common Livestock'!$E$27</f>
        <v>Pasture range and paddock</v>
      </c>
      <c r="Q237" s="53" cm="1">
        <f t="array" aca="1" ref="Q237" ca="1">MMS_Dairy_Methane_Equations.VEERG_4_3_1_1__2_MethaneFromManureProduction(O$133,Q173,_xlfn.XLOOKUP($P237,$O$228:$O$232,$P$228:$P$232),$I$221,$I$222)</f>
        <v>0</v>
      </c>
      <c r="R237" s="53" cm="1">
        <f t="array" aca="1" ref="R237" ca="1">MMS_Dairy_Methane_Equations.VEERG_4_3_1_1__2_MethaneFromManureProduction(P$133,R173,_xlfn.XLOOKUP($P237,$O$228:$O$232,$P$228:$P$232),$I$221,$I$222)</f>
        <v>0</v>
      </c>
      <c r="S237" s="53" cm="1">
        <f t="array" aca="1" ref="S237" ca="1">MMS_Dairy_Methane_Equations.VEERG_4_3_1_1__2_MethaneFromManureProduction(Q$133,S173,_xlfn.XLOOKUP($P237,$O$228:$O$232,$P$228:$P$232),$I$221,$I$222)</f>
        <v>0</v>
      </c>
      <c r="T237" s="53" cm="1">
        <f t="array" aca="1" ref="T237" ca="1">MMS_Dairy_Methane_Equations.VEERG_4_3_1_1__2_MethaneFromManureProduction(R$133,T173,_xlfn.XLOOKUP($P237,$O$228:$O$232,$P$228:$P$232),$I$221,$I$222)</f>
        <v>0</v>
      </c>
      <c r="U237" s="53" cm="1">
        <f t="array" aca="1" ref="U237" ca="1">MMS_Dairy_Methane_Equations.VEERG_4_3_1_1__2_MethaneFromManureProduction(S$133,U173,_xlfn.XLOOKUP($P237,$O$228:$O$232,$P$228:$P$232),$I$221,$I$222)</f>
        <v>0</v>
      </c>
      <c r="V237" s="2" t="str">
        <f>$E$216</f>
        <v>kg CH4/head/day</v>
      </c>
    </row>
    <row r="238" spans="4:22" ht="20.100000000000001" customHeight="1" x14ac:dyDescent="0.25">
      <c r="D238" s="53" t="str">
        <f>INDEX(X_Table_Dairy_ProductionSystems_Method1,3,1)</f>
        <v>Milking shed</v>
      </c>
      <c r="E238" s="53" t="str">
        <f>INDEX(X_Table_Dairy_Stage1MMS_1_AnaerobicLagoon,2,1)</f>
        <v>Anaerobic lagoon</v>
      </c>
      <c r="F238" s="53" cm="1">
        <f t="array" aca="1" ref="F238" ca="1">MMS_Dairy_Methane_Equations.VEERG_4_3_1_1__2_MethaneFromManureProduction(D$133,F174,_xlfn.XLOOKUP($E238,$D$228:$D$232,$E$228:$E$232),$I$221,$I$222)</f>
        <v>0</v>
      </c>
      <c r="G238" s="53" cm="1">
        <f t="array" aca="1" ref="G238" ca="1">MMS_Dairy_Methane_Equations.VEERG_4_3_1_1__2_MethaneFromManureProduction(E$133,G174,_xlfn.XLOOKUP($E238,$D$228:$D$232,$E$228:$E$232),$I$221,$I$222)</f>
        <v>0</v>
      </c>
      <c r="H238" s="53" cm="1">
        <f t="array" aca="1" ref="H238" ca="1">MMS_Dairy_Methane_Equations.VEERG_4_3_1_1__2_MethaneFromManureProduction(F$133,H174,_xlfn.XLOOKUP($E238,$D$228:$D$232,$E$228:$E$232),$I$221,$I$222)</f>
        <v>0</v>
      </c>
      <c r="I238" s="53" cm="1">
        <f t="array" aca="1" ref="I238" ca="1">MMS_Dairy_Methane_Equations.VEERG_4_3_1_1__2_MethaneFromManureProduction(G$133,I174,_xlfn.XLOOKUP($E238,$D$228:$D$232,$E$228:$E$232),$I$221,$I$222)</f>
        <v>0</v>
      </c>
      <c r="J238" s="53" cm="1">
        <f t="array" aca="1" ref="J238" ca="1">MMS_Dairy_Methane_Equations.VEERG_4_3_1_1__2_MethaneFromManureProduction(H$133,J174,_xlfn.XLOOKUP($E238,$D$228:$D$232,$E$228:$E$232),$I$221,$I$222)</f>
        <v>0</v>
      </c>
      <c r="O238" s="53" t="str">
        <f>INDEX(X_Table_Dairy_ProductionSystems_Method1,3,1)</f>
        <v>Milking shed</v>
      </c>
      <c r="P238" s="53" t="str">
        <f>INDEX(X_Table_Dairy_Stage1MMS_1_AnaerobicLagoon,2,1)</f>
        <v>Anaerobic lagoon</v>
      </c>
      <c r="Q238" s="53" cm="1">
        <f t="array" aca="1" ref="Q238" ca="1">MMS_Dairy_Methane_Equations.VEERG_4_3_1_1__2_MethaneFromManureProduction(O$133,Q174,_xlfn.XLOOKUP($P238,$O$228:$O$232,$P$228:$P$232),$I$221,$I$222)</f>
        <v>0</v>
      </c>
      <c r="R238" s="53" cm="1">
        <f t="array" aca="1" ref="R238" ca="1">MMS_Dairy_Methane_Equations.VEERG_4_3_1_1__2_MethaneFromManureProduction(P$133,R174,_xlfn.XLOOKUP($P238,$O$228:$O$232,$P$228:$P$232),$I$221,$I$222)</f>
        <v>0</v>
      </c>
      <c r="S238" s="53" cm="1">
        <f t="array" aca="1" ref="S238" ca="1">MMS_Dairy_Methane_Equations.VEERG_4_3_1_1__2_MethaneFromManureProduction(Q$133,S174,_xlfn.XLOOKUP($P238,$O$228:$O$232,$P$228:$P$232),$I$221,$I$222)</f>
        <v>0</v>
      </c>
      <c r="T238" s="53" cm="1">
        <f t="array" aca="1" ref="T238" ca="1">MMS_Dairy_Methane_Equations.VEERG_4_3_1_1__2_MethaneFromManureProduction(R$133,T174,_xlfn.XLOOKUP($P238,$O$228:$O$232,$P$228:$P$232),$I$221,$I$222)</f>
        <v>0</v>
      </c>
      <c r="U238" s="53" cm="1">
        <f t="array" aca="1" ref="U238" ca="1">MMS_Dairy_Methane_Equations.VEERG_4_3_1_1__2_MethaneFromManureProduction(S$133,U174,_xlfn.XLOOKUP($P238,$O$228:$O$232,$P$228:$P$232),$I$221,$I$222)</f>
        <v>0</v>
      </c>
    </row>
    <row r="239" spans="4:22" ht="20.100000000000001" customHeight="1" x14ac:dyDescent="0.25">
      <c r="D239" s="53" t="str">
        <f>INDEX(X_Table_Dairy_ProductionSystems_Method1,3,1)</f>
        <v>Milking shed</v>
      </c>
      <c r="E239" s="53" t="str">
        <f>INDEX(X_Table_Dairy_Stage1MMS_1_SumpAndDispersal,2,1)</f>
        <v>Sump and dispersal system</v>
      </c>
      <c r="F239" s="53" cm="1">
        <f t="array" aca="1" ref="F239" ca="1">MMS_Dairy_Methane_Equations.VEERG_4_3_1_1__2_MethaneFromManureProduction(D$133,F175,_xlfn.XLOOKUP($E239,$D$228:$D$232,$E$228:$E$232),$I$221,$I$222)</f>
        <v>3.8823921675836081E-3</v>
      </c>
      <c r="G239" s="53" cm="1">
        <f t="array" aca="1" ref="G239" ca="1">MMS_Dairy_Methane_Equations.VEERG_4_3_1_1__2_MethaneFromManureProduction(E$133,G175,_xlfn.XLOOKUP($E239,$D$228:$D$232,$E$228:$E$232),$I$221,$I$222)</f>
        <v>0</v>
      </c>
      <c r="H239" s="53" cm="1">
        <f t="array" aca="1" ref="H239" ca="1">MMS_Dairy_Methane_Equations.VEERG_4_3_1_1__2_MethaneFromManureProduction(F$133,H175,_xlfn.XLOOKUP($E239,$D$228:$D$232,$E$228:$E$232),$I$221,$I$222)</f>
        <v>0</v>
      </c>
      <c r="I239" s="53" cm="1">
        <f t="array" aca="1" ref="I239" ca="1">MMS_Dairy_Methane_Equations.VEERG_4_3_1_1__2_MethaneFromManureProduction(G$133,I175,_xlfn.XLOOKUP($E239,$D$228:$D$232,$E$228:$E$232),$I$221,$I$222)</f>
        <v>0</v>
      </c>
      <c r="J239" s="53" cm="1">
        <f t="array" aca="1" ref="J239" ca="1">MMS_Dairy_Methane_Equations.VEERG_4_3_1_1__2_MethaneFromManureProduction(H$133,J175,_xlfn.XLOOKUP($E239,$D$228:$D$232,$E$228:$E$232),$I$221,$I$222)</f>
        <v>0</v>
      </c>
      <c r="K239" s="2"/>
      <c r="O239" s="53" t="str">
        <f>INDEX(X_Table_Dairy_ProductionSystems_Method1,3,1)</f>
        <v>Milking shed</v>
      </c>
      <c r="P239" s="53" t="str">
        <f>INDEX(X_Table_Dairy_Stage1MMS_1_SumpAndDispersal,2,1)</f>
        <v>Sump and dispersal system</v>
      </c>
      <c r="Q239" s="53" cm="1">
        <f t="array" aca="1" ref="Q239" ca="1">MMS_Dairy_Methane_Equations.VEERG_4_3_1_1__2_MethaneFromManureProduction(O$133,Q175,_xlfn.XLOOKUP($P239,$O$228:$O$232,$P$228:$P$232),$I$221,$I$222)</f>
        <v>3.8823921675836081E-3</v>
      </c>
      <c r="R239" s="53" cm="1">
        <f t="array" aca="1" ref="R239" ca="1">MMS_Dairy_Methane_Equations.VEERG_4_3_1_1__2_MethaneFromManureProduction(P$133,R175,_xlfn.XLOOKUP($P239,$O$228:$O$232,$P$228:$P$232),$I$221,$I$222)</f>
        <v>0</v>
      </c>
      <c r="S239" s="53" cm="1">
        <f t="array" aca="1" ref="S239" ca="1">MMS_Dairy_Methane_Equations.VEERG_4_3_1_1__2_MethaneFromManureProduction(Q$133,S175,_xlfn.XLOOKUP($P239,$O$228:$O$232,$P$228:$P$232),$I$221,$I$222)</f>
        <v>0</v>
      </c>
      <c r="T239" s="53" cm="1">
        <f t="array" aca="1" ref="T239" ca="1">MMS_Dairy_Methane_Equations.VEERG_4_3_1_1__2_MethaneFromManureProduction(R$133,T175,_xlfn.XLOOKUP($P239,$O$228:$O$232,$P$228:$P$232),$I$221,$I$222)</f>
        <v>0</v>
      </c>
      <c r="U239" s="53" cm="1">
        <f t="array" aca="1" ref="U239" ca="1">MMS_Dairy_Methane_Equations.VEERG_4_3_1_1__2_MethaneFromManureProduction(S$133,U175,_xlfn.XLOOKUP($P239,$O$228:$O$232,$P$228:$P$232),$I$221,$I$222)</f>
        <v>0</v>
      </c>
      <c r="V239" s="2"/>
    </row>
    <row r="240" spans="4:22" ht="20.100000000000001" customHeight="1" x14ac:dyDescent="0.25">
      <c r="D240" s="53" t="str">
        <f>INDEX(X_Table_Dairy_ProductionSystems_Method1,3,1)</f>
        <v>Milking shed</v>
      </c>
      <c r="E240" s="53" t="str">
        <f>INDEX(X_Table_Dairy_Stage1MMS_1_DrainsToPaddock,2,1)</f>
        <v>Drains to paddock</v>
      </c>
      <c r="F240" s="53" cm="1">
        <f t="array" aca="1" ref="F240" ca="1">MMS_Dairy_Methane_Equations.VEERG_4_3_1_1__2_MethaneFromManureProduction(D$133,F176,_xlfn.XLOOKUP($E240,$D$228:$D$232,$E$228:$E$232),$I$221,$I$222)</f>
        <v>0</v>
      </c>
      <c r="G240" s="53" cm="1">
        <f t="array" aca="1" ref="G240" ca="1">MMS_Dairy_Methane_Equations.VEERG_4_3_1_1__2_MethaneFromManureProduction(E$133,G176,_xlfn.XLOOKUP($E240,$D$228:$D$232,$E$228:$E$232),$I$221,$I$222)</f>
        <v>0</v>
      </c>
      <c r="H240" s="53" cm="1">
        <f t="array" aca="1" ref="H240" ca="1">MMS_Dairy_Methane_Equations.VEERG_4_3_1_1__2_MethaneFromManureProduction(F$133,H176,_xlfn.XLOOKUP($E240,$D$228:$D$232,$E$228:$E$232),$I$221,$I$222)</f>
        <v>0</v>
      </c>
      <c r="I240" s="53" cm="1">
        <f t="array" aca="1" ref="I240" ca="1">MMS_Dairy_Methane_Equations.VEERG_4_3_1_1__2_MethaneFromManureProduction(G$133,I176,_xlfn.XLOOKUP($E240,$D$228:$D$232,$E$228:$E$232),$I$221,$I$222)</f>
        <v>0</v>
      </c>
      <c r="J240" s="53" cm="1">
        <f t="array" aca="1" ref="J240" ca="1">MMS_Dairy_Methane_Equations.VEERG_4_3_1_1__2_MethaneFromManureProduction(H$133,J176,_xlfn.XLOOKUP($E240,$D$228:$D$232,$E$228:$E$232),$I$221,$I$222)</f>
        <v>0</v>
      </c>
      <c r="K240" s="2"/>
      <c r="O240" s="53" t="str">
        <f>INDEX(X_Table_Dairy_ProductionSystems_Method1,3,1)</f>
        <v>Milking shed</v>
      </c>
      <c r="P240" s="53" t="str">
        <f>INDEX(X_Table_Dairy_Stage1MMS_1_DrainsToPaddock,2,1)</f>
        <v>Drains to paddock</v>
      </c>
      <c r="Q240" s="53" cm="1">
        <f t="array" aca="1" ref="Q240" ca="1">MMS_Dairy_Methane_Equations.VEERG_4_3_1_1__2_MethaneFromManureProduction(O$133,Q176,_xlfn.XLOOKUP($P240,$O$228:$O$232,$P$228:$P$232),$I$221,$I$222)</f>
        <v>0</v>
      </c>
      <c r="R240" s="53" cm="1">
        <f t="array" aca="1" ref="R240" ca="1">MMS_Dairy_Methane_Equations.VEERG_4_3_1_1__2_MethaneFromManureProduction(P$133,R176,_xlfn.XLOOKUP($P240,$O$228:$O$232,$P$228:$P$232),$I$221,$I$222)</f>
        <v>0</v>
      </c>
      <c r="S240" s="53" cm="1">
        <f t="array" aca="1" ref="S240" ca="1">MMS_Dairy_Methane_Equations.VEERG_4_3_1_1__2_MethaneFromManureProduction(Q$133,S176,_xlfn.XLOOKUP($P240,$O$228:$O$232,$P$228:$P$232),$I$221,$I$222)</f>
        <v>0</v>
      </c>
      <c r="T240" s="53" cm="1">
        <f t="array" aca="1" ref="T240" ca="1">MMS_Dairy_Methane_Equations.VEERG_4_3_1_1__2_MethaneFromManureProduction(R$133,T176,_xlfn.XLOOKUP($P240,$O$228:$O$232,$P$228:$P$232),$I$221,$I$222)</f>
        <v>0</v>
      </c>
      <c r="U240" s="53" cm="1">
        <f t="array" aca="1" ref="U240" ca="1">MMS_Dairy_Methane_Equations.VEERG_4_3_1_1__2_MethaneFromManureProduction(S$133,U176,_xlfn.XLOOKUP($P240,$O$228:$O$232,$P$228:$P$232),$I$221,$I$222)</f>
        <v>0</v>
      </c>
      <c r="V240" s="2"/>
    </row>
    <row r="241" spans="3:23" ht="20.100000000000001" customHeight="1" x14ac:dyDescent="0.25">
      <c r="D241" s="53" t="str">
        <f>INDEX(X_Table_Dairy_ProductionSystems_Method1,3,1)</f>
        <v>Milking shed</v>
      </c>
      <c r="E241" s="53" t="s">
        <v>398</v>
      </c>
      <c r="F241" s="53" cm="1">
        <f t="array" aca="1" ref="F241" ca="1">MMS_Dairy_Methane_Equations.VEERG_4_3_1_1__2_MethaneFromManureProduction(D$133,F205,_xlfn.XLOOKUP($E241,$D$228:$D$232,$E$228:$E$232),$I$221,$I$222)</f>
        <v>0</v>
      </c>
      <c r="G241" s="53" cm="1">
        <f t="array" aca="1" ref="G241" ca="1">MMS_Dairy_Methane_Equations.VEERG_4_3_1_1__2_MethaneFromManureProduction(E$133,G205,_xlfn.XLOOKUP($E241,$D$228:$D$232,$E$228:$E$232),$I$221,$I$222)</f>
        <v>0</v>
      </c>
      <c r="H241" s="53" cm="1">
        <f t="array" aca="1" ref="H241" ca="1">MMS_Dairy_Methane_Equations.VEERG_4_3_1_1__2_MethaneFromManureProduction(F$133,H205,_xlfn.XLOOKUP($E241,$D$228:$D$232,$E$228:$E$232),$I$221,$I$222)</f>
        <v>0</v>
      </c>
      <c r="I241" s="53" cm="1">
        <f t="array" aca="1" ref="I241" ca="1">MMS_Dairy_Methane_Equations.VEERG_4_3_1_1__2_MethaneFromManureProduction(G$133,I205,_xlfn.XLOOKUP($E241,$D$228:$D$232,$E$228:$E$232),$I$221,$I$222)</f>
        <v>0</v>
      </c>
      <c r="J241" s="53" cm="1">
        <f t="array" aca="1" ref="J241" ca="1">MMS_Dairy_Methane_Equations.VEERG_4_3_1_1__2_MethaneFromManureProduction(H$133,J205,_xlfn.XLOOKUP($E241,$D$228:$D$232,$E$228:$E$232),$I$221,$I$222)</f>
        <v>0</v>
      </c>
      <c r="K241" s="2"/>
      <c r="O241" s="53" t="str">
        <f>INDEX(X_Table_Dairy_ProductionSystems_Method1,3,1)</f>
        <v>Milking shed</v>
      </c>
      <c r="P241" s="53" t="s">
        <v>398</v>
      </c>
      <c r="Q241" s="53" cm="1">
        <f t="array" aca="1" ref="Q241" ca="1">MMS_Dairy_Methane_Equations.VEERG_4_3_1_1__2_MethaneFromManureProduction(O$133,Q205,_xlfn.XLOOKUP($P241,$O$228:$O$232,$P$228:$P$232),$I$221,$I$222)</f>
        <v>0</v>
      </c>
      <c r="R241" s="53" cm="1">
        <f t="array" aca="1" ref="R241" ca="1">MMS_Dairy_Methane_Equations.VEERG_4_3_1_1__2_MethaneFromManureProduction(P$133,R205,_xlfn.XLOOKUP($P241,$O$228:$O$232,$P$228:$P$232),$I$221,$I$222)</f>
        <v>0</v>
      </c>
      <c r="S241" s="53" cm="1">
        <f t="array" aca="1" ref="S241" ca="1">MMS_Dairy_Methane_Equations.VEERG_4_3_1_1__2_MethaneFromManureProduction(Q$133,S205,_xlfn.XLOOKUP($P241,$O$228:$O$232,$P$228:$P$232),$I$221,$I$222)</f>
        <v>0</v>
      </c>
      <c r="T241" s="53" cm="1">
        <f t="array" aca="1" ref="T241" ca="1">MMS_Dairy_Methane_Equations.VEERG_4_3_1_1__2_MethaneFromManureProduction(R$133,T205,_xlfn.XLOOKUP($P241,$O$228:$O$232,$P$228:$P$232),$I$221,$I$222)</f>
        <v>0</v>
      </c>
      <c r="U241" s="53" cm="1">
        <f t="array" aca="1" ref="U241" ca="1">MMS_Dairy_Methane_Equations.VEERG_4_3_1_1__2_MethaneFromManureProduction(S$133,U205,_xlfn.XLOOKUP($P241,$O$228:$O$232,$P$228:$P$232),$I$221,$I$222)</f>
        <v>0</v>
      </c>
      <c r="V241" s="2"/>
    </row>
    <row r="242" spans="3:23" ht="20.100000000000001" customHeight="1" x14ac:dyDescent="0.25">
      <c r="D242" s="53" t="str">
        <f>INDEX(X_Table_Dairy_ProductionSystems_Method1,4,1)</f>
        <v>Feed pad</v>
      </c>
      <c r="E242" s="53" t="str">
        <f>INDEX(X_Table_Dairy_Stage1MMS_2_AnaerobicLagoon,2,1)</f>
        <v>Anaerobic lagoon</v>
      </c>
      <c r="F242" s="53" cm="1">
        <f t="array" aca="1" ref="F242" ca="1">MMS_Dairy_Methane_Equations.VEERG_4_3_1_1__2_MethaneFromManureProduction(D$133,F177,_xlfn.XLOOKUP($E242,$D$228:$D$232,$E$228:$E$232),$I$221,$I$222)</f>
        <v>0</v>
      </c>
      <c r="G242" s="53" cm="1">
        <f t="array" aca="1" ref="G242" ca="1">MMS_Dairy_Methane_Equations.VEERG_4_3_1_1__2_MethaneFromManureProduction(E$133,G177,_xlfn.XLOOKUP($E242,$D$228:$D$232,$E$228:$E$232),$I$221,$I$222)</f>
        <v>0</v>
      </c>
      <c r="H242" s="53" cm="1">
        <f t="array" aca="1" ref="H242" ca="1">MMS_Dairy_Methane_Equations.VEERG_4_3_1_1__2_MethaneFromManureProduction(F$133,H177,_xlfn.XLOOKUP($E242,$D$228:$D$232,$E$228:$E$232),$I$221,$I$222)</f>
        <v>0</v>
      </c>
      <c r="I242" s="53" cm="1">
        <f t="array" aca="1" ref="I242" ca="1">MMS_Dairy_Methane_Equations.VEERG_4_3_1_1__2_MethaneFromManureProduction(G$133,I177,_xlfn.XLOOKUP($E242,$D$228:$D$232,$E$228:$E$232),$I$221,$I$222)</f>
        <v>0</v>
      </c>
      <c r="J242" s="53" cm="1">
        <f t="array" aca="1" ref="J242" ca="1">MMS_Dairy_Methane_Equations.VEERG_4_3_1_1__2_MethaneFromManureProduction(H$133,J177,_xlfn.XLOOKUP($E242,$D$228:$D$232,$E$228:$E$232),$I$221,$I$222)</f>
        <v>0</v>
      </c>
      <c r="K242" s="2"/>
      <c r="O242" s="53" t="str">
        <f>INDEX(X_Table_Dairy_ProductionSystems_Method1,4,1)</f>
        <v>Feed pad</v>
      </c>
      <c r="P242" s="53" t="str">
        <f>INDEX(X_Table_Dairy_Stage1MMS_2_AnaerobicLagoon,2,1)</f>
        <v>Anaerobic lagoon</v>
      </c>
      <c r="Q242" s="53" cm="1">
        <f t="array" aca="1" ref="Q242" ca="1">MMS_Dairy_Methane_Equations.VEERG_4_3_1_1__2_MethaneFromManureProduction(O$133,Q177,_xlfn.XLOOKUP($P242,$O$228:$O$232,$P$228:$P$232),$I$221,$I$222)</f>
        <v>0</v>
      </c>
      <c r="R242" s="53" cm="1">
        <f t="array" aca="1" ref="R242" ca="1">MMS_Dairy_Methane_Equations.VEERG_4_3_1_1__2_MethaneFromManureProduction(P$133,R177,_xlfn.XLOOKUP($P242,$O$228:$O$232,$P$228:$P$232),$I$221,$I$222)</f>
        <v>0</v>
      </c>
      <c r="S242" s="53" cm="1">
        <f t="array" aca="1" ref="S242" ca="1">MMS_Dairy_Methane_Equations.VEERG_4_3_1_1__2_MethaneFromManureProduction(Q$133,S177,_xlfn.XLOOKUP($P242,$O$228:$O$232,$P$228:$P$232),$I$221,$I$222)</f>
        <v>0</v>
      </c>
      <c r="T242" s="53" cm="1">
        <f t="array" aca="1" ref="T242" ca="1">MMS_Dairy_Methane_Equations.VEERG_4_3_1_1__2_MethaneFromManureProduction(R$133,T177,_xlfn.XLOOKUP($P242,$O$228:$O$232,$P$228:$P$232),$I$221,$I$222)</f>
        <v>0</v>
      </c>
      <c r="U242" s="53" cm="1">
        <f t="array" aca="1" ref="U242" ca="1">MMS_Dairy_Methane_Equations.VEERG_4_3_1_1__2_MethaneFromManureProduction(S$133,U177,_xlfn.XLOOKUP($P242,$O$228:$O$232,$P$228:$P$232),$I$221,$I$222)</f>
        <v>0</v>
      </c>
      <c r="V242" s="2"/>
    </row>
    <row r="243" spans="3:23" ht="20.100000000000001" customHeight="1" x14ac:dyDescent="0.25">
      <c r="D243" s="53" t="str">
        <f>INDEX(X_Table_Dairy_ProductionSystems_Method1,4,1)</f>
        <v>Feed pad</v>
      </c>
      <c r="E243" s="53" t="str">
        <f>INDEX(X_Table_Dairy_Stage1MMS_2_SumpAndDispersal,2,1)</f>
        <v>Sump and dispersal system</v>
      </c>
      <c r="F243" s="53" cm="1">
        <f t="array" aca="1" ref="F243" ca="1">MMS_Dairy_Methane_Equations.VEERG_4_3_1_1__2_MethaneFromManureProduction(D$133,F178,_xlfn.XLOOKUP($E243,$D$228:$D$232,$E$228:$E$232),$I$221,$I$222)</f>
        <v>0</v>
      </c>
      <c r="G243" s="53" cm="1">
        <f t="array" aca="1" ref="G243" ca="1">MMS_Dairy_Methane_Equations.VEERG_4_3_1_1__2_MethaneFromManureProduction(E$133,G178,_xlfn.XLOOKUP($E243,$D$228:$D$232,$E$228:$E$232),$I$221,$I$222)</f>
        <v>0</v>
      </c>
      <c r="H243" s="53" cm="1">
        <f t="array" aca="1" ref="H243" ca="1">MMS_Dairy_Methane_Equations.VEERG_4_3_1_1__2_MethaneFromManureProduction(F$133,H178,_xlfn.XLOOKUP($E243,$D$228:$D$232,$E$228:$E$232),$I$221,$I$222)</f>
        <v>0</v>
      </c>
      <c r="I243" s="53" cm="1">
        <f t="array" aca="1" ref="I243" ca="1">MMS_Dairy_Methane_Equations.VEERG_4_3_1_1__2_MethaneFromManureProduction(G$133,I178,_xlfn.XLOOKUP($E243,$D$228:$D$232,$E$228:$E$232),$I$221,$I$222)</f>
        <v>0</v>
      </c>
      <c r="J243" s="53" cm="1">
        <f t="array" aca="1" ref="J243" ca="1">MMS_Dairy_Methane_Equations.VEERG_4_3_1_1__2_MethaneFromManureProduction(H$133,J178,_xlfn.XLOOKUP($E243,$D$228:$D$232,$E$228:$E$232),$I$221,$I$222)</f>
        <v>0</v>
      </c>
      <c r="K243" s="2"/>
      <c r="O243" s="53" t="str">
        <f>INDEX(X_Table_Dairy_ProductionSystems_Method1,4,1)</f>
        <v>Feed pad</v>
      </c>
      <c r="P243" s="53" t="str">
        <f>INDEX(X_Table_Dairy_Stage1MMS_2_SumpAndDispersal,2,1)</f>
        <v>Sump and dispersal system</v>
      </c>
      <c r="Q243" s="53" cm="1">
        <f t="array" aca="1" ref="Q243" ca="1">MMS_Dairy_Methane_Equations.VEERG_4_3_1_1__2_MethaneFromManureProduction(O$133,Q178,_xlfn.XLOOKUP($P243,$O$228:$O$232,$P$228:$P$232),$I$221,$I$222)</f>
        <v>0</v>
      </c>
      <c r="R243" s="53" cm="1">
        <f t="array" aca="1" ref="R243" ca="1">MMS_Dairy_Methane_Equations.VEERG_4_3_1_1__2_MethaneFromManureProduction(P$133,R178,_xlfn.XLOOKUP($P243,$O$228:$O$232,$P$228:$P$232),$I$221,$I$222)</f>
        <v>0</v>
      </c>
      <c r="S243" s="53" cm="1">
        <f t="array" aca="1" ref="S243" ca="1">MMS_Dairy_Methane_Equations.VEERG_4_3_1_1__2_MethaneFromManureProduction(Q$133,S178,_xlfn.XLOOKUP($P243,$O$228:$O$232,$P$228:$P$232),$I$221,$I$222)</f>
        <v>0</v>
      </c>
      <c r="T243" s="53" cm="1">
        <f t="array" aca="1" ref="T243" ca="1">MMS_Dairy_Methane_Equations.VEERG_4_3_1_1__2_MethaneFromManureProduction(R$133,T178,_xlfn.XLOOKUP($P243,$O$228:$O$232,$P$228:$P$232),$I$221,$I$222)</f>
        <v>0</v>
      </c>
      <c r="U243" s="53" cm="1">
        <f t="array" aca="1" ref="U243" ca="1">MMS_Dairy_Methane_Equations.VEERG_4_3_1_1__2_MethaneFromManureProduction(S$133,U178,_xlfn.XLOOKUP($P243,$O$228:$O$232,$P$228:$P$232),$I$221,$I$222)</f>
        <v>0</v>
      </c>
      <c r="V243" s="2"/>
    </row>
    <row r="244" spans="3:23" ht="20.100000000000001" customHeight="1" x14ac:dyDescent="0.25">
      <c r="D244" s="53" t="str">
        <f>INDEX(X_Table_Dairy_ProductionSystems_Method1,4,1)</f>
        <v>Feed pad</v>
      </c>
      <c r="E244" s="53" t="str">
        <f>INDEX(X_Table_Dairy_Stage1MMS_2_DrainsToPaddock,2,1)</f>
        <v>Drains to paddock</v>
      </c>
      <c r="F244" s="53" cm="1">
        <f t="array" aca="1" ref="F244" ca="1">MMS_Dairy_Methane_Equations.VEERG_4_3_1_1__2_MethaneFromManureProduction(D$133,F179,_xlfn.XLOOKUP($E244,$D$228:$D$232,$E$228:$E$232),$I$221,$I$222)</f>
        <v>0</v>
      </c>
      <c r="G244" s="53" cm="1">
        <f t="array" aca="1" ref="G244" ca="1">MMS_Dairy_Methane_Equations.VEERG_4_3_1_1__2_MethaneFromManureProduction(E$133,G179,_xlfn.XLOOKUP($E244,$D$228:$D$232,$E$228:$E$232),$I$221,$I$222)</f>
        <v>0</v>
      </c>
      <c r="H244" s="53" cm="1">
        <f t="array" aca="1" ref="H244" ca="1">MMS_Dairy_Methane_Equations.VEERG_4_3_1_1__2_MethaneFromManureProduction(F$133,H179,_xlfn.XLOOKUP($E244,$D$228:$D$232,$E$228:$E$232),$I$221,$I$222)</f>
        <v>0</v>
      </c>
      <c r="I244" s="53" cm="1">
        <f t="array" aca="1" ref="I244" ca="1">MMS_Dairy_Methane_Equations.VEERG_4_3_1_1__2_MethaneFromManureProduction(G$133,I179,_xlfn.XLOOKUP($E244,$D$228:$D$232,$E$228:$E$232),$I$221,$I$222)</f>
        <v>0</v>
      </c>
      <c r="J244" s="53" cm="1">
        <f t="array" aca="1" ref="J244" ca="1">MMS_Dairy_Methane_Equations.VEERG_4_3_1_1__2_MethaneFromManureProduction(H$133,J179,_xlfn.XLOOKUP($E244,$D$228:$D$232,$E$228:$E$232),$I$221,$I$222)</f>
        <v>0</v>
      </c>
      <c r="K244" s="2"/>
      <c r="O244" s="53" t="str">
        <f>INDEX(X_Table_Dairy_ProductionSystems_Method1,4,1)</f>
        <v>Feed pad</v>
      </c>
      <c r="P244" s="53" t="str">
        <f>INDEX(X_Table_Dairy_Stage1MMS_2_DrainsToPaddock,2,1)</f>
        <v>Drains to paddock</v>
      </c>
      <c r="Q244" s="53" cm="1">
        <f t="array" aca="1" ref="Q244" ca="1">MMS_Dairy_Methane_Equations.VEERG_4_3_1_1__2_MethaneFromManureProduction(O$133,Q179,_xlfn.XLOOKUP($P244,$O$228:$O$232,$P$228:$P$232),$I$221,$I$222)</f>
        <v>0</v>
      </c>
      <c r="R244" s="53" cm="1">
        <f t="array" aca="1" ref="R244" ca="1">MMS_Dairy_Methane_Equations.VEERG_4_3_1_1__2_MethaneFromManureProduction(P$133,R179,_xlfn.XLOOKUP($P244,$O$228:$O$232,$P$228:$P$232),$I$221,$I$222)</f>
        <v>0</v>
      </c>
      <c r="S244" s="53" cm="1">
        <f t="array" aca="1" ref="S244" ca="1">MMS_Dairy_Methane_Equations.VEERG_4_3_1_1__2_MethaneFromManureProduction(Q$133,S179,_xlfn.XLOOKUP($P244,$O$228:$O$232,$P$228:$P$232),$I$221,$I$222)</f>
        <v>0</v>
      </c>
      <c r="T244" s="53" cm="1">
        <f t="array" aca="1" ref="T244" ca="1">MMS_Dairy_Methane_Equations.VEERG_4_3_1_1__2_MethaneFromManureProduction(R$133,T179,_xlfn.XLOOKUP($P244,$O$228:$O$232,$P$228:$P$232),$I$221,$I$222)</f>
        <v>0</v>
      </c>
      <c r="U244" s="53" cm="1">
        <f t="array" aca="1" ref="U244" ca="1">MMS_Dairy_Methane_Equations.VEERG_4_3_1_1__2_MethaneFromManureProduction(S$133,U179,_xlfn.XLOOKUP($P244,$O$228:$O$232,$P$228:$P$232),$I$221,$I$222)</f>
        <v>0</v>
      </c>
      <c r="V244" s="2"/>
    </row>
    <row r="245" spans="3:23" ht="20.100000000000001" customHeight="1" x14ac:dyDescent="0.25">
      <c r="D245" s="53" t="str">
        <f>INDEX(X_Table_Dairy_ProductionSystems_Method1,4,1)</f>
        <v>Feed pad</v>
      </c>
      <c r="E245" s="53" t="s">
        <v>398</v>
      </c>
      <c r="F245" s="53" cm="1">
        <f t="array" aca="1" ref="F245" ca="1">MMS_Dairy_Methane_Equations.VEERG_4_3_1_1__2_MethaneFromManureProduction(D$133,F206,_xlfn.XLOOKUP($E245,$D$228:$D$232,$E$228:$E$232),$I$221,$I$222)</f>
        <v>0</v>
      </c>
      <c r="G245" s="53" cm="1">
        <f t="array" aca="1" ref="G245" ca="1">MMS_Dairy_Methane_Equations.VEERG_4_3_1_1__2_MethaneFromManureProduction(E$133,G206,_xlfn.XLOOKUP($E245,$D$228:$D$232,$E$228:$E$232),$I$221,$I$222)</f>
        <v>0</v>
      </c>
      <c r="H245" s="53" cm="1">
        <f t="array" aca="1" ref="H245" ca="1">MMS_Dairy_Methane_Equations.VEERG_4_3_1_1__2_MethaneFromManureProduction(F$133,H206,_xlfn.XLOOKUP($E245,$D$228:$D$232,$E$228:$E$232),$I$221,$I$222)</f>
        <v>0</v>
      </c>
      <c r="I245" s="53" cm="1">
        <f t="array" aca="1" ref="I245" ca="1">MMS_Dairy_Methane_Equations.VEERG_4_3_1_1__2_MethaneFromManureProduction(G$133,I206,_xlfn.XLOOKUP($E245,$D$228:$D$232,$E$228:$E$232),$I$221,$I$222)</f>
        <v>0</v>
      </c>
      <c r="J245" s="53" cm="1">
        <f t="array" aca="1" ref="J245" ca="1">MMS_Dairy_Methane_Equations.VEERG_4_3_1_1__2_MethaneFromManureProduction(H$133,J206,_xlfn.XLOOKUP($E245,$D$228:$D$232,$E$228:$E$232),$I$221,$I$222)</f>
        <v>0</v>
      </c>
      <c r="K245" s="2"/>
      <c r="O245" s="53" t="str">
        <f>INDEX(X_Table_Dairy_ProductionSystems_Method1,4,1)</f>
        <v>Feed pad</v>
      </c>
      <c r="P245" s="53" t="s">
        <v>398</v>
      </c>
      <c r="Q245" s="53" cm="1">
        <f t="array" aca="1" ref="Q245" ca="1">MMS_Dairy_Methane_Equations.VEERG_4_3_1_1__2_MethaneFromManureProduction(O$133,Q206,_xlfn.XLOOKUP($P245,$O$228:$O$232,$P$228:$P$232),$I$221,$I$222)</f>
        <v>0</v>
      </c>
      <c r="R245" s="53" cm="1">
        <f t="array" aca="1" ref="R245" ca="1">MMS_Dairy_Methane_Equations.VEERG_4_3_1_1__2_MethaneFromManureProduction(P$133,R206,_xlfn.XLOOKUP($P245,$O$228:$O$232,$P$228:$P$232),$I$221,$I$222)</f>
        <v>0</v>
      </c>
      <c r="S245" s="53" cm="1">
        <f t="array" aca="1" ref="S245" ca="1">MMS_Dairy_Methane_Equations.VEERG_4_3_1_1__2_MethaneFromManureProduction(Q$133,S206,_xlfn.XLOOKUP($P245,$O$228:$O$232,$P$228:$P$232),$I$221,$I$222)</f>
        <v>0</v>
      </c>
      <c r="T245" s="53" cm="1">
        <f t="array" aca="1" ref="T245" ca="1">MMS_Dairy_Methane_Equations.VEERG_4_3_1_1__2_MethaneFromManureProduction(R$133,T206,_xlfn.XLOOKUP($P245,$O$228:$O$232,$P$228:$P$232),$I$221,$I$222)</f>
        <v>0</v>
      </c>
      <c r="U245" s="53" cm="1">
        <f t="array" aca="1" ref="U245" ca="1">MMS_Dairy_Methane_Equations.VEERG_4_3_1_1__2_MethaneFromManureProduction(S$133,U206,_xlfn.XLOOKUP($P245,$O$228:$O$232,$P$228:$P$232),$I$221,$I$222)</f>
        <v>0</v>
      </c>
      <c r="V245" s="2"/>
    </row>
    <row r="246" spans="3:23" ht="20.100000000000001" customHeight="1" x14ac:dyDescent="0.25"/>
    <row r="247" spans="3:23" ht="20.100000000000001" customHeight="1" x14ac:dyDescent="0.25"/>
    <row r="248" spans="3:23" ht="20.100000000000001" customHeight="1" x14ac:dyDescent="0.25">
      <c r="C248" s="46"/>
      <c r="D248" s="46"/>
      <c r="E248" s="46"/>
      <c r="F248" s="46"/>
      <c r="G248" s="46"/>
      <c r="H248" s="46"/>
      <c r="I248" s="46"/>
      <c r="J248" s="46"/>
      <c r="K248" s="46"/>
      <c r="L248" s="46"/>
      <c r="N248" s="46"/>
      <c r="O248" s="46"/>
      <c r="P248" s="46"/>
      <c r="Q248" s="46"/>
      <c r="R248" s="46"/>
      <c r="S248" s="46"/>
      <c r="T248" s="46"/>
      <c r="U248" s="46"/>
      <c r="V248" s="46"/>
      <c r="W248" s="46"/>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6"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25</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4" t="s">
        <v>28</v>
      </c>
      <c r="E255" s="1" t="str" cm="1">
        <f t="array" ref="E255">MMS_Dairy_Methane_Equations.VEERG_4_3_1_1__1_TotalAnnualMethaneFromManureManagement_Variable()</f>
        <v>E_CH4</v>
      </c>
    </row>
    <row r="256" spans="3:23" ht="20.100000000000001" customHeight="1" x14ac:dyDescent="0.25">
      <c r="D256" s="54" t="s">
        <v>18</v>
      </c>
      <c r="E256" s="55"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3" t="str" cm="1">
        <f t="array" ref="D258:E265">_xlfn.CHOOSECOLS(MMS_Dairy_Methane_Equations.VEERG_4_3_1_1__1_TotalAnnualMethaneFromManureManagement_Arguments(),1,2)</f>
        <v>N_j124</v>
      </c>
      <c r="E258" s="132" t="str">
        <v>number of dairy cattle in classes j=1,2,4</v>
      </c>
      <c r="F258" s="138"/>
      <c r="G258" s="134"/>
      <c r="H258" s="133" t="str" cm="1">
        <f t="array" ref="H258:I265">_xlfn.CHOOSECOLS(MMS_Dairy_Methane_Equations.VEERG_4_3_1_1__1_TotalAnnualMethaneFromManureManagement_Arguments(),3,4)</f>
        <v>head</v>
      </c>
      <c r="I258" s="131" t="str">
        <v>Input</v>
      </c>
      <c r="J258" s="130" t="str" cm="1">
        <f t="array" aca="1" ref="J258" ca="1">HYPERLINK(Common_InputFunctions.Utility_SourceHyperlink($D$267),$D$267)</f>
        <v>Table_N_j</v>
      </c>
    </row>
    <row r="259" spans="4:15" ht="20.100000000000001" customHeight="1" x14ac:dyDescent="0.25">
      <c r="D259" s="133" t="str">
        <v>M_j124m</v>
      </c>
      <c r="E259" s="132" t="str">
        <v>methane production from manure of weaned dairy cattle in classes j=1,2,4 in MMS m</v>
      </c>
      <c r="F259" s="138"/>
      <c r="G259" s="134"/>
      <c r="H259" s="133" t="str">
        <v>kg CH4/head/day</v>
      </c>
      <c r="I259" s="129" t="str">
        <v>Calculated from 4.3.1.1 (2)</v>
      </c>
      <c r="J259" s="130" t="str" cm="1">
        <f t="array" aca="1" ref="J259" ca="1">HYPERLINK(Common_InputFunctions.Utility_SourceHyperlink($D$234),$D$234)</f>
        <v>M1_M_j_m</v>
      </c>
    </row>
    <row r="260" spans="4:15" ht="20.100000000000001" customHeight="1" x14ac:dyDescent="0.25">
      <c r="D260" s="133" t="str">
        <v>D_j124</v>
      </c>
      <c r="E260" s="132" t="str">
        <v>duration of stay on farm for classes j=1,2,4</v>
      </c>
      <c r="F260" s="138"/>
      <c r="G260" s="134"/>
      <c r="H260" s="133" t="str">
        <v>days</v>
      </c>
      <c r="I260" s="131" t="str">
        <v>Input</v>
      </c>
      <c r="J260" s="130" t="str" cm="1">
        <f t="array" aca="1" ref="J260" ca="1">HYPERLINK(Common_InputFunctions.Utility_SourceHyperlink($D$272),$D$272)</f>
        <v>M1_Table_D_j</v>
      </c>
    </row>
    <row r="261" spans="4:15" ht="20.100000000000001" customHeight="1" x14ac:dyDescent="0.25">
      <c r="D261" s="133" t="str">
        <v>N_j35</v>
      </c>
      <c r="E261" s="132" t="str">
        <v>number of dairy cattle in classes j=3,5</v>
      </c>
      <c r="F261" s="138"/>
      <c r="G261" s="134"/>
      <c r="H261" s="133" t="str">
        <v>head</v>
      </c>
      <c r="I261" s="131" t="str">
        <v>Input</v>
      </c>
      <c r="J261" s="130" t="str" cm="1">
        <f t="array" aca="1" ref="J261" ca="1">HYPERLINK(Common_InputFunctions.Utility_SourceHyperlink($D$267),$D$267)</f>
        <v>Table_N_j</v>
      </c>
    </row>
    <row r="262" spans="4:15" ht="20.100000000000001" customHeight="1" x14ac:dyDescent="0.25">
      <c r="D262" s="133" t="str">
        <v>M_j35m</v>
      </c>
      <c r="E262" s="132" t="str">
        <v>methane production from manure of weaned dairy cattle in classes j=3,5 in MMS m</v>
      </c>
      <c r="F262" s="138"/>
      <c r="G262" s="134"/>
      <c r="H262" s="133" t="str">
        <v>kg CH4/head/day</v>
      </c>
      <c r="I262" s="129" t="str">
        <v>Calculated from 4.3.1.1 (2)</v>
      </c>
      <c r="J262" s="130" t="str" cm="1">
        <f t="array" aca="1" ref="J262" ca="1">HYPERLINK(Common_InputFunctions.Utility_SourceHyperlink($D$234),$D$234)</f>
        <v>M1_M_j_m</v>
      </c>
    </row>
    <row r="263" spans="4:15" ht="20.100000000000001" customHeight="1" x14ac:dyDescent="0.25">
      <c r="D263" s="133" t="str">
        <v>D_j35</v>
      </c>
      <c r="E263" s="132" t="str">
        <v>duration of stay on farm for classes j=3,5</v>
      </c>
      <c r="F263" s="138"/>
      <c r="G263" s="134"/>
      <c r="H263" s="133" t="str">
        <v>days</v>
      </c>
      <c r="I263" s="131" t="str">
        <v>Input</v>
      </c>
      <c r="J263" s="130" t="str" cm="1">
        <f t="array" aca="1" ref="J263" ca="1">HYPERLINK(Common_InputFunctions.Utility_SourceHyperlink($D$272),$D$272)</f>
        <v>M1_Table_D_j</v>
      </c>
    </row>
    <row r="264" spans="4:15" ht="20.100000000000001" customHeight="1" x14ac:dyDescent="0.25">
      <c r="D264" s="133" t="str">
        <v>MPW_manure_j35</v>
      </c>
      <c r="E264" s="132" t="str">
        <v>methane production from manure of pre-weaned heifer and bull calves</v>
      </c>
      <c r="F264" s="138"/>
      <c r="G264" s="134"/>
      <c r="H264" s="133" t="str">
        <v>kg CH4/head/day</v>
      </c>
      <c r="I264" s="129" t="str">
        <v>Constant</v>
      </c>
      <c r="J264" s="130" t="str" cm="1">
        <f t="array" aca="1" ref="J264" ca="1">HYPERLINK(Common_InputFunctions.Utility_SourceHyperlink($D$277),$D$277)</f>
        <v>Table_MPW_manure_j-3-5</v>
      </c>
    </row>
    <row r="265" spans="4:15" ht="20.100000000000001" customHeight="1" x14ac:dyDescent="0.25">
      <c r="D265" s="133" t="str">
        <v>DPW_j35</v>
      </c>
      <c r="E265" s="132" t="str">
        <v>duration of stay on farm for pre-weaned heifer and bull calves</v>
      </c>
      <c r="F265" s="138"/>
      <c r="G265" s="134"/>
      <c r="H265" s="133" t="str">
        <v>days</v>
      </c>
      <c r="I265" s="131" t="str">
        <v>Input</v>
      </c>
      <c r="J265" s="130" t="str" cm="1">
        <f t="array" aca="1" ref="J265" ca="1">HYPERLINK(Common_InputFunctions.Utility_SourceHyperlink($D$282),$D$282)</f>
        <v>M1_Table_DPW_j</v>
      </c>
    </row>
    <row r="266" spans="4:15" ht="20.100000000000001" customHeight="1" x14ac:dyDescent="0.25"/>
    <row r="267" spans="4:15" ht="20.100000000000001" customHeight="1" x14ac:dyDescent="0.25">
      <c r="D267" s="100" t="s">
        <v>100</v>
      </c>
    </row>
    <row r="268" spans="4:15" ht="20.100000000000001" customHeight="1" x14ac:dyDescent="0.25">
      <c r="D268" s="99" t="s">
        <v>256</v>
      </c>
    </row>
    <row r="269" spans="4:15" ht="20.100000000000001" customHeight="1" x14ac:dyDescent="0.25">
      <c r="D269" s="40" t="s">
        <v>165</v>
      </c>
      <c r="E269" s="40" t="s">
        <v>182</v>
      </c>
      <c r="F269" s="40" t="s">
        <v>183</v>
      </c>
      <c r="G269" s="40" t="s">
        <v>184</v>
      </c>
      <c r="H269" s="40" t="s">
        <v>185</v>
      </c>
    </row>
    <row r="270" spans="4:15" ht="20.100000000000001" customHeight="1" x14ac:dyDescent="0.25">
      <c r="D270" s="103">
        <f>INDEX(X_Table_Dairy_HerdMovement,2,2)</f>
        <v>100</v>
      </c>
      <c r="E270" s="103">
        <f>INDEX(X_Table_Dairy_HerdMovement,2,3)</f>
        <v>0</v>
      </c>
      <c r="F270" s="103">
        <f>INDEX(X_Table_Dairy_HerdMovement,2,4)</f>
        <v>0</v>
      </c>
      <c r="G270" s="103">
        <f>INDEX(X_Table_Dairy_HerdMovement,2,5)</f>
        <v>0</v>
      </c>
      <c r="H270" s="103">
        <f>INDEX(X_Table_Dairy_HerdMovement,2,6)</f>
        <v>0</v>
      </c>
      <c r="I270" s="2" t="s">
        <v>101</v>
      </c>
    </row>
    <row r="271" spans="4:15" ht="20.100000000000001" customHeight="1" x14ac:dyDescent="0.25"/>
    <row r="272" spans="4:15" x14ac:dyDescent="0.25">
      <c r="D272" s="100" t="s">
        <v>257</v>
      </c>
      <c r="O272" s="100" t="s">
        <v>267</v>
      </c>
    </row>
    <row r="273" spans="1:20" x14ac:dyDescent="0.25">
      <c r="D273" s="99" t="s">
        <v>265</v>
      </c>
      <c r="O273" s="99" t="s">
        <v>268</v>
      </c>
    </row>
    <row r="274" spans="1:20" x14ac:dyDescent="0.25">
      <c r="D274" s="40" t="s">
        <v>165</v>
      </c>
      <c r="E274" s="40" t="s">
        <v>182</v>
      </c>
      <c r="F274" s="40" t="s">
        <v>183</v>
      </c>
      <c r="G274" s="40" t="s">
        <v>184</v>
      </c>
      <c r="H274" s="40" t="s">
        <v>185</v>
      </c>
      <c r="O274" s="40" t="s">
        <v>165</v>
      </c>
      <c r="P274" s="40" t="s">
        <v>182</v>
      </c>
      <c r="Q274" s="40" t="s">
        <v>183</v>
      </c>
      <c r="R274" s="40" t="s">
        <v>184</v>
      </c>
      <c r="S274" s="40" t="s">
        <v>185</v>
      </c>
    </row>
    <row r="275" spans="1:20" x14ac:dyDescent="0.25">
      <c r="A275" s="137" t="str">
        <f>HYPERLINK("#A1", "▲ Back to top")</f>
        <v>▲ Back to top</v>
      </c>
      <c r="D275" s="53">
        <f>INDEX(X_Table_Dairy_DurationOfStay_Method1,2,2)</f>
        <v>365</v>
      </c>
      <c r="E275" s="53">
        <f>INDEX(X_Table_Dairy_DurationOfStay_Method1,2,3)</f>
        <v>0</v>
      </c>
      <c r="F275" s="53">
        <f>INDEX(X_Table_Dairy_DurationOfStay_Method1,2,4)</f>
        <v>0</v>
      </c>
      <c r="G275" s="53">
        <f>INDEX(X_Table_Dairy_DurationOfStay_Method1,2,5)</f>
        <v>0</v>
      </c>
      <c r="H275" s="53">
        <f>INDEX(X_Table_Dairy_DurationOfStay_Method1,2,6)</f>
        <v>0</v>
      </c>
      <c r="I275" s="2" t="s">
        <v>52</v>
      </c>
      <c r="O275" s="53">
        <f>INDEX(X_Table_Dairy_DurationOfStay_Method2,2,2)</f>
        <v>365</v>
      </c>
      <c r="P275" s="53">
        <f>INDEX(X_Table_Dairy_DurationOfStay_Method2,2,3)</f>
        <v>0</v>
      </c>
      <c r="Q275" s="53">
        <f>INDEX(X_Table_Dairy_DurationOfStay_Method2,2,4)</f>
        <v>0</v>
      </c>
      <c r="R275" s="53">
        <f>INDEX(X_Table_Dairy_DurationOfStay_Method2,2,5)</f>
        <v>0</v>
      </c>
      <c r="S275" s="53">
        <f>INDEX(X_Table_Dairy_DurationOfStay_Method2,2,6)</f>
        <v>0</v>
      </c>
      <c r="T275" s="2" t="s">
        <v>52</v>
      </c>
    </row>
    <row r="277" spans="1:20" x14ac:dyDescent="0.25">
      <c r="D277" s="100" t="s">
        <v>259</v>
      </c>
    </row>
    <row r="278" spans="1:20" x14ac:dyDescent="0.25">
      <c r="D278" s="99" t="s">
        <v>260</v>
      </c>
    </row>
    <row r="279" spans="1:20" x14ac:dyDescent="0.25">
      <c r="D279" s="52" t="s">
        <v>165</v>
      </c>
      <c r="E279" s="52" t="s">
        <v>182</v>
      </c>
      <c r="F279" s="52" t="s">
        <v>183</v>
      </c>
      <c r="G279" s="52" t="s">
        <v>184</v>
      </c>
      <c r="H279" s="52" t="s">
        <v>185</v>
      </c>
    </row>
    <row r="280" spans="1:20" x14ac:dyDescent="0.25">
      <c r="D280" s="53">
        <v>0</v>
      </c>
      <c r="E280" s="53">
        <v>0</v>
      </c>
      <c r="F280" s="53">
        <f>'Constants - Dairy'!$E$63</f>
        <v>1.7600000000000001E-2</v>
      </c>
      <c r="G280" s="53">
        <v>0</v>
      </c>
      <c r="H280" s="53">
        <f>'Constants - Dairy'!$E$64</f>
        <v>2.0400000000000001E-2</v>
      </c>
      <c r="I280" s="2" t="s">
        <v>262</v>
      </c>
    </row>
    <row r="282" spans="1:20" x14ac:dyDescent="0.25">
      <c r="D282" s="100" t="s">
        <v>258</v>
      </c>
      <c r="O282" s="100" t="s">
        <v>258</v>
      </c>
    </row>
    <row r="283" spans="1:20" x14ac:dyDescent="0.25">
      <c r="D283" s="99" t="s">
        <v>266</v>
      </c>
      <c r="O283" s="99" t="s">
        <v>266</v>
      </c>
    </row>
    <row r="284" spans="1:20" x14ac:dyDescent="0.25">
      <c r="D284" s="52" t="s">
        <v>165</v>
      </c>
      <c r="E284" s="52" t="s">
        <v>182</v>
      </c>
      <c r="F284" s="52" t="s">
        <v>183</v>
      </c>
      <c r="G284" s="52" t="s">
        <v>184</v>
      </c>
      <c r="H284" s="52" t="s">
        <v>185</v>
      </c>
      <c r="O284" s="40" t="s">
        <v>165</v>
      </c>
      <c r="P284" s="40" t="s">
        <v>182</v>
      </c>
      <c r="Q284" s="40" t="s">
        <v>183</v>
      </c>
      <c r="R284" s="40" t="s">
        <v>184</v>
      </c>
      <c r="S284" s="40" t="s">
        <v>185</v>
      </c>
    </row>
    <row r="285" spans="1:20" x14ac:dyDescent="0.25">
      <c r="D285" s="53">
        <f>INDEX(X_Table_Dairy_DurationOfStay_Method1,3,2)</f>
        <v>0</v>
      </c>
      <c r="E285" s="53">
        <f>INDEX(X_Table_Dairy_DurationOfStay_Method1,3,3)</f>
        <v>0</v>
      </c>
      <c r="F285" s="53">
        <f>INDEX(X_Table_Dairy_DurationOfStay_Method1,3,4)</f>
        <v>0</v>
      </c>
      <c r="G285" s="53">
        <f>INDEX(X_Table_Dairy_DurationOfStay_Method1,3,5)</f>
        <v>0</v>
      </c>
      <c r="H285" s="53">
        <f>INDEX(X_Table_Dairy_DurationOfStay_Method1,3,6)</f>
        <v>0</v>
      </c>
      <c r="I285" s="2" t="s">
        <v>52</v>
      </c>
      <c r="O285" s="53">
        <f>INDEX(X_Table_Dairy_DurationOfStay_Method2,3,2)</f>
        <v>0</v>
      </c>
      <c r="P285" s="53">
        <f>INDEX(X_Table_Dairy_DurationOfStay_Method2,3,3)</f>
        <v>0</v>
      </c>
      <c r="Q285" s="53">
        <f>INDEX(X_Table_Dairy_DurationOfStay_Method2,3,4)</f>
        <v>0</v>
      </c>
      <c r="R285" s="53">
        <f>INDEX(X_Table_Dairy_DurationOfStay_Method2,3,5)</f>
        <v>0</v>
      </c>
      <c r="S285" s="53">
        <f>INDEX(X_Table_Dairy_DurationOfStay_Method2,3,6)</f>
        <v>0</v>
      </c>
      <c r="T285" s="2" t="s">
        <v>52</v>
      </c>
    </row>
    <row r="287" spans="1:20" x14ac:dyDescent="0.25">
      <c r="D287" s="100" t="s">
        <v>261</v>
      </c>
      <c r="O287" s="100" t="s">
        <v>261</v>
      </c>
    </row>
    <row r="288" spans="1:20" x14ac:dyDescent="0.25">
      <c r="D288" s="99" t="s">
        <v>272</v>
      </c>
      <c r="O288" s="99" t="s">
        <v>444</v>
      </c>
    </row>
    <row r="289" spans="4:21" x14ac:dyDescent="0.25">
      <c r="D289" s="52" t="s">
        <v>140</v>
      </c>
      <c r="E289" s="52" t="s">
        <v>65</v>
      </c>
      <c r="F289" s="52" t="s">
        <v>165</v>
      </c>
      <c r="G289" s="52" t="s">
        <v>182</v>
      </c>
      <c r="H289" s="52" t="s">
        <v>183</v>
      </c>
      <c r="I289" s="52" t="s">
        <v>184</v>
      </c>
      <c r="J289" s="52" t="s">
        <v>185</v>
      </c>
      <c r="O289" s="52" t="s">
        <v>140</v>
      </c>
      <c r="P289" s="52" t="s">
        <v>65</v>
      </c>
      <c r="Q289" s="52" t="s">
        <v>165</v>
      </c>
      <c r="R289" s="52" t="s">
        <v>182</v>
      </c>
      <c r="S289" s="52" t="s">
        <v>183</v>
      </c>
      <c r="T289" s="52" t="s">
        <v>184</v>
      </c>
      <c r="U289" s="52" t="s">
        <v>185</v>
      </c>
    </row>
    <row r="290" spans="4:21" x14ac:dyDescent="0.25">
      <c r="D290" s="53" t="str">
        <f>INDEX(X_Table_Dairy_ProductionSystems_Method1,2,1)</f>
        <v>Pasture</v>
      </c>
      <c r="E290" s="53" t="str">
        <f>'Constants - Common Livestock'!$E$27</f>
        <v>Pasture range and paddock</v>
      </c>
      <c r="F290" s="53" cm="1">
        <f t="array" aca="1" ref="F290" ca="1">MMS_Dairy_Methane_Equations.VEERG_4_3_1_1__1_TotalAnnualMethaneFromManureManagementVariation(D$270,F237,D$275,0,0,0,0,0)</f>
        <v>0</v>
      </c>
      <c r="G290" s="53" cm="1">
        <f t="array" aca="1" ref="G290" ca="1">MMS_Dairy_Methane_Equations.VEERG_4_3_1_1__1_TotalAnnualMethaneFromManureManagementVariation(E$270,G237,E$275,0,0,0,0,0)</f>
        <v>0</v>
      </c>
      <c r="H290" s="53" cm="1">
        <f t="array" aca="1" ref="H290" ca="1">MMS_Dairy_Methane_Equations.VEERG_4_3_1_1__1_TotalAnnualMethaneFromManureManagementVariation(0,0,0,F$270,H237,F$275,F$280,F$285)</f>
        <v>0</v>
      </c>
      <c r="I290" s="53" cm="1">
        <f t="array" aca="1" ref="I290" ca="1">MMS_Dairy_Methane_Equations.VEERG_4_3_1_1__1_TotalAnnualMethaneFromManureManagementVariation(G$270,I237,G$275,0,0,0,0,0)</f>
        <v>0</v>
      </c>
      <c r="J290" s="53" cm="1">
        <f t="array" aca="1" ref="J290" ca="1">MMS_Dairy_Methane_Equations.VEERG_4_3_1_1__1_TotalAnnualMethaneFromManureManagementVariation(0,0,0,H$270,J237,H$275,H$280,H$285)</f>
        <v>0</v>
      </c>
      <c r="O290" s="53" t="str">
        <f>INDEX(X_Table_Dairy_ProductionSystems_Method1,2,1)</f>
        <v>Pasture</v>
      </c>
      <c r="P290" s="53" t="str">
        <f>'Constants - Common Livestock'!$E$27</f>
        <v>Pasture range and paddock</v>
      </c>
      <c r="Q290" s="53" cm="1">
        <f t="array" aca="1" ref="Q290" ca="1">MMS_Dairy_Methane_Equations.VEERG_4_3_1_1__1_TotalAnnualMethaneFromManureManagementVariation(D$270,Q237,O$275,0,0,0,0,0)</f>
        <v>0</v>
      </c>
      <c r="R290" s="53" cm="1">
        <f t="array" aca="1" ref="R290" ca="1">MMS_Dairy_Methane_Equations.VEERG_4_3_1_1__1_TotalAnnualMethaneFromManureManagementVariation(E$270,R237,P$275,0,0,0,0,0)</f>
        <v>0</v>
      </c>
      <c r="S290" s="53" cm="1">
        <f t="array" aca="1" ref="S290" ca="1">MMS_Dairy_Methane_Equations.VEERG_4_3_1_1__1_TotalAnnualMethaneFromManureManagementVariation(0,0,0,F$270,S237,Q$275,F$280,Q$285)</f>
        <v>0</v>
      </c>
      <c r="T290" s="53" cm="1">
        <f t="array" aca="1" ref="T290" ca="1">MMS_Dairy_Methane_Equations.VEERG_4_3_1_1__1_TotalAnnualMethaneFromManureManagementVariation(G$270,T237,R$275,0,0,0,0,0)</f>
        <v>0</v>
      </c>
      <c r="U290" s="53" cm="1">
        <f t="array" aca="1" ref="U290" ca="1">MMS_Dairy_Methane_Equations.VEERG_4_3_1_1__1_TotalAnnualMethaneFromManureManagementVariation(0,0,0,H$270,U237,S$275,H$280,S$285)</f>
        <v>0</v>
      </c>
    </row>
    <row r="291" spans="4:21" x14ac:dyDescent="0.25">
      <c r="D291" s="53" t="str">
        <f>INDEX(X_Table_Dairy_ProductionSystems_Method1,3,1)</f>
        <v>Milking shed</v>
      </c>
      <c r="E291" s="53" t="str">
        <f>INDEX(X_Table_Dairy_Stage1MMS_1_AnaerobicLagoon,2,1)</f>
        <v>Anaerobic lagoon</v>
      </c>
      <c r="F291" s="53" cm="1">
        <f t="array" aca="1" ref="F291" ca="1">MMS_Dairy_Methane_Equations.VEERG_4_3_1_1__1_TotalAnnualMethaneFromManureManagementVariation(D$270,F238,D$275,0,0,0,0,0)</f>
        <v>0</v>
      </c>
      <c r="G291" s="53" cm="1">
        <f t="array" aca="1" ref="G291" ca="1">MMS_Dairy_Methane_Equations.VEERG_4_3_1_1__1_TotalAnnualMethaneFromManureManagementVariation(E$270,G238,E$275,0,0,0,0,0)</f>
        <v>0</v>
      </c>
      <c r="H291" s="53" cm="1">
        <f t="array" aca="1" ref="H291" ca="1">MMS_Dairy_Methane_Equations.VEERG_4_3_1_1__1_TotalAnnualMethaneFromManureManagementVariation(0,0,0,F$270,H238,F$275,F$280,F$285)</f>
        <v>0</v>
      </c>
      <c r="I291" s="53" cm="1">
        <f t="array" aca="1" ref="I291" ca="1">MMS_Dairy_Methane_Equations.VEERG_4_3_1_1__1_TotalAnnualMethaneFromManureManagementVariation(G$270,I238,G$275,0,0,0,0,0)</f>
        <v>0</v>
      </c>
      <c r="J291" s="53" cm="1">
        <f t="array" aca="1" ref="J291" ca="1">MMS_Dairy_Methane_Equations.VEERG_4_3_1_1__1_TotalAnnualMethaneFromManureManagementVariation(0,0,0,H$270,J238,H$275,H$280,H$285)</f>
        <v>0</v>
      </c>
      <c r="O291" s="53" t="str">
        <f>INDEX(X_Table_Dairy_ProductionSystems_Method1,3,1)</f>
        <v>Milking shed</v>
      </c>
      <c r="P291" s="53" t="str">
        <f>INDEX(X_Table_Dairy_Stage1MMS_1_AnaerobicLagoon,2,1)</f>
        <v>Anaerobic lagoon</v>
      </c>
      <c r="Q291" s="53" cm="1">
        <f t="array" aca="1" ref="Q291" ca="1">MMS_Dairy_Methane_Equations.VEERG_4_3_1_1__1_TotalAnnualMethaneFromManureManagementVariation(D$270,Q238,O$275,0,0,0,0,0)</f>
        <v>0</v>
      </c>
      <c r="R291" s="53" cm="1">
        <f t="array" aca="1" ref="R291" ca="1">MMS_Dairy_Methane_Equations.VEERG_4_3_1_1__1_TotalAnnualMethaneFromManureManagementVariation(E$270,R238,P$275,0,0,0,0,0)</f>
        <v>0</v>
      </c>
      <c r="S291" s="53" cm="1">
        <f t="array" aca="1" ref="S291" ca="1">MMS_Dairy_Methane_Equations.VEERG_4_3_1_1__1_TotalAnnualMethaneFromManureManagementVariation(0,0,0,F$270,S238,Q$275,F$280,Q$285)</f>
        <v>0</v>
      </c>
      <c r="T291" s="53" cm="1">
        <f t="array" aca="1" ref="T291" ca="1">MMS_Dairy_Methane_Equations.VEERG_4_3_1_1__1_TotalAnnualMethaneFromManureManagementVariation(G$270,T238,R$275,0,0,0,0,0)</f>
        <v>0</v>
      </c>
      <c r="U291" s="53" cm="1">
        <f t="array" aca="1" ref="U291" ca="1">MMS_Dairy_Methane_Equations.VEERG_4_3_1_1__1_TotalAnnualMethaneFromManureManagementVariation(0,0,0,H$270,U238,S$275,H$280,S$285)</f>
        <v>0</v>
      </c>
    </row>
    <row r="292" spans="4:21" x14ac:dyDescent="0.25">
      <c r="D292" s="53" t="str">
        <f>INDEX(X_Table_Dairy_ProductionSystems_Method1,3,1)</f>
        <v>Milking shed</v>
      </c>
      <c r="E292" s="53" t="str">
        <f>INDEX(X_Table_Dairy_Stage1MMS_1_SumpAndDispersal,2,1)</f>
        <v>Sump and dispersal system</v>
      </c>
      <c r="F292" s="53" cm="1">
        <f t="array" aca="1" ref="F292" ca="1">MMS_Dairy_Methane_Equations.VEERG_4_3_1_1__1_TotalAnnualMethaneFromManureManagementVariation(D$270,F239,D$275,0,0,0,0,0)</f>
        <v>0.14170731411680171</v>
      </c>
      <c r="G292" s="53" cm="1">
        <f t="array" aca="1" ref="G292" ca="1">MMS_Dairy_Methane_Equations.VEERG_4_3_1_1__1_TotalAnnualMethaneFromManureManagementVariation(E$270,G239,E$275,0,0,0,0,0)</f>
        <v>0</v>
      </c>
      <c r="H292" s="53" cm="1">
        <f t="array" aca="1" ref="H292" ca="1">MMS_Dairy_Methane_Equations.VEERG_4_3_1_1__1_TotalAnnualMethaneFromManureManagementVariation(0,0,0,F$270,H239,F$275,F$280,F$285)</f>
        <v>0</v>
      </c>
      <c r="I292" s="53" cm="1">
        <f t="array" aca="1" ref="I292" ca="1">MMS_Dairy_Methane_Equations.VEERG_4_3_1_1__1_TotalAnnualMethaneFromManureManagementVariation(G$270,I239,G$275,0,0,0,0,0)</f>
        <v>0</v>
      </c>
      <c r="J292" s="53" cm="1">
        <f t="array" aca="1" ref="J292" ca="1">MMS_Dairy_Methane_Equations.VEERG_4_3_1_1__1_TotalAnnualMethaneFromManureManagementVariation(0,0,0,H$270,J239,H$275,H$280,H$285)</f>
        <v>0</v>
      </c>
      <c r="O292" s="53" t="str">
        <f>INDEX(X_Table_Dairy_ProductionSystems_Method1,3,1)</f>
        <v>Milking shed</v>
      </c>
      <c r="P292" s="53" t="str">
        <f>INDEX(X_Table_Dairy_Stage1MMS_1_SumpAndDispersal,2,1)</f>
        <v>Sump and dispersal system</v>
      </c>
      <c r="Q292" s="53" cm="1">
        <f t="array" aca="1" ref="Q292" ca="1">MMS_Dairy_Methane_Equations.VEERG_4_3_1_1__1_TotalAnnualMethaneFromManureManagementVariation(D$270,Q239,O$275,0,0,0,0,0)</f>
        <v>0.14170731411680171</v>
      </c>
      <c r="R292" s="53" cm="1">
        <f t="array" aca="1" ref="R292" ca="1">MMS_Dairy_Methane_Equations.VEERG_4_3_1_1__1_TotalAnnualMethaneFromManureManagementVariation(E$270,R239,P$275,0,0,0,0,0)</f>
        <v>0</v>
      </c>
      <c r="S292" s="53" cm="1">
        <f t="array" aca="1" ref="S292" ca="1">MMS_Dairy_Methane_Equations.VEERG_4_3_1_1__1_TotalAnnualMethaneFromManureManagementVariation(0,0,0,F$270,S239,Q$275,F$280,Q$285)</f>
        <v>0</v>
      </c>
      <c r="T292" s="53" cm="1">
        <f t="array" aca="1" ref="T292" ca="1">MMS_Dairy_Methane_Equations.VEERG_4_3_1_1__1_TotalAnnualMethaneFromManureManagementVariation(G$270,T239,R$275,0,0,0,0,0)</f>
        <v>0</v>
      </c>
      <c r="U292" s="53" cm="1">
        <f t="array" aca="1" ref="U292" ca="1">MMS_Dairy_Methane_Equations.VEERG_4_3_1_1__1_TotalAnnualMethaneFromManureManagementVariation(0,0,0,H$270,U239,S$275,H$280,S$285)</f>
        <v>0</v>
      </c>
    </row>
    <row r="293" spans="4:21" x14ac:dyDescent="0.25">
      <c r="D293" s="53" t="str">
        <f>INDEX(X_Table_Dairy_ProductionSystems_Method1,3,1)</f>
        <v>Milking shed</v>
      </c>
      <c r="E293" s="53" t="str">
        <f>INDEX(X_Table_Dairy_Stage1MMS_1_DrainsToPaddock,2,1)</f>
        <v>Drains to paddock</v>
      </c>
      <c r="F293" s="53" cm="1">
        <f t="array" aca="1" ref="F293" ca="1">MMS_Dairy_Methane_Equations.VEERG_4_3_1_1__1_TotalAnnualMethaneFromManureManagementVariation(D$270,F240,D$275,0,0,0,0,0)</f>
        <v>0</v>
      </c>
      <c r="G293" s="53" cm="1">
        <f t="array" aca="1" ref="G293" ca="1">MMS_Dairy_Methane_Equations.VEERG_4_3_1_1__1_TotalAnnualMethaneFromManureManagementVariation(E$270,G240,E$275,0,0,0,0,0)</f>
        <v>0</v>
      </c>
      <c r="H293" s="53" cm="1">
        <f t="array" aca="1" ref="H293" ca="1">MMS_Dairy_Methane_Equations.VEERG_4_3_1_1__1_TotalAnnualMethaneFromManureManagementVariation(0,0,0,F$270,H240,F$275,F$280,F$285)</f>
        <v>0</v>
      </c>
      <c r="I293" s="53" cm="1">
        <f t="array" aca="1" ref="I293" ca="1">MMS_Dairy_Methane_Equations.VEERG_4_3_1_1__1_TotalAnnualMethaneFromManureManagementVariation(G$270,I240,G$275,0,0,0,0,0)</f>
        <v>0</v>
      </c>
      <c r="J293" s="53" cm="1">
        <f t="array" aca="1" ref="J293" ca="1">MMS_Dairy_Methane_Equations.VEERG_4_3_1_1__1_TotalAnnualMethaneFromManureManagementVariation(0,0,0,H$270,J240,H$275,H$280,H$285)</f>
        <v>0</v>
      </c>
      <c r="O293" s="53" t="str">
        <f>INDEX(X_Table_Dairy_ProductionSystems_Method1,3,1)</f>
        <v>Milking shed</v>
      </c>
      <c r="P293" s="53" t="str">
        <f>INDEX(X_Table_Dairy_Stage1MMS_1_DrainsToPaddock,2,1)</f>
        <v>Drains to paddock</v>
      </c>
      <c r="Q293" s="53" cm="1">
        <f t="array" aca="1" ref="Q293" ca="1">MMS_Dairy_Methane_Equations.VEERG_4_3_1_1__1_TotalAnnualMethaneFromManureManagementVariation(D$270,Q240,O$275,0,0,0,0,0)</f>
        <v>0</v>
      </c>
      <c r="R293" s="53" cm="1">
        <f t="array" aca="1" ref="R293" ca="1">MMS_Dairy_Methane_Equations.VEERG_4_3_1_1__1_TotalAnnualMethaneFromManureManagementVariation(E$270,R240,P$275,0,0,0,0,0)</f>
        <v>0</v>
      </c>
      <c r="S293" s="53" cm="1">
        <f t="array" aca="1" ref="S293" ca="1">MMS_Dairy_Methane_Equations.VEERG_4_3_1_1__1_TotalAnnualMethaneFromManureManagementVariation(0,0,0,F$270,S240,Q$275,F$280,Q$285)</f>
        <v>0</v>
      </c>
      <c r="T293" s="53" cm="1">
        <f t="array" aca="1" ref="T293" ca="1">MMS_Dairy_Methane_Equations.VEERG_4_3_1_1__1_TotalAnnualMethaneFromManureManagementVariation(G$270,T240,R$275,0,0,0,0,0)</f>
        <v>0</v>
      </c>
      <c r="U293" s="53" cm="1">
        <f t="array" aca="1" ref="U293" ca="1">MMS_Dairy_Methane_Equations.VEERG_4_3_1_1__1_TotalAnnualMethaneFromManureManagementVariation(0,0,0,H$270,U240,S$275,H$280,S$285)</f>
        <v>0</v>
      </c>
    </row>
    <row r="294" spans="4:21" x14ac:dyDescent="0.25">
      <c r="D294" s="53" t="str">
        <f>INDEX(X_Table_Dairy_ProductionSystems_Method1,3,1)</f>
        <v>Milking shed</v>
      </c>
      <c r="E294" s="53" t="s">
        <v>398</v>
      </c>
      <c r="F294" s="53" cm="1">
        <f t="array" aca="1" ref="F294" ca="1">MMS_Dairy_Methane_Equations.VEERG_4_3_1_1__1_TotalAnnualMethaneFromManureManagementVariation(D$270,F241,D$275,0,0,0,0,0)</f>
        <v>0</v>
      </c>
      <c r="G294" s="53" cm="1">
        <f t="array" aca="1" ref="G294" ca="1">MMS_Dairy_Methane_Equations.VEERG_4_3_1_1__1_TotalAnnualMethaneFromManureManagementVariation(E$270,G241,E$275,0,0,0,0,0)</f>
        <v>0</v>
      </c>
      <c r="H294" s="53" cm="1">
        <f t="array" aca="1" ref="H294" ca="1">MMS_Dairy_Methane_Equations.VEERG_4_3_1_1__1_TotalAnnualMethaneFromManureManagementVariation(0,0,0,F$270,H241,F$275,F$280,F$285)</f>
        <v>0</v>
      </c>
      <c r="I294" s="53" cm="1">
        <f t="array" aca="1" ref="I294" ca="1">MMS_Dairy_Methane_Equations.VEERG_4_3_1_1__1_TotalAnnualMethaneFromManureManagementVariation(G$270,I241,G$275,0,0,0,0,0)</f>
        <v>0</v>
      </c>
      <c r="J294" s="53" cm="1">
        <f t="array" aca="1" ref="J294" ca="1">MMS_Dairy_Methane_Equations.VEERG_4_3_1_1__1_TotalAnnualMethaneFromManureManagementVariation(0,0,0,H$270,J241,H$275,H$280,H$285)</f>
        <v>0</v>
      </c>
      <c r="O294" s="53" t="str">
        <f>INDEX(X_Table_Dairy_ProductionSystems_Method1,3,1)</f>
        <v>Milking shed</v>
      </c>
      <c r="P294" s="53" t="s">
        <v>398</v>
      </c>
      <c r="Q294" s="53" cm="1">
        <f t="array" aca="1" ref="Q294" ca="1">MMS_Dairy_Methane_Equations.VEERG_4_3_1_1__1_TotalAnnualMethaneFromManureManagementVariation(D$270,Q241,O$275,0,0,0,0,0)</f>
        <v>0</v>
      </c>
      <c r="R294" s="53" cm="1">
        <f t="array" aca="1" ref="R294" ca="1">MMS_Dairy_Methane_Equations.VEERG_4_3_1_1__1_TotalAnnualMethaneFromManureManagementVariation(E$270,R241,P$275,0,0,0,0,0)</f>
        <v>0</v>
      </c>
      <c r="S294" s="53" cm="1">
        <f t="array" aca="1" ref="S294" ca="1">MMS_Dairy_Methane_Equations.VEERG_4_3_1_1__1_TotalAnnualMethaneFromManureManagementVariation(0,0,0,F$270,S241,Q$275,F$280,Q$285)</f>
        <v>0</v>
      </c>
      <c r="T294" s="53" cm="1">
        <f t="array" aca="1" ref="T294" ca="1">MMS_Dairy_Methane_Equations.VEERG_4_3_1_1__1_TotalAnnualMethaneFromManureManagementVariation(G$270,T241,R$275,0,0,0,0,0)</f>
        <v>0</v>
      </c>
      <c r="U294" s="53" cm="1">
        <f t="array" aca="1" ref="U294" ca="1">MMS_Dairy_Methane_Equations.VEERG_4_3_1_1__1_TotalAnnualMethaneFromManureManagementVariation(0,0,0,H$270,U241,S$275,H$280,S$285)</f>
        <v>0</v>
      </c>
    </row>
    <row r="295" spans="4:21" x14ac:dyDescent="0.25">
      <c r="D295" s="53" t="str">
        <f>INDEX(X_Table_Dairy_ProductionSystems_Method1,4,1)</f>
        <v>Feed pad</v>
      </c>
      <c r="E295" s="53" t="str">
        <f>INDEX(X_Table_Dairy_Stage1MMS_2_AnaerobicLagoon,2,1)</f>
        <v>Anaerobic lagoon</v>
      </c>
      <c r="F295" s="53" cm="1">
        <f t="array" aca="1" ref="F295" ca="1">MMS_Dairy_Methane_Equations.VEERG_4_3_1_1__1_TotalAnnualMethaneFromManureManagementVariation(D$270,F242,D$275,0,0,0,0,0)</f>
        <v>0</v>
      </c>
      <c r="G295" s="53" cm="1">
        <f t="array" aca="1" ref="G295" ca="1">MMS_Dairy_Methane_Equations.VEERG_4_3_1_1__1_TotalAnnualMethaneFromManureManagementVariation(E$270,G242,E$275,0,0,0,0,0)</f>
        <v>0</v>
      </c>
      <c r="H295" s="53" cm="1">
        <f t="array" aca="1" ref="H295" ca="1">MMS_Dairy_Methane_Equations.VEERG_4_3_1_1__1_TotalAnnualMethaneFromManureManagementVariation(0,0,0,F$270,H242,F$275,F$280,F$285)</f>
        <v>0</v>
      </c>
      <c r="I295" s="53" cm="1">
        <f t="array" aca="1" ref="I295" ca="1">MMS_Dairy_Methane_Equations.VEERG_4_3_1_1__1_TotalAnnualMethaneFromManureManagementVariation(G$270,I242,G$275,0,0,0,0,0)</f>
        <v>0</v>
      </c>
      <c r="J295" s="53" cm="1">
        <f t="array" aca="1" ref="J295" ca="1">MMS_Dairy_Methane_Equations.VEERG_4_3_1_1__1_TotalAnnualMethaneFromManureManagementVariation(0,0,0,H$270,J242,H$275,H$280,H$285)</f>
        <v>0</v>
      </c>
      <c r="O295" s="53" t="str">
        <f>INDEX(X_Table_Dairy_ProductionSystems_Method1,4,1)</f>
        <v>Feed pad</v>
      </c>
      <c r="P295" s="53" t="str">
        <f>INDEX(X_Table_Dairy_Stage1MMS_2_AnaerobicLagoon,2,1)</f>
        <v>Anaerobic lagoon</v>
      </c>
      <c r="Q295" s="53" cm="1">
        <f t="array" aca="1" ref="Q295" ca="1">MMS_Dairy_Methane_Equations.VEERG_4_3_1_1__1_TotalAnnualMethaneFromManureManagementVariation(D$270,Q242,O$275,0,0,0,0,0)</f>
        <v>0</v>
      </c>
      <c r="R295" s="53" cm="1">
        <f t="array" aca="1" ref="R295" ca="1">MMS_Dairy_Methane_Equations.VEERG_4_3_1_1__1_TotalAnnualMethaneFromManureManagementVariation(E$270,R242,P$275,0,0,0,0,0)</f>
        <v>0</v>
      </c>
      <c r="S295" s="53" cm="1">
        <f t="array" aca="1" ref="S295" ca="1">MMS_Dairy_Methane_Equations.VEERG_4_3_1_1__1_TotalAnnualMethaneFromManureManagementVariation(0,0,0,F$270,S242,Q$275,F$280,Q$285)</f>
        <v>0</v>
      </c>
      <c r="T295" s="53" cm="1">
        <f t="array" aca="1" ref="T295" ca="1">MMS_Dairy_Methane_Equations.VEERG_4_3_1_1__1_TotalAnnualMethaneFromManureManagementVariation(G$270,T242,R$275,0,0,0,0,0)</f>
        <v>0</v>
      </c>
      <c r="U295" s="53" cm="1">
        <f t="array" aca="1" ref="U295" ca="1">MMS_Dairy_Methane_Equations.VEERG_4_3_1_1__1_TotalAnnualMethaneFromManureManagementVariation(0,0,0,H$270,U242,S$275,H$280,S$285)</f>
        <v>0</v>
      </c>
    </row>
    <row r="296" spans="4:21" x14ac:dyDescent="0.25">
      <c r="D296" s="53" t="str">
        <f>INDEX(X_Table_Dairy_ProductionSystems_Method1,4,1)</f>
        <v>Feed pad</v>
      </c>
      <c r="E296" s="53" t="str">
        <f>INDEX(X_Table_Dairy_Stage1MMS_2_SumpAndDispersal,2,1)</f>
        <v>Sump and dispersal system</v>
      </c>
      <c r="F296" s="53" cm="1">
        <f t="array" aca="1" ref="F296" ca="1">MMS_Dairy_Methane_Equations.VEERG_4_3_1_1__1_TotalAnnualMethaneFromManureManagementVariation(D$270,F243,D$275,0,0,0,0,0)</f>
        <v>0</v>
      </c>
      <c r="G296" s="53" cm="1">
        <f t="array" aca="1" ref="G296" ca="1">MMS_Dairy_Methane_Equations.VEERG_4_3_1_1__1_TotalAnnualMethaneFromManureManagementVariation(E$270,G243,E$275,0,0,0,0,0)</f>
        <v>0</v>
      </c>
      <c r="H296" s="53" cm="1">
        <f t="array" aca="1" ref="H296" ca="1">MMS_Dairy_Methane_Equations.VEERG_4_3_1_1__1_TotalAnnualMethaneFromManureManagementVariation(0,0,0,F$270,H243,F$275,F$280,F$285)</f>
        <v>0</v>
      </c>
      <c r="I296" s="53" cm="1">
        <f t="array" aca="1" ref="I296" ca="1">MMS_Dairy_Methane_Equations.VEERG_4_3_1_1__1_TotalAnnualMethaneFromManureManagementVariation(G$270,I243,G$275,0,0,0,0,0)</f>
        <v>0</v>
      </c>
      <c r="J296" s="53" cm="1">
        <f t="array" aca="1" ref="J296" ca="1">MMS_Dairy_Methane_Equations.VEERG_4_3_1_1__1_TotalAnnualMethaneFromManureManagementVariation(0,0,0,H$270,J243,H$275,H$280,H$285)</f>
        <v>0</v>
      </c>
      <c r="O296" s="53" t="str">
        <f>INDEX(X_Table_Dairy_ProductionSystems_Method1,4,1)</f>
        <v>Feed pad</v>
      </c>
      <c r="P296" s="53" t="str">
        <f>INDEX(X_Table_Dairy_Stage1MMS_2_SumpAndDispersal,2,1)</f>
        <v>Sump and dispersal system</v>
      </c>
      <c r="Q296" s="53" cm="1">
        <f t="array" aca="1" ref="Q296" ca="1">MMS_Dairy_Methane_Equations.VEERG_4_3_1_1__1_TotalAnnualMethaneFromManureManagementVariation(D$270,Q243,O$275,0,0,0,0,0)</f>
        <v>0</v>
      </c>
      <c r="R296" s="53" cm="1">
        <f t="array" aca="1" ref="R296" ca="1">MMS_Dairy_Methane_Equations.VEERG_4_3_1_1__1_TotalAnnualMethaneFromManureManagementVariation(E$270,R243,P$275,0,0,0,0,0)</f>
        <v>0</v>
      </c>
      <c r="S296" s="53" cm="1">
        <f t="array" aca="1" ref="S296" ca="1">MMS_Dairy_Methane_Equations.VEERG_4_3_1_1__1_TotalAnnualMethaneFromManureManagementVariation(0,0,0,F$270,S243,Q$275,F$280,Q$285)</f>
        <v>0</v>
      </c>
      <c r="T296" s="53" cm="1">
        <f t="array" aca="1" ref="T296" ca="1">MMS_Dairy_Methane_Equations.VEERG_4_3_1_1__1_TotalAnnualMethaneFromManureManagementVariation(G$270,T243,R$275,0,0,0,0,0)</f>
        <v>0</v>
      </c>
      <c r="U296" s="53" cm="1">
        <f t="array" aca="1" ref="U296" ca="1">MMS_Dairy_Methane_Equations.VEERG_4_3_1_1__1_TotalAnnualMethaneFromManureManagementVariation(0,0,0,H$270,U243,S$275,H$280,S$285)</f>
        <v>0</v>
      </c>
    </row>
    <row r="297" spans="4:21" x14ac:dyDescent="0.25">
      <c r="D297" s="53" t="str">
        <f>INDEX(X_Table_Dairy_ProductionSystems_Method1,4,1)</f>
        <v>Feed pad</v>
      </c>
      <c r="E297" s="53" t="str">
        <f>INDEX(X_Table_Dairy_Stage1MMS_2_DrainsToPaddock,2,1)</f>
        <v>Drains to paddock</v>
      </c>
      <c r="F297" s="53" cm="1">
        <f t="array" aca="1" ref="F297" ca="1">MMS_Dairy_Methane_Equations.VEERG_4_3_1_1__1_TotalAnnualMethaneFromManureManagementVariation(D$270,F244,D$275,0,0,0,0,0)</f>
        <v>0</v>
      </c>
      <c r="G297" s="53" cm="1">
        <f t="array" aca="1" ref="G297" ca="1">MMS_Dairy_Methane_Equations.VEERG_4_3_1_1__1_TotalAnnualMethaneFromManureManagementVariation(E$270,G244,E$275,0,0,0,0,0)</f>
        <v>0</v>
      </c>
      <c r="H297" s="53" cm="1">
        <f t="array" aca="1" ref="H297" ca="1">MMS_Dairy_Methane_Equations.VEERG_4_3_1_1__1_TotalAnnualMethaneFromManureManagementVariation(0,0,0,F$270,H244,F$275,F$280,F$285)</f>
        <v>0</v>
      </c>
      <c r="I297" s="53" cm="1">
        <f t="array" aca="1" ref="I297" ca="1">MMS_Dairy_Methane_Equations.VEERG_4_3_1_1__1_TotalAnnualMethaneFromManureManagementVariation(G$270,I244,G$275,0,0,0,0,0)</f>
        <v>0</v>
      </c>
      <c r="J297" s="53" cm="1">
        <f t="array" aca="1" ref="J297" ca="1">MMS_Dairy_Methane_Equations.VEERG_4_3_1_1__1_TotalAnnualMethaneFromManureManagementVariation(0,0,0,H$270,J244,H$275,H$280,H$285)</f>
        <v>0</v>
      </c>
      <c r="O297" s="53" t="str">
        <f>INDEX(X_Table_Dairy_ProductionSystems_Method1,4,1)</f>
        <v>Feed pad</v>
      </c>
      <c r="P297" s="53" t="str">
        <f>INDEX(X_Table_Dairy_Stage1MMS_2_DrainsToPaddock,2,1)</f>
        <v>Drains to paddock</v>
      </c>
      <c r="Q297" s="53" cm="1">
        <f t="array" aca="1" ref="Q297" ca="1">MMS_Dairy_Methane_Equations.VEERG_4_3_1_1__1_TotalAnnualMethaneFromManureManagementVariation(D$270,Q244,O$275,0,0,0,0,0)</f>
        <v>0</v>
      </c>
      <c r="R297" s="53" cm="1">
        <f t="array" aca="1" ref="R297" ca="1">MMS_Dairy_Methane_Equations.VEERG_4_3_1_1__1_TotalAnnualMethaneFromManureManagementVariation(E$270,R244,P$275,0,0,0,0,0)</f>
        <v>0</v>
      </c>
      <c r="S297" s="53" cm="1">
        <f t="array" aca="1" ref="S297" ca="1">MMS_Dairy_Methane_Equations.VEERG_4_3_1_1__1_TotalAnnualMethaneFromManureManagementVariation(0,0,0,F$270,S244,Q$275,F$280,Q$285)</f>
        <v>0</v>
      </c>
      <c r="T297" s="53" cm="1">
        <f t="array" aca="1" ref="T297" ca="1">MMS_Dairy_Methane_Equations.VEERG_4_3_1_1__1_TotalAnnualMethaneFromManureManagementVariation(G$270,T244,R$275,0,0,0,0,0)</f>
        <v>0</v>
      </c>
      <c r="U297" s="53" cm="1">
        <f t="array" aca="1" ref="U297" ca="1">MMS_Dairy_Methane_Equations.VEERG_4_3_1_1__1_TotalAnnualMethaneFromManureManagementVariation(0,0,0,H$270,U244,S$275,H$280,S$285)</f>
        <v>0</v>
      </c>
    </row>
    <row r="298" spans="4:21" x14ac:dyDescent="0.25">
      <c r="D298" s="53" t="str">
        <f>INDEX(X_Table_Dairy_ProductionSystems_Method1,4,1)</f>
        <v>Feed pad</v>
      </c>
      <c r="E298" s="53" t="s">
        <v>398</v>
      </c>
      <c r="F298" s="53" cm="1">
        <f t="array" aca="1" ref="F298" ca="1">MMS_Dairy_Methane_Equations.VEERG_4_3_1_1__1_TotalAnnualMethaneFromManureManagementVariation(D$270,F245,D$275,0,0,0,0,0)</f>
        <v>0</v>
      </c>
      <c r="G298" s="53" cm="1">
        <f t="array" aca="1" ref="G298" ca="1">MMS_Dairy_Methane_Equations.VEERG_4_3_1_1__1_TotalAnnualMethaneFromManureManagementVariation(E$270,G245,E$275,0,0,0,0,0)</f>
        <v>0</v>
      </c>
      <c r="H298" s="53" cm="1">
        <f t="array" aca="1" ref="H298" ca="1">MMS_Dairy_Methane_Equations.VEERG_4_3_1_1__1_TotalAnnualMethaneFromManureManagementVariation(0,0,0,F$270,H245,F$275,F$280,F$285)</f>
        <v>0</v>
      </c>
      <c r="I298" s="53" cm="1">
        <f t="array" aca="1" ref="I298" ca="1">MMS_Dairy_Methane_Equations.VEERG_4_3_1_1__1_TotalAnnualMethaneFromManureManagementVariation(G$270,I245,G$275,0,0,0,0,0)</f>
        <v>0</v>
      </c>
      <c r="J298" s="53" cm="1">
        <f t="array" aca="1" ref="J298" ca="1">MMS_Dairy_Methane_Equations.VEERG_4_3_1_1__1_TotalAnnualMethaneFromManureManagementVariation(0,0,0,H$270,J245,H$275,H$280,H$285)</f>
        <v>0</v>
      </c>
      <c r="O298" s="53" t="str">
        <f>INDEX(X_Table_Dairy_ProductionSystems_Method1,4,1)</f>
        <v>Feed pad</v>
      </c>
      <c r="P298" s="53" t="s">
        <v>398</v>
      </c>
      <c r="Q298" s="53" cm="1">
        <f t="array" aca="1" ref="Q298" ca="1">MMS_Dairy_Methane_Equations.VEERG_4_3_1_1__1_TotalAnnualMethaneFromManureManagementVariation(D$270,Q245,O$275,0,0,0,0,0)</f>
        <v>0</v>
      </c>
      <c r="R298" s="53" cm="1">
        <f t="array" aca="1" ref="R298" ca="1">MMS_Dairy_Methane_Equations.VEERG_4_3_1_1__1_TotalAnnualMethaneFromManureManagementVariation(E$270,R245,P$275,0,0,0,0,0)</f>
        <v>0</v>
      </c>
      <c r="S298" s="53" cm="1">
        <f t="array" aca="1" ref="S298" ca="1">MMS_Dairy_Methane_Equations.VEERG_4_3_1_1__1_TotalAnnualMethaneFromManureManagementVariation(0,0,0,F$270,S245,Q$275,F$280,Q$285)</f>
        <v>0</v>
      </c>
      <c r="T298" s="53" cm="1">
        <f t="array" aca="1" ref="T298" ca="1">MMS_Dairy_Methane_Equations.VEERG_4_3_1_1__1_TotalAnnualMethaneFromManureManagementVariation(G$270,T245,R$275,0,0,0,0,0)</f>
        <v>0</v>
      </c>
      <c r="U298" s="53" cm="1">
        <f t="array" aca="1" ref="U298" ca="1">MMS_Dairy_Methane_Equations.VEERG_4_3_1_1__1_TotalAnnualMethaneFromManureManagementVariation(0,0,0,H$270,U245,S$275,H$280,S$285)</f>
        <v>0</v>
      </c>
    </row>
    <row r="300" spans="4:21" ht="20.25" x14ac:dyDescent="0.25">
      <c r="D300" s="104" t="s">
        <v>122</v>
      </c>
      <c r="E300" s="105">
        <f ca="1">SUM(F290:J298)</f>
        <v>0.14170731411680171</v>
      </c>
      <c r="F300" s="106" t="str">
        <f>$E$256</f>
        <v>t CH4</v>
      </c>
      <c r="O300" s="104" t="s">
        <v>413</v>
      </c>
      <c r="P300" s="105">
        <f ca="1">SUM(Q290:U298)</f>
        <v>0.14170731411680171</v>
      </c>
      <c r="Q300" s="106" t="str">
        <f>$E$256</f>
        <v>t CH4</v>
      </c>
    </row>
    <row r="302" spans="4:21" x14ac:dyDescent="0.25">
      <c r="D302" s="58" t="str" cm="1">
        <f t="array" ref="D302:E303">Common_Equations.Common_ConvertCH4ToCO2e_Arguments()</f>
        <v>ECH4</v>
      </c>
      <c r="E302" s="59" t="str">
        <v>Methane emissions (t CH4)</v>
      </c>
      <c r="F302" s="107"/>
      <c r="G302" s="53">
        <f ca="1">VEERG_4_3_1_1__1_TotalAnnualMethaneFromManureManagement_Result_Method1</f>
        <v>0.14170731411680171</v>
      </c>
      <c r="H302" s="2"/>
      <c r="O302" s="58" t="str" cm="1">
        <f t="array" ref="O302:P303">Common_Equations.Common_ConvertCH4ToCO2e_Arguments()</f>
        <v>ECH4</v>
      </c>
      <c r="P302" s="59" t="str">
        <v>Methane emissions (t CH4)</v>
      </c>
      <c r="Q302" s="107"/>
      <c r="R302" s="53">
        <f ca="1">VEERG_4_3_1_1__1_TotalAnnualMethaneFromManureManagement_Result_Method2</f>
        <v>0.14170731411680171</v>
      </c>
      <c r="S302" s="2" t="s">
        <v>264</v>
      </c>
    </row>
    <row r="303" spans="4:21" x14ac:dyDescent="0.25">
      <c r="D303" s="58" t="str">
        <v>GWPCH4</v>
      </c>
      <c r="E303" s="59" t="str">
        <v>Global warming potential for methane (t CO2-e / t CH4)</v>
      </c>
      <c r="F303" s="107"/>
      <c r="G303" s="53">
        <f>Common_InputFunctions.Utility_LookupValueInTableNumber("CH4",Table_GWPData[Gas],Table_GWPData[CO2-e factor])</f>
        <v>28</v>
      </c>
      <c r="O303" s="58" t="str">
        <v>GWPCH4</v>
      </c>
      <c r="P303" s="59" t="str">
        <v>Global warming potential for methane (t CO2-e / t CH4)</v>
      </c>
      <c r="Q303" s="107"/>
      <c r="R303" s="53">
        <f>Common_InputFunctions.Utility_LookupValueInTableNumber("CH4",Table_GWPData[Gas],Table_GWPData[CO2-e factor])</f>
        <v>28</v>
      </c>
    </row>
    <row r="305" spans="4:17" ht="18.75" x14ac:dyDescent="0.25">
      <c r="D305" s="46" t="s">
        <v>123</v>
      </c>
      <c r="E305" s="155" cm="1">
        <f t="array" aca="1" ref="E305" ca="1">Common_Equations.Common_ConvertCH4ToCO2e(G302,G303)</f>
        <v>3.9678047952704478</v>
      </c>
      <c r="F305" s="108" t="str" cm="1">
        <f t="array" ref="F305">Common_Equations.Common_ConvertN2OToCO2e_Unit()</f>
        <v>t CO2e</v>
      </c>
      <c r="O305" s="46" t="s">
        <v>412</v>
      </c>
      <c r="P305" s="46" cm="1">
        <f t="array" aca="1" ref="P305" ca="1">Common_Equations.Common_ConvertCH4ToCO2e(R302,R303)</f>
        <v>3.9678047952704478</v>
      </c>
      <c r="Q305" s="108"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B267" zoomScaleNormal="100" workbookViewId="0">
      <selection activeCell="E269" sqref="E269"/>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274</v>
      </c>
    </row>
    <row r="2" spans="1:21" s="9" customFormat="1" ht="20.100000000000001" customHeight="1" x14ac:dyDescent="0.25">
      <c r="A2"/>
    </row>
    <row r="3" spans="1:21" ht="20.100000000000001" customHeight="1" x14ac:dyDescent="0.25">
      <c r="A3" s="17" t="str">
        <f>HYPERLINK("#'Home'!A1", "Home")</f>
        <v>Home</v>
      </c>
      <c r="C3" s="4"/>
      <c r="D3" s="4" t="s">
        <v>112</v>
      </c>
      <c r="E3" s="4"/>
      <c r="F3" s="4"/>
      <c r="G3" s="4"/>
      <c r="H3" s="4"/>
      <c r="I3" s="4"/>
      <c r="J3" s="4"/>
      <c r="K3" s="4"/>
      <c r="M3" s="4"/>
      <c r="N3" s="4" t="s">
        <v>113</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D6" s="5" t="str" cm="1">
        <f t="array" ref="D6">MMS_Dairy_N2ODirect_Equations.VEERG_4_3_1_3__8_RelativeSize_Source()</f>
        <v>VEERG 2026: 4.3.1.3, Equation (8)</v>
      </c>
    </row>
    <row r="7" spans="1:21" ht="20.100000000000001" customHeight="1" x14ac:dyDescent="0.25">
      <c r="D7" s="13" t="s">
        <v>25</v>
      </c>
      <c r="E7" s="13" t="str" cm="1">
        <f t="array" aca="1" ref="E7" ca="1">Common_InputFunctions.Utility_DisplayFunctionName(D29)</f>
        <v>=MMS_Dairy_N2ODirect_Equations.VEERG_4_3_1_3__8_RelativeSize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c r="D10" s="54" t="s">
        <v>28</v>
      </c>
      <c r="E10" s="1" t="str" cm="1">
        <f t="array" ref="E10">MMS_Dairy_N2ODirect_Equations.VEERG_4_3_1_3__8_RelativeSize_Variable()</f>
        <v>Z_j</v>
      </c>
    </row>
    <row r="11" spans="1:21" ht="20.100000000000001" customHeight="1" x14ac:dyDescent="0.25">
      <c r="D11" s="54" t="s">
        <v>18</v>
      </c>
      <c r="E11" s="55" t="str" cm="1">
        <f t="array" ref="E11">MMS_Dairy_N2ODirect_Equations.VEERG_4_3_1_3__8_RelativeSize_Unit()</f>
        <v>ratio</v>
      </c>
    </row>
    <row r="12" spans="1:21" ht="20.100000000000001" customHeight="1" x14ac:dyDescent="0.25"/>
    <row r="13" spans="1:21" ht="20.100000000000001" customHeight="1" x14ac:dyDescent="0.25">
      <c r="A13" s="18" t="s">
        <v>72</v>
      </c>
      <c r="D13" s="133" t="str" cm="1">
        <f t="array" ref="D13:E14">_xlfn.CHOOSECOLS(MMS_Dairy_N2ODirect_Equations.VEERG_4_3_1_3__8_RelativeSize_Arguments(),1,2)</f>
        <v>W_j</v>
      </c>
      <c r="E13" s="133" t="str">
        <v>liveweight</v>
      </c>
      <c r="F13" s="133" t="str" cm="1">
        <f t="array" ref="F13:G14">_xlfn.CHOOSECOLS(MMS_Dairy_N2ODirect_Equations.VEERG_4_3_1_3__8_RelativeSize_Arguments(),3,4)</f>
        <v>kg/head</v>
      </c>
      <c r="G13" s="131" t="str">
        <v>Input</v>
      </c>
      <c r="H13" s="130" t="str" cm="1">
        <f t="array" aca="1" ref="H13" ca="1">HYPERLINK(Common_InputFunctions.Utility_SourceHyperlink($D$16),$D$16)</f>
        <v>M1_Table_W_j</v>
      </c>
    </row>
    <row r="14" spans="1:21" ht="20.100000000000001" customHeight="1" x14ac:dyDescent="0.25">
      <c r="A14" s="17" t="str">
        <f>HYPERLINK("#'4.3.1.1-2 Methane'!A1", "4.3.1.1-2 Methane")</f>
        <v>4.3.1.1-2 Methane</v>
      </c>
      <c r="D14" s="133" t="str">
        <v>WR_j</v>
      </c>
      <c r="E14" s="133" t="str">
        <v>reference weight</v>
      </c>
      <c r="F14" s="133" t="str">
        <v>kg/head</v>
      </c>
      <c r="G14" s="129" t="str">
        <v>Constant</v>
      </c>
      <c r="H14" s="130" t="str" cm="1">
        <f t="array" aca="1" ref="H14" ca="1">HYPERLINK(Common_InputFunctions.Utility_SourceHyperlink($D$21),$D$21)</f>
        <v>Table_WR_j</v>
      </c>
    </row>
    <row r="15" spans="1:21" ht="20.100000000000001" customHeight="1" x14ac:dyDescent="0.25">
      <c r="A15" s="21" t="str">
        <f>HYPERLINK("#'4.3.1.3-4 Direct N20'!A1", "4.3.1.3-4 Direct N20")</f>
        <v>4.3.1.3-4 Direct N20</v>
      </c>
    </row>
    <row r="16" spans="1:21" ht="20.100000000000001" customHeight="1" x14ac:dyDescent="0.25">
      <c r="A16" s="17" t="str">
        <f>HYPERLINK("#'4.3.1.5 Atmos deposition'!A1", "4.3.1.5 Atmos deposition")</f>
        <v>4.3.1.5 Atmos deposition</v>
      </c>
      <c r="D16" s="100" t="s">
        <v>208</v>
      </c>
      <c r="N16" s="100" t="s">
        <v>210</v>
      </c>
    </row>
    <row r="17" spans="1:21" ht="20.100000000000001" customHeight="1" x14ac:dyDescent="0.25">
      <c r="A17" s="17" t="str">
        <f>HYPERLINK("#'4.3.1.6-7 Leaching and runoff'!A1", "4.3.1.6-7 Leaching and runoff")</f>
        <v>4.3.1.6-7 Leaching and runoff</v>
      </c>
      <c r="D17" s="99" t="s">
        <v>209</v>
      </c>
      <c r="N17" s="99" t="s">
        <v>211</v>
      </c>
    </row>
    <row r="18" spans="1:21"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N18" s="40" t="s">
        <v>165</v>
      </c>
      <c r="O18" s="40" t="s">
        <v>182</v>
      </c>
      <c r="P18" s="40" t="s">
        <v>183</v>
      </c>
      <c r="Q18" s="40" t="s">
        <v>184</v>
      </c>
      <c r="R18" s="40" t="s">
        <v>185</v>
      </c>
    </row>
    <row r="19" spans="1:21" ht="20.100000000000001" customHeight="1" x14ac:dyDescent="0.25">
      <c r="A19" s="17" t="str">
        <f>HYPERLINK("#'4.3.1.9 Soil direct N2O'!A1", "4.3.1.9 Soil direct N2O")</f>
        <v>4.3.1.9 Soil direct N2O</v>
      </c>
      <c r="D19" s="53">
        <f>INDEX(X_Table_Dairy_Liveweight_Method1,2,2)</f>
        <v>550</v>
      </c>
      <c r="E19" s="53">
        <f>INDEX(X_Table_Dairy_Liveweight_Method1,2,3)</f>
        <v>0</v>
      </c>
      <c r="F19" s="53">
        <f>INDEX(X_Table_Dairy_Liveweight_Method1,2,4)</f>
        <v>0</v>
      </c>
      <c r="G19" s="53">
        <f>INDEX(X_Table_Dairy_Liveweight_Method1,2,5)</f>
        <v>0</v>
      </c>
      <c r="H19" s="53">
        <f>INDEX(X_Table_Dairy_Liveweight_Method1,2,6)</f>
        <v>0</v>
      </c>
      <c r="I19" s="2" t="s">
        <v>187</v>
      </c>
      <c r="N19" s="53">
        <f>INDEX(X_Table_Dairy_Liveweight_Method2,2,2)</f>
        <v>550</v>
      </c>
      <c r="O19" s="53">
        <f>INDEX(X_Table_Dairy_Liveweight_Method2,2,3)</f>
        <v>0</v>
      </c>
      <c r="P19" s="53">
        <f>INDEX(X_Table_Dairy_Liveweight_Method2,2,4)</f>
        <v>0</v>
      </c>
      <c r="Q19" s="53">
        <f>INDEX(X_Table_Dairy_Liveweight_Method2,2,5)</f>
        <v>0</v>
      </c>
      <c r="R19" s="53">
        <f>INDEX(X_Table_Dairy_Liveweight_Method2,2,6)</f>
        <v>0</v>
      </c>
      <c r="S19" s="2" t="s">
        <v>187</v>
      </c>
    </row>
    <row r="20" spans="1:21" ht="20.100000000000001" customHeight="1" x14ac:dyDescent="0.25">
      <c r="A20" s="17" t="str">
        <f>HYPERLINK("#'4.3.1.10-11 Soil Atmos Dep'!A1", "4.3.1.10-11 Soil Atmos Dep")</f>
        <v>4.3.1.10-11 Soil Atmos Dep</v>
      </c>
    </row>
    <row r="21" spans="1:21" ht="20.100000000000001" customHeight="1" x14ac:dyDescent="0.25">
      <c r="A21" s="17" t="str">
        <f>HYPERLINK("#'4.3.1.12-13 Soil leach runoff'!A1", "4.3.1.12-13 Soil leach runoff")</f>
        <v>4.3.1.12-13 Soil leach runoff</v>
      </c>
      <c r="D21" s="100" t="s">
        <v>275</v>
      </c>
    </row>
    <row r="22" spans="1:21" ht="20.100000000000001" customHeight="1" x14ac:dyDescent="0.25">
      <c r="D22" s="99" t="s">
        <v>276</v>
      </c>
    </row>
    <row r="23" spans="1:21" ht="20.100000000000001" customHeight="1" x14ac:dyDescent="0.25">
      <c r="D23" s="52" t="s">
        <v>165</v>
      </c>
      <c r="E23" s="52" t="s">
        <v>182</v>
      </c>
      <c r="F23" s="52" t="s">
        <v>183</v>
      </c>
      <c r="G23" s="52" t="s">
        <v>184</v>
      </c>
      <c r="H23" s="52" t="s">
        <v>185</v>
      </c>
    </row>
    <row r="24" spans="1:21" ht="20.100000000000001" customHeight="1" x14ac:dyDescent="0.25">
      <c r="A24" s="154" t="s">
        <v>1</v>
      </c>
      <c r="D24" s="53" cm="1">
        <f t="array" ref="D24">Table_SourceData_Dairy_WRj[Milking cows]</f>
        <v>590</v>
      </c>
      <c r="E24" s="53" cm="1">
        <f t="array" ref="E24">Table_SourceData_Dairy_WRj[Heifers &gt; 1]</f>
        <v>590</v>
      </c>
      <c r="F24" s="53" cm="1">
        <f t="array" ref="F24">Table_SourceData_Dairy_WRj[Heifers &lt; 1 (weaned)]</f>
        <v>590</v>
      </c>
      <c r="G24" s="53" cm="1">
        <f t="array" ref="G24">Table_SourceData_Dairy_WRj[Bulls &gt; 1]</f>
        <v>770</v>
      </c>
      <c r="H24" s="53" cm="1">
        <f t="array" ref="H24">Table_SourceData_Dairy_WRj[Bulls &lt; 1 (weaned)]</f>
        <v>770</v>
      </c>
      <c r="I24" s="2" t="s">
        <v>187</v>
      </c>
    </row>
    <row r="25" spans="1:21" ht="20.100000000000001" customHeight="1" x14ac:dyDescent="0.25">
      <c r="A25" s="17" t="str">
        <f>HYPERLINK("#'Constants - Dairy'!A1", "Constants - Dairy")</f>
        <v>Constants - Dairy</v>
      </c>
    </row>
    <row r="26" spans="1:21" ht="20.100000000000001" customHeight="1" x14ac:dyDescent="0.25">
      <c r="A26" s="17" t="str">
        <f>HYPERLINK("#'Constants - Common'!A1", "Constants - Common")</f>
        <v>Constants - Common</v>
      </c>
      <c r="D26" s="100" t="s">
        <v>277</v>
      </c>
      <c r="N26" s="100" t="s">
        <v>277</v>
      </c>
    </row>
    <row r="27" spans="1:21" ht="20.100000000000001" customHeight="1" x14ac:dyDescent="0.25">
      <c r="A27" s="17" t="str">
        <f>HYPERLINK("#'Constants - Livestock'!A1", "Constants - Livestock")</f>
        <v>Constants - Livestock</v>
      </c>
      <c r="D27" s="99" t="s">
        <v>278</v>
      </c>
      <c r="N27" s="99" t="s">
        <v>457</v>
      </c>
    </row>
    <row r="28" spans="1:21" ht="20.100000000000001" customHeight="1" x14ac:dyDescent="0.25">
      <c r="A28" s="17" t="str">
        <f>HYPERLINK("#'Acknowledgements'!A1", "Acknowledgements")</f>
        <v>Acknowledgements</v>
      </c>
      <c r="D28" s="52" t="s">
        <v>165</v>
      </c>
      <c r="E28" s="52" t="s">
        <v>182</v>
      </c>
      <c r="F28" s="52" t="s">
        <v>183</v>
      </c>
      <c r="G28" s="52" t="s">
        <v>184</v>
      </c>
      <c r="H28" s="52" t="s">
        <v>185</v>
      </c>
      <c r="N28" s="52" t="s">
        <v>165</v>
      </c>
      <c r="O28" s="52" t="s">
        <v>182</v>
      </c>
      <c r="P28" s="52" t="s">
        <v>183</v>
      </c>
      <c r="Q28" s="52" t="s">
        <v>184</v>
      </c>
      <c r="R28" s="52" t="s">
        <v>185</v>
      </c>
    </row>
    <row r="29" spans="1:21" ht="20.100000000000001" customHeight="1" x14ac:dyDescent="0.25">
      <c r="A29" s="17" t="str">
        <f>HYPERLINK("#'Tab template'!A1", "Tab template")</f>
        <v>Tab template</v>
      </c>
      <c r="D29" s="53" cm="1">
        <f t="array" ref="D29">MMS_Dairy_N2ODirect_Equations.VEERG_4_3_1_3__8_RelativeSize(D19,D24)</f>
        <v>0.93220338983050843</v>
      </c>
      <c r="E29" s="53" cm="1">
        <f t="array" ref="E29">MMS_Dairy_N2ODirect_Equations.VEERG_4_3_1_3__8_RelativeSize(E19,E24)</f>
        <v>0</v>
      </c>
      <c r="F29" s="53" cm="1">
        <f t="array" ref="F29">MMS_Dairy_N2ODirect_Equations.VEERG_4_3_1_3__8_RelativeSize(F19,F24)</f>
        <v>0</v>
      </c>
      <c r="G29" s="53" cm="1">
        <f t="array" ref="G29">MMS_Dairy_N2ODirect_Equations.VEERG_4_3_1_3__8_RelativeSize(G19,G24)</f>
        <v>0</v>
      </c>
      <c r="H29" s="53" cm="1">
        <f t="array" ref="H29">MMS_Dairy_N2ODirect_Equations.VEERG_4_3_1_3__8_RelativeSize(H19,H24)</f>
        <v>0</v>
      </c>
      <c r="I29" s="2" t="str">
        <f>$E$11</f>
        <v>ratio</v>
      </c>
      <c r="N29" s="53" cm="1">
        <f t="array" ref="N29">MMS_Dairy_N2ODirect_Equations.VEERG_4_3_1_3__8_RelativeSize(N19,D24)</f>
        <v>0.93220338983050843</v>
      </c>
      <c r="O29" s="53" cm="1">
        <f t="array" ref="O29">MMS_Dairy_N2ODirect_Equations.VEERG_4_3_1_3__8_RelativeSize(O19,E24)</f>
        <v>0</v>
      </c>
      <c r="P29" s="53" cm="1">
        <f t="array" ref="P29">MMS_Dairy_N2ODirect_Equations.VEERG_4_3_1_3__8_RelativeSize(P19,F24)</f>
        <v>0</v>
      </c>
      <c r="Q29" s="53" cm="1">
        <f t="array" ref="Q29">MMS_Dairy_N2ODirect_Equations.VEERG_4_3_1_3__8_RelativeSize(Q19,G24)</f>
        <v>0</v>
      </c>
      <c r="R29" s="53" cm="1">
        <f t="array" ref="R29">MMS_Dairy_N2ODirect_Equations.VEERG_4_3_1_3__8_RelativeSize(R19,H24)</f>
        <v>0</v>
      </c>
      <c r="S29" s="2" t="str">
        <f>$E$11</f>
        <v>ratio</v>
      </c>
    </row>
    <row r="30" spans="1:21" ht="20.100000000000001" customHeight="1" x14ac:dyDescent="0.25"/>
    <row r="31" spans="1:21" ht="20.100000000000001" customHeight="1" x14ac:dyDescent="0.25"/>
    <row r="32" spans="1:21" ht="20.100000000000001" customHeight="1" x14ac:dyDescent="0.25">
      <c r="C32" s="46"/>
      <c r="D32" s="46"/>
      <c r="E32" s="46"/>
      <c r="F32" s="46"/>
      <c r="G32" s="46"/>
      <c r="H32" s="46"/>
      <c r="I32" s="46"/>
      <c r="J32" s="46"/>
      <c r="K32" s="46"/>
      <c r="M32" s="46"/>
      <c r="N32" s="46"/>
      <c r="O32" s="46"/>
      <c r="P32" s="46"/>
      <c r="Q32" s="46"/>
      <c r="R32" s="46"/>
      <c r="S32" s="46"/>
      <c r="T32" s="46"/>
      <c r="U32" s="46"/>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25</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4" t="s">
        <v>28</v>
      </c>
      <c r="E39" s="1" t="str" cm="1">
        <f t="array" ref="E39">MMS_Dairy_N2ODirect_Equations.VEERG_4_3_1_3__7_IntakeRelativeToMaintenance_Variable()</f>
        <v>L_j</v>
      </c>
    </row>
    <row r="40" spans="4:14" ht="20.100000000000001" customHeight="1" x14ac:dyDescent="0.25">
      <c r="D40" s="54" t="s">
        <v>18</v>
      </c>
      <c r="E40" s="55" t="str" cm="1">
        <f t="array" ref="E40">MMS_Dairy_N2ODirect_Equations.VEERG_4_3_1_3__7_IntakeRelativeToMaintenance_Unit()</f>
        <v>ratio</v>
      </c>
    </row>
    <row r="41" spans="4:14" ht="20.100000000000001" customHeight="1" x14ac:dyDescent="0.25"/>
    <row r="42" spans="4:14" ht="20.100000000000001" customHeight="1" x14ac:dyDescent="0.25">
      <c r="D42" s="133" t="str" cm="1">
        <f t="array" ref="D42:E45">_xlfn.CHOOSECOLS(MMS_Dairy_N2ODirect_Equations.VEERG_4_3_1_3__7_IntakeRelativeToMaintenance_Arguments(),1,2)</f>
        <v>I_j</v>
      </c>
      <c r="E42" s="132" t="str">
        <v>dry matter intake</v>
      </c>
      <c r="F42" s="134"/>
      <c r="G42" s="133" t="str" cm="1">
        <f t="array" ref="G42:H45">_xlfn.CHOOSECOLS(MMS_Dairy_N2ODirect_Equations.VEERG_4_3_1_3__7_IntakeRelativeToMaintenance_Arguments(),3,4)</f>
        <v>kgDM/head/day</v>
      </c>
      <c r="H42" s="129" t="str">
        <v>Calculated from 3.3.1.1 (3)</v>
      </c>
      <c r="I42" s="130" t="str" cm="1">
        <f t="array" aca="1" ref="I42" ca="1">HYPERLINK(Common_InputFunctions.Utility_SourceHyperlink($D$47),$D$47)</f>
        <v>M1_Table_I_j</v>
      </c>
    </row>
    <row r="43" spans="4:14" ht="20.100000000000001" customHeight="1" x14ac:dyDescent="0.25">
      <c r="D43" s="133" t="str">
        <v>W_j</v>
      </c>
      <c r="E43" s="132" t="str">
        <v>liveweight</v>
      </c>
      <c r="F43" s="134"/>
      <c r="G43" s="133" t="str">
        <v>kg/head</v>
      </c>
      <c r="H43" s="131" t="str">
        <v>Input</v>
      </c>
      <c r="I43" s="130" t="str" cm="1">
        <f t="array" aca="1" ref="I43" ca="1">HYPERLINK(Common_InputFunctions.Utility_SourceHyperlink($D$16),$D$16)</f>
        <v>M1_Table_W_j</v>
      </c>
    </row>
    <row r="44" spans="4:14" ht="20.100000000000001" customHeight="1" x14ac:dyDescent="0.25">
      <c r="D44" s="133" t="str">
        <v>MR_j</v>
      </c>
      <c r="E44" s="132" t="str">
        <v>increase in metabolic rate when producing milk</v>
      </c>
      <c r="F44" s="134"/>
      <c r="G44" s="133" t="str">
        <v/>
      </c>
      <c r="H44" s="129" t="str">
        <v>Constant</v>
      </c>
      <c r="I44" s="130" t="str" cm="1">
        <f t="array" aca="1" ref="I44" ca="1">HYPERLINK(Common_InputFunctions.Utility_SourceHyperlink($D$52),$D$52)</f>
        <v>Table_MR_j</v>
      </c>
    </row>
    <row r="45" spans="4:14" ht="20.100000000000001" customHeight="1" x14ac:dyDescent="0.25">
      <c r="D45" s="133" t="str">
        <v>MI_j</v>
      </c>
      <c r="E45" s="132" t="str">
        <v>additional intake required for milk production</v>
      </c>
      <c r="F45" s="134"/>
      <c r="G45" s="133" t="str">
        <v>kgDM/head/day</v>
      </c>
      <c r="H45" s="129" t="str">
        <v>Calculated from 3.3.1.1 (4)</v>
      </c>
      <c r="I45" s="130" t="str" cm="1">
        <f t="array" aca="1" ref="I45" ca="1">HYPERLINK(Common_InputFunctions.Utility_SourceHyperlink($D$57),$D$57)</f>
        <v>M1_Table_MI_j</v>
      </c>
    </row>
    <row r="46" spans="4:14" ht="20.100000000000001" customHeight="1" x14ac:dyDescent="0.25"/>
    <row r="47" spans="4:14" ht="20.100000000000001" customHeight="1" x14ac:dyDescent="0.25">
      <c r="D47" s="100" t="s">
        <v>105</v>
      </c>
      <c r="N47" s="100" t="s">
        <v>107</v>
      </c>
    </row>
    <row r="48" spans="4:14" ht="20.100000000000001" customHeight="1" x14ac:dyDescent="0.25">
      <c r="D48" s="99" t="s">
        <v>231</v>
      </c>
      <c r="N48" s="99" t="s">
        <v>230</v>
      </c>
    </row>
    <row r="49" spans="4:19" ht="20.100000000000001" customHeight="1" x14ac:dyDescent="0.25">
      <c r="D49" s="52" t="s">
        <v>165</v>
      </c>
      <c r="E49" s="52" t="s">
        <v>182</v>
      </c>
      <c r="F49" s="52" t="s">
        <v>183</v>
      </c>
      <c r="G49" s="52" t="s">
        <v>184</v>
      </c>
      <c r="H49" s="52" t="s">
        <v>185</v>
      </c>
      <c r="N49" s="52" t="s">
        <v>165</v>
      </c>
      <c r="O49" s="52" t="s">
        <v>182</v>
      </c>
      <c r="P49" s="52" t="s">
        <v>183</v>
      </c>
      <c r="Q49" s="52" t="s">
        <v>184</v>
      </c>
      <c r="R49" s="52" t="s">
        <v>185</v>
      </c>
    </row>
    <row r="50" spans="4:19" ht="20.100000000000001" customHeight="1" x14ac:dyDescent="0.25">
      <c r="D50" s="53">
        <f>INDEX(M1_Table_I_j,2,1)</f>
        <v>17.875018156751189</v>
      </c>
      <c r="E50" s="53">
        <f>INDEX(M1_Table_I_j,2,2)</f>
        <v>1.4042250000000001</v>
      </c>
      <c r="F50" s="53">
        <f>INDEX(M1_Table_I_j,2,3)</f>
        <v>1.4042250000000001</v>
      </c>
      <c r="G50" s="53">
        <f>INDEX(M1_Table_I_j,2,4)</f>
        <v>1.4042250000000001</v>
      </c>
      <c r="H50" s="53">
        <f>INDEX(M1_Table_I_j,2,5)</f>
        <v>1.4042250000000001</v>
      </c>
      <c r="I50" s="2" t="str">
        <f>G42</f>
        <v>kgDM/head/day</v>
      </c>
      <c r="N50" s="53">
        <f>INDEX(M2_Table_I_j,2,1)</f>
        <v>17.875018156751189</v>
      </c>
      <c r="O50" s="53">
        <f>INDEX(M2_Table_I_j,2,2)</f>
        <v>1.4042250000000001</v>
      </c>
      <c r="P50" s="53">
        <f>INDEX(M2_Table_I_j,2,3)</f>
        <v>1.4042250000000001</v>
      </c>
      <c r="Q50" s="53">
        <f>INDEX(M2_Table_I_j,2,4)</f>
        <v>1.4042250000000001</v>
      </c>
      <c r="R50" s="53">
        <f>INDEX(M2_Table_I_j,2,5)</f>
        <v>1.4042250000000001</v>
      </c>
      <c r="S50" s="2" t="str">
        <f>'4.3.1.1-2 Methane'!T114</f>
        <v>kg DM/head/day</v>
      </c>
    </row>
    <row r="51" spans="4:19" ht="20.100000000000001" customHeight="1" x14ac:dyDescent="0.25"/>
    <row r="52" spans="4:19" ht="20.100000000000001" customHeight="1" x14ac:dyDescent="0.25">
      <c r="D52" s="100" t="s">
        <v>216</v>
      </c>
    </row>
    <row r="53" spans="4:19" ht="20.100000000000001" customHeight="1" x14ac:dyDescent="0.25">
      <c r="D53" s="99" t="s">
        <v>217</v>
      </c>
    </row>
    <row r="54" spans="4:19" ht="20.100000000000001" customHeight="1" x14ac:dyDescent="0.25">
      <c r="D54" s="52" t="s">
        <v>165</v>
      </c>
      <c r="E54" s="52" t="s">
        <v>182</v>
      </c>
      <c r="F54" s="52" t="s">
        <v>183</v>
      </c>
      <c r="G54" s="52" t="s">
        <v>184</v>
      </c>
      <c r="H54" s="52" t="s">
        <v>185</v>
      </c>
    </row>
    <row r="55" spans="4:19" ht="20.100000000000001" customHeight="1" x14ac:dyDescent="0.25">
      <c r="D55" s="53">
        <f>'Constants - Dairy'!$E$108</f>
        <v>1.1000000000000001</v>
      </c>
      <c r="E55" s="53">
        <f>'Constants - Dairy'!$E$109</f>
        <v>1</v>
      </c>
      <c r="F55" s="53">
        <f>'Constants - Dairy'!$E$109</f>
        <v>1</v>
      </c>
      <c r="G55" s="53">
        <f>'Constants - Dairy'!$E$109</f>
        <v>1</v>
      </c>
      <c r="H55" s="53">
        <f>'Constants - Dairy'!$E$109</f>
        <v>1</v>
      </c>
      <c r="I55" s="2" t="str">
        <f>G44</f>
        <v/>
      </c>
    </row>
    <row r="56" spans="4:19" ht="20.100000000000001" customHeight="1" x14ac:dyDescent="0.25"/>
    <row r="57" spans="4:19" ht="20.100000000000001" customHeight="1" x14ac:dyDescent="0.25">
      <c r="D57" s="100" t="s">
        <v>223</v>
      </c>
    </row>
    <row r="58" spans="4:19" ht="20.100000000000001" customHeight="1" x14ac:dyDescent="0.25">
      <c r="D58" s="99" t="s">
        <v>224</v>
      </c>
    </row>
    <row r="59" spans="4:19" ht="20.100000000000001" customHeight="1" x14ac:dyDescent="0.25">
      <c r="D59" s="52" t="s">
        <v>165</v>
      </c>
      <c r="E59" s="52" t="s">
        <v>182</v>
      </c>
      <c r="F59" s="52" t="s">
        <v>183</v>
      </c>
      <c r="G59" s="52" t="s">
        <v>184</v>
      </c>
      <c r="H59" s="52" t="s">
        <v>185</v>
      </c>
    </row>
    <row r="60" spans="4:19" ht="20.100000000000001" customHeight="1" x14ac:dyDescent="0.25">
      <c r="D60" s="53">
        <f>INDEX(M1_Table_MI_j,2,1)</f>
        <v>8.6205726359911861</v>
      </c>
      <c r="E60" s="53">
        <f>INDEX(M1_Table_MI_j,2,2)</f>
        <v>0</v>
      </c>
      <c r="F60" s="53">
        <f>INDEX(M1_Table_MI_j,2,3)</f>
        <v>0</v>
      </c>
      <c r="G60" s="53">
        <f>INDEX(M1_Table_MI_j,2,4)</f>
        <v>0</v>
      </c>
      <c r="H60" s="53">
        <f>INDEX(M1_Table_MI_j,2,5)</f>
        <v>0</v>
      </c>
      <c r="I60" s="2" t="str">
        <f>'4.3.1.1-2 Methane'!I79</f>
        <v>kg DM/head/day</v>
      </c>
    </row>
    <row r="61" spans="4:19" ht="20.100000000000001" customHeight="1" x14ac:dyDescent="0.25"/>
    <row r="62" spans="4:19" ht="20.100000000000001" customHeight="1" x14ac:dyDescent="0.25">
      <c r="D62" s="100" t="s">
        <v>279</v>
      </c>
      <c r="N62" s="100" t="s">
        <v>281</v>
      </c>
    </row>
    <row r="63" spans="4:19" ht="20.100000000000001" customHeight="1" x14ac:dyDescent="0.25">
      <c r="D63" s="99" t="s">
        <v>280</v>
      </c>
      <c r="N63" s="99" t="s">
        <v>282</v>
      </c>
    </row>
    <row r="64" spans="4:19" ht="20.100000000000001" customHeight="1" x14ac:dyDescent="0.25">
      <c r="D64" s="52" t="s">
        <v>165</v>
      </c>
      <c r="E64" s="52" t="s">
        <v>182</v>
      </c>
      <c r="F64" s="52" t="s">
        <v>183</v>
      </c>
      <c r="G64" s="52" t="s">
        <v>184</v>
      </c>
      <c r="H64" s="52" t="s">
        <v>185</v>
      </c>
      <c r="N64" s="52" t="s">
        <v>165</v>
      </c>
      <c r="O64" s="52" t="s">
        <v>182</v>
      </c>
      <c r="P64" s="52" t="s">
        <v>183</v>
      </c>
      <c r="Q64" s="52" t="s">
        <v>184</v>
      </c>
      <c r="R64" s="52" t="s">
        <v>185</v>
      </c>
    </row>
    <row r="65" spans="3:21" ht="20.100000000000001" customHeight="1" x14ac:dyDescent="0.25">
      <c r="D65" s="53" cm="1">
        <f t="array" ref="D65">MMS_Dairy_N2ODirect_Equations.VEERG_4_3_1_3__7_IntakeRelativeToMaintenance(D50,D19,D55,D60)</f>
        <v>1.0018008996818786</v>
      </c>
      <c r="E65" s="53" cm="1">
        <f t="array" ref="E65">MMS_Dairy_N2ODirect_Equations.VEERG_4_3_1_3__7_IntakeRelativeToMaintenance(E50,E19,E55,E60)</f>
        <v>1</v>
      </c>
      <c r="F65" s="53" cm="1">
        <f t="array" ref="F65">MMS_Dairy_N2ODirect_Equations.VEERG_4_3_1_3__7_IntakeRelativeToMaintenance(F50,F19,F55,F60)</f>
        <v>1</v>
      </c>
      <c r="G65" s="53" cm="1">
        <f t="array" ref="G65">MMS_Dairy_N2ODirect_Equations.VEERG_4_3_1_3__7_IntakeRelativeToMaintenance(G50,G19,G55,G60)</f>
        <v>1</v>
      </c>
      <c r="H65" s="53" cm="1">
        <f t="array" ref="H65">MMS_Dairy_N2ODirect_Equations.VEERG_4_3_1_3__7_IntakeRelativeToMaintenance(H50,H19,H55,H60)</f>
        <v>1</v>
      </c>
      <c r="I65" s="2" t="str">
        <f>$E$40</f>
        <v>ratio</v>
      </c>
      <c r="N65" s="53" cm="1">
        <f t="array" ref="N65">MMS_Dairy_N2ODirect_Equations.VEERG_4_3_1_3__7_IntakeRelativeToMaintenance(N50,N19,D55,D60)</f>
        <v>1.0018008996818786</v>
      </c>
      <c r="O65" s="53" cm="1">
        <f t="array" ref="O65">MMS_Dairy_N2ODirect_Equations.VEERG_4_3_1_3__7_IntakeRelativeToMaintenance(O50,O19,E55,E60)</f>
        <v>1</v>
      </c>
      <c r="P65" s="53" cm="1">
        <f t="array" ref="P65">MMS_Dairy_N2ODirect_Equations.VEERG_4_3_1_3__7_IntakeRelativeToMaintenance(P50,P19,F55,F60)</f>
        <v>1</v>
      </c>
      <c r="Q65" s="53" cm="1">
        <f t="array" ref="Q65">MMS_Dairy_N2ODirect_Equations.VEERG_4_3_1_3__7_IntakeRelativeToMaintenance(Q50,Q19,G55,G60)</f>
        <v>1</v>
      </c>
      <c r="R65" s="53" cm="1">
        <f t="array" ref="R65">MMS_Dairy_N2ODirect_Equations.VEERG_4_3_1_3__7_IntakeRelativeToMaintenance(R50,R19,H55,H60)</f>
        <v>1</v>
      </c>
      <c r="S65" s="2" t="str">
        <f>$E$40</f>
        <v>ratio</v>
      </c>
    </row>
    <row r="66" spans="3:21" ht="20.100000000000001" customHeight="1" x14ac:dyDescent="0.25"/>
    <row r="67" spans="3:21" ht="20.100000000000001" customHeight="1" x14ac:dyDescent="0.25"/>
    <row r="68" spans="3:21" ht="20.100000000000001" customHeight="1" x14ac:dyDescent="0.25">
      <c r="C68" s="46"/>
      <c r="D68" s="46"/>
      <c r="E68" s="46"/>
      <c r="F68" s="46"/>
      <c r="G68" s="46"/>
      <c r="H68" s="46"/>
      <c r="I68" s="46"/>
      <c r="J68" s="46"/>
      <c r="K68" s="46"/>
      <c r="M68" s="46"/>
      <c r="N68" s="46"/>
      <c r="O68" s="46"/>
      <c r="P68" s="46"/>
      <c r="Q68" s="46"/>
      <c r="R68" s="46"/>
      <c r="S68" s="46"/>
      <c r="T68" s="46"/>
      <c r="U68" s="46"/>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56" t="str" cm="1">
        <f t="array" ref="D71">MMS_Dairy_N2ODirect_Equations.VEERG_4_3_1_3__6_NitrogenRetainedByBody_Variation()</f>
        <v>VARIATION ON SOURCE: Added check for milk production input unit and choose corresponding MP_j value accordingly.</v>
      </c>
    </row>
    <row r="72" spans="3:21" ht="20.100000000000001" customHeight="1" x14ac:dyDescent="0.25">
      <c r="D72" s="13" t="s">
        <v>25</v>
      </c>
      <c r="E72" s="13" t="str" cm="1">
        <f t="array" aca="1" ref="E72" ca="1">Common_InputFunctions.Utility_DisplayFunctionName(D103)</f>
        <v>=MMS_Dairy_N2ODirect_Equations.VEERG_4_3_1_3__6_NitrogenRetainedByBody</v>
      </c>
    </row>
    <row r="73" spans="3:21" ht="20.100000000000001" customHeight="1" x14ac:dyDescent="0.25"/>
    <row r="74" spans="3:21" ht="20.100000000000001" customHeight="1" x14ac:dyDescent="0.25"/>
    <row r="75" spans="3:21" ht="20.100000000000001" customHeight="1" x14ac:dyDescent="0.25">
      <c r="D75" s="54" t="s">
        <v>28</v>
      </c>
      <c r="E75" s="1" t="str" cm="1">
        <f t="array" ref="E75">MMS_Dairy_N2ODirect_Equations.VEERG_4_3_1_3__6_NitrogenRetainedByBody_Variable()</f>
        <v>NR_j</v>
      </c>
    </row>
    <row r="76" spans="3:21" ht="20.100000000000001" customHeight="1" x14ac:dyDescent="0.25">
      <c r="D76" s="54" t="s">
        <v>18</v>
      </c>
      <c r="E76" s="55" t="str" cm="1">
        <f t="array" ref="E76">MMS_Dairy_N2ODirect_Equations.VEERG_4_3_1_3__6_NitrogenRetainedByBody_Unit()</f>
        <v>kg N/head/day</v>
      </c>
    </row>
    <row r="77" spans="3:21" ht="20.100000000000001" customHeight="1" x14ac:dyDescent="0.25"/>
    <row r="78" spans="3:21" ht="20.100000000000001" customHeight="1" x14ac:dyDescent="0.25">
      <c r="D78" s="133" t="str" cm="1">
        <f t="array" ref="D78:E83">_xlfn.CHOOSECOLS(MMS_Dairy_N2ODirect_Equations.VEERG_4_3_1_3__6_NitrogenRetainedByBody_Arguments(),1,2)</f>
        <v>MPU</v>
      </c>
      <c r="E78" s="132" t="str">
        <v>input milk production unit</v>
      </c>
      <c r="F78" s="134"/>
      <c r="G78" s="133" t="str" cm="1">
        <f t="array" ref="G78:H83">_xlfn.CHOOSECOLS(MMS_Dairy_N2ODirect_Equations.VEERG_4_3_1_3__6_NitrogenRetainedByBody_Arguments(),3,4)</f>
        <v/>
      </c>
      <c r="H78" s="131" t="str">
        <v>Input</v>
      </c>
      <c r="I78" s="133" t="str">
        <f>X_Cell_Dairy_MilkProductionUnit</f>
        <v>Litres of milk</v>
      </c>
    </row>
    <row r="79" spans="3:21" ht="20.100000000000001" customHeight="1" x14ac:dyDescent="0.25">
      <c r="D79" s="133" t="str">
        <v>MP_j</v>
      </c>
      <c r="E79" s="132" t="str">
        <v>milk production (if input as litres of milk)</v>
      </c>
      <c r="F79" s="134"/>
      <c r="G79" s="133" t="str">
        <v>L/head/day</v>
      </c>
      <c r="H79" s="131" t="str">
        <v>Input</v>
      </c>
      <c r="I79" s="130" t="str" cm="1">
        <f t="array" aca="1" ref="I79" ca="1">HYPERLINK(Common_InputFunctions.Utility_SourceHyperlink($D$90),$D$90)</f>
        <v>Table_MP_j</v>
      </c>
    </row>
    <row r="80" spans="3:21" ht="20.100000000000001" customHeight="1" x14ac:dyDescent="0.25">
      <c r="D80" s="133" t="str">
        <v>MP_j</v>
      </c>
      <c r="E80" s="132" t="str">
        <v>milk production (if input as milk solids)</v>
      </c>
      <c r="F80" s="134"/>
      <c r="G80" s="133" t="str">
        <v>L/head/day</v>
      </c>
      <c r="H80" s="129" t="str">
        <v>Calculated from 3.3.1.1 (5)</v>
      </c>
      <c r="I80" s="130" t="str" cm="1">
        <f t="array" aca="1" ref="I80" ca="1">HYPERLINK(Common_InputFunctions.Utility_SourceHyperlink($D$85),$D$85)</f>
        <v>M1_Table_MP_j_from_solids</v>
      </c>
    </row>
    <row r="81" spans="4:19" ht="20.100000000000001" customHeight="1" x14ac:dyDescent="0.25">
      <c r="D81" s="133" t="str">
        <v>L_j</v>
      </c>
      <c r="E81" s="132" t="str">
        <v>intake relative to maintenance</v>
      </c>
      <c r="F81" s="134"/>
      <c r="G81" s="133" t="str">
        <v/>
      </c>
      <c r="H81" s="129" t="str">
        <v>Calculated from 4.3.1.3 (7)</v>
      </c>
      <c r="I81" s="130" t="str" cm="1">
        <f t="array" aca="1" ref="I81" ca="1">HYPERLINK(Common_InputFunctions.Utility_SourceHyperlink($D$62),$D$62)</f>
        <v>M1_Table_L_j</v>
      </c>
    </row>
    <row r="82" spans="4:19" ht="20.100000000000001" customHeight="1" x14ac:dyDescent="0.25">
      <c r="D82" s="133" t="str">
        <v>Z_j</v>
      </c>
      <c r="E82" s="132" t="str">
        <v>relative size</v>
      </c>
      <c r="F82" s="134"/>
      <c r="G82" s="133" t="str">
        <v/>
      </c>
      <c r="H82" s="129" t="str">
        <v>Calculated from 4.3.1.3 (8)</v>
      </c>
      <c r="I82" s="130" t="str" cm="1">
        <f t="array" aca="1" ref="I82" ca="1">HYPERLINK(Common_InputFunctions.Utility_SourceHyperlink($D$26),$D$26)</f>
        <v>M1_Table_Z_j</v>
      </c>
    </row>
    <row r="83" spans="4:19" ht="20.100000000000001" customHeight="1" x14ac:dyDescent="0.25">
      <c r="D83" s="133" t="str">
        <v>LWG_j</v>
      </c>
      <c r="E83" s="132" t="str">
        <v>liveweight gain</v>
      </c>
      <c r="F83" s="134"/>
      <c r="G83" s="133" t="str">
        <v>kg/head/day</v>
      </c>
      <c r="H83" s="131" t="str">
        <v>Input</v>
      </c>
      <c r="I83" s="130" t="str" cm="1">
        <f t="array" aca="1" ref="I83" ca="1">HYPERLINK(Common_InputFunctions.Utility_SourceHyperlink($D$95),$D$95)</f>
        <v>M1_Table_LWG_j</v>
      </c>
    </row>
    <row r="84" spans="4:19" ht="20.100000000000001" customHeight="1" x14ac:dyDescent="0.25"/>
    <row r="85" spans="4:19" ht="20.100000000000001" customHeight="1" x14ac:dyDescent="0.25">
      <c r="D85" s="100" t="s">
        <v>439</v>
      </c>
      <c r="N85" s="100" t="s">
        <v>441</v>
      </c>
    </row>
    <row r="86" spans="4:19" ht="20.100000000000001" customHeight="1" x14ac:dyDescent="0.25">
      <c r="D86" s="99" t="s">
        <v>440</v>
      </c>
      <c r="N86" s="99" t="s">
        <v>442</v>
      </c>
    </row>
    <row r="87" spans="4:19" ht="20.100000000000001" customHeight="1" x14ac:dyDescent="0.25">
      <c r="D87" s="52" t="s">
        <v>165</v>
      </c>
      <c r="E87" s="52" t="s">
        <v>182</v>
      </c>
      <c r="F87" s="52" t="s">
        <v>183</v>
      </c>
      <c r="G87" s="52" t="s">
        <v>184</v>
      </c>
      <c r="H87" s="52" t="s">
        <v>185</v>
      </c>
      <c r="N87" s="52" t="s">
        <v>165</v>
      </c>
      <c r="O87" s="52" t="s">
        <v>182</v>
      </c>
      <c r="P87" s="52" t="s">
        <v>183</v>
      </c>
      <c r="Q87" s="52" t="s">
        <v>184</v>
      </c>
      <c r="R87" s="52" t="s">
        <v>185</v>
      </c>
    </row>
    <row r="88" spans="4:19" ht="20.100000000000001" customHeight="1" x14ac:dyDescent="0.25">
      <c r="D88" s="53">
        <f>INDEX(M1_Table_MP_j_from_solids,2,1)</f>
        <v>0</v>
      </c>
      <c r="E88" s="53">
        <v>0</v>
      </c>
      <c r="F88" s="53">
        <v>0</v>
      </c>
      <c r="G88" s="53">
        <v>0</v>
      </c>
      <c r="H88" s="53">
        <v>0</v>
      </c>
      <c r="I88" s="2" t="str">
        <f>$G$80</f>
        <v>L/head/day</v>
      </c>
      <c r="N88" s="53">
        <f>INDEX(M2_Table_MP_j_from_solids,2,1)</f>
        <v>0</v>
      </c>
      <c r="O88" s="53">
        <v>0</v>
      </c>
      <c r="P88" s="53">
        <v>0</v>
      </c>
      <c r="Q88" s="53">
        <v>0</v>
      </c>
      <c r="R88" s="53">
        <v>0</v>
      </c>
      <c r="S88" s="2" t="str">
        <f>$G$80</f>
        <v>L/head/day</v>
      </c>
    </row>
    <row r="89" spans="4:19" ht="20.100000000000001" customHeight="1" x14ac:dyDescent="0.25"/>
    <row r="90" spans="4:19" ht="20.100000000000001" customHeight="1" x14ac:dyDescent="0.25">
      <c r="D90" s="100" t="s">
        <v>228</v>
      </c>
    </row>
    <row r="91" spans="4:19" ht="20.100000000000001" customHeight="1" x14ac:dyDescent="0.25">
      <c r="D91" s="99" t="s">
        <v>189</v>
      </c>
    </row>
    <row r="92" spans="4:19" ht="20.100000000000001" customHeight="1" x14ac:dyDescent="0.25">
      <c r="D92" s="40" t="s">
        <v>165</v>
      </c>
      <c r="E92" s="40" t="s">
        <v>182</v>
      </c>
      <c r="F92" s="40" t="s">
        <v>183</v>
      </c>
      <c r="G92" s="40" t="s">
        <v>184</v>
      </c>
      <c r="H92" s="40" t="s">
        <v>185</v>
      </c>
    </row>
    <row r="93" spans="4:19" ht="20.100000000000001" customHeight="1" x14ac:dyDescent="0.25">
      <c r="D93" s="53">
        <f>INDEX(Table_MP_j_Consumer_1,2,1)</f>
        <v>17.997260273972604</v>
      </c>
      <c r="E93" s="53">
        <v>0</v>
      </c>
      <c r="F93" s="53">
        <v>0</v>
      </c>
      <c r="G93" s="53">
        <v>0</v>
      </c>
      <c r="H93" s="53">
        <v>0</v>
      </c>
      <c r="I93" s="2" t="str">
        <f>$G$79</f>
        <v>L/head/day</v>
      </c>
    </row>
    <row r="94" spans="4:19" ht="20.100000000000001" customHeight="1" x14ac:dyDescent="0.25"/>
    <row r="95" spans="4:19" ht="20.100000000000001" customHeight="1" x14ac:dyDescent="0.25">
      <c r="D95" s="100" t="s">
        <v>212</v>
      </c>
      <c r="N95" s="100" t="s">
        <v>214</v>
      </c>
    </row>
    <row r="96" spans="4:19" ht="20.100000000000001" customHeight="1" x14ac:dyDescent="0.25">
      <c r="D96" s="99" t="s">
        <v>213</v>
      </c>
      <c r="N96" s="99" t="s">
        <v>215</v>
      </c>
    </row>
    <row r="97" spans="3:21" ht="20.100000000000001" customHeight="1" x14ac:dyDescent="0.25">
      <c r="D97" s="40" t="s">
        <v>165</v>
      </c>
      <c r="E97" s="40" t="s">
        <v>182</v>
      </c>
      <c r="F97" s="40" t="s">
        <v>183</v>
      </c>
      <c r="G97" s="40" t="s">
        <v>184</v>
      </c>
      <c r="H97" s="40" t="s">
        <v>185</v>
      </c>
      <c r="N97" s="40" t="s">
        <v>165</v>
      </c>
      <c r="O97" s="40" t="s">
        <v>182</v>
      </c>
      <c r="P97" s="40" t="s">
        <v>183</v>
      </c>
      <c r="Q97" s="40" t="s">
        <v>184</v>
      </c>
      <c r="R97" s="40" t="s">
        <v>185</v>
      </c>
    </row>
    <row r="98" spans="3:21" ht="20.100000000000001" customHeight="1" x14ac:dyDescent="0.25">
      <c r="D98" s="53">
        <f>INDEX(X_Table_Dairy_Liveweight_Method1,3,2)</f>
        <v>1.6E-2</v>
      </c>
      <c r="E98" s="53">
        <f>INDEX(X_Table_Dairy_Liveweight_Method1,3,3)</f>
        <v>0</v>
      </c>
      <c r="F98" s="53">
        <f>INDEX(X_Table_Dairy_Liveweight_Method1,3,4)</f>
        <v>0</v>
      </c>
      <c r="G98" s="53">
        <f>INDEX(X_Table_Dairy_Liveweight_Method1,3,5)</f>
        <v>0</v>
      </c>
      <c r="H98" s="53">
        <f>INDEX(X_Table_Dairy_Liveweight_Method1,3,6)</f>
        <v>0</v>
      </c>
      <c r="I98" s="2" t="str">
        <f>$G$83</f>
        <v>kg/head/day</v>
      </c>
      <c r="N98" s="53">
        <f>INDEX(X_Table_Dairy_Liveweight_Method2,3,2)</f>
        <v>1.6E-2</v>
      </c>
      <c r="O98" s="53">
        <f>INDEX(X_Table_Dairy_Liveweight_Method2,3,3)</f>
        <v>0</v>
      </c>
      <c r="P98" s="53">
        <f>INDEX(X_Table_Dairy_Liveweight_Method2,3,4)</f>
        <v>0</v>
      </c>
      <c r="Q98" s="53">
        <f>INDEX(X_Table_Dairy_Liveweight_Method2,3,5)</f>
        <v>0</v>
      </c>
      <c r="R98" s="53">
        <f>INDEX(X_Table_Dairy_Liveweight_Method2,3,6)</f>
        <v>0</v>
      </c>
      <c r="S98" s="2" t="str">
        <f>$G$83</f>
        <v>kg/head/day</v>
      </c>
    </row>
    <row r="99" spans="3:21" ht="20.100000000000001" customHeight="1" x14ac:dyDescent="0.25"/>
    <row r="100" spans="3:21" ht="20.100000000000001" customHeight="1" x14ac:dyDescent="0.25">
      <c r="D100" s="100" t="s">
        <v>108</v>
      </c>
      <c r="N100" s="100" t="s">
        <v>109</v>
      </c>
    </row>
    <row r="101" spans="3:21" ht="20.100000000000001" customHeight="1" x14ac:dyDescent="0.25">
      <c r="D101" s="99" t="s">
        <v>283</v>
      </c>
      <c r="N101" s="99" t="s">
        <v>284</v>
      </c>
    </row>
    <row r="102" spans="3:21" ht="20.100000000000001" customHeight="1" x14ac:dyDescent="0.25">
      <c r="D102" s="52" t="s">
        <v>165</v>
      </c>
      <c r="E102" s="52" t="s">
        <v>182</v>
      </c>
      <c r="F102" s="52" t="s">
        <v>183</v>
      </c>
      <c r="G102" s="52" t="s">
        <v>184</v>
      </c>
      <c r="H102" s="52" t="s">
        <v>185</v>
      </c>
      <c r="N102" s="52" t="s">
        <v>165</v>
      </c>
      <c r="O102" s="52" t="s">
        <v>182</v>
      </c>
      <c r="P102" s="52" t="s">
        <v>183</v>
      </c>
      <c r="Q102" s="52" t="s">
        <v>184</v>
      </c>
      <c r="R102" s="52" t="s">
        <v>185</v>
      </c>
    </row>
    <row r="103" spans="3:21" ht="20.100000000000001" customHeight="1" x14ac:dyDescent="0.25">
      <c r="D103" s="53" cm="1">
        <f t="array" ref="D103">MMS_Dairy_N2ODirect_Equations.VEERG_4_3_1_3__6_NitrogenRetainedByBody(IF($I$78="Milk solids", D88, D93),D65,D29,D98)</f>
        <v>9.3159756043396227E-2</v>
      </c>
      <c r="E103" s="53" cm="1">
        <f t="array" ref="E103">MMS_Dairy_N2ODirect_Equations.VEERG_4_3_1_3__6_NitrogenRetainedByBody(IF($I$78="Milk solids", E88, E93),E65,E29,E98)</f>
        <v>0</v>
      </c>
      <c r="F103" s="53" cm="1">
        <f t="array" ref="F103">MMS_Dairy_N2ODirect_Equations.VEERG_4_3_1_3__6_NitrogenRetainedByBody(IF($I$78="Milk solids", F88, F93),F65,F29,F98)</f>
        <v>0</v>
      </c>
      <c r="G103" s="53" cm="1">
        <f t="array" ref="G103">MMS_Dairy_N2ODirect_Equations.VEERG_4_3_1_3__6_NitrogenRetainedByBody(IF($I$78="Milk solids", G88, G93),G65,G29,G98)</f>
        <v>0</v>
      </c>
      <c r="H103" s="53" cm="1">
        <f t="array" ref="H103">MMS_Dairy_N2ODirect_Equations.VEERG_4_3_1_3__6_NitrogenRetainedByBody(IF($I$78="Milk solids", H88, H93),H65,H29,H98)</f>
        <v>0</v>
      </c>
      <c r="I103" s="2" t="str">
        <f>$E$76</f>
        <v>kg N/head/day</v>
      </c>
      <c r="N103" s="53" cm="1">
        <f t="array" ref="N103">MMS_Dairy_N2ODirect_Equations.VEERG_4_3_1_3__6_NitrogenRetainedByBody(IF($I$78="Milk solids",N88,D93),N65,N29,N98)</f>
        <v>9.3159756043396227E-2</v>
      </c>
      <c r="O103" s="53" cm="1">
        <f t="array" ref="O103">MMS_Dairy_N2ODirect_Equations.VEERG_4_3_1_3__6_NitrogenRetainedByBody(IF($I$78="Milk solids",O88,E93),O65,O29,O98)</f>
        <v>0</v>
      </c>
      <c r="P103" s="53" cm="1">
        <f t="array" ref="P103">MMS_Dairy_N2ODirect_Equations.VEERG_4_3_1_3__6_NitrogenRetainedByBody(IF($I$78="Milk solids",P88,F93),P65,P29,P98)</f>
        <v>0</v>
      </c>
      <c r="Q103" s="53" cm="1">
        <f t="array" ref="Q103">MMS_Dairy_N2ODirect_Equations.VEERG_4_3_1_3__6_NitrogenRetainedByBody(IF($I$78="Milk solids",Q88,G93),Q65,Q29,Q98)</f>
        <v>0</v>
      </c>
      <c r="R103" s="53" cm="1">
        <f t="array" ref="R103">MMS_Dairy_N2ODirect_Equations.VEERG_4_3_1_3__6_NitrogenRetainedByBody(IF($I$78="Milk solids",R88,H93),R65,R29,R98)</f>
        <v>0</v>
      </c>
      <c r="S103" s="2" t="str">
        <f>$E$76</f>
        <v>kg N/head/day</v>
      </c>
    </row>
    <row r="104" spans="3:21" ht="20.100000000000001" customHeight="1" x14ac:dyDescent="0.25"/>
    <row r="105" spans="3:21" ht="20.100000000000001" customHeight="1" x14ac:dyDescent="0.25"/>
    <row r="106" spans="3:21" ht="20.100000000000001" customHeight="1" x14ac:dyDescent="0.25">
      <c r="C106" s="46"/>
      <c r="D106" s="46"/>
      <c r="E106" s="46"/>
      <c r="F106" s="46"/>
      <c r="G106" s="46"/>
      <c r="H106" s="46"/>
      <c r="I106" s="46"/>
      <c r="J106" s="46"/>
      <c r="K106" s="46"/>
      <c r="M106" s="46"/>
      <c r="N106" s="46"/>
      <c r="O106" s="46"/>
      <c r="P106" s="46"/>
      <c r="Q106" s="46"/>
      <c r="R106" s="46"/>
      <c r="S106" s="46"/>
      <c r="T106" s="46"/>
      <c r="U106" s="46"/>
    </row>
    <row r="107" spans="3:21" ht="20.100000000000001" customHeight="1" x14ac:dyDescent="0.25">
      <c r="D107" s="6" t="str" cm="1">
        <f t="array" ref="D107">MMS_Dairy_N2ODirect_Equations.VEERG_4_3_1_3__5_CrudeProteinIntakeOfDairyCattle_Title()</f>
        <v>Crude protein intake of dairy cattle</v>
      </c>
    </row>
    <row r="108" spans="3:21" ht="20.100000000000001" customHeight="1" x14ac:dyDescent="0.25">
      <c r="D108" s="5" t="str" cm="1">
        <f t="array" ref="D108">MMS_Dairy_N2ODirect_Equations.VEERG_4_3_1_3__5_CrudeProteinIntakeOfDairyCattle_Source()</f>
        <v>VEERG 2026: 4.3.1.3, Equation (5)</v>
      </c>
    </row>
    <row r="109" spans="3:21" ht="20.100000000000001" customHeight="1" x14ac:dyDescent="0.25">
      <c r="D109" s="13" t="s">
        <v>25</v>
      </c>
      <c r="E109" s="13"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6"/>
    </row>
    <row r="112" spans="3:21" ht="20.100000000000001" customHeight="1" x14ac:dyDescent="0.25">
      <c r="D112" s="54" t="s">
        <v>28</v>
      </c>
      <c r="E112" s="1" t="str" cm="1">
        <f t="array" ref="E112">MMS_Dairy_N2ODirect_Equations.VEERG_4_3_1_3__5_CrudeProteinIntakeOfDairyCattle_Variable()</f>
        <v>CPI_j</v>
      </c>
    </row>
    <row r="113" spans="4:19" ht="20.100000000000001" customHeight="1" x14ac:dyDescent="0.25">
      <c r="D113" s="54" t="s">
        <v>18</v>
      </c>
      <c r="E113" s="55" t="str" cm="1">
        <f t="array" ref="E113">MMS_Dairy_N2ODirect_Equations.VEERG_4_3_1_3__5_CrudeProteinIntakeOfDairyCattle_Unit()</f>
        <v>kg/head/day</v>
      </c>
    </row>
    <row r="114" spans="4:19" ht="20.100000000000001" customHeight="1" x14ac:dyDescent="0.25"/>
    <row r="115" spans="4:19" ht="20.100000000000001" customHeight="1" x14ac:dyDescent="0.25">
      <c r="D115" s="133" t="str" cm="1">
        <f t="array" ref="D115:G116">MMS_Dairy_N2ODirect_Equations.VEERG_4_3_1_3__5_CrudeProteinIntakeOfDairyCattle_Arguments()</f>
        <v>I_j</v>
      </c>
      <c r="E115" s="133" t="str">
        <v>dry matter intake</v>
      </c>
      <c r="F115" s="133" t="str">
        <v>kgDM/head/day</v>
      </c>
      <c r="G115" s="129" t="str">
        <v>Calculated from 3.3.1.1 (3)</v>
      </c>
      <c r="H115" s="130" t="str" cm="1">
        <f t="array" aca="1" ref="H115" ca="1">HYPERLINK(Common_InputFunctions.Utility_SourceHyperlink($D$47),$D$47)</f>
        <v>M1_Table_I_j</v>
      </c>
    </row>
    <row r="116" spans="4:19" ht="20.100000000000001" customHeight="1" x14ac:dyDescent="0.25">
      <c r="D116" s="133" t="str">
        <v>CP_j</v>
      </c>
      <c r="E116" s="133" t="str">
        <v>crude protein content of feed intake</v>
      </c>
      <c r="F116" s="133" t="str">
        <v>fraction</v>
      </c>
      <c r="G116" s="131" t="str">
        <v>Input</v>
      </c>
      <c r="H116" s="130" t="str" cm="1">
        <f t="array" aca="1" ref="H116" ca="1">HYPERLINK(Common_InputFunctions.Utility_SourceHyperlink($D$118),$D$118)</f>
        <v>M1_Table_CP_j</v>
      </c>
    </row>
    <row r="117" spans="4:19" ht="20.100000000000001" customHeight="1" x14ac:dyDescent="0.25"/>
    <row r="118" spans="4:19" ht="20.100000000000001" customHeight="1" x14ac:dyDescent="0.25">
      <c r="D118" s="100" t="s">
        <v>106</v>
      </c>
      <c r="N118" s="100" t="s">
        <v>453</v>
      </c>
    </row>
    <row r="119" spans="4:19" ht="20.100000000000001" customHeight="1" x14ac:dyDescent="0.25">
      <c r="D119" s="99" t="s">
        <v>285</v>
      </c>
      <c r="N119" s="99" t="s">
        <v>454</v>
      </c>
    </row>
    <row r="120" spans="4:19" ht="20.100000000000001" customHeight="1" x14ac:dyDescent="0.25">
      <c r="D120" s="40" t="s">
        <v>165</v>
      </c>
      <c r="E120" s="40" t="s">
        <v>182</v>
      </c>
      <c r="F120" s="40" t="s">
        <v>183</v>
      </c>
      <c r="G120" s="40" t="s">
        <v>184</v>
      </c>
      <c r="H120" s="40" t="s">
        <v>185</v>
      </c>
      <c r="N120" s="40" t="s">
        <v>165</v>
      </c>
      <c r="O120" s="40" t="s">
        <v>182</v>
      </c>
      <c r="P120" s="40" t="s">
        <v>183</v>
      </c>
      <c r="Q120" s="40" t="s">
        <v>184</v>
      </c>
      <c r="R120" s="40" t="s">
        <v>185</v>
      </c>
    </row>
    <row r="121" spans="4:19" ht="20.100000000000001" customHeight="1" x14ac:dyDescent="0.25">
      <c r="D121" s="53">
        <f>INDEX(X_Table_Dairy_Diet_Method1,3,2)</f>
        <v>0.2</v>
      </c>
      <c r="E121" s="53">
        <f>INDEX(X_Table_Dairy_Diet_Method1,3,3)</f>
        <v>0</v>
      </c>
      <c r="F121" s="53">
        <f>INDEX(X_Table_Dairy_Diet_Method1,3,4)</f>
        <v>0</v>
      </c>
      <c r="G121" s="53">
        <f>INDEX(X_Table_Dairy_Diet_Method1,3,5)</f>
        <v>0</v>
      </c>
      <c r="H121" s="53">
        <f>INDEX(X_Table_Dairy_Diet_Method1,3,6)</f>
        <v>0</v>
      </c>
      <c r="I121" s="2" t="str">
        <f>$F$116</f>
        <v>fraction</v>
      </c>
      <c r="N121" s="53">
        <f>INDEX(X_Table_Dairy_Diet_Method2,3,2)</f>
        <v>0.2</v>
      </c>
      <c r="O121" s="53">
        <f>INDEX(X_Table_Dairy_Diet_Method2,3,3)</f>
        <v>0</v>
      </c>
      <c r="P121" s="53">
        <f>INDEX(X_Table_Dairy_Diet_Method2,3,4)</f>
        <v>0</v>
      </c>
      <c r="Q121" s="53">
        <f>INDEX(X_Table_Dairy_Diet_Method2,3,5)</f>
        <v>0</v>
      </c>
      <c r="R121" s="53">
        <f>INDEX(X_Table_Dairy_Diet_Method2,3,6)</f>
        <v>0</v>
      </c>
      <c r="S121" s="2" t="str">
        <f>$F$116</f>
        <v>fraction</v>
      </c>
    </row>
    <row r="122" spans="4:19" ht="20.100000000000001" customHeight="1" x14ac:dyDescent="0.25"/>
    <row r="123" spans="4:19" ht="20.100000000000001" customHeight="1" x14ac:dyDescent="0.25">
      <c r="D123" s="100" t="s">
        <v>286</v>
      </c>
      <c r="N123" s="100" t="s">
        <v>455</v>
      </c>
    </row>
    <row r="124" spans="4:19" ht="20.100000000000001" customHeight="1" x14ac:dyDescent="0.25">
      <c r="D124" s="99" t="s">
        <v>287</v>
      </c>
      <c r="N124" s="99" t="s">
        <v>456</v>
      </c>
    </row>
    <row r="125" spans="4:19" ht="20.100000000000001" customHeight="1" x14ac:dyDescent="0.25">
      <c r="D125" s="52" t="s">
        <v>165</v>
      </c>
      <c r="E125" s="52" t="s">
        <v>182</v>
      </c>
      <c r="F125" s="52" t="s">
        <v>183</v>
      </c>
      <c r="G125" s="52" t="s">
        <v>184</v>
      </c>
      <c r="H125" s="52" t="s">
        <v>185</v>
      </c>
      <c r="N125" s="52" t="s">
        <v>165</v>
      </c>
      <c r="O125" s="52" t="s">
        <v>182</v>
      </c>
      <c r="P125" s="52" t="s">
        <v>183</v>
      </c>
      <c r="Q125" s="52" t="s">
        <v>184</v>
      </c>
      <c r="R125" s="52" t="s">
        <v>185</v>
      </c>
    </row>
    <row r="126" spans="4:19" ht="20.100000000000001" customHeight="1" x14ac:dyDescent="0.25">
      <c r="D126" s="53" cm="1">
        <f t="array" ref="D126">MMS_Dairy_N2ODirect_Equations.VEERG_4_3_1_3__5_CrudeProteinIntakeOfDairyCattle(D50,D121)</f>
        <v>3.575003631350238</v>
      </c>
      <c r="E126" s="53" cm="1">
        <f t="array" ref="E126">MMS_Dairy_N2ODirect_Equations.VEERG_4_3_1_3__5_CrudeProteinIntakeOfDairyCattle(E50,E121)</f>
        <v>0</v>
      </c>
      <c r="F126" s="53" cm="1">
        <f t="array" ref="F126">MMS_Dairy_N2ODirect_Equations.VEERG_4_3_1_3__5_CrudeProteinIntakeOfDairyCattle(F50,F121)</f>
        <v>0</v>
      </c>
      <c r="G126" s="53" cm="1">
        <f t="array" ref="G126">MMS_Dairy_N2ODirect_Equations.VEERG_4_3_1_3__5_CrudeProteinIntakeOfDairyCattle(G50,G121)</f>
        <v>0</v>
      </c>
      <c r="H126" s="53" cm="1">
        <f t="array" ref="H126">MMS_Dairy_N2ODirect_Equations.VEERG_4_3_1_3__5_CrudeProteinIntakeOfDairyCattle(H50,H121)</f>
        <v>0</v>
      </c>
      <c r="I126" s="2" t="str">
        <f>$E$113</f>
        <v>kg/head/day</v>
      </c>
      <c r="N126" s="53" cm="1">
        <f t="array" ref="N126">MMS_Dairy_N2ODirect_Equations.VEERG_4_3_1_3__5_CrudeProteinIntakeOfDairyCattle(N50,N121)</f>
        <v>3.575003631350238</v>
      </c>
      <c r="O126" s="53" cm="1">
        <f t="array" ref="O126">MMS_Dairy_N2ODirect_Equations.VEERG_4_3_1_3__5_CrudeProteinIntakeOfDairyCattle(O50,O121)</f>
        <v>0</v>
      </c>
      <c r="P126" s="53" cm="1">
        <f t="array" ref="P126">MMS_Dairy_N2ODirect_Equations.VEERG_4_3_1_3__5_CrudeProteinIntakeOfDairyCattle(P50,P121)</f>
        <v>0</v>
      </c>
      <c r="Q126" s="53" cm="1">
        <f t="array" ref="Q126">MMS_Dairy_N2ODirect_Equations.VEERG_4_3_1_3__5_CrudeProteinIntakeOfDairyCattle(Q50,Q121)</f>
        <v>0</v>
      </c>
      <c r="R126" s="53" cm="1">
        <f t="array" ref="R126">MMS_Dairy_N2ODirect_Equations.VEERG_4_3_1_3__5_CrudeProteinIntakeOfDairyCattle(R50,R121)</f>
        <v>0</v>
      </c>
      <c r="S126" s="2" t="str">
        <f>$E$113</f>
        <v>kg/head/day</v>
      </c>
    </row>
    <row r="127" spans="4:19" ht="20.100000000000001" customHeight="1" x14ac:dyDescent="0.25"/>
    <row r="128" spans="4:19" ht="20.100000000000001" customHeight="1" x14ac:dyDescent="0.25"/>
    <row r="129" spans="3:21" ht="20.100000000000001" customHeight="1" x14ac:dyDescent="0.25">
      <c r="C129" s="46"/>
      <c r="D129" s="46"/>
      <c r="E129" s="46"/>
      <c r="F129" s="46"/>
      <c r="G129" s="46"/>
      <c r="H129" s="46"/>
      <c r="I129" s="46"/>
      <c r="J129" s="46"/>
      <c r="K129" s="46"/>
      <c r="M129" s="46"/>
      <c r="N129" s="46"/>
      <c r="O129" s="46"/>
      <c r="P129" s="46"/>
      <c r="Q129" s="46"/>
      <c r="R129" s="46"/>
      <c r="S129" s="46"/>
      <c r="T129" s="46"/>
      <c r="U129" s="46"/>
    </row>
    <row r="130" spans="3:21" ht="20.100000000000001" customHeight="1" x14ac:dyDescent="0.25">
      <c r="D130" s="6" t="str" cm="1">
        <f t="array" ref="D130">MMS_Dairy_N2ODirect_Equations.VEERG_4_3_1_3__4_NitrogenExcretedByDairyCattleGreaterThanOneYear_Title()</f>
        <v>Nitrogen excreted by dairy cattle greater than one year old</v>
      </c>
    </row>
    <row r="131" spans="3:21" ht="20.100000000000001" customHeight="1" x14ac:dyDescent="0.25">
      <c r="D131" s="5" t="str" cm="1">
        <f t="array" ref="D131">MMS_Dairy_N2ODirect_Equations.VEERG_4_3_1_3__4_NitrogenExcretedByDairyCattleGreaterThanOneYear_Source()</f>
        <v>VEERG 2026: 4.3.1.3, Equation (4)</v>
      </c>
    </row>
    <row r="132" spans="3:21" ht="20.100000000000001" customHeight="1" x14ac:dyDescent="0.25">
      <c r="D132" s="13" t="s">
        <v>25</v>
      </c>
      <c r="E132" s="13"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6"/>
    </row>
    <row r="135" spans="3:21" ht="20.100000000000001" customHeight="1" x14ac:dyDescent="0.25"/>
    <row r="136" spans="3:21" ht="20.100000000000001" customHeight="1" x14ac:dyDescent="0.25">
      <c r="D136" s="54" t="s">
        <v>28</v>
      </c>
      <c r="E136" s="1" t="str" cm="1">
        <f t="array" ref="E136">MMS_Dairy_N2ODirect_Equations.VEERG_4_3_1_3__4_NitrogenExcretedByDairyCattleGreaterThanOneYear_Variable()</f>
        <v>NE_j</v>
      </c>
    </row>
    <row r="137" spans="3:21" ht="20.100000000000001" customHeight="1" x14ac:dyDescent="0.25">
      <c r="D137" s="54" t="s">
        <v>18</v>
      </c>
      <c r="E137" s="55"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33" t="str" cm="1">
        <f t="array" ref="D139:E141">_xlfn.CHOOSECOLS(MMS_Dairy_N2ODirect_Equations.VEERG_4_3_1_3__4_NitrogenExcretedByDairyCattleGreaterThanOneYear_Arguments(),1,2)</f>
        <v>CPI_j</v>
      </c>
      <c r="E139" s="132" t="str">
        <v>crude protein intake (kg/head/day)</v>
      </c>
      <c r="F139" s="134"/>
      <c r="G139" s="133" t="str" cm="1">
        <f t="array" ref="G139:H141">_xlfn.CHOOSECOLS(MMS_Dairy_N2ODirect_Equations.VEERG_4_3_1_3__4_NitrogenExcretedByDairyCattleGreaterThanOneYear_Arguments(),3,4)</f>
        <v>kg/head/day</v>
      </c>
      <c r="H139" s="129" t="str">
        <v>Calculated from 4.3.1.3 (5)</v>
      </c>
      <c r="I139" s="130" t="str" cm="1">
        <f t="array" aca="1" ref="I139" ca="1">HYPERLINK(Common_InputFunctions.Utility_SourceHyperlink($D$123),$D$123)</f>
        <v>M1_Table_CPI_j</v>
      </c>
    </row>
    <row r="140" spans="3:21" ht="20.100000000000001" customHeight="1" x14ac:dyDescent="0.25">
      <c r="D140" s="133" t="str">
        <v>NR_j</v>
      </c>
      <c r="E140" s="132" t="str">
        <v>amount of nitrogen retained by the body</v>
      </c>
      <c r="F140" s="134"/>
      <c r="G140" s="133" t="str">
        <v>kg N/head/day</v>
      </c>
      <c r="H140" s="129" t="str">
        <v>Calculated from 4.3.1.3 (6)</v>
      </c>
      <c r="I140" s="130" t="str" cm="1">
        <f t="array" aca="1" ref="I140" ca="1">HYPERLINK(Common_InputFunctions.Utility_SourceHyperlink($D$100),$D$100)</f>
        <v>M1_Table_NR_j</v>
      </c>
    </row>
    <row r="141" spans="3:21" ht="20.100000000000001" customHeight="1" x14ac:dyDescent="0.25">
      <c r="D141" s="133" t="str">
        <v>W_j</v>
      </c>
      <c r="E141" s="132" t="str">
        <v>liveweight (kg)</v>
      </c>
      <c r="F141" s="134"/>
      <c r="G141" s="133" t="str">
        <v>kg</v>
      </c>
      <c r="H141" s="131" t="str">
        <v>Input</v>
      </c>
      <c r="I141" s="130" t="str" cm="1">
        <f t="array" aca="1" ref="I141" ca="1">HYPERLINK(Common_InputFunctions.Utility_SourceHyperlink($D$16),$D$16)</f>
        <v>M1_Table_W_j</v>
      </c>
    </row>
    <row r="142" spans="3:21" ht="20.100000000000001" customHeight="1" x14ac:dyDescent="0.25"/>
    <row r="143" spans="3:21" ht="20.100000000000001" customHeight="1" x14ac:dyDescent="0.25">
      <c r="D143" s="100" t="s">
        <v>110</v>
      </c>
      <c r="N143" s="100" t="s">
        <v>111</v>
      </c>
    </row>
    <row r="144" spans="3:21" ht="20.100000000000001" customHeight="1" x14ac:dyDescent="0.25">
      <c r="D144" s="99" t="s">
        <v>288</v>
      </c>
      <c r="N144" s="99" t="s">
        <v>289</v>
      </c>
    </row>
    <row r="145" spans="3:21" ht="20.100000000000001" customHeight="1" x14ac:dyDescent="0.25">
      <c r="D145" s="52" t="s">
        <v>165</v>
      </c>
      <c r="E145" s="52" t="s">
        <v>182</v>
      </c>
      <c r="F145" s="52" t="s">
        <v>183</v>
      </c>
      <c r="G145" s="52" t="s">
        <v>184</v>
      </c>
      <c r="H145" s="52" t="s">
        <v>185</v>
      </c>
      <c r="N145" s="52" t="s">
        <v>165</v>
      </c>
      <c r="O145" s="52" t="s">
        <v>182</v>
      </c>
      <c r="P145" s="52" t="s">
        <v>183</v>
      </c>
      <c r="Q145" s="52" t="s">
        <v>184</v>
      </c>
      <c r="R145" s="52" t="s">
        <v>185</v>
      </c>
    </row>
    <row r="146" spans="3:21" ht="20.100000000000001" customHeight="1" x14ac:dyDescent="0.25">
      <c r="D146" s="53" cm="1">
        <f t="array" ref="D146">MMS_Dairy_N2ODirect_Equations.VEERG_4_3_1_3__4_NitrogenExcretedByDairyCattleGreaterThanOneYear(D126,D103,D19)</f>
        <v>0.47684195435130394</v>
      </c>
      <c r="E146" s="53" cm="1">
        <f t="array" ref="E146">MMS_Dairy_N2ODirect_Equations.VEERG_4_3_1_3__4_NitrogenExcretedByDairyCattleGreaterThanOneYear(E126,E103,E19)</f>
        <v>0</v>
      </c>
      <c r="F146" s="53" cm="1">
        <f t="array" ref="F146">MMS_Dairy_N2ODirect_Equations.VEERG_4_3_1_3__4_NitrogenExcretedByDairyCattleGreaterThanOneYear(F126,F103,F19)</f>
        <v>0</v>
      </c>
      <c r="G146" s="53" cm="1">
        <f t="array" ref="G146">MMS_Dairy_N2ODirect_Equations.VEERG_4_3_1_3__4_NitrogenExcretedByDairyCattleGreaterThanOneYear(G126,G103,G19)</f>
        <v>0</v>
      </c>
      <c r="H146" s="53" cm="1">
        <f t="array" ref="H146">MMS_Dairy_N2ODirect_Equations.VEERG_4_3_1_3__4_NitrogenExcretedByDairyCattleGreaterThanOneYear(H126,H103,H19)</f>
        <v>0</v>
      </c>
      <c r="I146" s="2" t="str">
        <f>$E$137</f>
        <v>kg N/head/day</v>
      </c>
      <c r="N146" s="53" cm="1">
        <f t="array" ref="N146">MMS_Dairy_N2ODirect_Equations.VEERG_4_3_1_3__4_NitrogenExcretedByDairyCattleGreaterThanOneYear(N126,N103,N19)</f>
        <v>0.47684195435130394</v>
      </c>
      <c r="O146" s="53" cm="1">
        <f t="array" ref="O146">MMS_Dairy_N2ODirect_Equations.VEERG_4_3_1_3__4_NitrogenExcretedByDairyCattleGreaterThanOneYear(O126,O103,O19)</f>
        <v>0</v>
      </c>
      <c r="P146" s="53" cm="1">
        <f t="array" ref="P146">MMS_Dairy_N2ODirect_Equations.VEERG_4_3_1_3__4_NitrogenExcretedByDairyCattleGreaterThanOneYear(P126,P103,P19)</f>
        <v>0</v>
      </c>
      <c r="Q146" s="53" cm="1">
        <f t="array" ref="Q146">MMS_Dairy_N2ODirect_Equations.VEERG_4_3_1_3__4_NitrogenExcretedByDairyCattleGreaterThanOneYear(Q126,Q103,Q19)</f>
        <v>0</v>
      </c>
      <c r="R146" s="53" cm="1">
        <f t="array" ref="R146">MMS_Dairy_N2ODirect_Equations.VEERG_4_3_1_3__4_NitrogenExcretedByDairyCattleGreaterThanOneYear(R126,R103,R19)</f>
        <v>0</v>
      </c>
      <c r="S146" s="2" t="str">
        <f>$E$137</f>
        <v>kg N/head/day</v>
      </c>
    </row>
    <row r="147" spans="3:21" ht="20.100000000000001" customHeight="1" x14ac:dyDescent="0.25"/>
    <row r="148" spans="3:21" ht="20.100000000000001" customHeight="1" x14ac:dyDescent="0.25"/>
    <row r="149" spans="3:21" ht="20.100000000000001" customHeight="1" x14ac:dyDescent="0.25">
      <c r="C149" s="46"/>
      <c r="D149" s="46"/>
      <c r="E149" s="46"/>
      <c r="F149" s="46"/>
      <c r="G149" s="46"/>
      <c r="H149" s="46"/>
      <c r="I149" s="46"/>
      <c r="J149" s="46"/>
      <c r="K149" s="46"/>
      <c r="M149" s="46"/>
      <c r="N149" s="46"/>
      <c r="O149" s="46"/>
      <c r="P149" s="46"/>
      <c r="Q149" s="46"/>
      <c r="R149" s="46"/>
      <c r="S149" s="46"/>
      <c r="T149" s="46"/>
      <c r="U149" s="46"/>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6"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25</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4" t="s">
        <v>28</v>
      </c>
      <c r="E156" s="1" t="str" cm="1">
        <f t="array" ref="E156">MMS_Dairy_N2ODirect_Equations.VEERG_4_3_1_3__3a_TotalAnnualNitrogenExcretedGreaterThanOneYear_Variable()</f>
        <v>AE_j124</v>
      </c>
    </row>
    <row r="157" spans="3:21" ht="20.100000000000001" customHeight="1" x14ac:dyDescent="0.25">
      <c r="D157" s="54" t="s">
        <v>18</v>
      </c>
      <c r="E157" s="55"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3" t="str" cm="1">
        <f t="array" ref="D159:E161">_xlfn.CHOOSECOLS(MMS_Dairy_N2ODirect_Equations.VEERG_4_3_1_3__3a_TotalAnnualNitrogenExcretedGreaterThanOneYear_Arguments(),1,2)</f>
        <v>N_j124</v>
      </c>
      <c r="E159" s="132" t="str">
        <v>number of dairy cattle in classes j=1,2,4</v>
      </c>
      <c r="F159" s="134"/>
      <c r="G159" s="133" t="str" cm="1">
        <f t="array" ref="G159:H161">_xlfn.CHOOSECOLS(MMS_Dairy_N2ODirect_Equations.VEERG_4_3_1_3__3a_TotalAnnualNitrogenExcretedGreaterThanOneYear_Arguments(),3,4)</f>
        <v>head</v>
      </c>
      <c r="H159" s="131" t="str">
        <v>Input</v>
      </c>
      <c r="I159" s="130" t="str" cm="1">
        <f t="array" aca="1" ref="I159" ca="1">HYPERLINK(Common_InputFunctions.Utility_SourceHyperlink($D$163),$D$163)</f>
        <v>Table_N_j</v>
      </c>
    </row>
    <row r="160" spans="3:21" ht="20.100000000000001" customHeight="1" x14ac:dyDescent="0.25">
      <c r="D160" s="133" t="str">
        <v>NE_j124</v>
      </c>
      <c r="E160" s="132" t="str">
        <v>nitrogen excreted by dairy cattle greater than one year old (kg N/head/day)</v>
      </c>
      <c r="F160" s="134"/>
      <c r="G160" s="133" t="str">
        <v>kg N/head/day</v>
      </c>
      <c r="H160" s="129" t="str">
        <v>Calculated from 4.3.1.3 (4)</v>
      </c>
      <c r="I160" s="130" t="str" cm="1">
        <f t="array" aca="1" ref="I160" ca="1">HYPERLINK(Common_InputFunctions.Utility_SourceHyperlink($D$143),$D$143)</f>
        <v>M1_Table_NE_j</v>
      </c>
    </row>
    <row r="161" spans="1:19" ht="20.100000000000001" customHeight="1" x14ac:dyDescent="0.25">
      <c r="D161" s="133" t="str">
        <v>D_j124</v>
      </c>
      <c r="E161" s="132" t="str">
        <v>duration of stay on farm for classes j=1,2,4 (days)</v>
      </c>
      <c r="F161" s="134"/>
      <c r="G161" s="133" t="str">
        <v>days</v>
      </c>
      <c r="H161" s="131" t="str">
        <v>Input</v>
      </c>
      <c r="I161" s="130" t="str" cm="1">
        <f t="array" aca="1" ref="I161" ca="1">HYPERLINK(Common_InputFunctions.Utility_SourceHyperlink($D$168),$D$168)</f>
        <v>M1_Table_D_j-1-2-4</v>
      </c>
    </row>
    <row r="162" spans="1:19" ht="20.100000000000001" customHeight="1" x14ac:dyDescent="0.25"/>
    <row r="163" spans="1:19" ht="20.100000000000001" customHeight="1" x14ac:dyDescent="0.25">
      <c r="D163" s="100" t="s">
        <v>100</v>
      </c>
    </row>
    <row r="164" spans="1:19" ht="20.100000000000001" customHeight="1" x14ac:dyDescent="0.25">
      <c r="D164" s="99" t="s">
        <v>256</v>
      </c>
    </row>
    <row r="165" spans="1:19" ht="20.100000000000001" customHeight="1" x14ac:dyDescent="0.25">
      <c r="D165" s="40" t="s">
        <v>165</v>
      </c>
      <c r="E165" s="40" t="s">
        <v>182</v>
      </c>
      <c r="F165" s="40" t="s">
        <v>183</v>
      </c>
      <c r="G165" s="40" t="s">
        <v>184</v>
      </c>
      <c r="H165" s="40" t="s">
        <v>185</v>
      </c>
    </row>
    <row r="166" spans="1:19" ht="20.100000000000001" customHeight="1" x14ac:dyDescent="0.25">
      <c r="D166" s="103">
        <f>INDEX(X_Table_Dairy_HerdMovement,2,2)</f>
        <v>100</v>
      </c>
      <c r="E166" s="103">
        <f>INDEX(X_Table_Dairy_HerdMovement,2,3)</f>
        <v>0</v>
      </c>
      <c r="F166" s="103">
        <f>INDEX(X_Table_Dairy_HerdMovement,2,4)</f>
        <v>0</v>
      </c>
      <c r="G166" s="103">
        <f>INDEX(X_Table_Dairy_HerdMovement,2,5)</f>
        <v>0</v>
      </c>
      <c r="H166" s="103">
        <f>INDEX(X_Table_Dairy_HerdMovement,2,6)</f>
        <v>0</v>
      </c>
      <c r="I166" s="2" t="str">
        <f>G159</f>
        <v>head</v>
      </c>
    </row>
    <row r="167" spans="1:19" ht="20.100000000000001" customHeight="1" x14ac:dyDescent="0.25"/>
    <row r="168" spans="1:19" ht="20.100000000000001" customHeight="1" x14ac:dyDescent="0.25">
      <c r="D168" s="100" t="s">
        <v>263</v>
      </c>
      <c r="N168" s="100" t="s">
        <v>452</v>
      </c>
    </row>
    <row r="169" spans="1:19" ht="20.100000000000001" customHeight="1" x14ac:dyDescent="0.25">
      <c r="D169" s="99" t="s">
        <v>291</v>
      </c>
      <c r="N169" s="99" t="s">
        <v>292</v>
      </c>
    </row>
    <row r="170" spans="1:19" ht="20.100000000000001" customHeight="1" x14ac:dyDescent="0.25">
      <c r="D170" s="40" t="s">
        <v>165</v>
      </c>
      <c r="E170" s="40" t="s">
        <v>182</v>
      </c>
      <c r="F170" s="40" t="s">
        <v>183</v>
      </c>
      <c r="G170" s="40" t="s">
        <v>184</v>
      </c>
      <c r="H170" s="40" t="s">
        <v>185</v>
      </c>
      <c r="N170" s="40" t="s">
        <v>165</v>
      </c>
      <c r="O170" s="40" t="s">
        <v>182</v>
      </c>
      <c r="P170" s="40" t="s">
        <v>183</v>
      </c>
      <c r="Q170" s="40" t="s">
        <v>184</v>
      </c>
      <c r="R170" s="40" t="s">
        <v>185</v>
      </c>
    </row>
    <row r="171" spans="1:19" ht="20.100000000000001" customHeight="1" x14ac:dyDescent="0.25">
      <c r="A171" s="137" t="str">
        <f>HYPERLINK("#A1", "▲ Back to top")</f>
        <v>▲ Back to top</v>
      </c>
      <c r="D171" s="53">
        <f>INDEX(X_Table_Dairy_DurationOfStay_Method1,2,2)</f>
        <v>365</v>
      </c>
      <c r="E171" s="53">
        <f>INDEX(X_Table_Dairy_DurationOfStay_Method1,2,3)</f>
        <v>0</v>
      </c>
      <c r="F171" s="53">
        <v>0</v>
      </c>
      <c r="G171" s="53">
        <f>INDEX(X_Table_Dairy_DurationOfStay_Method1,2,5)</f>
        <v>0</v>
      </c>
      <c r="H171" s="53">
        <v>0</v>
      </c>
      <c r="I171" s="2" t="str">
        <f>G161</f>
        <v>days</v>
      </c>
      <c r="N171" s="53">
        <f>INDEX(X_Table_Dairy_DurationOfStay_Method2,2,2)</f>
        <v>365</v>
      </c>
      <c r="O171" s="53">
        <f>INDEX(X_Table_Dairy_DurationOfStay_Method2,2,3)</f>
        <v>0</v>
      </c>
      <c r="P171" s="53">
        <v>0</v>
      </c>
      <c r="Q171" s="53">
        <f>INDEX(X_Table_Dairy_DurationOfStay_Method2,2,5)</f>
        <v>0</v>
      </c>
      <c r="R171" s="53">
        <v>0</v>
      </c>
      <c r="S171" s="2" t="s">
        <v>52</v>
      </c>
    </row>
    <row r="172" spans="1:19" ht="20.100000000000001" customHeight="1" x14ac:dyDescent="0.25"/>
    <row r="173" spans="1:19" ht="20.100000000000001" customHeight="1" x14ac:dyDescent="0.25">
      <c r="D173" s="100" t="s">
        <v>290</v>
      </c>
      <c r="N173" s="100" t="s">
        <v>450</v>
      </c>
    </row>
    <row r="174" spans="1:19" ht="20.100000000000001" customHeight="1" x14ac:dyDescent="0.25">
      <c r="D174" s="99" t="s">
        <v>298</v>
      </c>
      <c r="N174" s="99" t="s">
        <v>451</v>
      </c>
    </row>
    <row r="175" spans="1:19" ht="20.100000000000001" customHeight="1" x14ac:dyDescent="0.25">
      <c r="D175" s="52" t="s">
        <v>165</v>
      </c>
      <c r="E175" s="52" t="s">
        <v>182</v>
      </c>
      <c r="F175" s="52" t="s">
        <v>183</v>
      </c>
      <c r="G175" s="52" t="s">
        <v>184</v>
      </c>
      <c r="H175" s="52" t="s">
        <v>185</v>
      </c>
      <c r="N175" s="52" t="s">
        <v>165</v>
      </c>
      <c r="O175" s="52" t="s">
        <v>182</v>
      </c>
      <c r="P175" s="52" t="s">
        <v>183</v>
      </c>
      <c r="Q175" s="52" t="s">
        <v>184</v>
      </c>
      <c r="R175" s="52" t="s">
        <v>185</v>
      </c>
    </row>
    <row r="176" spans="1:19" ht="20.100000000000001" customHeight="1" x14ac:dyDescent="0.25">
      <c r="D176" s="53" cm="1">
        <f t="array" ref="D176">MMS_Dairy_N2ODirect_Equations.VEERG_4_3_1_3__3a_TotalAnnualNitrogenExcretedGreaterThanOneYearVariation(D166,D146,D171)</f>
        <v>17404.731333822594</v>
      </c>
      <c r="E176" s="53" cm="1">
        <f t="array" ref="E176">MMS_Dairy_N2ODirect_Equations.VEERG_4_3_1_3__3a_TotalAnnualNitrogenExcretedGreaterThanOneYearVariation(E166,E146,E171)</f>
        <v>0</v>
      </c>
      <c r="F176" s="53" cm="1">
        <f t="array" ref="F176">MMS_Dairy_N2ODirect_Equations.VEERG_4_3_1_3__3a_TotalAnnualNitrogenExcretedGreaterThanOneYearVariation(F166,F146,F171)</f>
        <v>0</v>
      </c>
      <c r="G176" s="53" cm="1">
        <f t="array" ref="G176">MMS_Dairy_N2ODirect_Equations.VEERG_4_3_1_3__3a_TotalAnnualNitrogenExcretedGreaterThanOneYearVariation(G166,G146,G171)</f>
        <v>0</v>
      </c>
      <c r="H176" s="53" cm="1">
        <f t="array" ref="H176">MMS_Dairy_N2ODirect_Equations.VEERG_4_3_1_3__3a_TotalAnnualNitrogenExcretedGreaterThanOneYearVariation(H166,H146,H171)</f>
        <v>0</v>
      </c>
      <c r="I176" s="2" t="str">
        <f>$E$157</f>
        <v>kg N</v>
      </c>
      <c r="N176" s="53" cm="1">
        <f t="array" ref="N176">MMS_Dairy_N2ODirect_Equations.VEERG_4_3_1_3__3a_TotalAnnualNitrogenExcretedGreaterThanOneYearVariation(D166,N146,N171)</f>
        <v>17404.731333822594</v>
      </c>
      <c r="O176" s="53" cm="1">
        <f t="array" ref="O176">MMS_Dairy_N2ODirect_Equations.VEERG_4_3_1_3__3a_TotalAnnualNitrogenExcretedGreaterThanOneYearVariation(E166,O146,O171)</f>
        <v>0</v>
      </c>
      <c r="P176" s="53" cm="1">
        <f t="array" ref="P176">MMS_Dairy_N2ODirect_Equations.VEERG_4_3_1_3__3a_TotalAnnualNitrogenExcretedGreaterThanOneYearVariation(F166,P146,P171)</f>
        <v>0</v>
      </c>
      <c r="Q176" s="53" cm="1">
        <f t="array" ref="Q176">MMS_Dairy_N2ODirect_Equations.VEERG_4_3_1_3__3a_TotalAnnualNitrogenExcretedGreaterThanOneYearVariation(G166,Q146,Q171)</f>
        <v>0</v>
      </c>
      <c r="R176" s="53"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6"/>
      <c r="D179" s="46"/>
      <c r="E179" s="46"/>
      <c r="F179" s="46"/>
      <c r="G179" s="46"/>
      <c r="H179" s="46"/>
      <c r="I179" s="46"/>
      <c r="J179" s="46"/>
      <c r="K179" s="46"/>
      <c r="M179" s="46"/>
      <c r="N179" s="46"/>
      <c r="O179" s="46"/>
      <c r="P179" s="46"/>
      <c r="Q179" s="46"/>
      <c r="R179" s="46"/>
      <c r="S179" s="46"/>
      <c r="T179" s="46"/>
      <c r="U179" s="46"/>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6"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25</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4" t="s">
        <v>28</v>
      </c>
      <c r="E186" s="1" t="str" cm="1">
        <f t="array" ref="E186">MMS_Dairy_N2ODirect_Equations.VEERG_4_3_1_3__3b_TotalAnnualNitrogenExcretedLessThanOneYear_Variable()</f>
        <v>AE_j35</v>
      </c>
    </row>
    <row r="187" spans="3:21" ht="20.100000000000001" customHeight="1" x14ac:dyDescent="0.25">
      <c r="D187" s="54" t="s">
        <v>18</v>
      </c>
      <c r="E187" s="55"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3" t="str" cm="1">
        <f t="array" ref="D189:E193">_xlfn.CHOOSECOLS(MMS_Dairy_N2ODirect_Equations.VEERG_4_3_1_3__3b_TotalAnnualNitrogenExcretedLessThanOneYear_Arguments(),1,2)</f>
        <v>N_j35</v>
      </c>
      <c r="E189" s="132" t="str">
        <v>number of dairy cattle in classes j=3,5</v>
      </c>
      <c r="F189" s="134"/>
      <c r="G189" s="133" t="str" cm="1">
        <f t="array" ref="G189:H193">_xlfn.CHOOSECOLS(MMS_Dairy_N2ODirect_Equations.VEERG_4_3_1_3__3b_TotalAnnualNitrogenExcretedLessThanOneYear_Arguments(),3,4)</f>
        <v>head</v>
      </c>
      <c r="H189" s="131" t="str">
        <v>Input</v>
      </c>
      <c r="I189" s="130" t="str" cm="1">
        <f t="array" aca="1" ref="I189" ca="1">HYPERLINK(Common_InputFunctions.Utility_SourceHyperlink($D$163),$D$163)</f>
        <v>Table_N_j</v>
      </c>
    </row>
    <row r="190" spans="3:21" ht="20.100000000000001" customHeight="1" x14ac:dyDescent="0.25">
      <c r="D190" s="133" t="str">
        <v>NE_j35</v>
      </c>
      <c r="E190" s="132" t="str">
        <v>nitrogen excreted by weaned dairy cattle less than one year old (kg N/head/day)</v>
      </c>
      <c r="F190" s="134"/>
      <c r="G190" s="133" t="str">
        <v>kg N/head/day</v>
      </c>
      <c r="H190" s="129" t="str">
        <v>Calculated from 4.3.1.3 (4)</v>
      </c>
      <c r="I190" s="130" t="str" cm="1">
        <f t="array" aca="1" ref="I190" ca="1">HYPERLINK(Common_InputFunctions.Utility_SourceHyperlink($D$143),$D$143)</f>
        <v>M1_Table_NE_j</v>
      </c>
    </row>
    <row r="191" spans="3:21" ht="20.100000000000001" customHeight="1" x14ac:dyDescent="0.25">
      <c r="D191" s="133" t="str">
        <v>NPW_j35</v>
      </c>
      <c r="E191" s="132" t="str">
        <v>nitrogen excreted by pre-weaned calves (kg N/head/day)</v>
      </c>
      <c r="F191" s="134"/>
      <c r="G191" s="133" t="str">
        <v>kg N/head/day</v>
      </c>
      <c r="H191" s="129" t="str">
        <v>Constant</v>
      </c>
      <c r="I191" s="130" t="str" cm="1">
        <f t="array" aca="1" ref="I191" ca="1">HYPERLINK(Common_InputFunctions.Utility_SourceHyperlink($D$195),$D$195)</f>
        <v>Table_NPW_j-3-5</v>
      </c>
    </row>
    <row r="192" spans="3:21" ht="20.100000000000001" customHeight="1" x14ac:dyDescent="0.25">
      <c r="D192" s="133" t="str">
        <v>D_j35</v>
      </c>
      <c r="E192" s="132" t="str">
        <v>duration of stay on farm for weaned dairy cattle less than one year old (days)</v>
      </c>
      <c r="F192" s="134"/>
      <c r="G192" s="133" t="str">
        <v>days</v>
      </c>
      <c r="H192" s="131" t="str">
        <v>Input</v>
      </c>
      <c r="I192" s="130" t="str" cm="1">
        <f t="array" aca="1" ref="I192" ca="1">HYPERLINK(Common_InputFunctions.Utility_SourceHyperlink($D$200),$D$200)</f>
        <v>M1_Table_D_j-3-5</v>
      </c>
    </row>
    <row r="193" spans="1:19" ht="20.100000000000001" customHeight="1" x14ac:dyDescent="0.25">
      <c r="D193" s="133" t="str">
        <v>DPW_j35</v>
      </c>
      <c r="E193" s="132" t="str">
        <v>duration of stay on farm for pre-weaned calves (days)</v>
      </c>
      <c r="F193" s="134"/>
      <c r="G193" s="133" t="str">
        <v>days</v>
      </c>
      <c r="H193" s="131" t="str">
        <v>Input</v>
      </c>
      <c r="I193" s="130" t="str" cm="1">
        <f t="array" aca="1" ref="I193" ca="1">HYPERLINK(Common_InputFunctions.Utility_SourceHyperlink($D$205),$D$205)</f>
        <v>M1_Table_DPW_j</v>
      </c>
    </row>
    <row r="194" spans="1:19" ht="20.100000000000001" customHeight="1" x14ac:dyDescent="0.25"/>
    <row r="195" spans="1:19" ht="20.100000000000001" customHeight="1" x14ac:dyDescent="0.25">
      <c r="D195" s="100" t="s">
        <v>295</v>
      </c>
    </row>
    <row r="196" spans="1:19" ht="20.100000000000001" customHeight="1" x14ac:dyDescent="0.25">
      <c r="D196" s="99" t="s">
        <v>296</v>
      </c>
    </row>
    <row r="197" spans="1:19" ht="20.100000000000001" customHeight="1" x14ac:dyDescent="0.25">
      <c r="D197" s="52" t="s">
        <v>165</v>
      </c>
      <c r="E197" s="52" t="s">
        <v>182</v>
      </c>
      <c r="F197" s="52" t="s">
        <v>183</v>
      </c>
      <c r="G197" s="52" t="s">
        <v>184</v>
      </c>
      <c r="H197" s="52" t="s">
        <v>185</v>
      </c>
    </row>
    <row r="198" spans="1:19" ht="20.100000000000001" customHeight="1" x14ac:dyDescent="0.25">
      <c r="D198" s="53">
        <v>0</v>
      </c>
      <c r="E198" s="53">
        <v>0</v>
      </c>
      <c r="F198" s="53">
        <f>'Constants - Dairy'!$G$63</f>
        <v>1.37E-2</v>
      </c>
      <c r="G198" s="53">
        <v>0</v>
      </c>
      <c r="H198" s="53">
        <f>'Constants - Dairy'!$G$64</f>
        <v>9.1999999999999998E-3</v>
      </c>
      <c r="I198" s="2" t="str">
        <f>G191</f>
        <v>kg N/head/day</v>
      </c>
    </row>
    <row r="199" spans="1:19" ht="20.100000000000001" customHeight="1" x14ac:dyDescent="0.25"/>
    <row r="200" spans="1:19" ht="20.100000000000001" customHeight="1" x14ac:dyDescent="0.25">
      <c r="D200" s="100" t="s">
        <v>293</v>
      </c>
      <c r="N200" s="100" t="s">
        <v>293</v>
      </c>
    </row>
    <row r="201" spans="1:19" ht="20.100000000000001" customHeight="1" x14ac:dyDescent="0.25">
      <c r="D201" s="99" t="s">
        <v>294</v>
      </c>
      <c r="N201" s="99" t="s">
        <v>447</v>
      </c>
    </row>
    <row r="202" spans="1:19" ht="20.100000000000001" customHeight="1" x14ac:dyDescent="0.25">
      <c r="D202" s="40" t="s">
        <v>165</v>
      </c>
      <c r="E202" s="40" t="s">
        <v>182</v>
      </c>
      <c r="F202" s="40" t="s">
        <v>183</v>
      </c>
      <c r="G202" s="40" t="s">
        <v>184</v>
      </c>
      <c r="H202" s="40" t="s">
        <v>185</v>
      </c>
      <c r="N202" s="40" t="s">
        <v>165</v>
      </c>
      <c r="O202" s="40" t="s">
        <v>182</v>
      </c>
      <c r="P202" s="40" t="s">
        <v>183</v>
      </c>
      <c r="Q202" s="40" t="s">
        <v>184</v>
      </c>
      <c r="R202" s="40" t="s">
        <v>185</v>
      </c>
    </row>
    <row r="203" spans="1:19" ht="20.100000000000001" customHeight="1" x14ac:dyDescent="0.25">
      <c r="D203" s="53">
        <v>0</v>
      </c>
      <c r="E203" s="53">
        <v>0</v>
      </c>
      <c r="F203" s="53">
        <f>INDEX(X_Table_Dairy_DurationOfStay_Method1,2,4)</f>
        <v>0</v>
      </c>
      <c r="G203" s="53">
        <v>0</v>
      </c>
      <c r="H203" s="53">
        <f>INDEX(X_Table_Dairy_DurationOfStay_Method1,2,6)</f>
        <v>0</v>
      </c>
      <c r="I203" s="2" t="str">
        <f>$G$192</f>
        <v>days</v>
      </c>
      <c r="N203" s="53">
        <v>0</v>
      </c>
      <c r="O203" s="53">
        <v>0</v>
      </c>
      <c r="P203" s="53">
        <f>INDEX(X_Table_Dairy_DurationOfStay_Method2,2,4)</f>
        <v>0</v>
      </c>
      <c r="Q203" s="53">
        <v>0</v>
      </c>
      <c r="R203" s="53">
        <f>INDEX(X_Table_Dairy_DurationOfStay_Method2,2,6)</f>
        <v>0</v>
      </c>
      <c r="S203" s="2" t="str">
        <f>$G$192</f>
        <v>days</v>
      </c>
    </row>
    <row r="204" spans="1:19" ht="20.100000000000001" customHeight="1" x14ac:dyDescent="0.25"/>
    <row r="205" spans="1:19" ht="20.100000000000001" customHeight="1" x14ac:dyDescent="0.25">
      <c r="D205" s="100" t="s">
        <v>258</v>
      </c>
      <c r="N205" s="100" t="s">
        <v>258</v>
      </c>
    </row>
    <row r="206" spans="1:19" ht="20.100000000000001" customHeight="1" x14ac:dyDescent="0.25">
      <c r="D206" s="99" t="s">
        <v>266</v>
      </c>
      <c r="N206" s="99" t="s">
        <v>448</v>
      </c>
    </row>
    <row r="207" spans="1:19" ht="20.100000000000001" customHeight="1" x14ac:dyDescent="0.25">
      <c r="D207" s="40" t="s">
        <v>165</v>
      </c>
      <c r="E207" s="40" t="s">
        <v>182</v>
      </c>
      <c r="F207" s="40" t="s">
        <v>183</v>
      </c>
      <c r="G207" s="40" t="s">
        <v>184</v>
      </c>
      <c r="H207" s="40" t="s">
        <v>185</v>
      </c>
      <c r="N207" s="40" t="s">
        <v>165</v>
      </c>
      <c r="O207" s="40" t="s">
        <v>182</v>
      </c>
      <c r="P207" s="40" t="s">
        <v>183</v>
      </c>
      <c r="Q207" s="40" t="s">
        <v>184</v>
      </c>
      <c r="R207" s="40" t="s">
        <v>185</v>
      </c>
    </row>
    <row r="208" spans="1:19" ht="20.100000000000001" customHeight="1" x14ac:dyDescent="0.25">
      <c r="A208" s="137" t="str">
        <f>HYPERLINK("#A1", "▲ Back to top")</f>
        <v>▲ Back to top</v>
      </c>
      <c r="D208" s="53">
        <f>INDEX(X_Table_Dairy_DurationOfStay_Method1,3,2)</f>
        <v>0</v>
      </c>
      <c r="E208" s="53">
        <f>INDEX(X_Table_Dairy_DurationOfStay_Method1,3,3)</f>
        <v>0</v>
      </c>
      <c r="F208" s="53">
        <f>INDEX(X_Table_Dairy_DurationOfStay_Method1,3,4)</f>
        <v>0</v>
      </c>
      <c r="G208" s="53">
        <f>INDEX(X_Table_Dairy_DurationOfStay_Method1,3,5)</f>
        <v>0</v>
      </c>
      <c r="H208" s="53">
        <f>INDEX(X_Table_Dairy_DurationOfStay_Method1,3,6)</f>
        <v>0</v>
      </c>
      <c r="I208" s="2" t="str">
        <f>$G$193</f>
        <v>days</v>
      </c>
      <c r="N208" s="53">
        <f>INDEX(X_Table_Dairy_DurationOfStay_Method1,3,2)</f>
        <v>0</v>
      </c>
      <c r="O208" s="53">
        <f>INDEX(X_Table_Dairy_DurationOfStay_Method1,3,3)</f>
        <v>0</v>
      </c>
      <c r="P208" s="53">
        <f>INDEX(X_Table_Dairy_DurationOfStay_Method2,3,4)</f>
        <v>0</v>
      </c>
      <c r="Q208" s="53">
        <f>INDEX(X_Table_Dairy_DurationOfStay_Method1,3,5)</f>
        <v>0</v>
      </c>
      <c r="R208" s="53">
        <f>INDEX(X_Table_Dairy_DurationOfStay_Method2,3,6)</f>
        <v>0</v>
      </c>
      <c r="S208" s="2" t="str">
        <f>$G$193</f>
        <v>days</v>
      </c>
    </row>
    <row r="209" spans="3:21" ht="20.100000000000001" customHeight="1" x14ac:dyDescent="0.25"/>
    <row r="210" spans="3:21" ht="20.100000000000001" customHeight="1" x14ac:dyDescent="0.25">
      <c r="D210" s="100" t="s">
        <v>114</v>
      </c>
      <c r="N210" s="100" t="s">
        <v>114</v>
      </c>
    </row>
    <row r="211" spans="3:21" ht="20.100000000000001" customHeight="1" x14ac:dyDescent="0.25">
      <c r="D211" s="99" t="s">
        <v>297</v>
      </c>
      <c r="N211" s="99" t="s">
        <v>449</v>
      </c>
    </row>
    <row r="212" spans="3:21" ht="20.100000000000001" customHeight="1" x14ac:dyDescent="0.25">
      <c r="D212" s="52" t="s">
        <v>165</v>
      </c>
      <c r="E212" s="52" t="s">
        <v>182</v>
      </c>
      <c r="F212" s="52" t="s">
        <v>183</v>
      </c>
      <c r="G212" s="52" t="s">
        <v>184</v>
      </c>
      <c r="H212" s="52" t="s">
        <v>185</v>
      </c>
      <c r="N212" s="52" t="s">
        <v>165</v>
      </c>
      <c r="O212" s="52" t="s">
        <v>182</v>
      </c>
      <c r="P212" s="52" t="s">
        <v>183</v>
      </c>
      <c r="Q212" s="52" t="s">
        <v>184</v>
      </c>
      <c r="R212" s="52" t="s">
        <v>185</v>
      </c>
    </row>
    <row r="213" spans="3:21" ht="20.100000000000001" customHeight="1" x14ac:dyDescent="0.25">
      <c r="D213" s="53" cm="1">
        <f t="array" ref="D213">MMS_Dairy_N2ODirect_Equations.VEERG_4_3_1_3__3b_TotalAnnualNitrogenExcretedLessThanOneYearVariation(D166,D146,D198,D203,D208)</f>
        <v>0</v>
      </c>
      <c r="E213" s="53" cm="1">
        <f t="array" ref="E213">MMS_Dairy_N2ODirect_Equations.VEERG_4_3_1_3__3b_TotalAnnualNitrogenExcretedLessThanOneYearVariation(E166,E146,E198,E203,E208)</f>
        <v>0</v>
      </c>
      <c r="F213" s="53" cm="1">
        <f t="array" ref="F213">MMS_Dairy_N2ODirect_Equations.VEERG_4_3_1_3__3b_TotalAnnualNitrogenExcretedLessThanOneYearVariation(F166,F146,F198,F203,F208)</f>
        <v>0</v>
      </c>
      <c r="G213" s="53" cm="1">
        <f t="array" ref="G213">MMS_Dairy_N2ODirect_Equations.VEERG_4_3_1_3__3b_TotalAnnualNitrogenExcretedLessThanOneYearVariation(G166,G146,G198,G203,G208)</f>
        <v>0</v>
      </c>
      <c r="H213" s="53" cm="1">
        <f t="array" ref="H213">MMS_Dairy_N2ODirect_Equations.VEERG_4_3_1_3__3b_TotalAnnualNitrogenExcretedLessThanOneYearVariation(H166,H146,H198,H203,H208)</f>
        <v>0</v>
      </c>
      <c r="I213" s="2" t="str">
        <f>$E$187</f>
        <v>kg N</v>
      </c>
      <c r="N213" s="53" cm="1">
        <f t="array" ref="N213">MMS_Dairy_N2ODirect_Equations.VEERG_4_3_1_3__3b_TotalAnnualNitrogenExcretedLessThanOneYearVariation(D166,N146,D198,N203,N208)</f>
        <v>0</v>
      </c>
      <c r="O213" s="53" cm="1">
        <f t="array" ref="O213">MMS_Dairy_N2ODirect_Equations.VEERG_4_3_1_3__3b_TotalAnnualNitrogenExcretedLessThanOneYearVariation(E166,O146,E198,O203,O208)</f>
        <v>0</v>
      </c>
      <c r="P213" s="53" cm="1">
        <f t="array" ref="P213">MMS_Dairy_N2ODirect_Equations.VEERG_4_3_1_3__3b_TotalAnnualNitrogenExcretedLessThanOneYearVariation(F166,P146,F198,P203,P208)</f>
        <v>0</v>
      </c>
      <c r="Q213" s="53" cm="1">
        <f t="array" ref="Q213">MMS_Dairy_N2ODirect_Equations.VEERG_4_3_1_3__3b_TotalAnnualNitrogenExcretedLessThanOneYearVariation(G166,Q146,G198,Q203,Q208)</f>
        <v>0</v>
      </c>
      <c r="R213" s="53" cm="1">
        <f t="array" ref="R213">MMS_Dairy_N2ODirect_Equations.VEERG_4_3_1_3__3b_TotalAnnualNitrogenExcretedLessThanOneYearVariation(H166,R146,H198,R203,R208)</f>
        <v>0</v>
      </c>
      <c r="S213" s="2" t="str">
        <f>$E$187</f>
        <v>kg N</v>
      </c>
    </row>
    <row r="214" spans="3:21" ht="20.100000000000001" customHeight="1" x14ac:dyDescent="0.25"/>
    <row r="215" spans="3:21" ht="20.100000000000001" customHeight="1" x14ac:dyDescent="0.25"/>
    <row r="216" spans="3:21" ht="20.100000000000001" customHeight="1" x14ac:dyDescent="0.25">
      <c r="C216" s="46"/>
      <c r="D216" s="46"/>
      <c r="E216" s="46"/>
      <c r="F216" s="46"/>
      <c r="G216" s="46"/>
      <c r="H216" s="46"/>
      <c r="I216" s="46"/>
      <c r="J216" s="46"/>
      <c r="K216" s="46"/>
      <c r="M216" s="46"/>
      <c r="N216" s="46"/>
      <c r="O216" s="46"/>
      <c r="P216" s="46"/>
      <c r="Q216" s="46"/>
      <c r="R216" s="46"/>
      <c r="S216" s="46"/>
      <c r="T216" s="46"/>
      <c r="U216" s="46"/>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25</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4" t="s">
        <v>28</v>
      </c>
      <c r="E222" s="1" t="str" cm="1">
        <f t="array" ref="E222">MMS_Dairy_N2ODirect_Equations.VEERG_4_3_1_3__2_TotalNitrogenInEachMMS_Variable()</f>
        <v>MN_jm</v>
      </c>
    </row>
    <row r="223" spans="3:21" ht="20.100000000000001" customHeight="1" x14ac:dyDescent="0.25">
      <c r="D223" s="54" t="s">
        <v>18</v>
      </c>
      <c r="E223" s="55" t="str" cm="1">
        <f t="array" ref="E223">MMS_Dairy_N2ODirect_Equations.VEERG_4_3_1_3__2_TotalNitrogenInEachMMS_Unit()</f>
        <v>kg N</v>
      </c>
    </row>
    <row r="224" spans="3:21" ht="20.100000000000001" customHeight="1" x14ac:dyDescent="0.25"/>
    <row r="225" spans="4:20" ht="20.100000000000001" customHeight="1" x14ac:dyDescent="0.25">
      <c r="D225" s="133" t="str" cm="1">
        <f t="array" ref="D225:E226">_xlfn.CHOOSECOLS(MMS_Dairy_N2ODirect_Equations.VEERG_4_3_1_3__2_TotalNitrogenInEachMMS_Arguments(),1,2)</f>
        <v>AE_j</v>
      </c>
      <c r="E225" s="133" t="str">
        <v>total nitrogen excreted by each dairy class</v>
      </c>
      <c r="F225" s="133"/>
      <c r="G225" s="133" t="str" cm="1">
        <f t="array" ref="G225:H226">_xlfn.CHOOSECOLS(MMS_Dairy_N2ODirect_Equations.VEERG_4_3_1_3__2_TotalNitrogenInEachMMS_Arguments(),3,4)</f>
        <v>kg N</v>
      </c>
      <c r="H225" s="129" t="str">
        <v>Calculated from 4.3.1.3 (3a) and (3b)</v>
      </c>
      <c r="I225" s="130" t="str" cm="1">
        <f t="array" aca="1" ref="I225" ca="1">HYPERLINK(Common_InputFunctions.Utility_SourceHyperlink($D$173),$D$173)</f>
        <v>M1_Table_AE_j-1-2-4</v>
      </c>
      <c r="J225" s="130" t="str" cm="1">
        <f t="array" aca="1" ref="J225" ca="1">HYPERLINK(Common_InputFunctions.Utility_SourceHyperlink($D$210),$D$210)</f>
        <v>M1_Table_AE_j</v>
      </c>
    </row>
    <row r="226" spans="4:20" ht="20.100000000000001" customHeight="1" x14ac:dyDescent="0.25">
      <c r="D226" s="133" t="str">
        <v>MMS_jm</v>
      </c>
      <c r="E226" s="133" t="str">
        <v>manure management system fraction for class j and system m</v>
      </c>
      <c r="F226" s="133"/>
      <c r="G226" s="133" t="str">
        <v>fraction</v>
      </c>
      <c r="H226" s="131" t="str">
        <v>Input</v>
      </c>
      <c r="I226" s="130" t="str" cm="1">
        <f t="array" aca="1" ref="I226" ca="1">HYPERLINK(Common_InputFunctions.Utility_SourceHyperlink($D$228),$D$228)</f>
        <v>M1_Table_MMS_j_m</v>
      </c>
      <c r="J226" s="130" t="str" cm="1">
        <f t="array" aca="1" ref="J226" ca="1">HYPERLINK(Common_InputFunctions.Utility_SourceHyperlink($D$228),$D$228)</f>
        <v>M1_Table_MMS_j_m</v>
      </c>
    </row>
    <row r="227" spans="4:20" ht="20.100000000000001" customHeight="1" x14ac:dyDescent="0.25"/>
    <row r="228" spans="4:20" ht="20.100000000000001" customHeight="1" x14ac:dyDescent="0.25">
      <c r="D228" s="100" t="s">
        <v>238</v>
      </c>
      <c r="N228" s="100" t="s">
        <v>240</v>
      </c>
    </row>
    <row r="229" spans="4:20" ht="20.100000000000001" customHeight="1" x14ac:dyDescent="0.25">
      <c r="D229" s="99" t="s">
        <v>299</v>
      </c>
      <c r="N229" s="99" t="s">
        <v>300</v>
      </c>
    </row>
    <row r="230" spans="4:20" ht="20.100000000000001" customHeight="1" x14ac:dyDescent="0.25">
      <c r="D230" s="40" t="s">
        <v>140</v>
      </c>
      <c r="E230" s="40" t="s">
        <v>65</v>
      </c>
      <c r="F230" s="40" t="s">
        <v>165</v>
      </c>
      <c r="G230" s="40" t="s">
        <v>182</v>
      </c>
      <c r="H230" s="40" t="s">
        <v>183</v>
      </c>
      <c r="I230" s="40" t="s">
        <v>184</v>
      </c>
      <c r="J230" s="40" t="s">
        <v>185</v>
      </c>
      <c r="N230" s="40" t="s">
        <v>140</v>
      </c>
      <c r="O230" s="40" t="s">
        <v>65</v>
      </c>
      <c r="P230" s="40" t="s">
        <v>165</v>
      </c>
      <c r="Q230" s="40" t="s">
        <v>182</v>
      </c>
      <c r="R230" s="40" t="s">
        <v>183</v>
      </c>
      <c r="S230" s="40" t="s">
        <v>184</v>
      </c>
      <c r="T230" s="40" t="s">
        <v>185</v>
      </c>
    </row>
    <row r="231" spans="4:20" ht="20.100000000000001" customHeight="1" x14ac:dyDescent="0.25">
      <c r="D231" s="53" t="str">
        <f>INDEX(X_Table_Dairy_ProductionSystems_Method1,3,1)</f>
        <v>Milking shed</v>
      </c>
      <c r="E231" s="53" t="str">
        <f>INDEX(X_Table_Dairy_Stage1MMS_1_AnaerobicLagoon,2,1)</f>
        <v>Anaerobic lagoon</v>
      </c>
      <c r="F231" s="53" cm="1">
        <f t="array" ref="F231">InputFunctions_Dairy.CalculateFractionInMMSAfterSolidSeparation(INDEX(X_Table_Dairy_ProductionSystems_Method1, 3, 2),INDEX(X_Table_Dairy_Stage1MMS_1_AnaerobicLagoon,2,2),X_Cell_Dairy_Stage1MMS_1_AnaerobicLagoon_AmountSeparated_Method1)</f>
        <v>0</v>
      </c>
      <c r="G231" s="53" cm="1">
        <f t="array" ref="G231">InputFunctions_Dairy.CalculateFractionInMMSAfterSolidSeparation(INDEX(X_Table_Dairy_ProductionSystems_Method1, 3, 3),INDEX(X_Table_Dairy_Stage1MMS_1_AnaerobicLagoon,2,3),X_Cell_Dairy_Stage1MMS_1_AnaerobicLagoon_AmountSeparated_Method1)</f>
        <v>0</v>
      </c>
      <c r="H231" s="53" cm="1">
        <f t="array" ref="H231">InputFunctions_Dairy.CalculateFractionInMMSAfterSolidSeparation(INDEX(X_Table_Dairy_ProductionSystems_Method1, 3, 4),INDEX(X_Table_Dairy_Stage1MMS_1_AnaerobicLagoon,2,4),X_Cell_Dairy_Stage1MMS_1_AnaerobicLagoon_AmountSeparated_Method1)</f>
        <v>0</v>
      </c>
      <c r="I231" s="53" cm="1">
        <f t="array" ref="I231">InputFunctions_Dairy.CalculateFractionInMMSAfterSolidSeparation(INDEX(X_Table_Dairy_ProductionSystems_Method1, 3, 5),INDEX(X_Table_Dairy_Stage1MMS_1_AnaerobicLagoon,2,5),X_Cell_Dairy_Stage1MMS_1_AnaerobicLagoon_AmountSeparated_Method1)</f>
        <v>0</v>
      </c>
      <c r="J231" s="53" cm="1">
        <f t="array" ref="J231">InputFunctions_Dairy.CalculateFractionInMMSAfterSolidSeparation(INDEX(X_Table_Dairy_ProductionSystems_Method1, 3, 6),INDEX(X_Table_Dairy_Stage1MMS_1_AnaerobicLagoon,2,6),X_Cell_Dairy_Stage1MMS_1_AnaerobicLagoon_AmountSeparated_Method1)</f>
        <v>0</v>
      </c>
      <c r="N231" s="53" t="str">
        <f>INDEX(X_Table_Dairy_ProductionSystems_Method1,3,1)</f>
        <v>Milking shed</v>
      </c>
      <c r="O231" s="53" t="str">
        <f>INDEX(X_Table_Dairy_Stage1MMS_1_AnaerobicLagoon,2,1)</f>
        <v>Anaerobic lagoon</v>
      </c>
      <c r="P231" s="53" cm="1">
        <f t="array" ref="P231">InputFunctions_Dairy.CalculateFractionInMMSAfterSolidSeparation(INDEX(X_Table_Dairy_ProductionSystems_Method2, 3, 2),INDEX(X_Table_Dairy_Stage1MMS_1_AnaerobicLagoon,2,2),X_Cell_Dairy_Stage1MMS_1_AnaerobicLagoon_AmountSeparated_Method2)</f>
        <v>0</v>
      </c>
      <c r="Q231" s="53" cm="1">
        <f t="array" ref="Q231">InputFunctions_Dairy.CalculateFractionInMMSAfterSolidSeparation(INDEX(X_Table_Dairy_ProductionSystems_Method2, 3, 3),INDEX(X_Table_Dairy_Stage1MMS_1_AnaerobicLagoon,2,3),X_Cell_Dairy_Stage1MMS_1_AnaerobicLagoon_AmountSeparated_Method2)</f>
        <v>0</v>
      </c>
      <c r="R231" s="53" cm="1">
        <f t="array" ref="R231">InputFunctions_Dairy.CalculateFractionInMMSAfterSolidSeparation(INDEX(X_Table_Dairy_ProductionSystems_Method2, 3, 4),INDEX(X_Table_Dairy_Stage1MMS_1_AnaerobicLagoon,2,4),X_Cell_Dairy_Stage1MMS_1_AnaerobicLagoon_AmountSeparated_Method2)</f>
        <v>0</v>
      </c>
      <c r="S231" s="53" cm="1">
        <f t="array" ref="S231">InputFunctions_Dairy.CalculateFractionInMMSAfterSolidSeparation(INDEX(X_Table_Dairy_ProductionSystems_Method2, 3, 5),INDEX(X_Table_Dairy_Stage1MMS_1_AnaerobicLagoon,2,5),X_Cell_Dairy_Stage1MMS_1_AnaerobicLagoon_AmountSeparated_Method2)</f>
        <v>0</v>
      </c>
      <c r="T231" s="53" cm="1">
        <f t="array" ref="T231">InputFunctions_Dairy.CalculateFractionInMMSAfterSolidSeparation(INDEX(X_Table_Dairy_ProductionSystems_Method2, 3, 6),INDEX(X_Table_Dairy_Stage1MMS_1_AnaerobicLagoon,2,6),X_Cell_Dairy_Stage1MMS_1_AnaerobicLagoon_AmountSeparated_Method2)</f>
        <v>0</v>
      </c>
    </row>
    <row r="232" spans="4:20" ht="20.100000000000001" customHeight="1" x14ac:dyDescent="0.25">
      <c r="D232" s="53" t="str">
        <f>INDEX(X_Table_Dairy_ProductionSystems_Method1,3,1)</f>
        <v>Milking shed</v>
      </c>
      <c r="E232" s="53" t="str">
        <f>INDEX(X_Table_Dairy_Stage1MMS_1_SumpAndDispersal,2,1)</f>
        <v>Sump and dispersal system</v>
      </c>
      <c r="F232" s="53" cm="1">
        <f t="array" ref="F232">InputFunctions_Dairy.CalculateFractionInMMSAfterSolidSeparation(INDEX(X_Table_Dairy_ProductionSystems_Method1, 3, 2),INDEX(X_Table_Dairy_Stage1MMS_1_SumpAndDispersal,2,2),X_Cell_Dairy_Stage1MMS_1_AnaerobicLagoon_AmountSeparated_Method1)</f>
        <v>1</v>
      </c>
      <c r="G232" s="53" cm="1">
        <f t="array" ref="G232">InputFunctions_Dairy.CalculateFractionInMMSAfterSolidSeparation(INDEX(X_Table_Dairy_ProductionSystems_Method1, 3, 3),INDEX(X_Table_Dairy_Stage1MMS_1_SumpAndDispersal,2,3),X_Cell_Dairy_Stage1MMS_1_AnaerobicLagoon_AmountSeparated_Method1)</f>
        <v>0</v>
      </c>
      <c r="H232" s="53" cm="1">
        <f t="array" ref="H232">InputFunctions_Dairy.CalculateFractionInMMSAfterSolidSeparation(INDEX(X_Table_Dairy_ProductionSystems_Method1, 3, 4),INDEX(X_Table_Dairy_Stage1MMS_1_SumpAndDispersal,2,4),X_Cell_Dairy_Stage1MMS_1_AnaerobicLagoon_AmountSeparated_Method1)</f>
        <v>0</v>
      </c>
      <c r="I232" s="53" cm="1">
        <f t="array" ref="I232">InputFunctions_Dairy.CalculateFractionInMMSAfterSolidSeparation(INDEX(X_Table_Dairy_ProductionSystems_Method1, 3, 5),INDEX(X_Table_Dairy_Stage1MMS_1_SumpAndDispersal,2,5),X_Cell_Dairy_Stage1MMS_1_AnaerobicLagoon_AmountSeparated_Method1)</f>
        <v>0</v>
      </c>
      <c r="J232" s="53" cm="1">
        <f t="array" ref="J232">InputFunctions_Dairy.CalculateFractionInMMSAfterSolidSeparation(INDEX(X_Table_Dairy_ProductionSystems_Method1, 3, 6),INDEX(X_Table_Dairy_Stage1MMS_1_SumpAndDispersal,2,6),X_Cell_Dairy_Stage1MMS_1_AnaerobicLagoon_AmountSeparated_Method1)</f>
        <v>0</v>
      </c>
      <c r="N232" s="53" t="str">
        <f>INDEX(X_Table_Dairy_ProductionSystems_Method1,3,1)</f>
        <v>Milking shed</v>
      </c>
      <c r="O232" s="53" t="str">
        <f>INDEX(X_Table_Dairy_Stage1MMS_1_SumpAndDispersal,2,1)</f>
        <v>Sump and dispersal system</v>
      </c>
      <c r="P232" s="53" cm="1">
        <f t="array" ref="P232">InputFunctions_Dairy.CalculateFractionInMMSAfterSolidSeparation(INDEX(X_Table_Dairy_ProductionSystems_Method2, 3, 2),INDEX(X_Table_Dairy_Stage1MMS_1_SumpAndDispersal,2,2),X_Cell_Dairy_Stage1MMS_1_AnaerobicLagoon_AmountSeparated_Method2)</f>
        <v>1</v>
      </c>
      <c r="Q232" s="53" cm="1">
        <f t="array" ref="Q232">InputFunctions_Dairy.CalculateFractionInMMSAfterSolidSeparation(INDEX(X_Table_Dairy_ProductionSystems_Method2, 3, 3),INDEX(X_Table_Dairy_Stage1MMS_1_SumpAndDispersal,2,3),X_Cell_Dairy_Stage1MMS_1_AnaerobicLagoon_AmountSeparated_Method2)</f>
        <v>0</v>
      </c>
      <c r="R232" s="53" cm="1">
        <f t="array" ref="R232">InputFunctions_Dairy.CalculateFractionInMMSAfterSolidSeparation(INDEX(X_Table_Dairy_ProductionSystems_Method2, 3, 4),INDEX(X_Table_Dairy_Stage1MMS_1_SumpAndDispersal,2,4),X_Cell_Dairy_Stage1MMS_1_AnaerobicLagoon_AmountSeparated_Method2)</f>
        <v>0</v>
      </c>
      <c r="S232" s="53" cm="1">
        <f t="array" ref="S232">InputFunctions_Dairy.CalculateFractionInMMSAfterSolidSeparation(INDEX(X_Table_Dairy_ProductionSystems_Method2, 3, 5),INDEX(X_Table_Dairy_Stage1MMS_1_SumpAndDispersal,2,5),X_Cell_Dairy_Stage1MMS_1_AnaerobicLagoon_AmountSeparated_Method2)</f>
        <v>0</v>
      </c>
      <c r="T232" s="53" cm="1">
        <f t="array" ref="T232">InputFunctions_Dairy.CalculateFractionInMMSAfterSolidSeparation(INDEX(X_Table_Dairy_ProductionSystems_Method2, 3, 6),INDEX(X_Table_Dairy_Stage1MMS_1_SumpAndDispersal,2,6),X_Cell_Dairy_Stage1MMS_1_AnaerobicLagoon_AmountSeparated_Method2)</f>
        <v>0</v>
      </c>
    </row>
    <row r="233" spans="4:20" ht="20.100000000000001" customHeight="1" x14ac:dyDescent="0.25">
      <c r="D233" s="53" t="str">
        <f>INDEX(X_Table_Dairy_ProductionSystems_Method1,3,1)</f>
        <v>Milking shed</v>
      </c>
      <c r="E233" s="53" t="str">
        <f>INDEX(X_Table_Dairy_Stage1MMS_1_DrainsToPaddock,2,1)</f>
        <v>Drains to paddock</v>
      </c>
      <c r="F233" s="53" cm="1">
        <f t="array" ref="F233">InputFunctions_Dairy.CalculateFractionInMMSAfterSolidSeparation(INDEX(X_Table_Dairy_ProductionSystems_Method1, 3, 2),INDEX(X_Table_Dairy_Stage1MMS_1_DrainsToPaddock,2,2),X_Cell_Dairy_Stage1MMS_1_AnaerobicLagoon_AmountSeparated_Method1)</f>
        <v>0</v>
      </c>
      <c r="G233" s="53" cm="1">
        <f t="array" ref="G233">InputFunctions_Dairy.CalculateFractionInMMSAfterSolidSeparation(INDEX(X_Table_Dairy_ProductionSystems_Method1, 3, 3),INDEX(X_Table_Dairy_Stage1MMS_1_DrainsToPaddock,2,3),X_Cell_Dairy_Stage1MMS_1_AnaerobicLagoon_AmountSeparated_Method1)</f>
        <v>0</v>
      </c>
      <c r="H233" s="53" cm="1">
        <f t="array" ref="H233">InputFunctions_Dairy.CalculateFractionInMMSAfterSolidSeparation(INDEX(X_Table_Dairy_ProductionSystems_Method1, 3, 4),INDEX(X_Table_Dairy_Stage1MMS_1_DrainsToPaddock,2,4),X_Cell_Dairy_Stage1MMS_1_AnaerobicLagoon_AmountSeparated_Method1)</f>
        <v>0</v>
      </c>
      <c r="I233" s="53" cm="1">
        <f t="array" ref="I233">InputFunctions_Dairy.CalculateFractionInMMSAfterSolidSeparation(INDEX(X_Table_Dairy_ProductionSystems_Method1, 3, 5),INDEX(X_Table_Dairy_Stage1MMS_1_DrainsToPaddock,2,5),X_Cell_Dairy_Stage1MMS_1_AnaerobicLagoon_AmountSeparated_Method1)</f>
        <v>0</v>
      </c>
      <c r="J233" s="53" cm="1">
        <f t="array" ref="J233">InputFunctions_Dairy.CalculateFractionInMMSAfterSolidSeparation(INDEX(X_Table_Dairy_ProductionSystems_Method1, 3, 6),INDEX(X_Table_Dairy_Stage1MMS_1_DrainsToPaddock,2,6),X_Cell_Dairy_Stage1MMS_1_AnaerobicLagoon_AmountSeparated_Method1)</f>
        <v>0</v>
      </c>
      <c r="N233" s="53" t="str">
        <f>INDEX(X_Table_Dairy_ProductionSystems_Method1,3,1)</f>
        <v>Milking shed</v>
      </c>
      <c r="O233" s="53" t="str">
        <f>INDEX(X_Table_Dairy_Stage1MMS_1_DrainsToPaddock,2,1)</f>
        <v>Drains to paddock</v>
      </c>
      <c r="P233" s="53" cm="1">
        <f t="array" ref="P233">InputFunctions_Dairy.CalculateFractionInMMSAfterSolidSeparation(INDEX(X_Table_Dairy_ProductionSystems_Method2, 3, 2),INDEX(X_Table_Dairy_Stage1MMS_1_DrainsToPaddock,2,2),X_Cell_Dairy_Stage1MMS_1_AnaerobicLagoon_AmountSeparated_Method2)</f>
        <v>0</v>
      </c>
      <c r="Q233" s="53" cm="1">
        <f t="array" ref="Q233">InputFunctions_Dairy.CalculateFractionInMMSAfterSolidSeparation(INDEX(X_Table_Dairy_ProductionSystems_Method2, 3, 3),INDEX(X_Table_Dairy_Stage1MMS_1_DrainsToPaddock,2,3),X_Cell_Dairy_Stage1MMS_1_AnaerobicLagoon_AmountSeparated_Method2)</f>
        <v>0</v>
      </c>
      <c r="R233" s="53" cm="1">
        <f t="array" ref="R233">InputFunctions_Dairy.CalculateFractionInMMSAfterSolidSeparation(INDEX(X_Table_Dairy_ProductionSystems_Method2, 3, 4),INDEX(X_Table_Dairy_Stage1MMS_1_DrainsToPaddock,2,4),X_Cell_Dairy_Stage1MMS_1_AnaerobicLagoon_AmountSeparated_Method2)</f>
        <v>0</v>
      </c>
      <c r="S233" s="53" cm="1">
        <f t="array" ref="S233">InputFunctions_Dairy.CalculateFractionInMMSAfterSolidSeparation(INDEX(X_Table_Dairy_ProductionSystems_Method2, 3, 5),INDEX(X_Table_Dairy_Stage1MMS_1_DrainsToPaddock,2,5),X_Cell_Dairy_Stage1MMS_1_AnaerobicLagoon_AmountSeparated_Method2)</f>
        <v>0</v>
      </c>
      <c r="T233" s="53" cm="1">
        <f t="array" ref="T233">InputFunctions_Dairy.CalculateFractionInMMSAfterSolidSeparation(INDEX(X_Table_Dairy_ProductionSystems_Method2, 3, 6),INDEX(X_Table_Dairy_Stage1MMS_1_DrainsToPaddock,2,6),X_Cell_Dairy_Stage1MMS_1_AnaerobicLagoon_AmountSeparated_Method2)</f>
        <v>0</v>
      </c>
    </row>
    <row r="234" spans="4:20" ht="20.100000000000001" customHeight="1" x14ac:dyDescent="0.25">
      <c r="D234" s="53" t="str">
        <f>INDEX(X_Table_Dairy_ProductionSystems_Method1,3,1)</f>
        <v>Milking shed</v>
      </c>
      <c r="E234" s="53" t="s">
        <v>398</v>
      </c>
      <c r="F234" s="53"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0</v>
      </c>
      <c r="G234" s="53"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0</v>
      </c>
      <c r="H234" s="53"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0</v>
      </c>
      <c r="I234" s="53"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0</v>
      </c>
      <c r="J234" s="53"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0</v>
      </c>
      <c r="N234" s="53" t="str">
        <f>INDEX(X_Table_Dairy_ProductionSystems_Method1,3,1)</f>
        <v>Milking shed</v>
      </c>
      <c r="O234" s="53" t="s">
        <v>398</v>
      </c>
      <c r="P234" s="53"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0</v>
      </c>
      <c r="Q234" s="53"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0</v>
      </c>
      <c r="R234" s="53"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0</v>
      </c>
      <c r="S234" s="53"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0</v>
      </c>
      <c r="T234" s="53"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0</v>
      </c>
    </row>
    <row r="235" spans="4:20" ht="20.100000000000001" customHeight="1" x14ac:dyDescent="0.25">
      <c r="D235" s="53" t="str">
        <f>INDEX(X_Table_Dairy_ProductionSystems_Method1,4,1)</f>
        <v>Feed pad</v>
      </c>
      <c r="E235" s="53" t="str">
        <f>INDEX(X_Table_Dairy_Stage1MMS_2_AnaerobicLagoon,2,1)</f>
        <v>Anaerobic lagoon</v>
      </c>
      <c r="F235" s="53" cm="1">
        <f t="array" ref="F235">InputFunctions_Dairy.CalculateFractionInMMSAfterSolidSeparation(INDEX(X_Table_Dairy_ProductionSystems_Method1, 4, 2),INDEX(X_Table_Dairy_Stage1MMS_2_AnaerobicLagoon,2,2),X_Cell_Dairy_Stage1MMS_2_AnaerobicLagoon_AmountSeparated_Method1)</f>
        <v>0</v>
      </c>
      <c r="G235" s="53" cm="1">
        <f t="array" ref="G235">InputFunctions_Dairy.CalculateFractionInMMSAfterSolidSeparation(INDEX(X_Table_Dairy_ProductionSystems_Method1, 4, 3),INDEX(X_Table_Dairy_Stage1MMS_2_AnaerobicLagoon,2,3),X_Cell_Dairy_Stage1MMS_2_AnaerobicLagoon_AmountSeparated_Method1)</f>
        <v>0</v>
      </c>
      <c r="H235" s="53" cm="1">
        <f t="array" ref="H235">InputFunctions_Dairy.CalculateFractionInMMSAfterSolidSeparation(INDEX(X_Table_Dairy_ProductionSystems_Method1, 4, 4),INDEX(X_Table_Dairy_Stage1MMS_2_AnaerobicLagoon,2,4),X_Cell_Dairy_Stage1MMS_2_AnaerobicLagoon_AmountSeparated_Method1)</f>
        <v>0</v>
      </c>
      <c r="I235" s="53" cm="1">
        <f t="array" ref="I235">InputFunctions_Dairy.CalculateFractionInMMSAfterSolidSeparation(INDEX(X_Table_Dairy_ProductionSystems_Method1, 4, 5),INDEX(X_Table_Dairy_Stage1MMS_2_AnaerobicLagoon,2,5),X_Cell_Dairy_Stage1MMS_2_AnaerobicLagoon_AmountSeparated_Method1)</f>
        <v>0</v>
      </c>
      <c r="J235" s="53" cm="1">
        <f t="array" ref="J235">InputFunctions_Dairy.CalculateFractionInMMSAfterSolidSeparation(INDEX(X_Table_Dairy_ProductionSystems_Method1, 4, 6),INDEX(X_Table_Dairy_Stage1MMS_2_AnaerobicLagoon,2,6),X_Cell_Dairy_Stage1MMS_2_AnaerobicLagoon_AmountSeparated_Method1)</f>
        <v>0</v>
      </c>
      <c r="N235" s="53" t="str">
        <f>INDEX(X_Table_Dairy_ProductionSystems_Method1,4,1)</f>
        <v>Feed pad</v>
      </c>
      <c r="O235" s="53" t="str">
        <f>INDEX(X_Table_Dairy_Stage1MMS_2_AnaerobicLagoon,2,1)</f>
        <v>Anaerobic lagoon</v>
      </c>
      <c r="P235" s="53" cm="1">
        <f t="array" ref="P235">InputFunctions_Dairy.CalculateFractionInMMSAfterSolidSeparation(INDEX(X_Table_Dairy_ProductionSystems_Method2, 4, 2),INDEX(X_Table_Dairy_Stage1MMS_2_AnaerobicLagoon,2,2),X_Cell_Dairy_Stage1MMS_2_AnaerobicLagoon_AmountSeparated_Method2)</f>
        <v>0</v>
      </c>
      <c r="Q235" s="53" cm="1">
        <f t="array" ref="Q235">InputFunctions_Dairy.CalculateFractionInMMSAfterSolidSeparation(INDEX(X_Table_Dairy_ProductionSystems_Method2, 4, 3),INDEX(X_Table_Dairy_Stage1MMS_2_AnaerobicLagoon,2,3),X_Cell_Dairy_Stage1MMS_2_AnaerobicLagoon_AmountSeparated_Method2)</f>
        <v>0</v>
      </c>
      <c r="R235" s="53" cm="1">
        <f t="array" ref="R235">InputFunctions_Dairy.CalculateFractionInMMSAfterSolidSeparation(INDEX(X_Table_Dairy_ProductionSystems_Method2, 4, 4),INDEX(X_Table_Dairy_Stage1MMS_2_AnaerobicLagoon,2,4),X_Cell_Dairy_Stage1MMS_2_AnaerobicLagoon_AmountSeparated_Method2)</f>
        <v>0</v>
      </c>
      <c r="S235" s="53" cm="1">
        <f t="array" ref="S235">InputFunctions_Dairy.CalculateFractionInMMSAfterSolidSeparation(INDEX(X_Table_Dairy_ProductionSystems_Method2, 4, 5),INDEX(X_Table_Dairy_Stage1MMS_2_AnaerobicLagoon,2,5),X_Cell_Dairy_Stage1MMS_2_AnaerobicLagoon_AmountSeparated_Method2)</f>
        <v>0</v>
      </c>
      <c r="T235" s="53" cm="1">
        <f t="array" ref="T235">InputFunctions_Dairy.CalculateFractionInMMSAfterSolidSeparation(INDEX(X_Table_Dairy_ProductionSystems_Method2, 4, 6),INDEX(X_Table_Dairy_Stage1MMS_2_AnaerobicLagoon,2,6),X_Cell_Dairy_Stage1MMS_2_AnaerobicLagoon_AmountSeparated_Method2)</f>
        <v>0</v>
      </c>
    </row>
    <row r="236" spans="4:20" ht="20.100000000000001" customHeight="1" x14ac:dyDescent="0.25">
      <c r="D236" s="53" t="str">
        <f>INDEX(X_Table_Dairy_ProductionSystems_Method1,4,1)</f>
        <v>Feed pad</v>
      </c>
      <c r="E236" s="53" t="str">
        <f>INDEX(X_Table_Dairy_Stage1MMS_2_SumpAndDispersal,2,1)</f>
        <v>Sump and dispersal system</v>
      </c>
      <c r="F236" s="53" cm="1">
        <f t="array" ref="F236">InputFunctions_Dairy.CalculateFractionInMMSAfterSolidSeparation(INDEX(X_Table_Dairy_ProductionSystems_Method1, 4, 2),INDEX(X_Table_Dairy_Stage1MMS_2_SumpAndDispersal,2,2),X_Cell_Dairy_Stage1MMS_2_SumpAndDispersal_AmountSeparated_Method1)</f>
        <v>0</v>
      </c>
      <c r="G236" s="53" cm="1">
        <f t="array" ref="G236">InputFunctions_Dairy.CalculateFractionInMMSAfterSolidSeparation(INDEX(X_Table_Dairy_ProductionSystems_Method1, 4, 3),INDEX(X_Table_Dairy_Stage1MMS_2_SumpAndDispersal,2,3),X_Cell_Dairy_Stage1MMS_2_SumpAndDispersal_AmountSeparated_Method1)</f>
        <v>0</v>
      </c>
      <c r="H236" s="53" cm="1">
        <f t="array" ref="H236">InputFunctions_Dairy.CalculateFractionInMMSAfterSolidSeparation(INDEX(X_Table_Dairy_ProductionSystems_Method1, 4, 4),INDEX(X_Table_Dairy_Stage1MMS_2_SumpAndDispersal,2,4),X_Cell_Dairy_Stage1MMS_2_SumpAndDispersal_AmountSeparated_Method1)</f>
        <v>0</v>
      </c>
      <c r="I236" s="53" cm="1">
        <f t="array" ref="I236">InputFunctions_Dairy.CalculateFractionInMMSAfterSolidSeparation(INDEX(X_Table_Dairy_ProductionSystems_Method1, 4, 5),INDEX(X_Table_Dairy_Stage1MMS_2_SumpAndDispersal,2,5),X_Cell_Dairy_Stage1MMS_2_SumpAndDispersal_AmountSeparated_Method1)</f>
        <v>0</v>
      </c>
      <c r="J236" s="53" cm="1">
        <f t="array" ref="J236">InputFunctions_Dairy.CalculateFractionInMMSAfterSolidSeparation(INDEX(X_Table_Dairy_ProductionSystems_Method1, 4, 6),INDEX(X_Table_Dairy_Stage1MMS_2_SumpAndDispersal,2,6),X_Cell_Dairy_Stage1MMS_2_SumpAndDispersal_AmountSeparated_Method1)</f>
        <v>0</v>
      </c>
      <c r="N236" s="53" t="str">
        <f>INDEX(X_Table_Dairy_ProductionSystems_Method1,4,1)</f>
        <v>Feed pad</v>
      </c>
      <c r="O236" s="53" t="str">
        <f>INDEX(X_Table_Dairy_Stage1MMS_2_SumpAndDispersal,2,1)</f>
        <v>Sump and dispersal system</v>
      </c>
      <c r="P236" s="53" cm="1">
        <f t="array" ref="P236">InputFunctions_Dairy.CalculateFractionInMMSAfterSolidSeparation(INDEX(X_Table_Dairy_ProductionSystems_Method2, 4, 2),INDEX(X_Table_Dairy_Stage1MMS_2_SumpAndDispersal,2,2),X_Cell_Dairy_Stage1MMS_2_SumpAndDispersal_AmountSeparated_Method2)</f>
        <v>0</v>
      </c>
      <c r="Q236" s="53" cm="1">
        <f t="array" ref="Q236">InputFunctions_Dairy.CalculateFractionInMMSAfterSolidSeparation(INDEX(X_Table_Dairy_ProductionSystems_Method2, 4, 3),INDEX(X_Table_Dairy_Stage1MMS_2_SumpAndDispersal,2,3),X_Cell_Dairy_Stage1MMS_2_SumpAndDispersal_AmountSeparated_Method2)</f>
        <v>0</v>
      </c>
      <c r="R236" s="53" cm="1">
        <f t="array" ref="R236">InputFunctions_Dairy.CalculateFractionInMMSAfterSolidSeparation(INDEX(X_Table_Dairy_ProductionSystems_Method2, 4, 4),INDEX(X_Table_Dairy_Stage1MMS_2_SumpAndDispersal,2,4),X_Cell_Dairy_Stage1MMS_2_SumpAndDispersal_AmountSeparated_Method2)</f>
        <v>0</v>
      </c>
      <c r="S236" s="53" cm="1">
        <f t="array" ref="S236">InputFunctions_Dairy.CalculateFractionInMMSAfterSolidSeparation(INDEX(X_Table_Dairy_ProductionSystems_Method2, 4, 5),INDEX(X_Table_Dairy_Stage1MMS_2_SumpAndDispersal,2,5),X_Cell_Dairy_Stage1MMS_2_SumpAndDispersal_AmountSeparated_Method2)</f>
        <v>0</v>
      </c>
      <c r="T236" s="53" cm="1">
        <f t="array" ref="T236">InputFunctions_Dairy.CalculateFractionInMMSAfterSolidSeparation(INDEX(X_Table_Dairy_ProductionSystems_Method2, 4, 6),INDEX(X_Table_Dairy_Stage1MMS_2_SumpAndDispersal,2,6),X_Cell_Dairy_Stage1MMS_2_SumpAndDispersal_AmountSeparated_Method2)</f>
        <v>0</v>
      </c>
    </row>
    <row r="237" spans="4:20" ht="20.100000000000001" customHeight="1" x14ac:dyDescent="0.25">
      <c r="D237" s="53" t="str">
        <f>INDEX(X_Table_Dairy_ProductionSystems_Method1,4,1)</f>
        <v>Feed pad</v>
      </c>
      <c r="E237" s="53" t="str">
        <f>INDEX(X_Table_Dairy_Stage1MMS_2_DrainsToPaddock,2,1)</f>
        <v>Drains to paddock</v>
      </c>
      <c r="F237" s="53" cm="1">
        <f t="array" ref="F237">InputFunctions_Dairy.CalculateFractionInMMSAfterSolidSeparation(INDEX(X_Table_Dairy_ProductionSystems_Method1, 4, 2),INDEX(X_Table_Dairy_Stage1MMS_2_DrainsToPaddock,2,2),X_Cell_Dairy_Stage1MMS_2_DrainsToPaddock_AmountSeparated_Method1)</f>
        <v>0</v>
      </c>
      <c r="G237" s="53" cm="1">
        <f t="array" ref="G237">InputFunctions_Dairy.CalculateFractionInMMSAfterSolidSeparation(INDEX(X_Table_Dairy_ProductionSystems_Method1, 4, 3),INDEX(X_Table_Dairy_Stage1MMS_2_DrainsToPaddock,2,3),X_Cell_Dairy_Stage1MMS_2_DrainsToPaddock_AmountSeparated_Method1)</f>
        <v>0</v>
      </c>
      <c r="H237" s="53" cm="1">
        <f t="array" ref="H237">InputFunctions_Dairy.CalculateFractionInMMSAfterSolidSeparation(INDEX(X_Table_Dairy_ProductionSystems_Method1, 4, 4),INDEX(X_Table_Dairy_Stage1MMS_2_DrainsToPaddock,2,4),X_Cell_Dairy_Stage1MMS_2_DrainsToPaddock_AmountSeparated_Method1)</f>
        <v>0</v>
      </c>
      <c r="I237" s="53" cm="1">
        <f t="array" ref="I237">InputFunctions_Dairy.CalculateFractionInMMSAfterSolidSeparation(INDEX(X_Table_Dairy_ProductionSystems_Method1, 4, 5),INDEX(X_Table_Dairy_Stage1MMS_2_DrainsToPaddock,2,5),X_Cell_Dairy_Stage1MMS_2_DrainsToPaddock_AmountSeparated_Method1)</f>
        <v>0</v>
      </c>
      <c r="J237" s="53" cm="1">
        <f t="array" ref="J237">InputFunctions_Dairy.CalculateFractionInMMSAfterSolidSeparation(INDEX(X_Table_Dairy_ProductionSystems_Method1, 4, 6),INDEX(X_Table_Dairy_Stage1MMS_2_DrainsToPaddock,2,6),X_Cell_Dairy_Stage1MMS_2_DrainsToPaddock_AmountSeparated_Method1)</f>
        <v>0</v>
      </c>
      <c r="N237" s="53" t="str">
        <f>INDEX(X_Table_Dairy_ProductionSystems_Method1,4,1)</f>
        <v>Feed pad</v>
      </c>
      <c r="O237" s="53" t="str">
        <f>INDEX(X_Table_Dairy_Stage1MMS_2_DrainsToPaddock,2,1)</f>
        <v>Drains to paddock</v>
      </c>
      <c r="P237" s="53" cm="1">
        <f t="array" ref="P237">InputFunctions_Dairy.CalculateFractionInMMSAfterSolidSeparation(INDEX(X_Table_Dairy_ProductionSystems_Method2, 4, 2),INDEX(X_Table_Dairy_Stage1MMS_2_DrainsToPaddock,2,2),X_Cell_Dairy_Stage1MMS_2_DrainsToPaddock_AmountSeparated_Method2)</f>
        <v>0</v>
      </c>
      <c r="Q237" s="53" cm="1">
        <f t="array" ref="Q237">InputFunctions_Dairy.CalculateFractionInMMSAfterSolidSeparation(INDEX(X_Table_Dairy_ProductionSystems_Method2, 4, 3),INDEX(X_Table_Dairy_Stage1MMS_2_DrainsToPaddock,2,3),X_Cell_Dairy_Stage1MMS_2_DrainsToPaddock_AmountSeparated_Method2)</f>
        <v>0</v>
      </c>
      <c r="R237" s="53" cm="1">
        <f t="array" ref="R237">InputFunctions_Dairy.CalculateFractionInMMSAfterSolidSeparation(INDEX(X_Table_Dairy_ProductionSystems_Method2, 4, 4),INDEX(X_Table_Dairy_Stage1MMS_2_DrainsToPaddock,2,4),X_Cell_Dairy_Stage1MMS_2_DrainsToPaddock_AmountSeparated_Method2)</f>
        <v>0</v>
      </c>
      <c r="S237" s="53" cm="1">
        <f t="array" ref="S237">InputFunctions_Dairy.CalculateFractionInMMSAfterSolidSeparation(INDEX(X_Table_Dairy_ProductionSystems_Method2, 4, 5),INDEX(X_Table_Dairy_Stage1MMS_2_DrainsToPaddock,2,5),X_Cell_Dairy_Stage1MMS_2_DrainsToPaddock_AmountSeparated_Method2)</f>
        <v>0</v>
      </c>
      <c r="T237" s="53" cm="1">
        <f t="array" ref="T237">InputFunctions_Dairy.CalculateFractionInMMSAfterSolidSeparation(INDEX(X_Table_Dairy_ProductionSystems_Method2, 4, 6),INDEX(X_Table_Dairy_Stage1MMS_2_DrainsToPaddock,2,6),X_Cell_Dairy_Stage1MMS_2_DrainsToPaddock_AmountSeparated_Method2)</f>
        <v>0</v>
      </c>
    </row>
    <row r="238" spans="4:20" ht="20.100000000000001" customHeight="1" x14ac:dyDescent="0.25">
      <c r="D238" s="53" t="str">
        <f>INDEX(X_Table_Dairy_ProductionSystems_Method1,4,1)</f>
        <v>Feed pad</v>
      </c>
      <c r="E238" s="53" t="s">
        <v>398</v>
      </c>
      <c r="F238" s="53"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v>
      </c>
      <c r="G238" s="53"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v>
      </c>
      <c r="H238" s="53"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v>
      </c>
      <c r="I238" s="53"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v>
      </c>
      <c r="J238" s="53"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v>
      </c>
      <c r="N238" s="53" t="str">
        <f>INDEX(X_Table_Dairy_ProductionSystems_Method1,4,1)</f>
        <v>Feed pad</v>
      </c>
      <c r="O238" s="53" t="str">
        <f>INDEX(X_Table_Dairy_Stage1MMS_2_SolidStorage,2,1)</f>
        <v>Solid storage (before solid separation)</v>
      </c>
      <c r="P238" s="53"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v>
      </c>
      <c r="Q238" s="53"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v>
      </c>
      <c r="R238" s="53"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v>
      </c>
      <c r="S238" s="53"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v>
      </c>
      <c r="T238" s="53"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v>
      </c>
    </row>
    <row r="239" spans="4:20" ht="20.100000000000001" customHeight="1" x14ac:dyDescent="0.25">
      <c r="Q239" s="127"/>
    </row>
    <row r="240" spans="4:20" ht="20.100000000000001" customHeight="1" x14ac:dyDescent="0.25">
      <c r="D240" s="100" t="s">
        <v>301</v>
      </c>
      <c r="N240" s="100" t="s">
        <v>304</v>
      </c>
    </row>
    <row r="241" spans="1:21" ht="20.100000000000001" customHeight="1" x14ac:dyDescent="0.25">
      <c r="D241" s="99" t="s">
        <v>302</v>
      </c>
      <c r="N241" s="99" t="s">
        <v>303</v>
      </c>
    </row>
    <row r="242" spans="1:21" ht="20.100000000000001" customHeight="1" x14ac:dyDescent="0.25">
      <c r="D242" s="52" t="s">
        <v>140</v>
      </c>
      <c r="E242" s="52" t="s">
        <v>65</v>
      </c>
      <c r="F242" s="52" t="s">
        <v>165</v>
      </c>
      <c r="G242" s="52" t="s">
        <v>182</v>
      </c>
      <c r="H242" s="52" t="s">
        <v>183</v>
      </c>
      <c r="I242" s="52" t="s">
        <v>184</v>
      </c>
      <c r="J242" s="52" t="s">
        <v>185</v>
      </c>
      <c r="N242" s="52" t="s">
        <v>140</v>
      </c>
      <c r="O242" s="52" t="s">
        <v>65</v>
      </c>
      <c r="P242" s="52" t="s">
        <v>165</v>
      </c>
      <c r="Q242" s="52" t="s">
        <v>182</v>
      </c>
      <c r="R242" s="52" t="s">
        <v>183</v>
      </c>
      <c r="S242" s="52" t="s">
        <v>184</v>
      </c>
      <c r="T242" s="52" t="s">
        <v>185</v>
      </c>
    </row>
    <row r="243" spans="1:21" ht="20.100000000000001" customHeight="1" x14ac:dyDescent="0.25">
      <c r="D243" s="53" t="str">
        <f>INDEX(X_Table_Dairy_ProductionSystems_Method1,3,1)</f>
        <v>Milking shed</v>
      </c>
      <c r="E243" s="53" t="str">
        <f>INDEX(X_Table_Dairy_Stage1MMS_1_AnaerobicLagoon,2,1)</f>
        <v>Anaerobic lagoon</v>
      </c>
      <c r="F243" s="53" cm="1">
        <f t="array" ref="F243">MMS_Dairy_N2ODirect_Equations.VEERG_4_3_1_3__2_TotalNitrogenInEachMMS(D$176,F231)</f>
        <v>0</v>
      </c>
      <c r="G243" s="53" cm="1">
        <f t="array" ref="G243">MMS_Dairy_N2ODirect_Equations.VEERG_4_3_1_3__2_TotalNitrogenInEachMMS(E$176,G231)</f>
        <v>0</v>
      </c>
      <c r="H243" s="53" cm="1">
        <f t="array" ref="H243">MMS_Dairy_N2ODirect_Equations.VEERG_4_3_1_3__2_TotalNitrogenInEachMMS(F$213,H231)</f>
        <v>0</v>
      </c>
      <c r="I243" s="53" cm="1">
        <f t="array" ref="I243">MMS_Dairy_N2ODirect_Equations.VEERG_4_3_1_3__2_TotalNitrogenInEachMMS(G$176,I231)</f>
        <v>0</v>
      </c>
      <c r="J243" s="53" cm="1">
        <f t="array" ref="J243">MMS_Dairy_N2ODirect_Equations.VEERG_4_3_1_3__2_TotalNitrogenInEachMMS(H$213,J231)</f>
        <v>0</v>
      </c>
      <c r="N243" s="53" t="str">
        <f>INDEX(X_Table_Dairy_ProductionSystems_Method1,3,1)</f>
        <v>Milking shed</v>
      </c>
      <c r="O243" s="53" t="str">
        <f>INDEX(X_Table_Dairy_Stage1MMS_1_AnaerobicLagoon,2,1)</f>
        <v>Anaerobic lagoon</v>
      </c>
      <c r="P243" s="53" cm="1">
        <f t="array" ref="P243">MMS_Dairy_N2ODirect_Equations.VEERG_4_3_1_3__2_TotalNitrogenInEachMMS(N$176,P231)</f>
        <v>0</v>
      </c>
      <c r="Q243" s="53" cm="1">
        <f t="array" ref="Q243">MMS_Dairy_N2ODirect_Equations.VEERG_4_3_1_3__2_TotalNitrogenInEachMMS(O$176,Q231)</f>
        <v>0</v>
      </c>
      <c r="R243" s="53" cm="1">
        <f t="array" ref="R243">MMS_Dairy_N2ODirect_Equations.VEERG_4_3_1_3__2_TotalNitrogenInEachMMS(P$213,R231)</f>
        <v>0</v>
      </c>
      <c r="S243" s="53" cm="1">
        <f t="array" ref="S243">MMS_Dairy_N2ODirect_Equations.VEERG_4_3_1_3__2_TotalNitrogenInEachMMS(Q$176,S231)</f>
        <v>0</v>
      </c>
      <c r="T243" s="53" cm="1">
        <f t="array" ref="T243">MMS_Dairy_N2ODirect_Equations.VEERG_4_3_1_3__2_TotalNitrogenInEachMMS(R$213,T231)</f>
        <v>0</v>
      </c>
    </row>
    <row r="244" spans="1:21" ht="20.100000000000001" customHeight="1" x14ac:dyDescent="0.25">
      <c r="D244" s="53" t="str">
        <f>INDEX(X_Table_Dairy_ProductionSystems_Method1,3,1)</f>
        <v>Milking shed</v>
      </c>
      <c r="E244" s="53" t="str">
        <f>INDEX(X_Table_Dairy_Stage1MMS_1_SumpAndDispersal,2,1)</f>
        <v>Sump and dispersal system</v>
      </c>
      <c r="F244" s="53" cm="1">
        <f t="array" ref="F244">MMS_Dairy_N2ODirect_Equations.VEERG_4_3_1_3__2_TotalNitrogenInEachMMS(D$176,F232)</f>
        <v>17404.731333822594</v>
      </c>
      <c r="G244" s="53" cm="1">
        <f t="array" ref="G244">MMS_Dairy_N2ODirect_Equations.VEERG_4_3_1_3__2_TotalNitrogenInEachMMS(E$176,G232)</f>
        <v>0</v>
      </c>
      <c r="H244" s="53" cm="1">
        <f t="array" ref="H244">MMS_Dairy_N2ODirect_Equations.VEERG_4_3_1_3__2_TotalNitrogenInEachMMS(F$213,H232)</f>
        <v>0</v>
      </c>
      <c r="I244" s="53" cm="1">
        <f t="array" ref="I244">MMS_Dairy_N2ODirect_Equations.VEERG_4_3_1_3__2_TotalNitrogenInEachMMS(G$176,I232)</f>
        <v>0</v>
      </c>
      <c r="J244" s="53" cm="1">
        <f t="array" ref="J244">MMS_Dairy_N2ODirect_Equations.VEERG_4_3_1_3__2_TotalNitrogenInEachMMS(H$213,J232)</f>
        <v>0</v>
      </c>
      <c r="N244" s="53" t="str">
        <f>INDEX(X_Table_Dairy_ProductionSystems_Method1,3,1)</f>
        <v>Milking shed</v>
      </c>
      <c r="O244" s="53" t="str">
        <f>INDEX(X_Table_Dairy_Stage1MMS_1_SumpAndDispersal,2,1)</f>
        <v>Sump and dispersal system</v>
      </c>
      <c r="P244" s="53" cm="1">
        <f t="array" ref="P244">MMS_Dairy_N2ODirect_Equations.VEERG_4_3_1_3__2_TotalNitrogenInEachMMS(N$176,P232)</f>
        <v>17404.731333822594</v>
      </c>
      <c r="Q244" s="53" cm="1">
        <f t="array" ref="Q244">MMS_Dairy_N2ODirect_Equations.VEERG_4_3_1_3__2_TotalNitrogenInEachMMS(O$176,Q232)</f>
        <v>0</v>
      </c>
      <c r="R244" s="53" cm="1">
        <f t="array" ref="R244">MMS_Dairy_N2ODirect_Equations.VEERG_4_3_1_3__2_TotalNitrogenInEachMMS(P$213,R232)</f>
        <v>0</v>
      </c>
      <c r="S244" s="53" cm="1">
        <f t="array" ref="S244">MMS_Dairy_N2ODirect_Equations.VEERG_4_3_1_3__2_TotalNitrogenInEachMMS(Q$176,S232)</f>
        <v>0</v>
      </c>
      <c r="T244" s="53" cm="1">
        <f t="array" ref="T244">MMS_Dairy_N2ODirect_Equations.VEERG_4_3_1_3__2_TotalNitrogenInEachMMS(R$213,T232)</f>
        <v>0</v>
      </c>
    </row>
    <row r="245" spans="1:21" ht="20.100000000000001" customHeight="1" x14ac:dyDescent="0.25">
      <c r="A245" s="137" t="str">
        <f>HYPERLINK("#A1", "▲ Back to top")</f>
        <v>▲ Back to top</v>
      </c>
      <c r="D245" s="53" t="str">
        <f>INDEX(X_Table_Dairy_ProductionSystems_Method1,3,1)</f>
        <v>Milking shed</v>
      </c>
      <c r="E245" s="53" t="str">
        <f>INDEX(X_Table_Dairy_Stage1MMS_1_DrainsToPaddock,2,1)</f>
        <v>Drains to paddock</v>
      </c>
      <c r="F245" s="53" cm="1">
        <f t="array" ref="F245">MMS_Dairy_N2ODirect_Equations.VEERG_4_3_1_3__2_TotalNitrogenInEachMMS(D$176,F233)</f>
        <v>0</v>
      </c>
      <c r="G245" s="53" cm="1">
        <f t="array" ref="G245">MMS_Dairy_N2ODirect_Equations.VEERG_4_3_1_3__2_TotalNitrogenInEachMMS(E$176,G233)</f>
        <v>0</v>
      </c>
      <c r="H245" s="53" cm="1">
        <f t="array" ref="H245">MMS_Dairy_N2ODirect_Equations.VEERG_4_3_1_3__2_TotalNitrogenInEachMMS(F$213,H233)</f>
        <v>0</v>
      </c>
      <c r="I245" s="53" cm="1">
        <f t="array" ref="I245">MMS_Dairy_N2ODirect_Equations.VEERG_4_3_1_3__2_TotalNitrogenInEachMMS(G$176,I233)</f>
        <v>0</v>
      </c>
      <c r="J245" s="53" cm="1">
        <f t="array" ref="J245">MMS_Dairy_N2ODirect_Equations.VEERG_4_3_1_3__2_TotalNitrogenInEachMMS(H$213,J233)</f>
        <v>0</v>
      </c>
      <c r="N245" s="53" t="str">
        <f>INDEX(X_Table_Dairy_ProductionSystems_Method1,3,1)</f>
        <v>Milking shed</v>
      </c>
      <c r="O245" s="53" t="str">
        <f>INDEX(X_Table_Dairy_Stage1MMS_1_DrainsToPaddock,2,1)</f>
        <v>Drains to paddock</v>
      </c>
      <c r="P245" s="53" cm="1">
        <f t="array" ref="P245">MMS_Dairy_N2ODirect_Equations.VEERG_4_3_1_3__2_TotalNitrogenInEachMMS(N$176,P233)</f>
        <v>0</v>
      </c>
      <c r="Q245" s="53" cm="1">
        <f t="array" ref="Q245">MMS_Dairy_N2ODirect_Equations.VEERG_4_3_1_3__2_TotalNitrogenInEachMMS(O$176,Q233)</f>
        <v>0</v>
      </c>
      <c r="R245" s="53" cm="1">
        <f t="array" ref="R245">MMS_Dairy_N2ODirect_Equations.VEERG_4_3_1_3__2_TotalNitrogenInEachMMS(P$213,R233)</f>
        <v>0</v>
      </c>
      <c r="S245" s="53" cm="1">
        <f t="array" ref="S245">MMS_Dairy_N2ODirect_Equations.VEERG_4_3_1_3__2_TotalNitrogenInEachMMS(Q$176,S233)</f>
        <v>0</v>
      </c>
      <c r="T245" s="53" cm="1">
        <f t="array" ref="T245">MMS_Dairy_N2ODirect_Equations.VEERG_4_3_1_3__2_TotalNitrogenInEachMMS(R$213,T233)</f>
        <v>0</v>
      </c>
    </row>
    <row r="246" spans="1:21" ht="20.100000000000001" customHeight="1" x14ac:dyDescent="0.25">
      <c r="D246" s="53" t="str">
        <f>INDEX(X_Table_Dairy_ProductionSystems_Method1,3,1)</f>
        <v>Milking shed</v>
      </c>
      <c r="E246" s="53" t="s">
        <v>398</v>
      </c>
      <c r="F246" s="53" cm="1">
        <f t="array" ref="F246">MMS_Dairy_N2ODirect_Equations.VEERG_4_3_1_3__2_TotalNitrogenInEachMMS(D$176,F234)</f>
        <v>0</v>
      </c>
      <c r="G246" s="53" cm="1">
        <f t="array" ref="G246">MMS_Dairy_N2ODirect_Equations.VEERG_4_3_1_3__2_TotalNitrogenInEachMMS(E$176,G234)</f>
        <v>0</v>
      </c>
      <c r="H246" s="53" cm="1">
        <f t="array" ref="H246">MMS_Dairy_N2ODirect_Equations.VEERG_4_3_1_3__2_TotalNitrogenInEachMMS(F$213,H234)</f>
        <v>0</v>
      </c>
      <c r="I246" s="53" cm="1">
        <f t="array" ref="I246">MMS_Dairy_N2ODirect_Equations.VEERG_4_3_1_3__2_TotalNitrogenInEachMMS(G$176,I234)</f>
        <v>0</v>
      </c>
      <c r="J246" s="53" cm="1">
        <f t="array" ref="J246">MMS_Dairy_N2ODirect_Equations.VEERG_4_3_1_3__2_TotalNitrogenInEachMMS(H$213,J234)</f>
        <v>0</v>
      </c>
      <c r="N246" s="53" t="str">
        <f>INDEX(X_Table_Dairy_ProductionSystems_Method1,3,1)</f>
        <v>Milking shed</v>
      </c>
      <c r="O246" s="53" t="s">
        <v>398</v>
      </c>
      <c r="P246" s="53" cm="1">
        <f t="array" ref="P246">MMS_Dairy_N2ODirect_Equations.VEERG_4_3_1_3__2_TotalNitrogenInEachMMS(N$176,P234)</f>
        <v>0</v>
      </c>
      <c r="Q246" s="53" cm="1">
        <f t="array" ref="Q246">MMS_Dairy_N2ODirect_Equations.VEERG_4_3_1_3__2_TotalNitrogenInEachMMS(O$176,Q234)</f>
        <v>0</v>
      </c>
      <c r="R246" s="53" cm="1">
        <f t="array" ref="R246">MMS_Dairy_N2ODirect_Equations.VEERG_4_3_1_3__2_TotalNitrogenInEachMMS(P$213,R234)</f>
        <v>0</v>
      </c>
      <c r="S246" s="53" cm="1">
        <f t="array" ref="S246">MMS_Dairy_N2ODirect_Equations.VEERG_4_3_1_3__2_TotalNitrogenInEachMMS(Q$176,S234)</f>
        <v>0</v>
      </c>
      <c r="T246" s="53" cm="1">
        <f t="array" ref="T246">MMS_Dairy_N2ODirect_Equations.VEERG_4_3_1_3__2_TotalNitrogenInEachMMS(R$213,T234)</f>
        <v>0</v>
      </c>
    </row>
    <row r="247" spans="1:21" ht="20.100000000000001" customHeight="1" x14ac:dyDescent="0.25">
      <c r="D247" s="53" t="str">
        <f>INDEX(X_Table_Dairy_ProductionSystems_Method1,4,1)</f>
        <v>Feed pad</v>
      </c>
      <c r="E247" s="53" t="str">
        <f>INDEX(X_Table_Dairy_Stage1MMS_2_AnaerobicLagoon,2,1)</f>
        <v>Anaerobic lagoon</v>
      </c>
      <c r="F247" s="53" cm="1">
        <f t="array" ref="F247">MMS_Dairy_N2ODirect_Equations.VEERG_4_3_1_3__2_TotalNitrogenInEachMMS(D$176,F235)</f>
        <v>0</v>
      </c>
      <c r="G247" s="53" cm="1">
        <f t="array" ref="G247">MMS_Dairy_N2ODirect_Equations.VEERG_4_3_1_3__2_TotalNitrogenInEachMMS(E$176,G235)</f>
        <v>0</v>
      </c>
      <c r="H247" s="53" cm="1">
        <f t="array" ref="H247">MMS_Dairy_N2ODirect_Equations.VEERG_4_3_1_3__2_TotalNitrogenInEachMMS(F$213,H235)</f>
        <v>0</v>
      </c>
      <c r="I247" s="53" cm="1">
        <f t="array" ref="I247">MMS_Dairy_N2ODirect_Equations.VEERG_4_3_1_3__2_TotalNitrogenInEachMMS(G$176,I235)</f>
        <v>0</v>
      </c>
      <c r="J247" s="53" cm="1">
        <f t="array" ref="J247">MMS_Dairy_N2ODirect_Equations.VEERG_4_3_1_3__2_TotalNitrogenInEachMMS(H$213,J235)</f>
        <v>0</v>
      </c>
      <c r="N247" s="53" t="str">
        <f>INDEX(X_Table_Dairy_ProductionSystems_Method1,4,1)</f>
        <v>Feed pad</v>
      </c>
      <c r="O247" s="53" t="str">
        <f>INDEX(X_Table_Dairy_Stage1MMS_2_AnaerobicLagoon,2,1)</f>
        <v>Anaerobic lagoon</v>
      </c>
      <c r="P247" s="53" cm="1">
        <f t="array" ref="P247">MMS_Dairy_N2ODirect_Equations.VEERG_4_3_1_3__2_TotalNitrogenInEachMMS(N$176,P235)</f>
        <v>0</v>
      </c>
      <c r="Q247" s="53" cm="1">
        <f t="array" ref="Q247">MMS_Dairy_N2ODirect_Equations.VEERG_4_3_1_3__2_TotalNitrogenInEachMMS(O$176,Q235)</f>
        <v>0</v>
      </c>
      <c r="R247" s="53" cm="1">
        <f t="array" ref="R247">MMS_Dairy_N2ODirect_Equations.VEERG_4_3_1_3__2_TotalNitrogenInEachMMS(P$213,R235)</f>
        <v>0</v>
      </c>
      <c r="S247" s="53" cm="1">
        <f t="array" ref="S247">MMS_Dairy_N2ODirect_Equations.VEERG_4_3_1_3__2_TotalNitrogenInEachMMS(Q$176,S235)</f>
        <v>0</v>
      </c>
      <c r="T247" s="53" cm="1">
        <f t="array" ref="T247">MMS_Dairy_N2ODirect_Equations.VEERG_4_3_1_3__2_TotalNitrogenInEachMMS(R$213,T235)</f>
        <v>0</v>
      </c>
    </row>
    <row r="248" spans="1:21" ht="20.100000000000001" customHeight="1" x14ac:dyDescent="0.25">
      <c r="D248" s="53" t="str">
        <f>INDEX(X_Table_Dairy_ProductionSystems_Method1,4,1)</f>
        <v>Feed pad</v>
      </c>
      <c r="E248" s="53" t="str">
        <f>INDEX(X_Table_Dairy_Stage1MMS_2_SumpAndDispersal,2,1)</f>
        <v>Sump and dispersal system</v>
      </c>
      <c r="F248" s="53" cm="1">
        <f t="array" ref="F248">MMS_Dairy_N2ODirect_Equations.VEERG_4_3_1_3__2_TotalNitrogenInEachMMS(D$176,F236)</f>
        <v>0</v>
      </c>
      <c r="G248" s="53" cm="1">
        <f t="array" ref="G248">MMS_Dairy_N2ODirect_Equations.VEERG_4_3_1_3__2_TotalNitrogenInEachMMS(E$176,G236)</f>
        <v>0</v>
      </c>
      <c r="H248" s="53" cm="1">
        <f t="array" ref="H248">MMS_Dairy_N2ODirect_Equations.VEERG_4_3_1_3__2_TotalNitrogenInEachMMS(F$213,H236)</f>
        <v>0</v>
      </c>
      <c r="I248" s="53" cm="1">
        <f t="array" ref="I248">MMS_Dairy_N2ODirect_Equations.VEERG_4_3_1_3__2_TotalNitrogenInEachMMS(G$176,I236)</f>
        <v>0</v>
      </c>
      <c r="J248" s="53" cm="1">
        <f t="array" ref="J248">MMS_Dairy_N2ODirect_Equations.VEERG_4_3_1_3__2_TotalNitrogenInEachMMS(H$213,J236)</f>
        <v>0</v>
      </c>
      <c r="N248" s="53" t="str">
        <f>INDEX(X_Table_Dairy_ProductionSystems_Method1,4,1)</f>
        <v>Feed pad</v>
      </c>
      <c r="O248" s="53" t="str">
        <f>INDEX(X_Table_Dairy_Stage1MMS_2_SumpAndDispersal,2,1)</f>
        <v>Sump and dispersal system</v>
      </c>
      <c r="P248" s="53" cm="1">
        <f t="array" ref="P248">MMS_Dairy_N2ODirect_Equations.VEERG_4_3_1_3__2_TotalNitrogenInEachMMS(N$176,P236)</f>
        <v>0</v>
      </c>
      <c r="Q248" s="53" cm="1">
        <f t="array" ref="Q248">MMS_Dairy_N2ODirect_Equations.VEERG_4_3_1_3__2_TotalNitrogenInEachMMS(O$176,Q236)</f>
        <v>0</v>
      </c>
      <c r="R248" s="53" cm="1">
        <f t="array" ref="R248">MMS_Dairy_N2ODirect_Equations.VEERG_4_3_1_3__2_TotalNitrogenInEachMMS(P$213,R236)</f>
        <v>0</v>
      </c>
      <c r="S248" s="53" cm="1">
        <f t="array" ref="S248">MMS_Dairy_N2ODirect_Equations.VEERG_4_3_1_3__2_TotalNitrogenInEachMMS(Q$176,S236)</f>
        <v>0</v>
      </c>
      <c r="T248" s="53" cm="1">
        <f t="array" ref="T248">MMS_Dairy_N2ODirect_Equations.VEERG_4_3_1_3__2_TotalNitrogenInEachMMS(R$213,T236)</f>
        <v>0</v>
      </c>
    </row>
    <row r="249" spans="1:21" ht="20.100000000000001" customHeight="1" x14ac:dyDescent="0.25">
      <c r="D249" s="53" t="str">
        <f>INDEX(X_Table_Dairy_ProductionSystems_Method1,4,1)</f>
        <v>Feed pad</v>
      </c>
      <c r="E249" s="53" t="str">
        <f>INDEX(X_Table_Dairy_Stage1MMS_2_DrainsToPaddock,2,1)</f>
        <v>Drains to paddock</v>
      </c>
      <c r="F249" s="53" cm="1">
        <f t="array" ref="F249">MMS_Dairy_N2ODirect_Equations.VEERG_4_3_1_3__2_TotalNitrogenInEachMMS(D$176,F237)</f>
        <v>0</v>
      </c>
      <c r="G249" s="53" cm="1">
        <f t="array" ref="G249">MMS_Dairy_N2ODirect_Equations.VEERG_4_3_1_3__2_TotalNitrogenInEachMMS(E$176,G237)</f>
        <v>0</v>
      </c>
      <c r="H249" s="53" cm="1">
        <f t="array" ref="H249">MMS_Dairy_N2ODirect_Equations.VEERG_4_3_1_3__2_TotalNitrogenInEachMMS(F$213,H237)</f>
        <v>0</v>
      </c>
      <c r="I249" s="53" cm="1">
        <f t="array" ref="I249">MMS_Dairy_N2ODirect_Equations.VEERG_4_3_1_3__2_TotalNitrogenInEachMMS(G$176,I237)</f>
        <v>0</v>
      </c>
      <c r="J249" s="53" cm="1">
        <f t="array" ref="J249">MMS_Dairy_N2ODirect_Equations.VEERG_4_3_1_3__2_TotalNitrogenInEachMMS(H$213,J237)</f>
        <v>0</v>
      </c>
      <c r="N249" s="53" t="str">
        <f>INDEX(X_Table_Dairy_ProductionSystems_Method1,4,1)</f>
        <v>Feed pad</v>
      </c>
      <c r="O249" s="53" t="str">
        <f>INDEX(X_Table_Dairy_Stage1MMS_2_DrainsToPaddock,2,1)</f>
        <v>Drains to paddock</v>
      </c>
      <c r="P249" s="53" cm="1">
        <f t="array" ref="P249">MMS_Dairy_N2ODirect_Equations.VEERG_4_3_1_3__2_TotalNitrogenInEachMMS(N$176,P237)</f>
        <v>0</v>
      </c>
      <c r="Q249" s="53" cm="1">
        <f t="array" ref="Q249">MMS_Dairy_N2ODirect_Equations.VEERG_4_3_1_3__2_TotalNitrogenInEachMMS(O$176,Q237)</f>
        <v>0</v>
      </c>
      <c r="R249" s="53" cm="1">
        <f t="array" ref="R249">MMS_Dairy_N2ODirect_Equations.VEERG_4_3_1_3__2_TotalNitrogenInEachMMS(P$213,R237)</f>
        <v>0</v>
      </c>
      <c r="S249" s="53" cm="1">
        <f t="array" ref="S249">MMS_Dairy_N2ODirect_Equations.VEERG_4_3_1_3__2_TotalNitrogenInEachMMS(Q$176,S237)</f>
        <v>0</v>
      </c>
      <c r="T249" s="53" cm="1">
        <f t="array" ref="T249">MMS_Dairy_N2ODirect_Equations.VEERG_4_3_1_3__2_TotalNitrogenInEachMMS(R$213,T237)</f>
        <v>0</v>
      </c>
    </row>
    <row r="250" spans="1:21" ht="20.100000000000001" customHeight="1" x14ac:dyDescent="0.25">
      <c r="D250" s="53" t="str">
        <f>INDEX(X_Table_Dairy_ProductionSystems_Method1,4,1)</f>
        <v>Feed pad</v>
      </c>
      <c r="E250" s="53" t="s">
        <v>398</v>
      </c>
      <c r="F250" s="53" cm="1">
        <f t="array" ref="F250">MMS_Dairy_N2ODirect_Equations.VEERG_4_3_1_3__2_TotalNitrogenInEachMMS(D$176,F238)</f>
        <v>0</v>
      </c>
      <c r="G250" s="53" cm="1">
        <f t="array" ref="G250">MMS_Dairy_N2ODirect_Equations.VEERG_4_3_1_3__2_TotalNitrogenInEachMMS(E$176,G238)</f>
        <v>0</v>
      </c>
      <c r="H250" s="53" cm="1">
        <f t="array" ref="H250">MMS_Dairy_N2ODirect_Equations.VEERG_4_3_1_3__2_TotalNitrogenInEachMMS(F$213,H238)</f>
        <v>0</v>
      </c>
      <c r="I250" s="53" cm="1">
        <f t="array" ref="I250">MMS_Dairy_N2ODirect_Equations.VEERG_4_3_1_3__2_TotalNitrogenInEachMMS(G$176,I238)</f>
        <v>0</v>
      </c>
      <c r="J250" s="53" cm="1">
        <f t="array" ref="J250">MMS_Dairy_N2ODirect_Equations.VEERG_4_3_1_3__2_TotalNitrogenInEachMMS(H$213,J238)</f>
        <v>0</v>
      </c>
      <c r="N250" s="53" t="str">
        <f>INDEX(X_Table_Dairy_ProductionSystems_Method1,4,1)</f>
        <v>Feed pad</v>
      </c>
      <c r="O250" s="53" t="s">
        <v>398</v>
      </c>
      <c r="P250" s="53" cm="1">
        <f t="array" ref="P250">MMS_Dairy_N2ODirect_Equations.VEERG_4_3_1_3__2_TotalNitrogenInEachMMS(N$176,P238)</f>
        <v>0</v>
      </c>
      <c r="Q250" s="53" cm="1">
        <f t="array" ref="Q250">MMS_Dairy_N2ODirect_Equations.VEERG_4_3_1_3__2_TotalNitrogenInEachMMS(O$176,Q238)</f>
        <v>0</v>
      </c>
      <c r="R250" s="53" cm="1">
        <f t="array" ref="R250">MMS_Dairy_N2ODirect_Equations.VEERG_4_3_1_3__2_TotalNitrogenInEachMMS(P$213,R238)</f>
        <v>0</v>
      </c>
      <c r="S250" s="53" cm="1">
        <f t="array" ref="S250">MMS_Dairy_N2ODirect_Equations.VEERG_4_3_1_3__2_TotalNitrogenInEachMMS(Q$176,S238)</f>
        <v>0</v>
      </c>
      <c r="T250" s="53" cm="1">
        <f t="array" ref="T250">MMS_Dairy_N2ODirect_Equations.VEERG_4_3_1_3__2_TotalNitrogenInEachMMS(R$213,T238)</f>
        <v>0</v>
      </c>
    </row>
    <row r="251" spans="1:21" ht="20.100000000000001" customHeight="1" x14ac:dyDescent="0.25"/>
    <row r="252" spans="1:21" ht="20.100000000000001" customHeight="1" x14ac:dyDescent="0.25"/>
    <row r="253" spans="1:21" ht="20.100000000000001" customHeight="1" x14ac:dyDescent="0.25">
      <c r="C253" s="46"/>
      <c r="D253" s="46"/>
      <c r="E253" s="46"/>
      <c r="F253" s="46"/>
      <c r="G253" s="46"/>
      <c r="H253" s="46"/>
      <c r="I253" s="46"/>
      <c r="J253" s="46"/>
      <c r="K253" s="46"/>
      <c r="M253" s="46"/>
      <c r="N253" s="46"/>
      <c r="O253" s="46"/>
      <c r="P253" s="46"/>
      <c r="Q253" s="46"/>
      <c r="R253" s="46"/>
      <c r="S253" s="46"/>
      <c r="T253" s="46"/>
      <c r="U253" s="46"/>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25</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4" t="s">
        <v>28</v>
      </c>
      <c r="E259" s="1" t="str" cm="1">
        <f t="array" ref="E259">MMS_Dairy_N2ODirect_Equations.VEERG_4_3_1_3__1_TotalAnnualDirectNitrousOxideEmissionsFromMMS_Variable()</f>
        <v>E_N2Odir</v>
      </c>
    </row>
    <row r="260" spans="4:9" ht="20.100000000000001" customHeight="1" x14ac:dyDescent="0.25">
      <c r="D260" s="54" t="s">
        <v>18</v>
      </c>
      <c r="E260" s="55"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3" t="str" cm="1">
        <f t="array" ref="D262:E264">_xlfn.CHOOSECOLS(MMS_Dairy_N2ODirect_Equations.VEERG_4_3_1_3__1_TotalAnnualDirectNitrousOxideEmissionsFromMMS_Arguments(),1,2)</f>
        <v>MN_jm</v>
      </c>
      <c r="E262" s="133" t="str">
        <v>total nitrogen in each MMS for dairy cattle classes</v>
      </c>
      <c r="F262" s="133"/>
      <c r="G262" s="133" t="str" cm="1">
        <f t="array" ref="G262:H264">_xlfn.CHOOSECOLS(MMS_Dairy_N2ODirect_Equations.VEERG_4_3_1_3__1_TotalAnnualDirectNitrousOxideEmissionsFromMMS_Arguments(),3,4)</f>
        <v>kg N</v>
      </c>
      <c r="H262" s="129" t="str">
        <v>Calculated from 4.3.1.3 (2)</v>
      </c>
      <c r="I262" s="130" t="str" cm="1">
        <f t="array" aca="1" ref="I262" ca="1">HYPERLINK(Common_InputFunctions.Utility_SourceHyperlink($D$240),$D$240)</f>
        <v>M1_Table_MN_j_m</v>
      </c>
    </row>
    <row r="263" spans="4:9" ht="20.100000000000001" customHeight="1" x14ac:dyDescent="0.25">
      <c r="D263" s="133" t="str">
        <v>EF_m</v>
      </c>
      <c r="E263" s="133" t="str">
        <v>nitrous oxide emission factor for each MMS (kg N2O-N/kg N deposited)</v>
      </c>
      <c r="F263" s="133"/>
      <c r="G263" s="133" t="str">
        <v>kg N2O-N/kg N</v>
      </c>
      <c r="H263" s="129" t="str">
        <v>Constant</v>
      </c>
      <c r="I263" s="130" t="str" cm="1">
        <f t="array" aca="1" ref="I263" ca="1">HYPERLINK(Common_InputFunctions.Utility_SourceHyperlink($D$266),$D$266)</f>
        <v>Table_EF_m</v>
      </c>
    </row>
    <row r="264" spans="4:9" ht="20.100000000000001" customHeight="1" x14ac:dyDescent="0.25">
      <c r="D264" s="133" t="str">
        <v>C_N2O</v>
      </c>
      <c r="E264" s="133" t="str">
        <v>factor to convert elemental mass of N2O to molecular mass</v>
      </c>
      <c r="F264" s="133"/>
      <c r="G264" s="133" t="str">
        <v>fraction</v>
      </c>
      <c r="H264" s="129" t="str">
        <v>Constant</v>
      </c>
      <c r="I264" s="133">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0" t="s">
        <v>305</v>
      </c>
    </row>
    <row r="267" spans="4:9" ht="20.100000000000001" customHeight="1" x14ac:dyDescent="0.25">
      <c r="D267" s="99" t="s">
        <v>306</v>
      </c>
    </row>
    <row r="268" spans="4:9" ht="20.100000000000001" customHeight="1" x14ac:dyDescent="0.25">
      <c r="D268" s="52" t="s">
        <v>65</v>
      </c>
      <c r="E268" s="52" t="s">
        <v>307</v>
      </c>
    </row>
    <row r="269" spans="4:9" ht="20.100000000000001" customHeight="1" x14ac:dyDescent="0.25">
      <c r="D269" s="53" t="str" cm="1">
        <f t="array" ref="D269:D273">Table_SourceData_Dairy_EFmFracGASM[NIR reference]</f>
        <v>Pasture range and paddock</v>
      </c>
      <c r="E269" s="53" cm="1">
        <f t="array" ref="E269:E273">Table_SourceData_Dairy_EFmFracGASM[EFm]</f>
        <v>0</v>
      </c>
    </row>
    <row r="270" spans="4:9" ht="20.100000000000001" customHeight="1" x14ac:dyDescent="0.25">
      <c r="D270" s="53" t="str">
        <v>Anaerobic lagoon</v>
      </c>
      <c r="E270" s="53">
        <v>0</v>
      </c>
    </row>
    <row r="271" spans="4:9" ht="20.100000000000001" customHeight="1" x14ac:dyDescent="0.25">
      <c r="D271" s="53" t="str">
        <v>Sump and dispersal system</v>
      </c>
      <c r="E271" s="53">
        <v>0</v>
      </c>
    </row>
    <row r="272" spans="4:9" ht="20.100000000000001" customHeight="1" x14ac:dyDescent="0.25">
      <c r="D272" s="53" t="str">
        <v>Drains to paddock</v>
      </c>
      <c r="E272" s="53">
        <v>0</v>
      </c>
    </row>
    <row r="273" spans="1:20" ht="20.100000000000001" customHeight="1" x14ac:dyDescent="0.25">
      <c r="D273" s="53" t="str">
        <v>Solid storage</v>
      </c>
      <c r="E273" s="53">
        <v>5.0000000000000001E-3</v>
      </c>
    </row>
    <row r="274" spans="1:20" ht="20.100000000000001" customHeight="1" x14ac:dyDescent="0.25"/>
    <row r="275" spans="1:20" ht="20.100000000000001" customHeight="1" x14ac:dyDescent="0.25">
      <c r="D275" s="100" t="s">
        <v>116</v>
      </c>
      <c r="N275" s="100" t="s">
        <v>356</v>
      </c>
    </row>
    <row r="276" spans="1:20" ht="20.100000000000001" customHeight="1" x14ac:dyDescent="0.25">
      <c r="D276" s="99" t="s">
        <v>308</v>
      </c>
      <c r="N276" s="99" t="s">
        <v>458</v>
      </c>
    </row>
    <row r="277" spans="1:20" ht="20.100000000000001" customHeight="1" x14ac:dyDescent="0.25">
      <c r="D277" s="52" t="s">
        <v>140</v>
      </c>
      <c r="E277" s="52" t="s">
        <v>65</v>
      </c>
      <c r="F277" s="52" t="s">
        <v>165</v>
      </c>
      <c r="G277" s="52" t="s">
        <v>182</v>
      </c>
      <c r="H277" s="52" t="s">
        <v>183</v>
      </c>
      <c r="I277" s="52" t="s">
        <v>184</v>
      </c>
      <c r="J277" s="52" t="s">
        <v>185</v>
      </c>
      <c r="N277" s="52" t="s">
        <v>140</v>
      </c>
      <c r="O277" s="52" t="s">
        <v>65</v>
      </c>
      <c r="P277" s="52" t="s">
        <v>165</v>
      </c>
      <c r="Q277" s="52" t="s">
        <v>182</v>
      </c>
      <c r="R277" s="52" t="s">
        <v>183</v>
      </c>
      <c r="S277" s="52" t="s">
        <v>184</v>
      </c>
      <c r="T277" s="52" t="s">
        <v>185</v>
      </c>
    </row>
    <row r="278" spans="1:20" ht="20.100000000000001" customHeight="1" x14ac:dyDescent="0.25">
      <c r="D278" s="53" t="str">
        <f>INDEX(X_Table_Dairy_ProductionSystems_Method1,3,1)</f>
        <v>Milking shed</v>
      </c>
      <c r="E278" s="53" t="str">
        <f>INDEX(X_Table_Dairy_Stage1MMS_1_AnaerobicLagoon,2,1)</f>
        <v>Anaerobic lagoon</v>
      </c>
      <c r="F278" s="53" cm="1">
        <f t="array" ref="F278">MMS_Dairy_N2ODirect_Equations.VEERG_4_3_1_3__1_TotalAnnualDirectNitrousOxideEmissionsFromMMS(F243,$E270,$I$264)</f>
        <v>0</v>
      </c>
      <c r="G278" s="53" cm="1">
        <f t="array" ref="G278">MMS_Dairy_N2ODirect_Equations.VEERG_4_3_1_3__1_TotalAnnualDirectNitrousOxideEmissionsFromMMS(G243,$E270,$I$264)</f>
        <v>0</v>
      </c>
      <c r="H278" s="53" cm="1">
        <f t="array" ref="H278">MMS_Dairy_N2ODirect_Equations.VEERG_4_3_1_3__1_TotalAnnualDirectNitrousOxideEmissionsFromMMS(H243,$E270,$I$264)</f>
        <v>0</v>
      </c>
      <c r="I278" s="53" cm="1">
        <f t="array" ref="I278">MMS_Dairy_N2ODirect_Equations.VEERG_4_3_1_3__1_TotalAnnualDirectNitrousOxideEmissionsFromMMS(I243,$E270,$I$264)</f>
        <v>0</v>
      </c>
      <c r="J278" s="53" cm="1">
        <f t="array" ref="J278">MMS_Dairy_N2ODirect_Equations.VEERG_4_3_1_3__1_TotalAnnualDirectNitrousOxideEmissionsFromMMS(J243,$E270,$I$264)</f>
        <v>0</v>
      </c>
      <c r="N278" s="53" t="str">
        <f>INDEX(X_Table_Dairy_ProductionSystems_Method1,3,1)</f>
        <v>Milking shed</v>
      </c>
      <c r="O278" s="53" t="str">
        <f>INDEX(X_Table_Dairy_Stage1MMS_1_AnaerobicLagoon,2,1)</f>
        <v>Anaerobic lagoon</v>
      </c>
      <c r="P278" s="53" cm="1">
        <f t="array" ref="P278">MMS_Dairy_N2ODirect_Equations.VEERG_4_3_1_3__1_TotalAnnualDirectNitrousOxideEmissionsFromMMS(P243,$E270,$I$264)</f>
        <v>0</v>
      </c>
      <c r="Q278" s="53" cm="1">
        <f t="array" ref="Q278">MMS_Dairy_N2ODirect_Equations.VEERG_4_3_1_3__1_TotalAnnualDirectNitrousOxideEmissionsFromMMS(Q243,$E270,$I$264)</f>
        <v>0</v>
      </c>
      <c r="R278" s="53" cm="1">
        <f t="array" ref="R278">MMS_Dairy_N2ODirect_Equations.VEERG_4_3_1_3__1_TotalAnnualDirectNitrousOxideEmissionsFromMMS(R243,$E270,$I$264)</f>
        <v>0</v>
      </c>
      <c r="S278" s="53" cm="1">
        <f t="array" ref="S278">MMS_Dairy_N2ODirect_Equations.VEERG_4_3_1_3__1_TotalAnnualDirectNitrousOxideEmissionsFromMMS(S243,$E270,$I$264)</f>
        <v>0</v>
      </c>
      <c r="T278" s="53" cm="1">
        <f t="array" ref="T278">MMS_Dairy_N2ODirect_Equations.VEERG_4_3_1_3__1_TotalAnnualDirectNitrousOxideEmissionsFromMMS(T243,$E270,$I$264)</f>
        <v>0</v>
      </c>
    </row>
    <row r="279" spans="1:20" ht="20.100000000000001" customHeight="1" x14ac:dyDescent="0.25">
      <c r="D279" s="53" t="str">
        <f>INDEX(X_Table_Dairy_ProductionSystems_Method1,3,1)</f>
        <v>Milking shed</v>
      </c>
      <c r="E279" s="53" t="str">
        <f>INDEX(X_Table_Dairy_Stage1MMS_1_SumpAndDispersal,2,1)</f>
        <v>Sump and dispersal system</v>
      </c>
      <c r="F279" s="53" cm="1">
        <f t="array" ref="F279">MMS_Dairy_N2ODirect_Equations.VEERG_4_3_1_3__1_TotalAnnualDirectNitrousOxideEmissionsFromMMS(F244,$E271,$I$264)</f>
        <v>0</v>
      </c>
      <c r="G279" s="53" cm="1">
        <f t="array" ref="G279">MMS_Dairy_N2ODirect_Equations.VEERG_4_3_1_3__1_TotalAnnualDirectNitrousOxideEmissionsFromMMS(G244,$E271,$I$264)</f>
        <v>0</v>
      </c>
      <c r="H279" s="53" cm="1">
        <f t="array" ref="H279">MMS_Dairy_N2ODirect_Equations.VEERG_4_3_1_3__1_TotalAnnualDirectNitrousOxideEmissionsFromMMS(H244,$E271,$I$264)</f>
        <v>0</v>
      </c>
      <c r="I279" s="53" cm="1">
        <f t="array" ref="I279">MMS_Dairy_N2ODirect_Equations.VEERG_4_3_1_3__1_TotalAnnualDirectNitrousOxideEmissionsFromMMS(I244,$E271,$I$264)</f>
        <v>0</v>
      </c>
      <c r="J279" s="53" cm="1">
        <f t="array" ref="J279">MMS_Dairy_N2ODirect_Equations.VEERG_4_3_1_3__1_TotalAnnualDirectNitrousOxideEmissionsFromMMS(J244,$E271,$I$264)</f>
        <v>0</v>
      </c>
      <c r="N279" s="53" t="str">
        <f>INDEX(X_Table_Dairy_ProductionSystems_Method1,3,1)</f>
        <v>Milking shed</v>
      </c>
      <c r="O279" s="53" t="str">
        <f>INDEX(X_Table_Dairy_Stage1MMS_1_SumpAndDispersal,2,1)</f>
        <v>Sump and dispersal system</v>
      </c>
      <c r="P279" s="53" cm="1">
        <f t="array" ref="P279">MMS_Dairy_N2ODirect_Equations.VEERG_4_3_1_3__1_TotalAnnualDirectNitrousOxideEmissionsFromMMS(P244,$E271,$I$264)</f>
        <v>0</v>
      </c>
      <c r="Q279" s="53" cm="1">
        <f t="array" ref="Q279">MMS_Dairy_N2ODirect_Equations.VEERG_4_3_1_3__1_TotalAnnualDirectNitrousOxideEmissionsFromMMS(Q244,$E271,$I$264)</f>
        <v>0</v>
      </c>
      <c r="R279" s="53" cm="1">
        <f t="array" ref="R279">MMS_Dairy_N2ODirect_Equations.VEERG_4_3_1_3__1_TotalAnnualDirectNitrousOxideEmissionsFromMMS(R244,$E271,$I$264)</f>
        <v>0</v>
      </c>
      <c r="S279" s="53" cm="1">
        <f t="array" ref="S279">MMS_Dairy_N2ODirect_Equations.VEERG_4_3_1_3__1_TotalAnnualDirectNitrousOxideEmissionsFromMMS(S244,$E271,$I$264)</f>
        <v>0</v>
      </c>
      <c r="T279" s="53" cm="1">
        <f t="array" ref="T279">MMS_Dairy_N2ODirect_Equations.VEERG_4_3_1_3__1_TotalAnnualDirectNitrousOxideEmissionsFromMMS(T244,$E271,$I$264)</f>
        <v>0</v>
      </c>
    </row>
    <row r="280" spans="1:20" ht="20.100000000000001" customHeight="1" x14ac:dyDescent="0.25">
      <c r="D280" s="53" t="str">
        <f>INDEX(X_Table_Dairy_ProductionSystems_Method1,3,1)</f>
        <v>Milking shed</v>
      </c>
      <c r="E280" s="53" t="str">
        <f>INDEX(X_Table_Dairy_Stage1MMS_1_DrainsToPaddock,2,1)</f>
        <v>Drains to paddock</v>
      </c>
      <c r="F280" s="53" cm="1">
        <f t="array" ref="F280">MMS_Dairy_N2ODirect_Equations.VEERG_4_3_1_3__1_TotalAnnualDirectNitrousOxideEmissionsFromMMS(F245,$E272,$I$264)</f>
        <v>0</v>
      </c>
      <c r="G280" s="53" cm="1">
        <f t="array" ref="G280">MMS_Dairy_N2ODirect_Equations.VEERG_4_3_1_3__1_TotalAnnualDirectNitrousOxideEmissionsFromMMS(G245,$E272,$I$264)</f>
        <v>0</v>
      </c>
      <c r="H280" s="53" cm="1">
        <f t="array" ref="H280">MMS_Dairy_N2ODirect_Equations.VEERG_4_3_1_3__1_TotalAnnualDirectNitrousOxideEmissionsFromMMS(H245,$E272,$I$264)</f>
        <v>0</v>
      </c>
      <c r="I280" s="53" cm="1">
        <f t="array" ref="I280">MMS_Dairy_N2ODirect_Equations.VEERG_4_3_1_3__1_TotalAnnualDirectNitrousOxideEmissionsFromMMS(I245,$E272,$I$264)</f>
        <v>0</v>
      </c>
      <c r="J280" s="53" cm="1">
        <f t="array" ref="J280">MMS_Dairy_N2ODirect_Equations.VEERG_4_3_1_3__1_TotalAnnualDirectNitrousOxideEmissionsFromMMS(J245,$E272,$I$264)</f>
        <v>0</v>
      </c>
      <c r="N280" s="53" t="str">
        <f>INDEX(X_Table_Dairy_ProductionSystems_Method1,3,1)</f>
        <v>Milking shed</v>
      </c>
      <c r="O280" s="53" t="str">
        <f>INDEX(X_Table_Dairy_Stage1MMS_1_DrainsToPaddock,2,1)</f>
        <v>Drains to paddock</v>
      </c>
      <c r="P280" s="53" cm="1">
        <f t="array" ref="P280">MMS_Dairy_N2ODirect_Equations.VEERG_4_3_1_3__1_TotalAnnualDirectNitrousOxideEmissionsFromMMS(P245,$E272,$I$264)</f>
        <v>0</v>
      </c>
      <c r="Q280" s="53" cm="1">
        <f t="array" ref="Q280">MMS_Dairy_N2ODirect_Equations.VEERG_4_3_1_3__1_TotalAnnualDirectNitrousOxideEmissionsFromMMS(Q245,$E272,$I$264)</f>
        <v>0</v>
      </c>
      <c r="R280" s="53" cm="1">
        <f t="array" ref="R280">MMS_Dairy_N2ODirect_Equations.VEERG_4_3_1_3__1_TotalAnnualDirectNitrousOxideEmissionsFromMMS(R245,$E272,$I$264)</f>
        <v>0</v>
      </c>
      <c r="S280" s="53" cm="1">
        <f t="array" ref="S280">MMS_Dairy_N2ODirect_Equations.VEERG_4_3_1_3__1_TotalAnnualDirectNitrousOxideEmissionsFromMMS(S245,$E272,$I$264)</f>
        <v>0</v>
      </c>
      <c r="T280" s="53" cm="1">
        <f t="array" ref="T280">MMS_Dairy_N2ODirect_Equations.VEERG_4_3_1_3__1_TotalAnnualDirectNitrousOxideEmissionsFromMMS(T245,$E272,$I$264)</f>
        <v>0</v>
      </c>
    </row>
    <row r="281" spans="1:20" ht="20.100000000000001" customHeight="1" x14ac:dyDescent="0.25">
      <c r="D281" s="53" t="str">
        <f>INDEX(X_Table_Dairy_ProductionSystems_Method1,3,1)</f>
        <v>Milking shed</v>
      </c>
      <c r="E281" s="53" t="s">
        <v>398</v>
      </c>
      <c r="F281" s="53" cm="1">
        <f t="array" ref="F281">MMS_Dairy_N2ODirect_Equations.VEERG_4_3_1_3__1_TotalAnnualDirectNitrousOxideEmissionsFromMMS(F246,$E273,$I$264)</f>
        <v>0</v>
      </c>
      <c r="G281" s="53" cm="1">
        <f t="array" ref="G281">MMS_Dairy_N2ODirect_Equations.VEERG_4_3_1_3__1_TotalAnnualDirectNitrousOxideEmissionsFromMMS(G246,$E273,$I$264)</f>
        <v>0</v>
      </c>
      <c r="H281" s="53" cm="1">
        <f t="array" ref="H281">MMS_Dairy_N2ODirect_Equations.VEERG_4_3_1_3__1_TotalAnnualDirectNitrousOxideEmissionsFromMMS(H246,$E273,$I$264)</f>
        <v>0</v>
      </c>
      <c r="I281" s="53" cm="1">
        <f t="array" ref="I281">MMS_Dairy_N2ODirect_Equations.VEERG_4_3_1_3__1_TotalAnnualDirectNitrousOxideEmissionsFromMMS(I246,$E273,$I$264)</f>
        <v>0</v>
      </c>
      <c r="J281" s="53" cm="1">
        <f t="array" ref="J281">MMS_Dairy_N2ODirect_Equations.VEERG_4_3_1_3__1_TotalAnnualDirectNitrousOxideEmissionsFromMMS(J246,$E273,$I$264)</f>
        <v>0</v>
      </c>
      <c r="N281" s="53" t="str">
        <f>INDEX(X_Table_Dairy_ProductionSystems_Method1,3,1)</f>
        <v>Milking shed</v>
      </c>
      <c r="O281" s="53" t="s">
        <v>398</v>
      </c>
      <c r="P281" s="53" cm="1">
        <f t="array" ref="P281">MMS_Dairy_N2ODirect_Equations.VEERG_4_3_1_3__1_TotalAnnualDirectNitrousOxideEmissionsFromMMS(P246,$E273,$I$264)</f>
        <v>0</v>
      </c>
      <c r="Q281" s="53" cm="1">
        <f t="array" ref="Q281">MMS_Dairy_N2ODirect_Equations.VEERG_4_3_1_3__1_TotalAnnualDirectNitrousOxideEmissionsFromMMS(Q246,$E273,$I$264)</f>
        <v>0</v>
      </c>
      <c r="R281" s="53" cm="1">
        <f t="array" ref="R281">MMS_Dairy_N2ODirect_Equations.VEERG_4_3_1_3__1_TotalAnnualDirectNitrousOxideEmissionsFromMMS(R246,$E273,$I$264)</f>
        <v>0</v>
      </c>
      <c r="S281" s="53" cm="1">
        <f t="array" ref="S281">MMS_Dairy_N2ODirect_Equations.VEERG_4_3_1_3__1_TotalAnnualDirectNitrousOxideEmissionsFromMMS(S246,$E273,$I$264)</f>
        <v>0</v>
      </c>
      <c r="T281" s="53" cm="1">
        <f t="array" ref="T281">MMS_Dairy_N2ODirect_Equations.VEERG_4_3_1_3__1_TotalAnnualDirectNitrousOxideEmissionsFromMMS(T246,$E273,$I$264)</f>
        <v>0</v>
      </c>
    </row>
    <row r="282" spans="1:20" ht="20.100000000000001" customHeight="1" x14ac:dyDescent="0.25">
      <c r="D282" s="53" t="str">
        <f>INDEX(X_Table_Dairy_ProductionSystems_Method1,4,1)</f>
        <v>Feed pad</v>
      </c>
      <c r="E282" s="53" t="str">
        <f>INDEX(X_Table_Dairy_Stage1MMS_2_AnaerobicLagoon,2,1)</f>
        <v>Anaerobic lagoon</v>
      </c>
      <c r="F282" s="53" cm="1">
        <f t="array" ref="F282">MMS_Dairy_N2ODirect_Equations.VEERG_4_3_1_3__1_TotalAnnualDirectNitrousOxideEmissionsFromMMS(F247,$E270,$I$264)</f>
        <v>0</v>
      </c>
      <c r="G282" s="53" cm="1">
        <f t="array" ref="G282">MMS_Dairy_N2ODirect_Equations.VEERG_4_3_1_3__1_TotalAnnualDirectNitrousOxideEmissionsFromMMS(G247,$E270,$I$264)</f>
        <v>0</v>
      </c>
      <c r="H282" s="53" cm="1">
        <f t="array" ref="H282">MMS_Dairy_N2ODirect_Equations.VEERG_4_3_1_3__1_TotalAnnualDirectNitrousOxideEmissionsFromMMS(H247,$E270,$I$264)</f>
        <v>0</v>
      </c>
      <c r="I282" s="53" cm="1">
        <f t="array" ref="I282">MMS_Dairy_N2ODirect_Equations.VEERG_4_3_1_3__1_TotalAnnualDirectNitrousOxideEmissionsFromMMS(I247,$E270,$I$264)</f>
        <v>0</v>
      </c>
      <c r="J282" s="53" cm="1">
        <f t="array" ref="J282">MMS_Dairy_N2ODirect_Equations.VEERG_4_3_1_3__1_TotalAnnualDirectNitrousOxideEmissionsFromMMS(J247,$E270,$I$264)</f>
        <v>0</v>
      </c>
      <c r="N282" s="53" t="str">
        <f>INDEX(X_Table_Dairy_ProductionSystems_Method1,4,1)</f>
        <v>Feed pad</v>
      </c>
      <c r="O282" s="53" t="str">
        <f>INDEX(X_Table_Dairy_Stage1MMS_2_AnaerobicLagoon,2,1)</f>
        <v>Anaerobic lagoon</v>
      </c>
      <c r="P282" s="53" cm="1">
        <f t="array" ref="P282">MMS_Dairy_N2ODirect_Equations.VEERG_4_3_1_3__1_TotalAnnualDirectNitrousOxideEmissionsFromMMS(P247,$E270,$I$264)</f>
        <v>0</v>
      </c>
      <c r="Q282" s="53" cm="1">
        <f t="array" ref="Q282">MMS_Dairy_N2ODirect_Equations.VEERG_4_3_1_3__1_TotalAnnualDirectNitrousOxideEmissionsFromMMS(Q247,$E270,$I$264)</f>
        <v>0</v>
      </c>
      <c r="R282" s="53" cm="1">
        <f t="array" ref="R282">MMS_Dairy_N2ODirect_Equations.VEERG_4_3_1_3__1_TotalAnnualDirectNitrousOxideEmissionsFromMMS(R247,$E270,$I$264)</f>
        <v>0</v>
      </c>
      <c r="S282" s="53" cm="1">
        <f t="array" ref="S282">MMS_Dairy_N2ODirect_Equations.VEERG_4_3_1_3__1_TotalAnnualDirectNitrousOxideEmissionsFromMMS(S247,$E270,$I$264)</f>
        <v>0</v>
      </c>
      <c r="T282" s="53" cm="1">
        <f t="array" ref="T282">MMS_Dairy_N2ODirect_Equations.VEERG_4_3_1_3__1_TotalAnnualDirectNitrousOxideEmissionsFromMMS(T247,$E270,$I$264)</f>
        <v>0</v>
      </c>
    </row>
    <row r="283" spans="1:20" ht="20.100000000000001" customHeight="1" x14ac:dyDescent="0.25">
      <c r="D283" s="53" t="str">
        <f>INDEX(X_Table_Dairy_ProductionSystems_Method1,4,1)</f>
        <v>Feed pad</v>
      </c>
      <c r="E283" s="53" t="str">
        <f>INDEX(X_Table_Dairy_Stage1MMS_2_SumpAndDispersal,2,1)</f>
        <v>Sump and dispersal system</v>
      </c>
      <c r="F283" s="53" cm="1">
        <f t="array" ref="F283">MMS_Dairy_N2ODirect_Equations.VEERG_4_3_1_3__1_TotalAnnualDirectNitrousOxideEmissionsFromMMS(F248,$E271,$I$264)</f>
        <v>0</v>
      </c>
      <c r="G283" s="53" cm="1">
        <f t="array" ref="G283">MMS_Dairy_N2ODirect_Equations.VEERG_4_3_1_3__1_TotalAnnualDirectNitrousOxideEmissionsFromMMS(G248,$E271,$I$264)</f>
        <v>0</v>
      </c>
      <c r="H283" s="53" cm="1">
        <f t="array" ref="H283">MMS_Dairy_N2ODirect_Equations.VEERG_4_3_1_3__1_TotalAnnualDirectNitrousOxideEmissionsFromMMS(H248,$E271,$I$264)</f>
        <v>0</v>
      </c>
      <c r="I283" s="53" cm="1">
        <f t="array" ref="I283">MMS_Dairy_N2ODirect_Equations.VEERG_4_3_1_3__1_TotalAnnualDirectNitrousOxideEmissionsFromMMS(I248,$E271,$I$264)</f>
        <v>0</v>
      </c>
      <c r="J283" s="53" cm="1">
        <f t="array" ref="J283">MMS_Dairy_N2ODirect_Equations.VEERG_4_3_1_3__1_TotalAnnualDirectNitrousOxideEmissionsFromMMS(J248,$E271,$I$264)</f>
        <v>0</v>
      </c>
      <c r="N283" s="53" t="str">
        <f>INDEX(X_Table_Dairy_ProductionSystems_Method1,4,1)</f>
        <v>Feed pad</v>
      </c>
      <c r="O283" s="53" t="str">
        <f>INDEX(X_Table_Dairy_Stage1MMS_2_SumpAndDispersal,2,1)</f>
        <v>Sump and dispersal system</v>
      </c>
      <c r="P283" s="53" cm="1">
        <f t="array" ref="P283">MMS_Dairy_N2ODirect_Equations.VEERG_4_3_1_3__1_TotalAnnualDirectNitrousOxideEmissionsFromMMS(P248,$E271,$I$264)</f>
        <v>0</v>
      </c>
      <c r="Q283" s="53" cm="1">
        <f t="array" ref="Q283">MMS_Dairy_N2ODirect_Equations.VEERG_4_3_1_3__1_TotalAnnualDirectNitrousOxideEmissionsFromMMS(Q248,$E271,$I$264)</f>
        <v>0</v>
      </c>
      <c r="R283" s="53" cm="1">
        <f t="array" ref="R283">MMS_Dairy_N2ODirect_Equations.VEERG_4_3_1_3__1_TotalAnnualDirectNitrousOxideEmissionsFromMMS(R248,$E271,$I$264)</f>
        <v>0</v>
      </c>
      <c r="S283" s="53" cm="1">
        <f t="array" ref="S283">MMS_Dairy_N2ODirect_Equations.VEERG_4_3_1_3__1_TotalAnnualDirectNitrousOxideEmissionsFromMMS(S248,$E271,$I$264)</f>
        <v>0</v>
      </c>
      <c r="T283" s="53" cm="1">
        <f t="array" ref="T283">MMS_Dairy_N2ODirect_Equations.VEERG_4_3_1_3__1_TotalAnnualDirectNitrousOxideEmissionsFromMMS(T248,$E271,$I$264)</f>
        <v>0</v>
      </c>
    </row>
    <row r="284" spans="1:20" ht="20.100000000000001" customHeight="1" x14ac:dyDescent="0.25">
      <c r="D284" s="53" t="str">
        <f>INDEX(X_Table_Dairy_ProductionSystems_Method1,4,1)</f>
        <v>Feed pad</v>
      </c>
      <c r="E284" s="53" t="str">
        <f>INDEX(X_Table_Dairy_Stage1MMS_2_DrainsToPaddock,2,1)</f>
        <v>Drains to paddock</v>
      </c>
      <c r="F284" s="53" cm="1">
        <f t="array" ref="F284">MMS_Dairy_N2ODirect_Equations.VEERG_4_3_1_3__1_TotalAnnualDirectNitrousOxideEmissionsFromMMS(F249,$E272,$I$264)</f>
        <v>0</v>
      </c>
      <c r="G284" s="53" cm="1">
        <f t="array" ref="G284">MMS_Dairy_N2ODirect_Equations.VEERG_4_3_1_3__1_TotalAnnualDirectNitrousOxideEmissionsFromMMS(G249,$E272,$I$264)</f>
        <v>0</v>
      </c>
      <c r="H284" s="53" cm="1">
        <f t="array" ref="H284">MMS_Dairy_N2ODirect_Equations.VEERG_4_3_1_3__1_TotalAnnualDirectNitrousOxideEmissionsFromMMS(H249,$E272,$I$264)</f>
        <v>0</v>
      </c>
      <c r="I284" s="53" cm="1">
        <f t="array" ref="I284">MMS_Dairy_N2ODirect_Equations.VEERG_4_3_1_3__1_TotalAnnualDirectNitrousOxideEmissionsFromMMS(I249,$E272,$I$264)</f>
        <v>0</v>
      </c>
      <c r="J284" s="53" cm="1">
        <f t="array" ref="J284">MMS_Dairy_N2ODirect_Equations.VEERG_4_3_1_3__1_TotalAnnualDirectNitrousOxideEmissionsFromMMS(J249,$E272,$I$264)</f>
        <v>0</v>
      </c>
      <c r="N284" s="53" t="str">
        <f>INDEX(X_Table_Dairy_ProductionSystems_Method1,4,1)</f>
        <v>Feed pad</v>
      </c>
      <c r="O284" s="53" t="str">
        <f>INDEX(X_Table_Dairy_Stage1MMS_2_DrainsToPaddock,2,1)</f>
        <v>Drains to paddock</v>
      </c>
      <c r="P284" s="53" cm="1">
        <f t="array" ref="P284">MMS_Dairy_N2ODirect_Equations.VEERG_4_3_1_3__1_TotalAnnualDirectNitrousOxideEmissionsFromMMS(P249,$E272,$I$264)</f>
        <v>0</v>
      </c>
      <c r="Q284" s="53" cm="1">
        <f t="array" ref="Q284">MMS_Dairy_N2ODirect_Equations.VEERG_4_3_1_3__1_TotalAnnualDirectNitrousOxideEmissionsFromMMS(Q249,$E272,$I$264)</f>
        <v>0</v>
      </c>
      <c r="R284" s="53" cm="1">
        <f t="array" ref="R284">MMS_Dairy_N2ODirect_Equations.VEERG_4_3_1_3__1_TotalAnnualDirectNitrousOxideEmissionsFromMMS(R249,$E272,$I$264)</f>
        <v>0</v>
      </c>
      <c r="S284" s="53" cm="1">
        <f t="array" ref="S284">MMS_Dairy_N2ODirect_Equations.VEERG_4_3_1_3__1_TotalAnnualDirectNitrousOxideEmissionsFromMMS(S249,$E272,$I$264)</f>
        <v>0</v>
      </c>
      <c r="T284" s="53" cm="1">
        <f t="array" ref="T284">MMS_Dairy_N2ODirect_Equations.VEERG_4_3_1_3__1_TotalAnnualDirectNitrousOxideEmissionsFromMMS(T249,$E272,$I$264)</f>
        <v>0</v>
      </c>
    </row>
    <row r="285" spans="1:20" ht="20.100000000000001" customHeight="1" x14ac:dyDescent="0.25">
      <c r="A285" s="137" t="str">
        <f>HYPERLINK("#A1", "▲ Back to top")</f>
        <v>▲ Back to top</v>
      </c>
      <c r="D285" s="53" t="str">
        <f>INDEX(X_Table_Dairy_ProductionSystems_Method1,4,1)</f>
        <v>Feed pad</v>
      </c>
      <c r="E285" s="53" t="s">
        <v>398</v>
      </c>
      <c r="F285" s="53" cm="1">
        <f t="array" ref="F285">MMS_Dairy_N2ODirect_Equations.VEERG_4_3_1_3__1_TotalAnnualDirectNitrousOxideEmissionsFromMMS(F250,$E273,$I$264)</f>
        <v>0</v>
      </c>
      <c r="G285" s="53" cm="1">
        <f t="array" ref="G285">MMS_Dairy_N2ODirect_Equations.VEERG_4_3_1_3__1_TotalAnnualDirectNitrousOxideEmissionsFromMMS(G250,$E273,$I$264)</f>
        <v>0</v>
      </c>
      <c r="H285" s="53" cm="1">
        <f t="array" ref="H285">MMS_Dairy_N2ODirect_Equations.VEERG_4_3_1_3__1_TotalAnnualDirectNitrousOxideEmissionsFromMMS(H250,$E273,$I$264)</f>
        <v>0</v>
      </c>
      <c r="I285" s="53" cm="1">
        <f t="array" ref="I285">MMS_Dairy_N2ODirect_Equations.VEERG_4_3_1_3__1_TotalAnnualDirectNitrousOxideEmissionsFromMMS(I250,$E273,$I$264)</f>
        <v>0</v>
      </c>
      <c r="J285" s="53" cm="1">
        <f t="array" ref="J285">MMS_Dairy_N2ODirect_Equations.VEERG_4_3_1_3__1_TotalAnnualDirectNitrousOxideEmissionsFromMMS(J250,$E273,$I$264)</f>
        <v>0</v>
      </c>
      <c r="N285" s="53" t="str">
        <f>INDEX(X_Table_Dairy_ProductionSystems_Method1,4,1)</f>
        <v>Feed pad</v>
      </c>
      <c r="O285" s="53" t="s">
        <v>398</v>
      </c>
      <c r="P285" s="53" cm="1">
        <f t="array" ref="P285">MMS_Dairy_N2ODirect_Equations.VEERG_4_3_1_3__1_TotalAnnualDirectNitrousOxideEmissionsFromMMS(P250,$E273,$I$264)</f>
        <v>0</v>
      </c>
      <c r="Q285" s="53" cm="1">
        <f t="array" ref="Q285">MMS_Dairy_N2ODirect_Equations.VEERG_4_3_1_3__1_TotalAnnualDirectNitrousOxideEmissionsFromMMS(Q250,$E273,$I$264)</f>
        <v>0</v>
      </c>
      <c r="R285" s="53" cm="1">
        <f t="array" ref="R285">MMS_Dairy_N2ODirect_Equations.VEERG_4_3_1_3__1_TotalAnnualDirectNitrousOxideEmissionsFromMMS(R250,$E273,$I$264)</f>
        <v>0</v>
      </c>
      <c r="S285" s="53" cm="1">
        <f t="array" ref="S285">MMS_Dairy_N2ODirect_Equations.VEERG_4_3_1_3__1_TotalAnnualDirectNitrousOxideEmissionsFromMMS(S250,$E273,$I$264)</f>
        <v>0</v>
      </c>
      <c r="T285" s="53" cm="1">
        <f t="array" ref="T285">MMS_Dairy_N2ODirect_Equations.VEERG_4_3_1_3__1_TotalAnnualDirectNitrousOxideEmissionsFromMMS(T250,$E273,$I$264)</f>
        <v>0</v>
      </c>
    </row>
    <row r="286" spans="1:20" ht="20.100000000000001" customHeight="1" x14ac:dyDescent="0.25"/>
    <row r="287" spans="1:20" ht="20.100000000000001" customHeight="1" x14ac:dyDescent="0.25">
      <c r="D287" s="104" t="s">
        <v>115</v>
      </c>
      <c r="E287" s="105">
        <f>SUM(F278:J285)</f>
        <v>0</v>
      </c>
      <c r="F287" s="106" t="str">
        <f>$E$260</f>
        <v>t N2O</v>
      </c>
      <c r="N287" s="104" t="s">
        <v>115</v>
      </c>
      <c r="O287" s="105">
        <f>SUM(P278:T285)</f>
        <v>0</v>
      </c>
      <c r="P287" s="106" t="str">
        <f>$E$260</f>
        <v>t N2O</v>
      </c>
    </row>
    <row r="288" spans="1:20" ht="20.100000000000001" customHeight="1" x14ac:dyDescent="0.25"/>
    <row r="289" spans="4:17" ht="20.100000000000001" customHeight="1" x14ac:dyDescent="0.25">
      <c r="D289" s="58" t="str" cm="1">
        <f t="array" ref="D289:E290">Common_Equations.Common_ConvertN2OToCO2e_Arguments()</f>
        <v>EN2O</v>
      </c>
      <c r="E289" s="59" t="str">
        <v>Nitrous oxide emissions (t N2O)</v>
      </c>
      <c r="F289" s="107"/>
      <c r="G289" s="53">
        <f>VEERG_4_3_1_3__1_TotalAnnualDirectNitrousOxideEmissionsFromMMS_Result_Method1</f>
        <v>0</v>
      </c>
      <c r="N289" s="58" t="str" cm="1">
        <f t="array" ref="N289:O290">Common_Equations.Common_ConvertN2OToCO2e_Arguments()</f>
        <v>EN2O</v>
      </c>
      <c r="O289" s="59" t="str">
        <v>Nitrous oxide emissions (t N2O)</v>
      </c>
      <c r="P289" s="107"/>
      <c r="Q289" s="53">
        <f>VEERG_4_3_1_3__1_TotalAnnualDirectNitrousOxideEmissionsFromMMS_Result_Method2</f>
        <v>0</v>
      </c>
    </row>
    <row r="290" spans="4:17" ht="20.100000000000001" customHeight="1" x14ac:dyDescent="0.25">
      <c r="D290" s="58" t="str">
        <v>GWPN2O</v>
      </c>
      <c r="E290" s="59" t="str">
        <v>Global warming potential for nitrous oxide (t CO2-e / t N2O)</v>
      </c>
      <c r="F290" s="107"/>
      <c r="G290" s="53">
        <f>Common_InputFunctions.Utility_LookupValueInTableNumber("N2O",Table_GWPData[Gas],Table_GWPData[CO2-e factor])</f>
        <v>265</v>
      </c>
      <c r="N290" s="58" t="str">
        <v>GWPN2O</v>
      </c>
      <c r="O290" s="59" t="str">
        <v>Global warming potential for nitrous oxide (t CO2-e / t N2O)</v>
      </c>
      <c r="P290" s="107"/>
      <c r="Q290" s="53">
        <f>Common_InputFunctions.Utility_LookupValueInTableNumber("N2O",Table_GWPData[Gas],Table_GWPData[CO2-e factor])</f>
        <v>265</v>
      </c>
    </row>
    <row r="291" spans="4:17" ht="20.100000000000001" customHeight="1" x14ac:dyDescent="0.25"/>
    <row r="292" spans="4:17" ht="18.75" x14ac:dyDescent="0.25">
      <c r="D292" s="46" t="s">
        <v>102</v>
      </c>
      <c r="E292" s="46" cm="1">
        <f t="array" ref="E292">Common_Equations.Common_ConvertN2OToCO2e(G289,G290)</f>
        <v>0</v>
      </c>
      <c r="F292" s="108" t="str" cm="1">
        <f t="array" ref="F292">Common_Equations.Common_ConvertN2OToCO2e_Unit()</f>
        <v>t CO2e</v>
      </c>
      <c r="N292" s="46" t="s">
        <v>102</v>
      </c>
      <c r="O292" s="46" cm="1">
        <f t="array" ref="O292">Common_Equations.Common_ConvertN2OToCO2e(Q289,Q290)</f>
        <v>0</v>
      </c>
      <c r="P292" s="108" t="str" cm="1">
        <f t="array" ref="P292">Common_Equations.Common_ConvertN2OToCO2e_Unit()</f>
        <v>t CO2e</v>
      </c>
    </row>
  </sheetData>
  <dataValidations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50" zoomScaleNormal="100" workbookViewId="0">
      <selection activeCell="F77" sqref="F7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310</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D6" s="5" t="str" cm="1">
        <f t="array" ref="D6">MMS_Dairy_AtmosphericDeposition_Equations.VEERG_4_3_1_5__2_TotalNitrogenVolatilisedFromMMS_Source()</f>
        <v>VEERG 2026: 4.3.1.5, Equation (2)</v>
      </c>
    </row>
    <row r="7" spans="1:23" ht="20.100000000000001" customHeight="1" x14ac:dyDescent="0.25">
      <c r="D7" s="13" t="s">
        <v>25</v>
      </c>
      <c r="E7" s="13" t="str" cm="1">
        <f t="array" aca="1" ref="E7" ca="1">Common_InputFunctions.Utility_DisplayFunctionName(F40)</f>
        <v>=MMS_Dairy_AtmosphericDeposition_Equations.VEERG_4_3_1_5__2_TotalNitrogenVolatilisedFromMMS</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MMS_Dairy_AtmosphericDeposition_Equations.VEERG_4_3_1_5__2_TotalNitrogenVolatilisedFromMMS_Variable()</f>
        <v>MN_ATMOS</v>
      </c>
    </row>
    <row r="11" spans="1:23" ht="20.100000000000001" customHeight="1" x14ac:dyDescent="0.25">
      <c r="D11" s="54" t="s">
        <v>18</v>
      </c>
      <c r="E11" s="55" t="str" cm="1">
        <f t="array" ref="E11">MMS_Dairy_AtmosphericDeposition_Equations.VEERG_4_3_1_5__2_TotalNitrogenVolatilisedFromMMS_Unit()</f>
        <v>kg N</v>
      </c>
    </row>
    <row r="12" spans="1:23" ht="20.100000000000001" customHeight="1" x14ac:dyDescent="0.25"/>
    <row r="13" spans="1:23" ht="20.100000000000001" customHeight="1" x14ac:dyDescent="0.25">
      <c r="A13" s="18" t="s">
        <v>72</v>
      </c>
      <c r="D13" s="133" t="str" cm="1">
        <f t="array" ref="D13:E14">_xlfn.CHOOSECOLS(MMS_Dairy_AtmosphericDeposition_Equations.VEERG_4_3_1_5__2_TotalNitrogenVolatilisedFromMMS_Arguments(),1,2)</f>
        <v>MN_jm</v>
      </c>
      <c r="E13" s="132" t="str">
        <v>total nitrogen in each MMS for dairy cattle classes</v>
      </c>
      <c r="F13" s="134"/>
      <c r="G13" s="133" t="str" cm="1">
        <f t="array" ref="G13:H14">_xlfn.CHOOSECOLS(MMS_Dairy_AtmosphericDeposition_Equations.VEERG_4_3_1_5__2_TotalNitrogenVolatilisedFromMMS_Arguments(),3,4)</f>
        <v>kg N</v>
      </c>
      <c r="H13" s="129" t="str">
        <v>Calculated from 4.3.1.3 (2)</v>
      </c>
      <c r="I13" s="130" t="str" cm="1">
        <f t="array" aca="1" ref="I13" ca="1">HYPERLINK(Common_InputFunctions.Utility_SourceHyperlink(D$16),D$16)</f>
        <v>M1_Table_MN_j_m</v>
      </c>
    </row>
    <row r="14" spans="1:23" ht="20.100000000000001" customHeight="1" x14ac:dyDescent="0.25">
      <c r="A14" s="17" t="str">
        <f>HYPERLINK("#'4.3.1.1-2 Methane'!A1", "4.3.1.1-2 Methane")</f>
        <v>4.3.1.1-2 Methane</v>
      </c>
      <c r="D14" s="133" t="str">
        <v>FracGASM_m</v>
      </c>
      <c r="E14" s="132" t="str">
        <v>fraction of N volatilised from MMS</v>
      </c>
      <c r="F14" s="134"/>
      <c r="G14" s="133" t="str">
        <v>fraction</v>
      </c>
      <c r="H14" s="129" t="str">
        <v>Constant</v>
      </c>
      <c r="I14" s="130" t="str" cm="1">
        <f t="array" aca="1" ref="I14" ca="1">HYPERLINK(Common_InputFunctions.Utility_SourceHyperlink($D$28),$D$28)</f>
        <v>Table_FracGASM_m</v>
      </c>
    </row>
    <row r="15" spans="1:23" ht="20.100000000000001" customHeight="1" x14ac:dyDescent="0.25">
      <c r="A15" s="17" t="str">
        <f>HYPERLINK("#'4.3.1.3-4 Direct N20'!A1", "4.3.1.3-4 Direct N20")</f>
        <v>4.3.1.3-4 Direct N20</v>
      </c>
    </row>
    <row r="16" spans="1:23" ht="20.100000000000001" customHeight="1" x14ac:dyDescent="0.25">
      <c r="A16" s="21" t="str">
        <f>HYPERLINK("#'4.3.1.5 Atmos deposition'!A1", "4.3.1.5 Atmos deposition")</f>
        <v>4.3.1.5 Atmos deposition</v>
      </c>
      <c r="D16" s="100" t="s">
        <v>301</v>
      </c>
      <c r="O16" s="100" t="s">
        <v>304</v>
      </c>
    </row>
    <row r="17" spans="1:22" ht="20.100000000000001" customHeight="1" x14ac:dyDescent="0.25">
      <c r="A17" s="17" t="str">
        <f>HYPERLINK("#'4.3.1.6-7 Leaching and runoff'!A1", "4.3.1.6-7 Leaching and runoff")</f>
        <v>4.3.1.6-7 Leaching and runoff</v>
      </c>
      <c r="D17" s="99" t="s">
        <v>302</v>
      </c>
      <c r="O17" s="99" t="s">
        <v>303</v>
      </c>
    </row>
    <row r="18" spans="1:22"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O18" s="52" t="s">
        <v>140</v>
      </c>
      <c r="P18" s="52" t="s">
        <v>65</v>
      </c>
      <c r="Q18" s="52" t="s">
        <v>165</v>
      </c>
      <c r="R18" s="52" t="s">
        <v>182</v>
      </c>
      <c r="S18" s="52" t="s">
        <v>183</v>
      </c>
      <c r="T18" s="52" t="s">
        <v>184</v>
      </c>
      <c r="U18" s="52" t="s">
        <v>185</v>
      </c>
    </row>
    <row r="19" spans="1:22" ht="20.100000000000001" customHeight="1" x14ac:dyDescent="0.25">
      <c r="A19" s="17" t="str">
        <f>HYPERLINK("#'4.3.1.9 Soil direct N2O'!A1", "4.3.1.9 Soil direct N2O")</f>
        <v>4.3.1.9 Soil direct N2O</v>
      </c>
      <c r="D19" s="53" t="str">
        <f>INDEX(X_Table_Dairy_ProductionSystems_Method1,3,1)</f>
        <v>Milking shed</v>
      </c>
      <c r="E19" s="53" t="str">
        <f>INDEX(X_Table_Dairy_Stage1MMS_1_AnaerobicLagoon,2,1)</f>
        <v>Anaerobic lagoon</v>
      </c>
      <c r="F19" s="53">
        <f>INDEX(M1_Table_MN_j_m,2,3)</f>
        <v>0</v>
      </c>
      <c r="G19" s="53">
        <f>INDEX(M1_Table_MN_j_m,2,4)</f>
        <v>0</v>
      </c>
      <c r="H19" s="53">
        <f>INDEX(M1_Table_MN_j_m,2,5)</f>
        <v>0</v>
      </c>
      <c r="I19" s="53">
        <f>INDEX(M1_Table_MN_j_m,2,6)</f>
        <v>0</v>
      </c>
      <c r="J19" s="53">
        <f>INDEX(M1_Table_MN_j_m,2,7)</f>
        <v>0</v>
      </c>
      <c r="K19" s="2" t="str">
        <f>$G$13</f>
        <v>kg N</v>
      </c>
      <c r="O19" s="53" t="str">
        <f>INDEX(X_Table_Dairy_ProductionSystems_Method1,3,1)</f>
        <v>Milking shed</v>
      </c>
      <c r="P19" s="53" t="str">
        <f>INDEX(X_Table_Dairy_Stage1MMS_1_AnaerobicLagoon,2,1)</f>
        <v>Anaerobic lagoon</v>
      </c>
      <c r="Q19" s="53">
        <f>INDEX(M2_Table_MN_j_m,2,3)</f>
        <v>0</v>
      </c>
      <c r="R19" s="53">
        <f>INDEX(M2_Table_MN_j_m,2,4)</f>
        <v>0</v>
      </c>
      <c r="S19" s="53">
        <f>INDEX(M2_Table_MN_j_m,2,5)</f>
        <v>0</v>
      </c>
      <c r="T19" s="53">
        <f>INDEX(M2_Table_MN_j_m,2,6)</f>
        <v>0</v>
      </c>
      <c r="U19" s="53">
        <f>INDEX(M2_Table_MN_j_m,2,7)</f>
        <v>0</v>
      </c>
      <c r="V19" s="2" t="str">
        <f>$G$13</f>
        <v>kg N</v>
      </c>
    </row>
    <row r="20" spans="1:22" ht="20.100000000000001" customHeight="1" x14ac:dyDescent="0.25">
      <c r="A20" s="17" t="str">
        <f>HYPERLINK("#'4.3.1.10-11 Soil Atmos Dep'!A1", "4.3.1.10-11 Soil Atmos Dep")</f>
        <v>4.3.1.10-11 Soil Atmos Dep</v>
      </c>
      <c r="D20" s="53" t="str">
        <f>INDEX(X_Table_Dairy_ProductionSystems_Method1,3,1)</f>
        <v>Milking shed</v>
      </c>
      <c r="E20" s="53" t="str">
        <f>INDEX(X_Table_Dairy_Stage1MMS_1_SumpAndDispersal,2,1)</f>
        <v>Sump and dispersal system</v>
      </c>
      <c r="F20" s="53">
        <f>INDEX(M1_Table_MN_j_m,3,3)</f>
        <v>17404.731333822594</v>
      </c>
      <c r="G20" s="53">
        <f>INDEX(M1_Table_MN_j_m,3,4)</f>
        <v>0</v>
      </c>
      <c r="H20" s="53">
        <f>INDEX(M1_Table_MN_j_m,3,5)</f>
        <v>0</v>
      </c>
      <c r="I20" s="53">
        <f>INDEX(M1_Table_MN_j_m,3,6)</f>
        <v>0</v>
      </c>
      <c r="J20" s="53">
        <f>INDEX(M1_Table_MN_j_m,3,7)</f>
        <v>0</v>
      </c>
      <c r="K20" s="2"/>
      <c r="O20" s="53" t="str">
        <f>INDEX(X_Table_Dairy_ProductionSystems_Method1,3,1)</f>
        <v>Milking shed</v>
      </c>
      <c r="P20" s="53" t="str">
        <f>INDEX(X_Table_Dairy_Stage1MMS_1_SumpAndDispersal,2,1)</f>
        <v>Sump and dispersal system</v>
      </c>
      <c r="Q20" s="53">
        <f>INDEX(M2_Table_MN_j_m,3,3)</f>
        <v>17404.731333822594</v>
      </c>
      <c r="R20" s="53">
        <f>INDEX(M2_Table_MN_j_m,3,4)</f>
        <v>0</v>
      </c>
      <c r="S20" s="53">
        <f>INDEX(M2_Table_MN_j_m,3,5)</f>
        <v>0</v>
      </c>
      <c r="T20" s="53">
        <f>INDEX(M2_Table_MN_j_m,3,6)</f>
        <v>0</v>
      </c>
      <c r="U20" s="53">
        <f>INDEX(M2_Table_MN_j_m,3,7)</f>
        <v>0</v>
      </c>
      <c r="V20" s="2"/>
    </row>
    <row r="21" spans="1:22" ht="20.100000000000001" customHeight="1" x14ac:dyDescent="0.25">
      <c r="A21" s="17" t="str">
        <f>HYPERLINK("#'4.3.1.12-13 Soil leach runoff'!A1", "4.3.1.12-13 Soil leach runoff")</f>
        <v>4.3.1.12-13 Soil leach runoff</v>
      </c>
      <c r="D21" s="53" t="str">
        <f>INDEX(X_Table_Dairy_ProductionSystems_Method1,3,1)</f>
        <v>Milking shed</v>
      </c>
      <c r="E21" s="53" t="str">
        <f>INDEX(X_Table_Dairy_Stage1MMS_1_DrainsToPaddock,2,1)</f>
        <v>Drains to paddock</v>
      </c>
      <c r="F21" s="53">
        <f>INDEX(M1_Table_MN_j_m,4,3)</f>
        <v>0</v>
      </c>
      <c r="G21" s="53">
        <f>INDEX(M1_Table_MN_j_m,4,4)</f>
        <v>0</v>
      </c>
      <c r="H21" s="53">
        <f>INDEX(M1_Table_MN_j_m,4,5)</f>
        <v>0</v>
      </c>
      <c r="I21" s="53">
        <f>INDEX(M1_Table_MN_j_m,4,6)</f>
        <v>0</v>
      </c>
      <c r="J21" s="53">
        <f>INDEX(M1_Table_MN_j_m,4,7)</f>
        <v>0</v>
      </c>
      <c r="K21" s="2"/>
      <c r="O21" s="53" t="str">
        <f>INDEX(X_Table_Dairy_ProductionSystems_Method1,3,1)</f>
        <v>Milking shed</v>
      </c>
      <c r="P21" s="53" t="str">
        <f>INDEX(X_Table_Dairy_Stage1MMS_1_DrainsToPaddock,2,1)</f>
        <v>Drains to paddock</v>
      </c>
      <c r="Q21" s="53">
        <f>INDEX(M2_Table_MN_j_m,4,3)</f>
        <v>0</v>
      </c>
      <c r="R21" s="53">
        <f>INDEX(M2_Table_MN_j_m,4,4)</f>
        <v>0</v>
      </c>
      <c r="S21" s="53">
        <f>INDEX(M2_Table_MN_j_m,4,5)</f>
        <v>0</v>
      </c>
      <c r="T21" s="53">
        <f>INDEX(M2_Table_MN_j_m,4,6)</f>
        <v>0</v>
      </c>
      <c r="U21" s="53">
        <f>INDEX(M2_Table_MN_j_m,4,7)</f>
        <v>0</v>
      </c>
      <c r="V21" s="2"/>
    </row>
    <row r="22" spans="1:22" ht="20.100000000000001" customHeight="1" x14ac:dyDescent="0.25">
      <c r="D22" s="53" t="str">
        <f>INDEX(X_Table_Dairy_ProductionSystems_Method1,3,1)</f>
        <v>Milking shed</v>
      </c>
      <c r="E22" s="53" t="s">
        <v>398</v>
      </c>
      <c r="F22" s="53">
        <f>INDEX(M1_Table_MN_j_m,5,3)</f>
        <v>0</v>
      </c>
      <c r="G22" s="53">
        <f>INDEX(M1_Table_MN_j_m,5,4)</f>
        <v>0</v>
      </c>
      <c r="H22" s="53">
        <f>INDEX(M1_Table_MN_j_m,5,5)</f>
        <v>0</v>
      </c>
      <c r="I22" s="53">
        <f>INDEX(M1_Table_MN_j_m,5,6)</f>
        <v>0</v>
      </c>
      <c r="J22" s="53">
        <f>INDEX(M1_Table_MN_j_m,5,7)</f>
        <v>0</v>
      </c>
      <c r="K22" s="2"/>
      <c r="O22" s="53" t="str">
        <f>INDEX(X_Table_Dairy_ProductionSystems_Method1,3,1)</f>
        <v>Milking shed</v>
      </c>
      <c r="P22" s="53" t="s">
        <v>398</v>
      </c>
      <c r="Q22" s="53">
        <f>INDEX(M2_Table_MN_j_m,5,3)</f>
        <v>0</v>
      </c>
      <c r="R22" s="53">
        <f>INDEX(M2_Table_MN_j_m,5,4)</f>
        <v>0</v>
      </c>
      <c r="S22" s="53">
        <f>INDEX(M2_Table_MN_j_m,5,5)</f>
        <v>0</v>
      </c>
      <c r="T22" s="53">
        <f>INDEX(M2_Table_MN_j_m,5,6)</f>
        <v>0</v>
      </c>
      <c r="U22" s="53">
        <f>INDEX(M2_Table_MN_j_m,5,7)</f>
        <v>0</v>
      </c>
      <c r="V22" s="2"/>
    </row>
    <row r="23" spans="1:22" ht="20.100000000000001" customHeight="1" x14ac:dyDescent="0.25">
      <c r="D23" s="53" t="str">
        <f>INDEX(X_Table_Dairy_ProductionSystems_Method1,4,1)</f>
        <v>Feed pad</v>
      </c>
      <c r="E23" s="53" t="str">
        <f>INDEX(X_Table_Dairy_Stage1MMS_2_AnaerobicLagoon,2,1)</f>
        <v>Anaerobic lagoon</v>
      </c>
      <c r="F23" s="53">
        <f>INDEX(M1_Table_MN_j_m,6,3)</f>
        <v>0</v>
      </c>
      <c r="G23" s="53">
        <f>INDEX(M1_Table_MN_j_m,6,4)</f>
        <v>0</v>
      </c>
      <c r="H23" s="53">
        <f>INDEX(M1_Table_MN_j_m,6,5)</f>
        <v>0</v>
      </c>
      <c r="I23" s="53">
        <f>INDEX(M1_Table_MN_j_m,6,6)</f>
        <v>0</v>
      </c>
      <c r="J23" s="53">
        <f>INDEX(M1_Table_MN_j_m,6,7)</f>
        <v>0</v>
      </c>
      <c r="K23" s="2"/>
      <c r="O23" s="53" t="str">
        <f>INDEX(X_Table_Dairy_ProductionSystems_Method1,4,1)</f>
        <v>Feed pad</v>
      </c>
      <c r="P23" s="53" t="str">
        <f>INDEX(X_Table_Dairy_Stage1MMS_2_AnaerobicLagoon,2,1)</f>
        <v>Anaerobic lagoon</v>
      </c>
      <c r="Q23" s="53">
        <f>INDEX(M2_Table_MN_j_m,6,3)</f>
        <v>0</v>
      </c>
      <c r="R23" s="53">
        <f>INDEX(M2_Table_MN_j_m,6,4)</f>
        <v>0</v>
      </c>
      <c r="S23" s="53">
        <f>INDEX(M2_Table_MN_j_m,6,5)</f>
        <v>0</v>
      </c>
      <c r="T23" s="53">
        <f>INDEX(M2_Table_MN_j_m,6,6)</f>
        <v>0</v>
      </c>
      <c r="U23" s="53">
        <f>INDEX(M2_Table_MN_j_m,6,7)</f>
        <v>0</v>
      </c>
      <c r="V23" s="2"/>
    </row>
    <row r="24" spans="1:22" ht="20.100000000000001" customHeight="1" x14ac:dyDescent="0.25">
      <c r="A24" s="154" t="s">
        <v>1</v>
      </c>
      <c r="D24" s="53" t="str">
        <f>INDEX(X_Table_Dairy_ProductionSystems_Method1,4,1)</f>
        <v>Feed pad</v>
      </c>
      <c r="E24" s="53" t="str">
        <f>INDEX(X_Table_Dairy_Stage1MMS_2_SumpAndDispersal,2,1)</f>
        <v>Sump and dispersal system</v>
      </c>
      <c r="F24" s="53">
        <f>INDEX(M1_Table_MN_j_m,7,3)</f>
        <v>0</v>
      </c>
      <c r="G24" s="53">
        <f>INDEX(M1_Table_MN_j_m,7,4)</f>
        <v>0</v>
      </c>
      <c r="H24" s="53">
        <f>INDEX(M1_Table_MN_j_m,7,5)</f>
        <v>0</v>
      </c>
      <c r="I24" s="53">
        <f>INDEX(M1_Table_MN_j_m,7,6)</f>
        <v>0</v>
      </c>
      <c r="J24" s="53">
        <f>INDEX(M1_Table_MN_j_m,7,7)</f>
        <v>0</v>
      </c>
      <c r="K24" s="2"/>
      <c r="O24" s="53" t="str">
        <f>INDEX(X_Table_Dairy_ProductionSystems_Method1,4,1)</f>
        <v>Feed pad</v>
      </c>
      <c r="P24" s="53" t="str">
        <f>INDEX(X_Table_Dairy_Stage1MMS_2_SumpAndDispersal,2,1)</f>
        <v>Sump and dispersal system</v>
      </c>
      <c r="Q24" s="53">
        <f>INDEX(M2_Table_MN_j_m,7,3)</f>
        <v>0</v>
      </c>
      <c r="R24" s="53">
        <f>INDEX(M2_Table_MN_j_m,7,4)</f>
        <v>0</v>
      </c>
      <c r="S24" s="53">
        <f>INDEX(M2_Table_MN_j_m,7,5)</f>
        <v>0</v>
      </c>
      <c r="T24" s="53">
        <f>INDEX(M2_Table_MN_j_m,7,6)</f>
        <v>0</v>
      </c>
      <c r="U24" s="53">
        <f>INDEX(M2_Table_MN_j_m,7,7)</f>
        <v>0</v>
      </c>
      <c r="V24" s="2"/>
    </row>
    <row r="25" spans="1:22" ht="20.100000000000001" customHeight="1" x14ac:dyDescent="0.25">
      <c r="A25" s="17" t="str">
        <f>HYPERLINK("#'Constants - Dairy'!A1", "Constants - Dairy")</f>
        <v>Constants - Dairy</v>
      </c>
      <c r="D25" s="53" t="str">
        <f>INDEX(X_Table_Dairy_ProductionSystems_Method1,4,1)</f>
        <v>Feed pad</v>
      </c>
      <c r="E25" s="53" t="str">
        <f>INDEX(X_Table_Dairy_Stage1MMS_2_DrainsToPaddock,2,1)</f>
        <v>Drains to paddock</v>
      </c>
      <c r="F25" s="53">
        <f>INDEX(M1_Table_MN_j_m,8,3)</f>
        <v>0</v>
      </c>
      <c r="G25" s="53">
        <f>INDEX(M1_Table_MN_j_m,8,4)</f>
        <v>0</v>
      </c>
      <c r="H25" s="53">
        <f>INDEX(M1_Table_MN_j_m,8,5)</f>
        <v>0</v>
      </c>
      <c r="I25" s="53">
        <f>INDEX(M1_Table_MN_j_m,8,6)</f>
        <v>0</v>
      </c>
      <c r="J25" s="53">
        <f>INDEX(M1_Table_MN_j_m,8,7)</f>
        <v>0</v>
      </c>
      <c r="K25" s="2"/>
      <c r="O25" s="53" t="str">
        <f>INDEX(X_Table_Dairy_ProductionSystems_Method1,4,1)</f>
        <v>Feed pad</v>
      </c>
      <c r="P25" s="53" t="str">
        <f>INDEX(X_Table_Dairy_Stage1MMS_2_DrainsToPaddock,2,1)</f>
        <v>Drains to paddock</v>
      </c>
      <c r="Q25" s="53">
        <f>INDEX(M2_Table_MN_j_m,8,3)</f>
        <v>0</v>
      </c>
      <c r="R25" s="53">
        <f>INDEX(M2_Table_MN_j_m,8,4)</f>
        <v>0</v>
      </c>
      <c r="S25" s="53">
        <f>INDEX(M2_Table_MN_j_m,8,5)</f>
        <v>0</v>
      </c>
      <c r="T25" s="53">
        <f>INDEX(M2_Table_MN_j_m,8,6)</f>
        <v>0</v>
      </c>
      <c r="U25" s="53">
        <f>INDEX(M2_Table_MN_j_m,8,7)</f>
        <v>0</v>
      </c>
      <c r="V25" s="2"/>
    </row>
    <row r="26" spans="1:22" ht="20.100000000000001" customHeight="1" x14ac:dyDescent="0.25">
      <c r="A26" s="17" t="str">
        <f>HYPERLINK("#'Constants - Common'!A1", "Constants - Common")</f>
        <v>Constants - Common</v>
      </c>
      <c r="D26" s="53" t="str">
        <f>INDEX(X_Table_Dairy_ProductionSystems_Method1,4,1)</f>
        <v>Feed pad</v>
      </c>
      <c r="E26" s="53" t="s">
        <v>398</v>
      </c>
      <c r="F26" s="53">
        <f>INDEX(M1_Table_MN_j_m,9,3)</f>
        <v>0</v>
      </c>
      <c r="G26" s="53">
        <f>INDEX(M1_Table_MN_j_m,9,4)</f>
        <v>0</v>
      </c>
      <c r="H26" s="53">
        <f>INDEX(M1_Table_MN_j_m,9,5)</f>
        <v>0</v>
      </c>
      <c r="I26" s="53">
        <f>INDEX(M1_Table_MN_j_m,9,6)</f>
        <v>0</v>
      </c>
      <c r="J26" s="53">
        <f>INDEX(M1_Table_MN_j_m,9,7)</f>
        <v>0</v>
      </c>
      <c r="K26" s="2"/>
      <c r="O26" s="53" t="str">
        <f>INDEX(X_Table_Dairy_ProductionSystems_Method1,4,1)</f>
        <v>Feed pad</v>
      </c>
      <c r="P26" s="53" t="s">
        <v>398</v>
      </c>
      <c r="Q26" s="53">
        <f>INDEX(M2_Table_MN_j_m,9,3)</f>
        <v>0</v>
      </c>
      <c r="R26" s="53">
        <f>INDEX(M2_Table_MN_j_m,9,4)</f>
        <v>0</v>
      </c>
      <c r="S26" s="53">
        <f>INDEX(M2_Table_MN_j_m,9,5)</f>
        <v>0</v>
      </c>
      <c r="T26" s="53">
        <f>INDEX(M2_Table_MN_j_m,9,6)</f>
        <v>0</v>
      </c>
      <c r="U26" s="53">
        <f>INDEX(M2_Table_MN_j_m,9,7)</f>
        <v>0</v>
      </c>
      <c r="V26" s="2"/>
    </row>
    <row r="27" spans="1:22" ht="20.100000000000001" customHeight="1" x14ac:dyDescent="0.25">
      <c r="A27" s="17" t="str">
        <f>HYPERLINK("#'Constants - Livestock'!A1", "Constants - Livestock")</f>
        <v>Constants - Livestock</v>
      </c>
    </row>
    <row r="28" spans="1:22" ht="20.100000000000001" customHeight="1" x14ac:dyDescent="0.25">
      <c r="A28" s="17" t="str">
        <f>HYPERLINK("#'Acknowledgements'!A1", "Acknowledgements")</f>
        <v>Acknowledgements</v>
      </c>
      <c r="D28" s="100" t="s">
        <v>311</v>
      </c>
    </row>
    <row r="29" spans="1:22" ht="20.100000000000001" customHeight="1" x14ac:dyDescent="0.25">
      <c r="A29" s="17" t="str">
        <f>HYPERLINK("#'Tab template'!A1", "Tab template")</f>
        <v>Tab template</v>
      </c>
      <c r="D29" s="99" t="s">
        <v>313</v>
      </c>
    </row>
    <row r="30" spans="1:22" ht="20.100000000000001" customHeight="1" x14ac:dyDescent="0.25">
      <c r="D30" s="52" t="s">
        <v>65</v>
      </c>
      <c r="E30" s="52" t="s">
        <v>312</v>
      </c>
    </row>
    <row r="31" spans="1:22" ht="20.100000000000001" customHeight="1" x14ac:dyDescent="0.25">
      <c r="D31" s="53" t="str" cm="1">
        <f t="array" ref="D31:D35">Table_SourceData_Dairy_EFmFracGASM[NIR reference]</f>
        <v>Pasture range and paddock</v>
      </c>
      <c r="E31" s="53" cm="1">
        <f t="array" ref="E31:E35">Table_SourceData_Dairy_EFmFracGASM[FracGASMm]</f>
        <v>0</v>
      </c>
      <c r="F31" s="2" t="str">
        <f>G14</f>
        <v>fraction</v>
      </c>
    </row>
    <row r="32" spans="1:22" ht="20.100000000000001" customHeight="1" x14ac:dyDescent="0.25">
      <c r="D32" s="53" t="str">
        <v>Anaerobic lagoon</v>
      </c>
      <c r="E32" s="53">
        <v>0.35</v>
      </c>
      <c r="F32" s="2"/>
    </row>
    <row r="33" spans="4:22" ht="20.100000000000001" customHeight="1" x14ac:dyDescent="0.25">
      <c r="D33" s="53" t="str">
        <v>Sump and dispersal system</v>
      </c>
      <c r="E33" s="53">
        <v>7.0000000000000007E-2</v>
      </c>
      <c r="F33" s="2"/>
    </row>
    <row r="34" spans="4:22" ht="20.100000000000001" customHeight="1" x14ac:dyDescent="0.25">
      <c r="D34" s="53" t="str">
        <v>Drains to paddock</v>
      </c>
      <c r="E34" s="53">
        <v>0.2</v>
      </c>
      <c r="F34" s="2"/>
    </row>
    <row r="35" spans="4:22" ht="20.100000000000001" customHeight="1" x14ac:dyDescent="0.25">
      <c r="D35" s="53" t="str">
        <v>Solid storage</v>
      </c>
      <c r="E35" s="53">
        <v>0.3</v>
      </c>
      <c r="F35" s="2"/>
    </row>
    <row r="36" spans="4:22" ht="20.100000000000001" customHeight="1" x14ac:dyDescent="0.25"/>
    <row r="37" spans="4:22" ht="20.100000000000001" customHeight="1" x14ac:dyDescent="0.25">
      <c r="D37" s="100" t="s">
        <v>314</v>
      </c>
      <c r="O37" s="100" t="s">
        <v>316</v>
      </c>
    </row>
    <row r="38" spans="4:22" ht="20.100000000000001" customHeight="1" x14ac:dyDescent="0.25">
      <c r="D38" s="99" t="s">
        <v>315</v>
      </c>
      <c r="O38" s="99" t="s">
        <v>317</v>
      </c>
    </row>
    <row r="39" spans="4:22" ht="20.100000000000001" customHeight="1" x14ac:dyDescent="0.25">
      <c r="D39" s="52" t="s">
        <v>140</v>
      </c>
      <c r="E39" s="52" t="s">
        <v>65</v>
      </c>
      <c r="F39" s="52" t="s">
        <v>165</v>
      </c>
      <c r="G39" s="52" t="s">
        <v>182</v>
      </c>
      <c r="H39" s="52" t="s">
        <v>183</v>
      </c>
      <c r="I39" s="52" t="s">
        <v>184</v>
      </c>
      <c r="J39" s="52" t="s">
        <v>185</v>
      </c>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cm="1">
        <f t="array" ref="F40">MMS_Dairy_AtmosphericDeposition_Equations.VEERG_4_3_1_5__2_TotalNitrogenVolatilisedFromMMS(F19,$E32)</f>
        <v>0</v>
      </c>
      <c r="G40" s="53" cm="1">
        <f t="array" ref="G40">MMS_Dairy_AtmosphericDeposition_Equations.VEERG_4_3_1_5__2_TotalNitrogenVolatilisedFromMMS(G19,$E32)</f>
        <v>0</v>
      </c>
      <c r="H40" s="53" cm="1">
        <f t="array" ref="H40">MMS_Dairy_AtmosphericDeposition_Equations.VEERG_4_3_1_5__2_TotalNitrogenVolatilisedFromMMS(H19,$E32)</f>
        <v>0</v>
      </c>
      <c r="I40" s="53" cm="1">
        <f t="array" ref="I40">MMS_Dairy_AtmosphericDeposition_Equations.VEERG_4_3_1_5__2_TotalNitrogenVolatilisedFromMMS(I19,$E32)</f>
        <v>0</v>
      </c>
      <c r="J40" s="53" cm="1">
        <f t="array" ref="J40">MMS_Dairy_AtmosphericDeposition_Equations.VEERG_4_3_1_5__2_TotalNitrogenVolatilisedFromMMS(J19,$E32)</f>
        <v>0</v>
      </c>
      <c r="K40" s="2" t="str">
        <f>$E$11</f>
        <v>kg N</v>
      </c>
      <c r="O40" s="53" t="str">
        <f>INDEX(X_Table_Dairy_ProductionSystems_Method1,3,1)</f>
        <v>Milking shed</v>
      </c>
      <c r="P40" s="53" t="str">
        <f>INDEX(X_Table_Dairy_Stage1MMS_1_AnaerobicLagoon,2,1)</f>
        <v>Anaerobic lagoon</v>
      </c>
      <c r="Q40" s="53" cm="1">
        <f t="array" ref="Q40">MMS_Dairy_AtmosphericDeposition_Equations.VEERG_4_3_1_5__2_TotalNitrogenVolatilisedFromMMS(Q19,$E32)</f>
        <v>0</v>
      </c>
      <c r="R40" s="53" cm="1">
        <f t="array" ref="R40">MMS_Dairy_AtmosphericDeposition_Equations.VEERG_4_3_1_5__2_TotalNitrogenVolatilisedFromMMS(R19,$E32)</f>
        <v>0</v>
      </c>
      <c r="S40" s="53" cm="1">
        <f t="array" ref="S40">MMS_Dairy_AtmosphericDeposition_Equations.VEERG_4_3_1_5__2_TotalNitrogenVolatilisedFromMMS(S19,$E32)</f>
        <v>0</v>
      </c>
      <c r="T40" s="53" cm="1">
        <f t="array" ref="T40">MMS_Dairy_AtmosphericDeposition_Equations.VEERG_4_3_1_5__2_TotalNitrogenVolatilisedFromMMS(T19,$E32)</f>
        <v>0</v>
      </c>
      <c r="U40" s="53" cm="1">
        <f t="array" ref="U40">MMS_Dairy_AtmosphericDeposition_Equations.VEERG_4_3_1_5__2_TotalNitrogenVolatilisedFromMMS(U19,$E32)</f>
        <v>0</v>
      </c>
      <c r="V40" s="2" t="str">
        <f>$E$11</f>
        <v>kg N</v>
      </c>
    </row>
    <row r="41" spans="4:22" ht="20.100000000000001" customHeight="1" x14ac:dyDescent="0.25">
      <c r="D41" s="53" t="str">
        <f>INDEX(X_Table_Dairy_ProductionSystems_Method1,3,1)</f>
        <v>Milking shed</v>
      </c>
      <c r="E41" s="53" t="str">
        <f>INDEX(X_Table_Dairy_Stage1MMS_1_SumpAndDispersal,2,1)</f>
        <v>Sump and dispersal system</v>
      </c>
      <c r="F41" s="53" cm="1">
        <f t="array" ref="F41">MMS_Dairy_AtmosphericDeposition_Equations.VEERG_4_3_1_5__2_TotalNitrogenVolatilisedFromMMS(F20,$E33)</f>
        <v>1218.3311933675816</v>
      </c>
      <c r="G41" s="53" cm="1">
        <f t="array" ref="G41">MMS_Dairy_AtmosphericDeposition_Equations.VEERG_4_3_1_5__2_TotalNitrogenVolatilisedFromMMS(G20,$E33)</f>
        <v>0</v>
      </c>
      <c r="H41" s="53" cm="1">
        <f t="array" ref="H41">MMS_Dairy_AtmosphericDeposition_Equations.VEERG_4_3_1_5__2_TotalNitrogenVolatilisedFromMMS(H20,$E33)</f>
        <v>0</v>
      </c>
      <c r="I41" s="53" cm="1">
        <f t="array" ref="I41">MMS_Dairy_AtmosphericDeposition_Equations.VEERG_4_3_1_5__2_TotalNitrogenVolatilisedFromMMS(I20,$E33)</f>
        <v>0</v>
      </c>
      <c r="J41" s="53" cm="1">
        <f t="array" ref="J41">MMS_Dairy_AtmosphericDeposition_Equations.VEERG_4_3_1_5__2_TotalNitrogenVolatilisedFromMMS(J20,$E33)</f>
        <v>0</v>
      </c>
      <c r="K41" s="2"/>
      <c r="O41" s="53" t="str">
        <f>INDEX(X_Table_Dairy_ProductionSystems_Method1,3,1)</f>
        <v>Milking shed</v>
      </c>
      <c r="P41" s="53" t="str">
        <f>INDEX(X_Table_Dairy_Stage1MMS_1_SumpAndDispersal,2,1)</f>
        <v>Sump and dispersal system</v>
      </c>
      <c r="Q41" s="53" cm="1">
        <f t="array" ref="Q41">MMS_Dairy_AtmosphericDeposition_Equations.VEERG_4_3_1_5__2_TotalNitrogenVolatilisedFromMMS(Q20,$E33)</f>
        <v>1218.3311933675816</v>
      </c>
      <c r="R41" s="53" cm="1">
        <f t="array" ref="R41">MMS_Dairy_AtmosphericDeposition_Equations.VEERG_4_3_1_5__2_TotalNitrogenVolatilisedFromMMS(R20,$E33)</f>
        <v>0</v>
      </c>
      <c r="S41" s="53" cm="1">
        <f t="array" ref="S41">MMS_Dairy_AtmosphericDeposition_Equations.VEERG_4_3_1_5__2_TotalNitrogenVolatilisedFromMMS(S20,$E33)</f>
        <v>0</v>
      </c>
      <c r="T41" s="53" cm="1">
        <f t="array" ref="T41">MMS_Dairy_AtmosphericDeposition_Equations.VEERG_4_3_1_5__2_TotalNitrogenVolatilisedFromMMS(T20,$E33)</f>
        <v>0</v>
      </c>
      <c r="U41" s="53" cm="1">
        <f t="array" ref="U41">MMS_Dairy_AtmosphericDeposition_Equations.VEERG_4_3_1_5__2_TotalNitrogenVolatilisedFromMMS(U20,$E33)</f>
        <v>0</v>
      </c>
      <c r="V41" s="2"/>
    </row>
    <row r="42" spans="4:22" ht="20.100000000000001" customHeight="1" x14ac:dyDescent="0.25">
      <c r="D42" s="53" t="str">
        <f>INDEX(X_Table_Dairy_ProductionSystems_Method1,3,1)</f>
        <v>Milking shed</v>
      </c>
      <c r="E42" s="53" t="str">
        <f>INDEX(X_Table_Dairy_Stage1MMS_1_DrainsToPaddock,2,1)</f>
        <v>Drains to paddock</v>
      </c>
      <c r="F42" s="53" cm="1">
        <f t="array" ref="F42">MMS_Dairy_AtmosphericDeposition_Equations.VEERG_4_3_1_5__2_TotalNitrogenVolatilisedFromMMS(F21,$E34)</f>
        <v>0</v>
      </c>
      <c r="G42" s="53" cm="1">
        <f t="array" ref="G42">MMS_Dairy_AtmosphericDeposition_Equations.VEERG_4_3_1_5__2_TotalNitrogenVolatilisedFromMMS(G21,$E34)</f>
        <v>0</v>
      </c>
      <c r="H42" s="53" cm="1">
        <f t="array" ref="H42">MMS_Dairy_AtmosphericDeposition_Equations.VEERG_4_3_1_5__2_TotalNitrogenVolatilisedFromMMS(H21,$E34)</f>
        <v>0</v>
      </c>
      <c r="I42" s="53" cm="1">
        <f t="array" ref="I42">MMS_Dairy_AtmosphericDeposition_Equations.VEERG_4_3_1_5__2_TotalNitrogenVolatilisedFromMMS(I21,$E34)</f>
        <v>0</v>
      </c>
      <c r="J42" s="53" cm="1">
        <f t="array" ref="J42">MMS_Dairy_AtmosphericDeposition_Equations.VEERG_4_3_1_5__2_TotalNitrogenVolatilisedFromMMS(J21,$E34)</f>
        <v>0</v>
      </c>
      <c r="K42" s="2"/>
      <c r="O42" s="53" t="str">
        <f>INDEX(X_Table_Dairy_ProductionSystems_Method1,3,1)</f>
        <v>Milking shed</v>
      </c>
      <c r="P42" s="53" t="str">
        <f>INDEX(X_Table_Dairy_Stage1MMS_1_DrainsToPaddock,2,1)</f>
        <v>Drains to paddock</v>
      </c>
      <c r="Q42" s="53" cm="1">
        <f t="array" ref="Q42">MMS_Dairy_AtmosphericDeposition_Equations.VEERG_4_3_1_5__2_TotalNitrogenVolatilisedFromMMS(Q21,$E34)</f>
        <v>0</v>
      </c>
      <c r="R42" s="53" cm="1">
        <f t="array" ref="R42">MMS_Dairy_AtmosphericDeposition_Equations.VEERG_4_3_1_5__2_TotalNitrogenVolatilisedFromMMS(R21,$E34)</f>
        <v>0</v>
      </c>
      <c r="S42" s="53" cm="1">
        <f t="array" ref="S42">MMS_Dairy_AtmosphericDeposition_Equations.VEERG_4_3_1_5__2_TotalNitrogenVolatilisedFromMMS(S21,$E34)</f>
        <v>0</v>
      </c>
      <c r="T42" s="53" cm="1">
        <f t="array" ref="T42">MMS_Dairy_AtmosphericDeposition_Equations.VEERG_4_3_1_5__2_TotalNitrogenVolatilisedFromMMS(T21,$E34)</f>
        <v>0</v>
      </c>
      <c r="U42" s="53" cm="1">
        <f t="array" ref="U42">MMS_Dairy_AtmosphericDeposition_Equations.VEERG_4_3_1_5__2_TotalNitrogenVolatilisedFromMMS(U21,$E34)</f>
        <v>0</v>
      </c>
      <c r="V42" s="2"/>
    </row>
    <row r="43" spans="4:22" ht="20.100000000000001" customHeight="1" x14ac:dyDescent="0.25">
      <c r="D43" s="53" t="str">
        <f>INDEX(X_Table_Dairy_ProductionSystems_Method1,3,1)</f>
        <v>Milking shed</v>
      </c>
      <c r="E43" s="53" t="s">
        <v>398</v>
      </c>
      <c r="F43" s="53" cm="1">
        <f t="array" ref="F43">MMS_Dairy_AtmosphericDeposition_Equations.VEERG_4_3_1_5__2_TotalNitrogenVolatilisedFromMMS(F22,$E35)</f>
        <v>0</v>
      </c>
      <c r="G43" s="53" cm="1">
        <f t="array" ref="G43">MMS_Dairy_AtmosphericDeposition_Equations.VEERG_4_3_1_5__2_TotalNitrogenVolatilisedFromMMS(G22,$E35)</f>
        <v>0</v>
      </c>
      <c r="H43" s="53" cm="1">
        <f t="array" ref="H43">MMS_Dairy_AtmosphericDeposition_Equations.VEERG_4_3_1_5__2_TotalNitrogenVolatilisedFromMMS(H22,$E35)</f>
        <v>0</v>
      </c>
      <c r="I43" s="53" cm="1">
        <f t="array" ref="I43">MMS_Dairy_AtmosphericDeposition_Equations.VEERG_4_3_1_5__2_TotalNitrogenVolatilisedFromMMS(I22,$E35)</f>
        <v>0</v>
      </c>
      <c r="J43" s="53" cm="1">
        <f t="array" ref="J43">MMS_Dairy_AtmosphericDeposition_Equations.VEERG_4_3_1_5__2_TotalNitrogenVolatilisedFromMMS(J22,$E35)</f>
        <v>0</v>
      </c>
      <c r="K43" s="2"/>
      <c r="O43" s="53" t="str">
        <f>INDEX(X_Table_Dairy_ProductionSystems_Method1,3,1)</f>
        <v>Milking shed</v>
      </c>
      <c r="P43" s="53" t="s">
        <v>398</v>
      </c>
      <c r="Q43" s="53" cm="1">
        <f t="array" ref="Q43">MMS_Dairy_AtmosphericDeposition_Equations.VEERG_4_3_1_5__2_TotalNitrogenVolatilisedFromMMS(Q22,$E35)</f>
        <v>0</v>
      </c>
      <c r="R43" s="53" cm="1">
        <f t="array" ref="R43">MMS_Dairy_AtmosphericDeposition_Equations.VEERG_4_3_1_5__2_TotalNitrogenVolatilisedFromMMS(R22,$E35)</f>
        <v>0</v>
      </c>
      <c r="S43" s="53" cm="1">
        <f t="array" ref="S43">MMS_Dairy_AtmosphericDeposition_Equations.VEERG_4_3_1_5__2_TotalNitrogenVolatilisedFromMMS(S22,$E35)</f>
        <v>0</v>
      </c>
      <c r="T43" s="53" cm="1">
        <f t="array" ref="T43">MMS_Dairy_AtmosphericDeposition_Equations.VEERG_4_3_1_5__2_TotalNitrogenVolatilisedFromMMS(T22,$E35)</f>
        <v>0</v>
      </c>
      <c r="U43" s="53" cm="1">
        <f t="array" ref="U43">MMS_Dairy_AtmosphericDeposition_Equations.VEERG_4_3_1_5__2_TotalNitrogenVolatilisedFromMMS(U22,$E35)</f>
        <v>0</v>
      </c>
      <c r="V43" s="2"/>
    </row>
    <row r="44" spans="4:22" ht="20.100000000000001" customHeight="1" x14ac:dyDescent="0.25">
      <c r="D44" s="53" t="str">
        <f>INDEX(X_Table_Dairy_ProductionSystems_Method1,4,1)</f>
        <v>Feed pad</v>
      </c>
      <c r="E44" s="53" t="str">
        <f>INDEX(X_Table_Dairy_Stage1MMS_2_AnaerobicLagoon,2,1)</f>
        <v>Anaerobic lagoon</v>
      </c>
      <c r="F44" s="53" cm="1">
        <f t="array" ref="F44">MMS_Dairy_AtmosphericDeposition_Equations.VEERG_4_3_1_5__2_TotalNitrogenVolatilisedFromMMS(F23, $E32)</f>
        <v>0</v>
      </c>
      <c r="G44" s="53" cm="1">
        <f t="array" ref="G44">MMS_Dairy_AtmosphericDeposition_Equations.VEERG_4_3_1_5__2_TotalNitrogenVolatilisedFromMMS(G23, $E32)</f>
        <v>0</v>
      </c>
      <c r="H44" s="53" cm="1">
        <f t="array" ref="H44">MMS_Dairy_AtmosphericDeposition_Equations.VEERG_4_3_1_5__2_TotalNitrogenVolatilisedFromMMS(H23, $E32)</f>
        <v>0</v>
      </c>
      <c r="I44" s="53" cm="1">
        <f t="array" ref="I44">MMS_Dairy_AtmosphericDeposition_Equations.VEERG_4_3_1_5__2_TotalNitrogenVolatilisedFromMMS(I23, $E32)</f>
        <v>0</v>
      </c>
      <c r="J44" s="53" cm="1">
        <f t="array" ref="J44">MMS_Dairy_AtmosphericDeposition_Equations.VEERG_4_3_1_5__2_TotalNitrogenVolatilisedFromMMS(J23, $E32)</f>
        <v>0</v>
      </c>
      <c r="K44" s="2"/>
      <c r="O44" s="53" t="str">
        <f>INDEX(X_Table_Dairy_ProductionSystems_Method1,4,1)</f>
        <v>Feed pad</v>
      </c>
      <c r="P44" s="53" t="str">
        <f>INDEX(X_Table_Dairy_Stage1MMS_2_AnaerobicLagoon,2,1)</f>
        <v>Anaerobic lagoon</v>
      </c>
      <c r="Q44" s="53" cm="1">
        <f t="array" ref="Q44">MMS_Dairy_AtmosphericDeposition_Equations.VEERG_4_3_1_5__2_TotalNitrogenVolatilisedFromMMS(Q23, $E32)</f>
        <v>0</v>
      </c>
      <c r="R44" s="53" cm="1">
        <f t="array" ref="R44">MMS_Dairy_AtmosphericDeposition_Equations.VEERG_4_3_1_5__2_TotalNitrogenVolatilisedFromMMS(R23, $E32)</f>
        <v>0</v>
      </c>
      <c r="S44" s="53" cm="1">
        <f t="array" ref="S44">MMS_Dairy_AtmosphericDeposition_Equations.VEERG_4_3_1_5__2_TotalNitrogenVolatilisedFromMMS(S23, $E32)</f>
        <v>0</v>
      </c>
      <c r="T44" s="53" cm="1">
        <f t="array" ref="T44">MMS_Dairy_AtmosphericDeposition_Equations.VEERG_4_3_1_5__2_TotalNitrogenVolatilisedFromMMS(T23, $E32)</f>
        <v>0</v>
      </c>
      <c r="U44" s="53" cm="1">
        <f t="array" ref="U44">MMS_Dairy_AtmosphericDeposition_Equations.VEERG_4_3_1_5__2_TotalNitrogenVolatilisedFromMMS(U23, $E32)</f>
        <v>0</v>
      </c>
      <c r="V44" s="2"/>
    </row>
    <row r="45" spans="4:22" ht="20.100000000000001" customHeight="1" x14ac:dyDescent="0.25">
      <c r="D45" s="53" t="str">
        <f>INDEX(X_Table_Dairy_ProductionSystems_Method1,4,1)</f>
        <v>Feed pad</v>
      </c>
      <c r="E45" s="53" t="str">
        <f>INDEX(X_Table_Dairy_Stage1MMS_2_SumpAndDispersal,2,1)</f>
        <v>Sump and dispersal system</v>
      </c>
      <c r="F45" s="53" cm="1">
        <f t="array" ref="F45">MMS_Dairy_AtmosphericDeposition_Equations.VEERG_4_3_1_5__2_TotalNitrogenVolatilisedFromMMS(F24, $E33)</f>
        <v>0</v>
      </c>
      <c r="G45" s="53" cm="1">
        <f t="array" ref="G45">MMS_Dairy_AtmosphericDeposition_Equations.VEERG_4_3_1_5__2_TotalNitrogenVolatilisedFromMMS(G24, $E33)</f>
        <v>0</v>
      </c>
      <c r="H45" s="53" cm="1">
        <f t="array" ref="H45">MMS_Dairy_AtmosphericDeposition_Equations.VEERG_4_3_1_5__2_TotalNitrogenVolatilisedFromMMS(H24, $E33)</f>
        <v>0</v>
      </c>
      <c r="I45" s="53" cm="1">
        <f t="array" ref="I45">MMS_Dairy_AtmosphericDeposition_Equations.VEERG_4_3_1_5__2_TotalNitrogenVolatilisedFromMMS(I24, $E33)</f>
        <v>0</v>
      </c>
      <c r="J45" s="53" cm="1">
        <f t="array" ref="J45">MMS_Dairy_AtmosphericDeposition_Equations.VEERG_4_3_1_5__2_TotalNitrogenVolatilisedFromMMS(J24, $E33)</f>
        <v>0</v>
      </c>
      <c r="K45" s="2"/>
      <c r="O45" s="53" t="str">
        <f>INDEX(X_Table_Dairy_ProductionSystems_Method1,4,1)</f>
        <v>Feed pad</v>
      </c>
      <c r="P45" s="53" t="str">
        <f>INDEX(X_Table_Dairy_Stage1MMS_2_SumpAndDispersal,2,1)</f>
        <v>Sump and dispersal system</v>
      </c>
      <c r="Q45" s="53" cm="1">
        <f t="array" ref="Q45">MMS_Dairy_AtmosphericDeposition_Equations.VEERG_4_3_1_5__2_TotalNitrogenVolatilisedFromMMS(Q24, $E33)</f>
        <v>0</v>
      </c>
      <c r="R45" s="53" cm="1">
        <f t="array" ref="R45">MMS_Dairy_AtmosphericDeposition_Equations.VEERG_4_3_1_5__2_TotalNitrogenVolatilisedFromMMS(R24, $E33)</f>
        <v>0</v>
      </c>
      <c r="S45" s="53" cm="1">
        <f t="array" ref="S45">MMS_Dairy_AtmosphericDeposition_Equations.VEERG_4_3_1_5__2_TotalNitrogenVolatilisedFromMMS(S24, $E33)</f>
        <v>0</v>
      </c>
      <c r="T45" s="53" cm="1">
        <f t="array" ref="T45">MMS_Dairy_AtmosphericDeposition_Equations.VEERG_4_3_1_5__2_TotalNitrogenVolatilisedFromMMS(T24, $E33)</f>
        <v>0</v>
      </c>
      <c r="U45" s="53" cm="1">
        <f t="array" ref="U45">MMS_Dairy_AtmosphericDeposition_Equations.VEERG_4_3_1_5__2_TotalNitrogenVolatilisedFromMMS(U24, $E33)</f>
        <v>0</v>
      </c>
      <c r="V45" s="2"/>
    </row>
    <row r="46" spans="4:22" ht="20.100000000000001" customHeight="1" x14ac:dyDescent="0.25">
      <c r="D46" s="53" t="str">
        <f>INDEX(X_Table_Dairy_ProductionSystems_Method1,4,1)</f>
        <v>Feed pad</v>
      </c>
      <c r="E46" s="53" t="str">
        <f>INDEX(X_Table_Dairy_Stage1MMS_2_DrainsToPaddock,2,1)</f>
        <v>Drains to paddock</v>
      </c>
      <c r="F46" s="53" cm="1">
        <f t="array" ref="F46">MMS_Dairy_AtmosphericDeposition_Equations.VEERG_4_3_1_5__2_TotalNitrogenVolatilisedFromMMS(F25, $E34)</f>
        <v>0</v>
      </c>
      <c r="G46" s="53" cm="1">
        <f t="array" ref="G46">MMS_Dairy_AtmosphericDeposition_Equations.VEERG_4_3_1_5__2_TotalNitrogenVolatilisedFromMMS(G25, $E34)</f>
        <v>0</v>
      </c>
      <c r="H46" s="53" cm="1">
        <f t="array" ref="H46">MMS_Dairy_AtmosphericDeposition_Equations.VEERG_4_3_1_5__2_TotalNitrogenVolatilisedFromMMS(H25, $E34)</f>
        <v>0</v>
      </c>
      <c r="I46" s="53" cm="1">
        <f t="array" ref="I46">MMS_Dairy_AtmosphericDeposition_Equations.VEERG_4_3_1_5__2_TotalNitrogenVolatilisedFromMMS(I25, $E34)</f>
        <v>0</v>
      </c>
      <c r="J46" s="53" cm="1">
        <f t="array" ref="J46">MMS_Dairy_AtmosphericDeposition_Equations.VEERG_4_3_1_5__2_TotalNitrogenVolatilisedFromMMS(J25, $E34)</f>
        <v>0</v>
      </c>
      <c r="K46" s="2"/>
      <c r="O46" s="53" t="str">
        <f>INDEX(X_Table_Dairy_ProductionSystems_Method1,4,1)</f>
        <v>Feed pad</v>
      </c>
      <c r="P46" s="53" t="str">
        <f>INDEX(X_Table_Dairy_Stage1MMS_2_DrainsToPaddock,2,1)</f>
        <v>Drains to paddock</v>
      </c>
      <c r="Q46" s="53" cm="1">
        <f t="array" ref="Q46">MMS_Dairy_AtmosphericDeposition_Equations.VEERG_4_3_1_5__2_TotalNitrogenVolatilisedFromMMS(Q25, $E34)</f>
        <v>0</v>
      </c>
      <c r="R46" s="53" cm="1">
        <f t="array" ref="R46">MMS_Dairy_AtmosphericDeposition_Equations.VEERG_4_3_1_5__2_TotalNitrogenVolatilisedFromMMS(R25, $E34)</f>
        <v>0</v>
      </c>
      <c r="S46" s="53" cm="1">
        <f t="array" ref="S46">MMS_Dairy_AtmosphericDeposition_Equations.VEERG_4_3_1_5__2_TotalNitrogenVolatilisedFromMMS(S25, $E34)</f>
        <v>0</v>
      </c>
      <c r="T46" s="53" cm="1">
        <f t="array" ref="T46">MMS_Dairy_AtmosphericDeposition_Equations.VEERG_4_3_1_5__2_TotalNitrogenVolatilisedFromMMS(T25, $E34)</f>
        <v>0</v>
      </c>
      <c r="U46" s="53" cm="1">
        <f t="array" ref="U46">MMS_Dairy_AtmosphericDeposition_Equations.VEERG_4_3_1_5__2_TotalNitrogenVolatilisedFromMMS(U25, $E34)</f>
        <v>0</v>
      </c>
      <c r="V46" s="2"/>
    </row>
    <row r="47" spans="4:22" ht="20.100000000000001" customHeight="1" x14ac:dyDescent="0.25">
      <c r="D47" s="53" t="str">
        <f>INDEX(X_Table_Dairy_ProductionSystems_Method1,4,1)</f>
        <v>Feed pad</v>
      </c>
      <c r="E47" s="53" t="s">
        <v>398</v>
      </c>
      <c r="F47" s="53" cm="1">
        <f t="array" ref="F47">MMS_Dairy_AtmosphericDeposition_Equations.VEERG_4_3_1_5__2_TotalNitrogenVolatilisedFromMMS(F26, $E35)</f>
        <v>0</v>
      </c>
      <c r="G47" s="53" cm="1">
        <f t="array" ref="G47">MMS_Dairy_AtmosphericDeposition_Equations.VEERG_4_3_1_5__2_TotalNitrogenVolatilisedFromMMS(G26, $E35)</f>
        <v>0</v>
      </c>
      <c r="H47" s="53" cm="1">
        <f t="array" ref="H47">MMS_Dairy_AtmosphericDeposition_Equations.VEERG_4_3_1_5__2_TotalNitrogenVolatilisedFromMMS(H26, $E35)</f>
        <v>0</v>
      </c>
      <c r="I47" s="53" cm="1">
        <f t="array" ref="I47">MMS_Dairy_AtmosphericDeposition_Equations.VEERG_4_3_1_5__2_TotalNitrogenVolatilisedFromMMS(I26, $E35)</f>
        <v>0</v>
      </c>
      <c r="J47" s="53" cm="1">
        <f t="array" ref="J47">MMS_Dairy_AtmosphericDeposition_Equations.VEERG_4_3_1_5__2_TotalNitrogenVolatilisedFromMMS(J26, $E35)</f>
        <v>0</v>
      </c>
      <c r="K47" s="2"/>
      <c r="O47" s="53" t="str">
        <f>INDEX(X_Table_Dairy_ProductionSystems_Method1,4,1)</f>
        <v>Feed pad</v>
      </c>
      <c r="P47" s="53" t="s">
        <v>398</v>
      </c>
      <c r="Q47" s="53" cm="1">
        <f t="array" ref="Q47">MMS_Dairy_AtmosphericDeposition_Equations.VEERG_4_3_1_5__2_TotalNitrogenVolatilisedFromMMS(Q26, $E35)</f>
        <v>0</v>
      </c>
      <c r="R47" s="53" cm="1">
        <f t="array" ref="R47">MMS_Dairy_AtmosphericDeposition_Equations.VEERG_4_3_1_5__2_TotalNitrogenVolatilisedFromMMS(R26, $E35)</f>
        <v>0</v>
      </c>
      <c r="S47" s="53" cm="1">
        <f t="array" ref="S47">MMS_Dairy_AtmosphericDeposition_Equations.VEERG_4_3_1_5__2_TotalNitrogenVolatilisedFromMMS(S26, $E35)</f>
        <v>0</v>
      </c>
      <c r="T47" s="53" cm="1">
        <f t="array" ref="T47">MMS_Dairy_AtmosphericDeposition_Equations.VEERG_4_3_1_5__2_TotalNitrogenVolatilisedFromMMS(T26, $E35)</f>
        <v>0</v>
      </c>
      <c r="U47" s="53" cm="1">
        <f t="array" ref="U47">MMS_Dairy_AtmosphericDeposition_Equations.VEERG_4_3_1_5__2_TotalNitrogenVolatilisedFromMMS(U26, $E35)</f>
        <v>0</v>
      </c>
      <c r="V47" s="2"/>
    </row>
    <row r="48" spans="4:22" ht="20.100000000000001" customHeight="1" x14ac:dyDescent="0.25"/>
    <row r="49" spans="3:23" ht="20.100000000000001" customHeight="1" x14ac:dyDescent="0.25">
      <c r="D49" s="114" t="s">
        <v>373</v>
      </c>
      <c r="E49" s="46">
        <f>SUM(F40:J47)</f>
        <v>1218.3311933675816</v>
      </c>
      <c r="F49" s="108" t="str">
        <f>$E$11</f>
        <v>kg N</v>
      </c>
      <c r="O49" s="114" t="s">
        <v>373</v>
      </c>
      <c r="P49" s="46">
        <f>SUM(Q40:U47)</f>
        <v>1218.3311933675816</v>
      </c>
      <c r="Q49" s="108" t="str">
        <f>$E$11</f>
        <v>kg N</v>
      </c>
    </row>
    <row r="50" spans="3:23" ht="20.100000000000001" customHeight="1" x14ac:dyDescent="0.25"/>
    <row r="51" spans="3:23" ht="20.100000000000001" customHeight="1" x14ac:dyDescent="0.25"/>
    <row r="52" spans="3:23" ht="20.100000000000001" customHeight="1" x14ac:dyDescent="0.25">
      <c r="C52" s="46"/>
      <c r="D52" s="46"/>
      <c r="E52" s="46"/>
      <c r="F52" s="46"/>
      <c r="G52" s="46"/>
      <c r="H52" s="46"/>
      <c r="I52" s="46"/>
      <c r="J52" s="46"/>
      <c r="K52" s="46"/>
      <c r="L52" s="46"/>
      <c r="N52" s="46"/>
      <c r="O52" s="46"/>
      <c r="P52" s="46"/>
      <c r="Q52" s="46"/>
      <c r="R52" s="46"/>
      <c r="S52" s="46"/>
      <c r="T52" s="46"/>
      <c r="U52" s="46"/>
      <c r="V52" s="46"/>
      <c r="W52" s="46"/>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25</v>
      </c>
      <c r="E55" s="13" t="str">
        <f ca="1">Common_InputFunctions.Utility_DisplayFunctionName(VEERG_4_3_1_5__1_AnnualAtmosphericDepositionEmissionsFromMMS_Result_Method1)</f>
        <v>=MMS_Dairy_AtmosphericDeposition_Equations.VEERG_4_3_1_5__1_AnnualAtmosphericDepositionEmissionsFromMMS</v>
      </c>
    </row>
    <row r="56" spans="3:23" ht="20.100000000000001" customHeight="1" x14ac:dyDescent="0.25"/>
    <row r="57" spans="3:23" ht="20.100000000000001" customHeight="1" x14ac:dyDescent="0.25">
      <c r="D57" s="6"/>
      <c r="H57" s="1" t="s">
        <v>414</v>
      </c>
    </row>
    <row r="58" spans="3:23" ht="20.100000000000001" customHeight="1" x14ac:dyDescent="0.25">
      <c r="D58" s="54" t="s">
        <v>28</v>
      </c>
      <c r="E58" s="1" t="str" cm="1">
        <f t="array" ref="E58">MMS_Dairy_AtmosphericDeposition_Equations.VEERG_4_3_1_5__1_AnnualAtmosphericDepositionEmissionsFromMMS_Variable()</f>
        <v>E_N2OMMSad</v>
      </c>
    </row>
    <row r="59" spans="3:23" ht="20.100000000000001" customHeight="1" x14ac:dyDescent="0.25">
      <c r="D59" s="54" t="s">
        <v>18</v>
      </c>
      <c r="E59" s="55"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133" t="str" cm="1">
        <f t="array" ref="D61:E66">_xlfn.CHOOSECOLS(MMS_Dairy_AtmosphericDeposition_Equations.VEERG_4_3_1_5__1_AnnualAtmosphericDepositionEmissionsFromMMS_Arguments(),1,2)</f>
        <v>MN_ATMOS</v>
      </c>
      <c r="E61" s="132" t="str">
        <v>mass of N volatilised from MMS</v>
      </c>
      <c r="F61" s="134"/>
      <c r="G61" s="133" t="str" cm="1">
        <f t="array" ref="G61:H66">_xlfn.CHOOSECOLS(MMS_Dairy_AtmosphericDeposition_Equations.VEERG_4_3_1_5__1_AnnualAtmosphericDepositionEmissionsFromMMS_Arguments(),3,4)</f>
        <v>kg N</v>
      </c>
      <c r="H61" s="129" t="str">
        <v>Calculated from 4.3.1.5 (2)</v>
      </c>
      <c r="I61" s="133">
        <f>$E$49</f>
        <v>1218.3311933675816</v>
      </c>
      <c r="O61" s="58" t="str">
        <f>D61</f>
        <v>MN_ATMOS</v>
      </c>
      <c r="P61" s="59" t="str">
        <f>E61</f>
        <v>mass of N volatilised from MMS</v>
      </c>
      <c r="Q61" s="60"/>
      <c r="R61" s="58">
        <f>$P$49</f>
        <v>1218.3311933675816</v>
      </c>
    </row>
    <row r="62" spans="3:23" ht="20.100000000000001" customHeight="1" x14ac:dyDescent="0.25">
      <c r="D62" s="133" t="str">
        <v>EF_N2O</v>
      </c>
      <c r="E62" s="132" t="str">
        <v>nitrous oxide emission factor for atmospheric deposition</v>
      </c>
      <c r="F62" s="134"/>
      <c r="G62" s="133" t="str">
        <v>kg N2O-N/kg N</v>
      </c>
      <c r="H62" s="129" t="str">
        <v>Constant</v>
      </c>
      <c r="I62" s="133">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58"/>
      <c r="P62" s="59"/>
      <c r="Q62" s="60"/>
      <c r="R62" s="58"/>
    </row>
    <row r="63" spans="3:23" ht="20.100000000000001" customHeight="1" x14ac:dyDescent="0.25">
      <c r="D63" s="133" t="str">
        <v>C_N2O</v>
      </c>
      <c r="E63" s="132" t="str">
        <v>factor to convert elemental mass of N2O to molecular mass</v>
      </c>
      <c r="F63" s="134"/>
      <c r="G63" s="133" t="str">
        <v/>
      </c>
      <c r="H63" s="129" t="str">
        <v>Constant</v>
      </c>
      <c r="I63" s="133">
        <f>Common_InputFunctions.Utility_LookupValueInTableNumber("N2O",Table_GasToMolecularConversionFactor[Gas],Table_GasToMolecularConversionFactor[Conversion factor combined])</f>
        <v>1.5714285714285714</v>
      </c>
      <c r="O63" s="58"/>
      <c r="P63" s="59"/>
      <c r="Q63" s="60"/>
      <c r="R63" s="58"/>
    </row>
    <row r="64" spans="3:23" ht="20.100000000000001" customHeight="1" x14ac:dyDescent="0.25">
      <c r="D64" s="133" t="str">
        <v>j</v>
      </c>
      <c r="E64" s="132" t="str">
        <v>production system</v>
      </c>
      <c r="F64" s="134"/>
      <c r="G64" s="133" t="str">
        <v/>
      </c>
      <c r="H64" s="131" t="str">
        <v>Input</v>
      </c>
      <c r="I64" s="133" t="str">
        <f>X_Cell_Dairy_ManureAppliedProductionSystem</f>
        <v>Pasture</v>
      </c>
      <c r="O64" s="58"/>
      <c r="P64" s="59"/>
      <c r="Q64" s="60"/>
      <c r="R64" s="58"/>
    </row>
    <row r="65" spans="4:18" ht="20.100000000000001" customHeight="1" x14ac:dyDescent="0.25">
      <c r="D65" s="133" t="str">
        <v>ir</v>
      </c>
      <c r="E65" s="132" t="str">
        <v>irrigation method</v>
      </c>
      <c r="F65" s="134"/>
      <c r="G65" s="133" t="str">
        <v/>
      </c>
      <c r="H65" s="131" t="str">
        <v>Input</v>
      </c>
      <c r="I65" s="133" t="str">
        <f>X_Cell_Dairy_ManureAppliedIrrigationMethod</f>
        <v>Sprinkler irrigation</v>
      </c>
      <c r="O65" s="58"/>
      <c r="P65" s="59"/>
      <c r="Q65" s="60"/>
      <c r="R65" s="58"/>
    </row>
    <row r="66" spans="4:18" ht="20.100000000000001" customHeight="1" x14ac:dyDescent="0.25">
      <c r="D66" s="133" t="str">
        <v>r</v>
      </c>
      <c r="E66" s="132" t="str">
        <v>rainfall region</v>
      </c>
      <c r="F66" s="134"/>
      <c r="G66" s="133" t="str">
        <v/>
      </c>
      <c r="H66" s="131" t="str">
        <v>Input</v>
      </c>
      <c r="I66" s="133" t="str">
        <f>X_Cell_Site_RainfallZone</f>
        <v>High rainfall</v>
      </c>
      <c r="O66" s="58"/>
      <c r="P66" s="59"/>
      <c r="Q66" s="60"/>
      <c r="R66" s="58"/>
    </row>
    <row r="67" spans="4:18" ht="20.100000000000001" customHeight="1" x14ac:dyDescent="0.25"/>
    <row r="68" spans="4:18" ht="20.100000000000001" customHeight="1" x14ac:dyDescent="0.25">
      <c r="D68" s="104" t="s">
        <v>318</v>
      </c>
      <c r="E68" s="105" cm="1">
        <f t="array" ref="E68">MMS_Dairy_AtmosphericDeposition_Equations.VEERG_4_3_1_5__1_AnnualAtmosphericDepositionEmissionsFromMMS($I$61,$I$62,$I$63)</f>
        <v>1.1295670635650863E-2</v>
      </c>
      <c r="F68" s="106" t="str">
        <f>$E$59</f>
        <v>t N2O</v>
      </c>
      <c r="O68" s="104" t="s">
        <v>318</v>
      </c>
      <c r="P68" s="105" cm="1">
        <f t="array" ref="P68">MMS_Dairy_AtmosphericDeposition_Equations.VEERG_4_3_1_5__1_AnnualAtmosphericDepositionEmissionsFromMMS($R$61,$I$62,$I$63)</f>
        <v>1.1295670635650863E-2</v>
      </c>
      <c r="Q68" s="106" t="str">
        <f>$E$59</f>
        <v>t N2O</v>
      </c>
    </row>
    <row r="69" spans="4:18" ht="20.100000000000001" customHeight="1" x14ac:dyDescent="0.25"/>
    <row r="70" spans="4:18" ht="20.100000000000001" customHeight="1" x14ac:dyDescent="0.25">
      <c r="D70" s="58" t="str" cm="1">
        <f t="array" ref="D70:E71">Common_Equations.Common_ConvertN2OToCO2e_Arguments()</f>
        <v>EN2O</v>
      </c>
      <c r="E70" s="59" t="str">
        <v>Nitrous oxide emissions (t N2O)</v>
      </c>
      <c r="F70" s="107"/>
      <c r="G70" s="53">
        <f>VEERG_4_3_1_5__1_AnnualAtmosphericDepositionEmissionsFromMMS_Result_Method1</f>
        <v>1.1295670635650863E-2</v>
      </c>
      <c r="O70" s="58" t="str" cm="1">
        <f t="array" ref="O70:P71">Common_Equations.Common_ConvertN2OToCO2e_Arguments()</f>
        <v>EN2O</v>
      </c>
      <c r="P70" s="59" t="str">
        <v>Nitrous oxide emissions (t N2O)</v>
      </c>
      <c r="Q70" s="107"/>
      <c r="R70" s="53">
        <f>VEERG_4_3_1_5__1_AnnualAtmosphericDepositionEmissionsFromMMS_Result_Method2</f>
        <v>1.1295670635650863E-2</v>
      </c>
    </row>
    <row r="71" spans="4:18" ht="20.100000000000001" customHeight="1" x14ac:dyDescent="0.25">
      <c r="D71" s="58" t="str">
        <v>GWPN2O</v>
      </c>
      <c r="E71" s="59" t="str">
        <v>Global warming potential for nitrous oxide (t CO2-e / t N2O)</v>
      </c>
      <c r="F71" s="107"/>
      <c r="G71" s="53">
        <f>Common_InputFunctions.Utility_LookupValueInTableNumber("N2O",Table_GWPData[Gas],Table_GWPData[CO2-e factor])</f>
        <v>265</v>
      </c>
      <c r="O71" s="58" t="str">
        <v>GWPN2O</v>
      </c>
      <c r="P71" s="59" t="str">
        <v>Global warming potential for nitrous oxide (t CO2-e / t N2O)</v>
      </c>
      <c r="Q71" s="107"/>
      <c r="R71" s="53">
        <f>Common_InputFunctions.Utility_LookupValueInTableNumber("N2O",Table_GWPData[Gas],Table_GWPData[CO2-e factor])</f>
        <v>265</v>
      </c>
    </row>
    <row r="72" spans="4:18" ht="20.100000000000001" customHeight="1" x14ac:dyDescent="0.25"/>
    <row r="73" spans="4:18" ht="20.100000000000001" customHeight="1" x14ac:dyDescent="0.25">
      <c r="D73" s="46" t="s">
        <v>102</v>
      </c>
      <c r="E73" s="157" cm="1">
        <f t="array" ref="E73">Common_Equations.Common_ConvertN2OToCO2e(G70,G71)</f>
        <v>2.9933527184474786</v>
      </c>
      <c r="F73" s="108" t="str" cm="1">
        <f t="array" ref="F73">Common_Equations.Common_ConvertN2OToCO2e_Unit()</f>
        <v>t CO2e</v>
      </c>
      <c r="O73" s="46" t="s">
        <v>102</v>
      </c>
      <c r="P73" s="46" cm="1">
        <f t="array" ref="P73">Common_Equations.Common_ConvertN2OToCO2e(R70,R71)</f>
        <v>2.9933527184474786</v>
      </c>
      <c r="Q73" s="108"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41" zoomScaleNormal="100" workbookViewId="0">
      <selection activeCell="P52" sqref="P5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345</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D6" s="5" t="str" cm="1">
        <f t="array" ref="D6">MMS_Dairy_LeachingAndRunoff_Equations.VEERG_4_3_1_6__2_MassOfNitrogenLostToLeachingAndRunoffFromSolidStorage_Source()</f>
        <v>VEERG 2026: 4.3.1.6, Equation (2)</v>
      </c>
    </row>
    <row r="7" spans="1:23" ht="20.100000000000001" customHeight="1" x14ac:dyDescent="0.25">
      <c r="D7" s="13" t="s">
        <v>25</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MMS_Dairy_LeachingAndRunoff_Equations.VEERG_4_3_1_6__2_MassOfNitrogenLostToLeachingAndRunoffFromSolidStorage_Variable()</f>
        <v>MNLeach_jm4</v>
      </c>
    </row>
    <row r="11" spans="1:23" ht="20.100000000000001" customHeight="1" x14ac:dyDescent="0.25">
      <c r="D11" s="54" t="s">
        <v>18</v>
      </c>
      <c r="E11" s="55" t="str" cm="1">
        <f t="array" ref="E11">MMS_Dairy_LeachingAndRunoff_Equations.VEERG_4_3_1_6__2_MassOfNitrogenLostToLeachingAndRunoffFromSolidStorage_Unit()</f>
        <v>kg N</v>
      </c>
    </row>
    <row r="12" spans="1:23" ht="20.100000000000001" customHeight="1" x14ac:dyDescent="0.25"/>
    <row r="13" spans="1:23" ht="20.100000000000001" customHeight="1" x14ac:dyDescent="0.25">
      <c r="A13" s="18" t="s">
        <v>72</v>
      </c>
      <c r="D13" s="133" t="str" cm="1">
        <f t="array" ref="D13:E18">_xlfn.CHOOSECOLS(MMS_Dairy_LeachingAndRunoff_Equations.VEERG_4_3_1_6__2_MassOfNitrogenLostToLeachingAndRunoffFromSolidStorage_Arguments(),1,2)</f>
        <v>MN_jm4</v>
      </c>
      <c r="E13" s="132" t="str">
        <v>total nitrogen in solid storage system m=4 (kg N)</v>
      </c>
      <c r="F13" s="138"/>
      <c r="G13" s="134"/>
      <c r="H13" s="133" t="str" cm="1">
        <f t="array" ref="H13:I18">_xlfn.CHOOSECOLS(MMS_Dairy_LeachingAndRunoff_Equations.VEERG_4_3_1_6__2_MassOfNitrogenLostToLeachingAndRunoffFromSolidStorage_Arguments(),3,4)</f>
        <v>kg N</v>
      </c>
      <c r="I13" s="129" t="str">
        <v>Calculated from 4.3.1.3 (2)</v>
      </c>
      <c r="J13" s="130" t="str" cm="1">
        <f t="array" aca="1" ref="J13" ca="1">HYPERLINK(Common_InputFunctions.Utility_SourceHyperlink($D$20),$D$20)</f>
        <v>M1_Table_MN_j_m-4</v>
      </c>
    </row>
    <row r="14" spans="1:23" ht="20.100000000000001" customHeight="1" x14ac:dyDescent="0.25">
      <c r="A14" s="17" t="str">
        <f>HYPERLINK("#'4.3.1.1-2 Methane'!A1", "4.3.1.1-2 Methane")</f>
        <v>4.3.1.1-2 Methane</v>
      </c>
      <c r="D14" s="133" t="str">
        <v>FracWET_i</v>
      </c>
      <c r="E14" s="132" t="str">
        <v>fraction of N that is available for leaching and runoff from the leaching zone z and irrigation type ir</v>
      </c>
      <c r="F14" s="138"/>
      <c r="G14" s="134"/>
      <c r="H14" s="133" t="str">
        <v>fraction</v>
      </c>
      <c r="I14" s="129" t="str">
        <v>Constant</v>
      </c>
      <c r="J14" s="133">
        <f>Common_InputFunctions.CommonCropping_GetFracWET(J16,J18,#REF!,#REF!,Table_SourceData_FracWETIrrigation[Irrigation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FracLEACH_MS</v>
      </c>
      <c r="E15" s="132" t="str">
        <v>fraction of N that is lost through leaching and runoff</v>
      </c>
      <c r="F15" s="138"/>
      <c r="G15" s="134"/>
      <c r="H15" s="133" t="str">
        <v>fraction</v>
      </c>
      <c r="I15" s="129" t="str">
        <v>Constant</v>
      </c>
      <c r="J15" s="133">
        <f>SourceData_Dairy_FractionOfNitrogenLostThroughLeachingAndRunoffSolidStorage_Data</f>
        <v>0.02</v>
      </c>
    </row>
    <row r="16" spans="1:23" ht="20.100000000000001" customHeight="1" x14ac:dyDescent="0.25">
      <c r="A16" s="17" t="str">
        <f>HYPERLINK("#'4.3.1.5 Atmos deposition'!A1", "4.3.1.5 Atmos deposition")</f>
        <v>4.3.1.5 Atmos deposition</v>
      </c>
      <c r="D16" s="133" t="str">
        <v>z</v>
      </c>
      <c r="E16" s="132" t="str">
        <v>location in leaching zone</v>
      </c>
      <c r="F16" s="138"/>
      <c r="G16" s="134"/>
      <c r="H16" s="133" t="str">
        <v/>
      </c>
      <c r="I16" s="131" t="str">
        <v>Input</v>
      </c>
      <c r="J16" s="133" t="str">
        <f>X_Cell_Site_LeachingZone</f>
        <v>YES - In leaching zone</v>
      </c>
    </row>
    <row r="17" spans="1:22" ht="20.100000000000001" customHeight="1" x14ac:dyDescent="0.25">
      <c r="A17" s="21" t="str">
        <f>HYPERLINK("#'4.3.1.6-7 Leaching and runoff'!A1", "4.3.1.6-7 Leaching and runoff")</f>
        <v>4.3.1.6-7 Leaching and runoff</v>
      </c>
      <c r="D17" s="133" t="str">
        <v>j</v>
      </c>
      <c r="E17" s="132" t="str">
        <v>production system</v>
      </c>
      <c r="F17" s="138"/>
      <c r="G17" s="134"/>
      <c r="H17" s="133" t="str">
        <v/>
      </c>
      <c r="I17" s="131" t="str">
        <v>Input</v>
      </c>
      <c r="J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8"/>
      <c r="G18" s="134"/>
      <c r="H18" s="133" t="str">
        <v/>
      </c>
      <c r="I18" s="131" t="str">
        <v>Input</v>
      </c>
      <c r="J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320</v>
      </c>
      <c r="O20" s="100" t="s">
        <v>322</v>
      </c>
    </row>
    <row r="21" spans="1:22" ht="20.100000000000001" customHeight="1" x14ac:dyDescent="0.25">
      <c r="A21" s="17" t="str">
        <f>HYPERLINK("#'4.3.1.12-13 Soil leach runoff'!A1", "4.3.1.12-13 Soil leach runoff")</f>
        <v>4.3.1.12-13 Soil leach runoff</v>
      </c>
      <c r="D21" s="99" t="s">
        <v>321</v>
      </c>
      <c r="O21" s="99" t="s">
        <v>323</v>
      </c>
    </row>
    <row r="22" spans="1:22" ht="20.100000000000001" customHeight="1" x14ac:dyDescent="0.25">
      <c r="D22" s="52" t="s">
        <v>140</v>
      </c>
      <c r="E22" s="52" t="s">
        <v>65</v>
      </c>
      <c r="F22" s="52" t="s">
        <v>165</v>
      </c>
      <c r="G22" s="52" t="s">
        <v>182</v>
      </c>
      <c r="H22" s="52" t="s">
        <v>183</v>
      </c>
      <c r="I22" s="52" t="s">
        <v>184</v>
      </c>
      <c r="J22" s="52" t="s">
        <v>185</v>
      </c>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INDEX(X_Table_Dairy_ProductionSystems_Method1,3,1)</f>
        <v>Milking shed</v>
      </c>
      <c r="E23" s="53" t="s">
        <v>398</v>
      </c>
      <c r="F23" s="53">
        <f>INDEX(M1_Table_MN_j_m,5,3)</f>
        <v>0</v>
      </c>
      <c r="G23" s="53">
        <f>INDEX(M1_Table_MN_j_m,5,4)</f>
        <v>0</v>
      </c>
      <c r="H23" s="53">
        <f>INDEX(M1_Table_MN_j_m,5,5)</f>
        <v>0</v>
      </c>
      <c r="I23" s="53">
        <f>INDEX(M1_Table_MN_j_m,5,6)</f>
        <v>0</v>
      </c>
      <c r="J23" s="53">
        <f>INDEX(M1_Table_MN_j_m,5,7)</f>
        <v>0</v>
      </c>
      <c r="K23" s="2" t="str">
        <f>$H$13</f>
        <v>kg N</v>
      </c>
      <c r="O23" s="53" t="str">
        <f>INDEX(X_Table_Dairy_ProductionSystems_Method1,3,1)</f>
        <v>Milking shed</v>
      </c>
      <c r="P23" s="53" t="s">
        <v>398</v>
      </c>
      <c r="Q23" s="53">
        <f>INDEX(M2_Table_MN_j_m,5,3)</f>
        <v>0</v>
      </c>
      <c r="R23" s="53">
        <f>INDEX(M2_Table_MN_j_m,5,4)</f>
        <v>0</v>
      </c>
      <c r="S23" s="53">
        <f>INDEX(M2_Table_MN_j_m,5,5)</f>
        <v>0</v>
      </c>
      <c r="T23" s="53">
        <f>INDEX(M2_Table_MN_j_m,5,6)</f>
        <v>0</v>
      </c>
      <c r="U23" s="53">
        <f>INDEX(M2_Table_MN_j_m,5,7)</f>
        <v>0</v>
      </c>
      <c r="V23" s="2" t="str">
        <f>$H$13</f>
        <v>kg N</v>
      </c>
    </row>
    <row r="24" spans="1:22" ht="20.100000000000001" customHeight="1" x14ac:dyDescent="0.25">
      <c r="A24" s="154" t="s">
        <v>1</v>
      </c>
      <c r="D24" s="53" t="str">
        <f>INDEX(X_Table_Dairy_ProductionSystems_Method1,4,1)</f>
        <v>Feed pad</v>
      </c>
      <c r="E24" s="53" t="s">
        <v>398</v>
      </c>
      <c r="F24" s="53">
        <f>INDEX(M1_Table_MN_j_m,9,3)</f>
        <v>0</v>
      </c>
      <c r="G24" s="53">
        <f>INDEX(M1_Table_MN_j_m,9,4)</f>
        <v>0</v>
      </c>
      <c r="H24" s="53">
        <f>INDEX(M1_Table_MN_j_m,9,5)</f>
        <v>0</v>
      </c>
      <c r="I24" s="53">
        <f>INDEX(M1_Table_MN_j_m,9,6)</f>
        <v>0</v>
      </c>
      <c r="J24" s="53">
        <f>INDEX(M1_Table_MN_j_m,9,7)</f>
        <v>0</v>
      </c>
      <c r="K24" s="2"/>
      <c r="O24" s="53" t="str">
        <f>INDEX(X_Table_Dairy_ProductionSystems_Method1,4,1)</f>
        <v>Feed pad</v>
      </c>
      <c r="P24" s="53" t="s">
        <v>398</v>
      </c>
      <c r="Q24" s="53">
        <f>INDEX(M2_Table_MN_j_m,9,3)</f>
        <v>0</v>
      </c>
      <c r="R24" s="53">
        <f>INDEX(M2_Table_MN_j_m,9,4)</f>
        <v>0</v>
      </c>
      <c r="S24" s="53">
        <f>INDEX(M2_Table_MN_j_m,9,5)</f>
        <v>0</v>
      </c>
      <c r="T24" s="53">
        <f>INDEX(M2_Table_MN_j_m,9,6)</f>
        <v>0</v>
      </c>
      <c r="U24" s="53">
        <f>INDEX(M2_Table_MN_j_m,9,7)</f>
        <v>0</v>
      </c>
      <c r="V24" s="2"/>
    </row>
    <row r="25" spans="1:22" ht="20.100000000000001" customHeight="1" x14ac:dyDescent="0.25">
      <c r="A25" s="17" t="str">
        <f>HYPERLINK("#'Constants - Dairy'!A1", "Constants - Dairy")</f>
        <v>Constants - Dairy</v>
      </c>
    </row>
    <row r="26" spans="1:22" ht="20.100000000000001" customHeight="1" x14ac:dyDescent="0.25">
      <c r="A26" s="17" t="str">
        <f>HYPERLINK("#'Constants - Common'!A1", "Constants - Common")</f>
        <v>Constants - Common</v>
      </c>
      <c r="D26" s="100" t="s">
        <v>325</v>
      </c>
      <c r="O26" s="100" t="s">
        <v>326</v>
      </c>
    </row>
    <row r="27" spans="1:22" ht="20.100000000000001" customHeight="1" x14ac:dyDescent="0.25">
      <c r="A27" s="17" t="str">
        <f>HYPERLINK("#'Constants - Livestock'!A1", "Constants - Livestock")</f>
        <v>Constants - Livestock</v>
      </c>
      <c r="D27" s="99" t="s">
        <v>324</v>
      </c>
      <c r="O27" s="99" t="s">
        <v>327</v>
      </c>
    </row>
    <row r="28" spans="1:22" ht="20.100000000000001" customHeight="1" x14ac:dyDescent="0.25">
      <c r="A28" s="17" t="str">
        <f>HYPERLINK("#'Acknowledgements'!A1", "Acknowledgements")</f>
        <v>Acknowledgements</v>
      </c>
      <c r="D28" s="52" t="s">
        <v>140</v>
      </c>
      <c r="E28" s="52" t="s">
        <v>65</v>
      </c>
      <c r="F28" s="52" t="s">
        <v>165</v>
      </c>
      <c r="G28" s="52" t="s">
        <v>182</v>
      </c>
      <c r="H28" s="52" t="s">
        <v>183</v>
      </c>
      <c r="I28" s="52" t="s">
        <v>184</v>
      </c>
      <c r="J28" s="52" t="s">
        <v>185</v>
      </c>
      <c r="O28" s="52" t="s">
        <v>140</v>
      </c>
      <c r="P28" s="52" t="s">
        <v>65</v>
      </c>
      <c r="Q28" s="52" t="s">
        <v>165</v>
      </c>
      <c r="R28" s="52" t="s">
        <v>182</v>
      </c>
      <c r="S28" s="52" t="s">
        <v>183</v>
      </c>
      <c r="T28" s="52" t="s">
        <v>184</v>
      </c>
      <c r="U28" s="52" t="s">
        <v>185</v>
      </c>
    </row>
    <row r="29" spans="1:22" ht="20.100000000000001" customHeight="1" x14ac:dyDescent="0.25">
      <c r="A29" s="17" t="str">
        <f>HYPERLINK("#'Tab template'!A1", "Tab template")</f>
        <v>Tab template</v>
      </c>
      <c r="D29" s="53" t="str">
        <f>INDEX(X_Table_Dairy_ProductionSystems_Method1,3,1)</f>
        <v>Milking shed</v>
      </c>
      <c r="E29" s="53" t="s">
        <v>398</v>
      </c>
      <c r="F29" s="53" cm="1">
        <f t="array" ref="F29">MMS_Dairy_LeachingAndRunoff_Equations.VEERG_4_3_1_6__2_MassOfNitrogenLostToLeachingAndRunoffFromSolidStorage(F23,$J$14,$J$15)</f>
        <v>0</v>
      </c>
      <c r="G29" s="53" cm="1">
        <f t="array" ref="G29">MMS_Dairy_LeachingAndRunoff_Equations.VEERG_4_3_1_6__2_MassOfNitrogenLostToLeachingAndRunoffFromSolidStorage(G23,$J$14,$J$15)</f>
        <v>0</v>
      </c>
      <c r="H29" s="53" cm="1">
        <f t="array" ref="H29">MMS_Dairy_LeachingAndRunoff_Equations.VEERG_4_3_1_6__2_MassOfNitrogenLostToLeachingAndRunoffFromSolidStorage(H23,$J$14,$J$15)</f>
        <v>0</v>
      </c>
      <c r="I29" s="53" cm="1">
        <f t="array" ref="I29">MMS_Dairy_LeachingAndRunoff_Equations.VEERG_4_3_1_6__2_MassOfNitrogenLostToLeachingAndRunoffFromSolidStorage(I23,$J$14,$J$15)</f>
        <v>0</v>
      </c>
      <c r="J29" s="53" cm="1">
        <f t="array" ref="J29">MMS_Dairy_LeachingAndRunoff_Equations.VEERG_4_3_1_6__2_MassOfNitrogenLostToLeachingAndRunoffFromSolidStorage(J23,$J$14,$J$15)</f>
        <v>0</v>
      </c>
      <c r="K29" s="2" t="str">
        <f>$E$11</f>
        <v>kg N</v>
      </c>
      <c r="O29" s="53" t="str">
        <f>INDEX(X_Table_Dairy_ProductionSystems_Method1,3,1)</f>
        <v>Milking shed</v>
      </c>
      <c r="P29" s="53" t="s">
        <v>398</v>
      </c>
      <c r="Q29" s="53" cm="1">
        <f t="array" ref="Q29">MMS_Dairy_LeachingAndRunoff_Equations.VEERG_4_3_1_6__2_MassOfNitrogenLostToLeachingAndRunoffFromSolidStorage(Q23,$J$14,$J$15)</f>
        <v>0</v>
      </c>
      <c r="R29" s="53" cm="1">
        <f t="array" ref="R29">MMS_Dairy_LeachingAndRunoff_Equations.VEERG_4_3_1_6__2_MassOfNitrogenLostToLeachingAndRunoffFromSolidStorage(R23,$J$14,$J$15)</f>
        <v>0</v>
      </c>
      <c r="S29" s="53" cm="1">
        <f t="array" ref="S29">MMS_Dairy_LeachingAndRunoff_Equations.VEERG_4_3_1_6__2_MassOfNitrogenLostToLeachingAndRunoffFromSolidStorage(S23,$J$14,$J$15)</f>
        <v>0</v>
      </c>
      <c r="T29" s="53" cm="1">
        <f t="array" ref="T29">MMS_Dairy_LeachingAndRunoff_Equations.VEERG_4_3_1_6__2_MassOfNitrogenLostToLeachingAndRunoffFromSolidStorage(T23,$J$14,$J$15)</f>
        <v>0</v>
      </c>
      <c r="U29" s="53" cm="1">
        <f t="array" ref="U29">MMS_Dairy_LeachingAndRunoff_Equations.VEERG_4_3_1_6__2_MassOfNitrogenLostToLeachingAndRunoffFromSolidStorage(U23,$J$14,$J$15)</f>
        <v>0</v>
      </c>
      <c r="V29" s="2" t="str">
        <f>$E$11</f>
        <v>kg N</v>
      </c>
    </row>
    <row r="30" spans="1:22" ht="20.100000000000001" customHeight="1" x14ac:dyDescent="0.25">
      <c r="D30" s="53" t="str">
        <f>INDEX(X_Table_Dairy_ProductionSystems_Method1,4,1)</f>
        <v>Feed pad</v>
      </c>
      <c r="E30" s="53" t="s">
        <v>398</v>
      </c>
      <c r="F30" s="53" cm="1">
        <f t="array" ref="F30">MMS_Dairy_LeachingAndRunoff_Equations.VEERG_4_3_1_6__2_MassOfNitrogenLostToLeachingAndRunoffFromSolidStorage(F24,$J$14,$J$15)</f>
        <v>0</v>
      </c>
      <c r="G30" s="53" cm="1">
        <f t="array" ref="G30">MMS_Dairy_LeachingAndRunoff_Equations.VEERG_4_3_1_6__2_MassOfNitrogenLostToLeachingAndRunoffFromSolidStorage(G24,$J$14,$J$15)</f>
        <v>0</v>
      </c>
      <c r="H30" s="53" cm="1">
        <f t="array" ref="H30">MMS_Dairy_LeachingAndRunoff_Equations.VEERG_4_3_1_6__2_MassOfNitrogenLostToLeachingAndRunoffFromSolidStorage(H24,$J$14,$J$15)</f>
        <v>0</v>
      </c>
      <c r="I30" s="53" cm="1">
        <f t="array" ref="I30">MMS_Dairy_LeachingAndRunoff_Equations.VEERG_4_3_1_6__2_MassOfNitrogenLostToLeachingAndRunoffFromSolidStorage(I24,$J$14,$J$15)</f>
        <v>0</v>
      </c>
      <c r="J30" s="53" cm="1">
        <f t="array" ref="J30">MMS_Dairy_LeachingAndRunoff_Equations.VEERG_4_3_1_6__2_MassOfNitrogenLostToLeachingAndRunoffFromSolidStorage(J24,$J$14,$J$15)</f>
        <v>0</v>
      </c>
      <c r="K30" s="2"/>
      <c r="O30" s="53" t="str">
        <f>INDEX(X_Table_Dairy_ProductionSystems_Method1,4,1)</f>
        <v>Feed pad</v>
      </c>
      <c r="P30" s="53" t="s">
        <v>398</v>
      </c>
      <c r="Q30" s="53" cm="1">
        <f t="array" ref="Q30">MMS_Dairy_LeachingAndRunoff_Equations.VEERG_4_3_1_6__2_MassOfNitrogenLostToLeachingAndRunoffFromSolidStorage(Q24,$J$14,$J$15)</f>
        <v>0</v>
      </c>
      <c r="R30" s="53" cm="1">
        <f t="array" ref="R30">MMS_Dairy_LeachingAndRunoff_Equations.VEERG_4_3_1_6__2_MassOfNitrogenLostToLeachingAndRunoffFromSolidStorage(R24,$J$14,$J$15)</f>
        <v>0</v>
      </c>
      <c r="S30" s="53" cm="1">
        <f t="array" ref="S30">MMS_Dairy_LeachingAndRunoff_Equations.VEERG_4_3_1_6__2_MassOfNitrogenLostToLeachingAndRunoffFromSolidStorage(S24,$J$14,$J$15)</f>
        <v>0</v>
      </c>
      <c r="T30" s="53" cm="1">
        <f t="array" ref="T30">MMS_Dairy_LeachingAndRunoff_Equations.VEERG_4_3_1_6__2_MassOfNitrogenLostToLeachingAndRunoffFromSolidStorage(T24,$J$14,$J$15)</f>
        <v>0</v>
      </c>
      <c r="U30" s="53" cm="1">
        <f t="array" ref="U30">MMS_Dairy_LeachingAndRunoff_Equations.VEERG_4_3_1_6__2_MassOfNitrogenLostToLeachingAndRunoffFromSolidStorage(U24,$J$14,$J$15)</f>
        <v>0</v>
      </c>
      <c r="V30" s="2"/>
    </row>
    <row r="31" spans="1:22" ht="20.100000000000001" customHeight="1" x14ac:dyDescent="0.25"/>
    <row r="32" spans="1:22" ht="20.100000000000001" customHeight="1" x14ac:dyDescent="0.25"/>
    <row r="33" spans="3:23" ht="20.100000000000001" customHeight="1" x14ac:dyDescent="0.25">
      <c r="C33" s="46"/>
      <c r="D33" s="46"/>
      <c r="E33" s="46"/>
      <c r="F33" s="46"/>
      <c r="G33" s="46"/>
      <c r="H33" s="46"/>
      <c r="I33" s="46"/>
      <c r="J33" s="46"/>
      <c r="K33" s="46"/>
      <c r="L33" s="46"/>
      <c r="N33" s="46"/>
      <c r="O33" s="46"/>
      <c r="P33" s="46"/>
      <c r="Q33" s="46"/>
      <c r="R33" s="46"/>
      <c r="S33" s="46"/>
      <c r="T33" s="46"/>
      <c r="U33" s="46"/>
      <c r="V33" s="46"/>
      <c r="W33" s="46"/>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25</v>
      </c>
      <c r="E36" s="13" t="str" cm="1">
        <f t="array" aca="1" ref="E36" ca="1">Common_InputFunctions.Utility_DisplayFunctionName(J49)</f>
        <v>=MMS_Dairy_LeachingAndRunoff_Equations.VEERG_4_3_1_6__1_AnnualEmissionsFromLeachingAndRunoffFromMMS</v>
      </c>
    </row>
    <row r="37" spans="3:23" ht="20.100000000000001" customHeight="1" x14ac:dyDescent="0.25"/>
    <row r="38" spans="3:23" ht="20.100000000000001" customHeight="1" x14ac:dyDescent="0.25">
      <c r="D38" s="6"/>
    </row>
    <row r="39" spans="3:23" ht="20.100000000000001" customHeight="1" x14ac:dyDescent="0.25">
      <c r="D39" s="54" t="s">
        <v>28</v>
      </c>
      <c r="E39" s="1" t="str" cm="1">
        <f t="array" ref="E39">MMS_Dairy_LeachingAndRunoff_Equations.VEERG_4_3_1_6__1_AnnualEmissionsFromLeachingAndRunoffFromMMS_Variable()</f>
        <v>E_N2Oleach</v>
      </c>
      <c r="H39" s="1" t="e" cm="1" vm="2">
        <f t="array" ref="H39">MMS_Dairy_LeachingAndRunoff_Equations.VEERG_4_3_1_6__1_AnnualEmissionsFromLeachingAndRunoffFromMMS</f>
        <v>#VALUE!</v>
      </c>
    </row>
    <row r="40" spans="3:23" ht="20.100000000000001" customHeight="1" x14ac:dyDescent="0.25">
      <c r="D40" s="54" t="s">
        <v>18</v>
      </c>
      <c r="E40" s="55"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3" t="str" cm="1">
        <f t="array" ref="D42:E44">_xlfn.CHOOSECOLS(MMS_Dairy_LeachingAndRunoff_Equations.VEERG_4_3_1_6__1_AnnualEmissionsFromLeachingAndRunoffFromMMS_Arguments(),1,2)</f>
        <v>MNLeach_jm</v>
      </c>
      <c r="E42" s="132" t="str">
        <v>mass of N lost through leaching and runoff</v>
      </c>
      <c r="F42" s="134"/>
      <c r="G42" s="133" t="str" cm="1">
        <f t="array" ref="G42:H44">_xlfn.CHOOSECOLS(MMS_Dairy_LeachingAndRunoff_Equations.VEERG_4_3_1_6__1_AnnualEmissionsFromLeachingAndRunoffFromMMS_Arguments(),3,4)</f>
        <v>kg N</v>
      </c>
      <c r="H42" s="129" t="str">
        <v>Calculated from 4.3.1.6 (2)</v>
      </c>
      <c r="I42" s="130" t="str" cm="1">
        <f t="array" aca="1" ref="I42" ca="1">HYPERLINK(Common_InputFunctions.Utility_SourceHyperlink($D$26),$D$26)</f>
        <v>M1_Table_MN_leach_j_m-4</v>
      </c>
    </row>
    <row r="43" spans="3:23" ht="20.100000000000001" customHeight="1" x14ac:dyDescent="0.25">
      <c r="D43" s="133" t="str">
        <v>EF_leach</v>
      </c>
      <c r="E43" s="132" t="str">
        <v>nitrous oxide emission factor for leaching and runoff</v>
      </c>
      <c r="F43" s="134"/>
      <c r="G43" s="133" t="str">
        <v>kg N2O-N/kg N</v>
      </c>
      <c r="H43" s="129" t="str">
        <v>Constant</v>
      </c>
      <c r="I43" s="133">
        <f>SourceData_Dairy_EmissionFactorForLeachingAndRunoff_Data</f>
        <v>1.0999999999999999E-2</v>
      </c>
    </row>
    <row r="44" spans="3:23" ht="20.100000000000001" customHeight="1" x14ac:dyDescent="0.25">
      <c r="D44" s="133" t="str">
        <v>C_N2O</v>
      </c>
      <c r="E44" s="132" t="str">
        <v>factor to convert elemental mass of N2O to molecular mass</v>
      </c>
      <c r="F44" s="134"/>
      <c r="G44" s="133" t="str">
        <v/>
      </c>
      <c r="H44" s="129" t="str">
        <v>Constant</v>
      </c>
      <c r="I44" s="133">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0" t="s">
        <v>328</v>
      </c>
      <c r="O46" s="100" t="s">
        <v>330</v>
      </c>
    </row>
    <row r="47" spans="3:23" ht="20.100000000000001" customHeight="1" x14ac:dyDescent="0.25">
      <c r="D47" s="99" t="s">
        <v>329</v>
      </c>
      <c r="O47" s="99" t="s">
        <v>331</v>
      </c>
    </row>
    <row r="48" spans="3:23" ht="20.100000000000001" customHeight="1" x14ac:dyDescent="0.25">
      <c r="D48" s="52" t="s">
        <v>140</v>
      </c>
      <c r="E48" s="52" t="s">
        <v>65</v>
      </c>
      <c r="F48" s="52" t="s">
        <v>165</v>
      </c>
      <c r="G48" s="52" t="s">
        <v>182</v>
      </c>
      <c r="H48" s="52" t="s">
        <v>183</v>
      </c>
      <c r="I48" s="52" t="s">
        <v>184</v>
      </c>
      <c r="J48" s="52" t="s">
        <v>185</v>
      </c>
      <c r="O48" s="52" t="s">
        <v>140</v>
      </c>
      <c r="P48" s="52" t="s">
        <v>65</v>
      </c>
      <c r="Q48" s="52" t="s">
        <v>165</v>
      </c>
      <c r="R48" s="52" t="s">
        <v>182</v>
      </c>
      <c r="S48" s="52" t="s">
        <v>183</v>
      </c>
      <c r="T48" s="52" t="s">
        <v>184</v>
      </c>
      <c r="U48" s="52" t="s">
        <v>185</v>
      </c>
    </row>
    <row r="49" spans="4:22" ht="20.100000000000001" customHeight="1" x14ac:dyDescent="0.25">
      <c r="D49" s="53" t="str">
        <f>INDEX(X_Table_Dairy_ProductionSystems_Method1,3,1)</f>
        <v>Milking shed</v>
      </c>
      <c r="E49" s="53" t="s">
        <v>398</v>
      </c>
      <c r="F49" s="53" cm="1">
        <f t="array" ref="F49">MMS_Dairy_LeachingAndRunoff_Equations.VEERG_4_3_1_6__1_AnnualEmissionsFromLeachingAndRunoffFromMMS(F29,$I$43,$I$44)</f>
        <v>0</v>
      </c>
      <c r="G49" s="53" cm="1">
        <f t="array" ref="G49">MMS_Dairy_LeachingAndRunoff_Equations.VEERG_4_3_1_6__1_AnnualEmissionsFromLeachingAndRunoffFromMMS(G29,$I$43,$I$44)</f>
        <v>0</v>
      </c>
      <c r="H49" s="53" cm="1">
        <f t="array" ref="H49">MMS_Dairy_LeachingAndRunoff_Equations.VEERG_4_3_1_6__1_AnnualEmissionsFromLeachingAndRunoffFromMMS(H29,$I$43,$I$44)</f>
        <v>0</v>
      </c>
      <c r="I49" s="53" cm="1">
        <f t="array" ref="I49">MMS_Dairy_LeachingAndRunoff_Equations.VEERG_4_3_1_6__1_AnnualEmissionsFromLeachingAndRunoffFromMMS(I29,$I$43,$I$44)</f>
        <v>0</v>
      </c>
      <c r="J49" s="53" cm="1">
        <f t="array" ref="J49">MMS_Dairy_LeachingAndRunoff_Equations.VEERG_4_3_1_6__1_AnnualEmissionsFromLeachingAndRunoffFromMMS(J29,$I$43,$I$44)</f>
        <v>0</v>
      </c>
      <c r="K49" s="2" t="str">
        <f>$E$40</f>
        <v>t N2O</v>
      </c>
      <c r="O49" s="53" t="str">
        <f>INDEX(X_Table_Dairy_ProductionSystems_Method1,3,1)</f>
        <v>Milking shed</v>
      </c>
      <c r="P49" s="53" t="s">
        <v>398</v>
      </c>
      <c r="Q49" s="53" cm="1">
        <f t="array" ref="Q49">MMS_Dairy_LeachingAndRunoff_Equations.VEERG_4_3_1_6__1_AnnualEmissionsFromLeachingAndRunoffFromMMS(Q29,$I$43,$I$44)</f>
        <v>0</v>
      </c>
      <c r="R49" s="53" cm="1">
        <f t="array" ref="R49">MMS_Dairy_LeachingAndRunoff_Equations.VEERG_4_3_1_6__1_AnnualEmissionsFromLeachingAndRunoffFromMMS(R29,$I$43,$I$44)</f>
        <v>0</v>
      </c>
      <c r="S49" s="53" cm="1">
        <f t="array" ref="S49">MMS_Dairy_LeachingAndRunoff_Equations.VEERG_4_3_1_6__1_AnnualEmissionsFromLeachingAndRunoffFromMMS(S29,$I$43,$I$44)</f>
        <v>0</v>
      </c>
      <c r="T49" s="53" cm="1">
        <f t="array" ref="T49">MMS_Dairy_LeachingAndRunoff_Equations.VEERG_4_3_1_6__1_AnnualEmissionsFromLeachingAndRunoffFromMMS(T29,$I$43,$I$44)</f>
        <v>0</v>
      </c>
      <c r="U49" s="53" cm="1">
        <f t="array" ref="U49">MMS_Dairy_LeachingAndRunoff_Equations.VEERG_4_3_1_6__1_AnnualEmissionsFromLeachingAndRunoffFromMMS(U29,$I$43,$I$44)</f>
        <v>0</v>
      </c>
      <c r="V49" s="2" t="str">
        <f>$E$40</f>
        <v>t N2O</v>
      </c>
    </row>
    <row r="50" spans="4:22" ht="20.100000000000001" customHeight="1" x14ac:dyDescent="0.25">
      <c r="D50" s="53" t="str">
        <f>INDEX(X_Table_Dairy_ProductionSystems_Method1,4,1)</f>
        <v>Feed pad</v>
      </c>
      <c r="E50" s="53" t="s">
        <v>398</v>
      </c>
      <c r="F50" s="53" cm="1">
        <f t="array" ref="F50">MMS_Dairy_LeachingAndRunoff_Equations.VEERG_4_3_1_6__1_AnnualEmissionsFromLeachingAndRunoffFromMMS(F30,$I$43,$I$44)</f>
        <v>0</v>
      </c>
      <c r="G50" s="53" cm="1">
        <f t="array" ref="G50">MMS_Dairy_LeachingAndRunoff_Equations.VEERG_4_3_1_6__1_AnnualEmissionsFromLeachingAndRunoffFromMMS(G30,$I$43,$I$44)</f>
        <v>0</v>
      </c>
      <c r="H50" s="53" cm="1">
        <f t="array" ref="H50">MMS_Dairy_LeachingAndRunoff_Equations.VEERG_4_3_1_6__1_AnnualEmissionsFromLeachingAndRunoffFromMMS(H30,$I$43,$I$44)</f>
        <v>0</v>
      </c>
      <c r="I50" s="53" cm="1">
        <f t="array" ref="I50">MMS_Dairy_LeachingAndRunoff_Equations.VEERG_4_3_1_6__1_AnnualEmissionsFromLeachingAndRunoffFromMMS(I30,$I$43,$I$44)</f>
        <v>0</v>
      </c>
      <c r="J50" s="53" cm="1">
        <f t="array" ref="J50">MMS_Dairy_LeachingAndRunoff_Equations.VEERG_4_3_1_6__1_AnnualEmissionsFromLeachingAndRunoffFromMMS(J30,$I$43,$I$44)</f>
        <v>0</v>
      </c>
      <c r="K50" s="2"/>
      <c r="O50" s="53" t="str">
        <f>INDEX(X_Table_Dairy_ProductionSystems_Method1,4,1)</f>
        <v>Feed pad</v>
      </c>
      <c r="P50" s="53" t="s">
        <v>398</v>
      </c>
      <c r="Q50" s="53" cm="1">
        <f t="array" ref="Q50">MMS_Dairy_LeachingAndRunoff_Equations.VEERG_4_3_1_6__1_AnnualEmissionsFromLeachingAndRunoffFromMMS(Q30,$I$43,$I$44)</f>
        <v>0</v>
      </c>
      <c r="R50" s="53" cm="1">
        <f t="array" ref="R50">MMS_Dairy_LeachingAndRunoff_Equations.VEERG_4_3_1_6__1_AnnualEmissionsFromLeachingAndRunoffFromMMS(R30,$I$43,$I$44)</f>
        <v>0</v>
      </c>
      <c r="S50" s="53" cm="1">
        <f t="array" ref="S50">MMS_Dairy_LeachingAndRunoff_Equations.VEERG_4_3_1_6__1_AnnualEmissionsFromLeachingAndRunoffFromMMS(S30,$I$43,$I$44)</f>
        <v>0</v>
      </c>
      <c r="T50" s="53" cm="1">
        <f t="array" ref="T50">MMS_Dairy_LeachingAndRunoff_Equations.VEERG_4_3_1_6__1_AnnualEmissionsFromLeachingAndRunoffFromMMS(T30,$I$43,$I$44)</f>
        <v>0</v>
      </c>
      <c r="U50" s="53" cm="1">
        <f t="array" ref="U50">MMS_Dairy_LeachingAndRunoff_Equations.VEERG_4_3_1_6__1_AnnualEmissionsFromLeachingAndRunoffFromMMS(U30,$I$43,$I$44)</f>
        <v>0</v>
      </c>
      <c r="V50" s="2"/>
    </row>
    <row r="51" spans="4:22" ht="20.100000000000001" customHeight="1" x14ac:dyDescent="0.25"/>
    <row r="52" spans="4:22" ht="20.100000000000001" customHeight="1" x14ac:dyDescent="0.25">
      <c r="D52" s="104" t="s">
        <v>318</v>
      </c>
      <c r="E52" s="105">
        <f>SUM(F49:J50)</f>
        <v>0</v>
      </c>
      <c r="F52" s="106" t="str">
        <f>$E$40</f>
        <v>t N2O</v>
      </c>
      <c r="O52" s="104" t="s">
        <v>318</v>
      </c>
      <c r="P52" s="105">
        <f>SUM(Q49:U50)</f>
        <v>0</v>
      </c>
      <c r="Q52" s="106" t="str">
        <f>$E$40</f>
        <v>t N2O</v>
      </c>
    </row>
    <row r="53" spans="4:22" ht="20.100000000000001" customHeight="1" x14ac:dyDescent="0.25"/>
    <row r="54" spans="4:22" ht="20.100000000000001" customHeight="1" x14ac:dyDescent="0.25">
      <c r="D54" s="58" t="str" cm="1">
        <f t="array" ref="D54:E55">Common_Equations.Common_ConvertN2OToCO2e_Arguments()</f>
        <v>EN2O</v>
      </c>
      <c r="E54" s="59" t="str">
        <v>Nitrous oxide emissions (t N2O)</v>
      </c>
      <c r="F54" s="107"/>
      <c r="G54" s="53">
        <f>VEERG_4_3_1_6__1_AnnualEmissionsFromLeachingAndRunoffFromMMS_Result_Method1</f>
        <v>0</v>
      </c>
      <c r="O54" s="58" t="str" cm="1">
        <f t="array" ref="O54:P55">Common_Equations.Common_ConvertN2OToCO2e_Arguments()</f>
        <v>EN2O</v>
      </c>
      <c r="P54" s="59" t="str">
        <v>Nitrous oxide emissions (t N2O)</v>
      </c>
      <c r="Q54" s="107"/>
      <c r="R54" s="53">
        <f>VEERG_4_3_1_6__1_AnnualEmissionsFromLeachingAndRunoffFromMMS_Result_Method2</f>
        <v>0</v>
      </c>
    </row>
    <row r="55" spans="4:22" ht="20.100000000000001" customHeight="1" x14ac:dyDescent="0.25">
      <c r="D55" s="58" t="str">
        <v>GWPN2O</v>
      </c>
      <c r="E55" s="59" t="str">
        <v>Global warming potential for nitrous oxide (t CO2-e / t N2O)</v>
      </c>
      <c r="F55" s="107"/>
      <c r="G55" s="53">
        <f>Common_InputFunctions.Utility_LookupValueInTableNumber("N2O",Table_GWPData[Gas],Table_GWPData[CO2-e factor])</f>
        <v>265</v>
      </c>
      <c r="O55" s="58" t="str">
        <v>GWPN2O</v>
      </c>
      <c r="P55" s="59" t="str">
        <v>Global warming potential for nitrous oxide (t CO2-e / t N2O)</v>
      </c>
      <c r="Q55" s="107"/>
      <c r="R55" s="53">
        <f>Common_InputFunctions.Utility_LookupValueInTableNumber("N2O",Table_GWPData[Gas],Table_GWPData[CO2-e factor])</f>
        <v>265</v>
      </c>
    </row>
    <row r="56" spans="4:22" ht="20.100000000000001" customHeight="1" x14ac:dyDescent="0.25"/>
    <row r="57" spans="4:22" ht="20.100000000000001" customHeight="1" x14ac:dyDescent="0.25">
      <c r="D57" s="46" t="s">
        <v>102</v>
      </c>
      <c r="E57" s="46" cm="1">
        <f t="array" ref="E57">Common_Equations.Common_ConvertN2OToCO2e(G54,G55)</f>
        <v>0</v>
      </c>
      <c r="F57" s="108" t="str" cm="1">
        <f t="array" ref="F57">Common_Equations.Common_ConvertN2OToCO2e_Unit()</f>
        <v>t CO2e</v>
      </c>
      <c r="O57" s="46" t="s">
        <v>102</v>
      </c>
      <c r="P57" s="46" cm="1">
        <f t="array" ref="P57">Common_Equations.Common_ConvertN2OToCO2e(R54,R55)</f>
        <v>0</v>
      </c>
      <c r="Q57" s="108"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A88" zoomScaleNormal="100" workbookViewId="0">
      <selection activeCell="H96" sqref="H9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28"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332</v>
      </c>
      <c r="M1" s="128"/>
    </row>
    <row r="2" spans="1:23" s="9" customFormat="1" ht="20.100000000000001" customHeight="1" x14ac:dyDescent="0.25">
      <c r="A2"/>
      <c r="M2" s="128"/>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D6" s="5" t="str" cm="1">
        <f t="array" ref="D6">MMS_Dairy_ManureAppliedToSoils_Equations.VEERG_4_3_1_8__1_MassOfNitrogenAppliedToSoilsScope1_Source()</f>
        <v>VEERG 2026: 4.3.1.8, Equation (1)</v>
      </c>
    </row>
    <row r="7" spans="1:23" ht="20.100000000000001" customHeight="1" x14ac:dyDescent="0.25">
      <c r="D7" s="13" t="s">
        <v>25</v>
      </c>
      <c r="E7" s="13" t="str" cm="1">
        <f t="array" aca="1" ref="E7" ca="1">Common_InputFunctions.Utility_DisplayFunctionName($F$76)</f>
        <v>=MMS_Dairy_ManureAppliedToSoils_Equations.VEERG_4_3_1_8__1_MassOfNitrogenAppliedToSoilsScope1</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MMS_Dairy_ManureAppliedToSoils_Equations.VEERG_4_3_1_8__1_MassOfNitrogenAppliedToSoilsScope1_Variable()</f>
        <v>MNSoil_scope1</v>
      </c>
    </row>
    <row r="11" spans="1:23" ht="20.100000000000001" customHeight="1" x14ac:dyDescent="0.25">
      <c r="D11" s="54" t="s">
        <v>18</v>
      </c>
      <c r="E11" s="55" t="str" cm="1">
        <f t="array" ref="E11">MMS_Dairy_ManureAppliedToSoils_Equations.VEERG_4_3_1_8__1_MassOfNitrogenAppliedToSoilsScope1_Unit()</f>
        <v>kg N</v>
      </c>
    </row>
    <row r="12" spans="1:23" ht="20.100000000000001" customHeight="1" x14ac:dyDescent="0.25"/>
    <row r="13" spans="1:23" ht="20.100000000000001" customHeight="1" x14ac:dyDescent="0.25">
      <c r="A13" s="18" t="s">
        <v>72</v>
      </c>
      <c r="D13" s="133" t="str" cm="1">
        <f t="array" ref="D13:E17">_xlfn.CHOOSECOLS(MMS_Dairy_ManureAppliedToSoils_Equations.VEERG_4_3_1_8__1_MassOfNitrogenAppliedToSoilsScope1_Arguments(),1,2)</f>
        <v>MN_jm</v>
      </c>
      <c r="E13" s="132" t="str">
        <v>total nitrogen in each MMS for dairy cattle classes</v>
      </c>
      <c r="F13" s="134"/>
      <c r="G13" s="133" t="str" cm="1">
        <f t="array" ref="G13:H17">_xlfn.CHOOSECOLS(MMS_Dairy_ManureAppliedToSoils_Equations.VEERG_4_3_1_8__1_MassOfNitrogenAppliedToSoilsScope1_Arguments(),3,4)</f>
        <v>kg N</v>
      </c>
      <c r="H13" s="129" t="str">
        <v>Calculated from 4.3.1.3 (2)</v>
      </c>
      <c r="I13" s="130" t="str" cm="1">
        <f t="array" aca="1" ref="I13" ca="1">HYPERLINK(Common_InputFunctions.Utility_SourceHyperlink($D$37),$D$37)</f>
        <v>M1_Table_MN_j_m</v>
      </c>
    </row>
    <row r="14" spans="1:23" ht="20.100000000000001" customHeight="1" x14ac:dyDescent="0.25">
      <c r="A14" s="17" t="str">
        <f>HYPERLINK("#'4.3.1.1-2 Methane'!A1", "4.3.1.1-2 Methane")</f>
        <v>4.3.1.1-2 Methane</v>
      </c>
      <c r="D14" s="133" t="str">
        <v>EF_m</v>
      </c>
      <c r="E14" s="132" t="str">
        <v>emission factor for nitrous oxide emissions per MMS</v>
      </c>
      <c r="F14" s="134"/>
      <c r="G14" s="133" t="str">
        <v>kg N2O-N/kg N</v>
      </c>
      <c r="H14" s="129" t="str">
        <v>Constant</v>
      </c>
      <c r="I14" s="130" t="str" cm="1">
        <f t="array" aca="1" ref="I14" ca="1">HYPERLINK(Common_InputFunctions.Utility_SourceHyperlink($D$19),$D$19)</f>
        <v>Table_EF_m</v>
      </c>
    </row>
    <row r="15" spans="1:23" ht="20.100000000000001" customHeight="1" x14ac:dyDescent="0.25">
      <c r="A15" s="17" t="str">
        <f>HYPERLINK("#'4.3.1.3-4 Direct N20'!A1", "4.3.1.3-4 Direct N20")</f>
        <v>4.3.1.3-4 Direct N20</v>
      </c>
      <c r="D15" s="133" t="str">
        <v>FracGASM_m</v>
      </c>
      <c r="E15" s="132" t="str">
        <v>fraction of N volatilised from MMS</v>
      </c>
      <c r="F15" s="134"/>
      <c r="G15" s="133" t="str">
        <v>fraction</v>
      </c>
      <c r="H15" s="129" t="str">
        <v>Constant</v>
      </c>
      <c r="I15" s="130" t="str" cm="1">
        <f t="array" aca="1" ref="I15" ca="1">HYPERLINK(Common_InputFunctions.Utility_SourceHyperlink($D$28),$D$28)</f>
        <v>Table_FracGASM_m</v>
      </c>
    </row>
    <row r="16" spans="1:23" ht="20.100000000000001" customHeight="1" x14ac:dyDescent="0.25">
      <c r="A16" s="17" t="str">
        <f>HYPERLINK("#'4.3.1.5 Atmos deposition'!A1", "4.3.1.5 Atmos deposition")</f>
        <v>4.3.1.5 Atmos deposition</v>
      </c>
      <c r="D16" s="133" t="str">
        <v>MNLeach_jm</v>
      </c>
      <c r="E16" s="132" t="str">
        <v>mass of N lost through leaching and runoff from each MMS</v>
      </c>
      <c r="F16" s="134"/>
      <c r="G16" s="133" t="str">
        <v>kg N</v>
      </c>
      <c r="H16" s="129" t="str">
        <v>Calculated from 4.3.1.6 (2)</v>
      </c>
      <c r="I16" s="130" t="str" cm="1">
        <f t="array" aca="1" ref="I16" ca="1">HYPERLINK(Common_InputFunctions.Utility_SourceHyperlink($D$49),$D$49)</f>
        <v>M1_Table_MN_leach_j_m</v>
      </c>
    </row>
    <row r="17" spans="1:9" ht="20.100000000000001" customHeight="1" x14ac:dyDescent="0.25">
      <c r="A17" s="17" t="str">
        <f>HYPERLINK("#'4.3.1.6-7 Leaching and runoff'!A1", "4.3.1.6-7 Leaching and runoff")</f>
        <v>4.3.1.6-7 Leaching and runoff</v>
      </c>
      <c r="D17" s="133" t="str">
        <v>PF_scope</v>
      </c>
      <c r="E17" s="132" t="str">
        <v>fraction of manure applied to soil within farm boundary</v>
      </c>
      <c r="F17" s="134"/>
      <c r="G17" s="133" t="str">
        <v>fraction</v>
      </c>
      <c r="H17" s="131" t="str">
        <v>Input</v>
      </c>
      <c r="I17" s="130" t="str" cm="1">
        <f t="array" aca="1" ref="I17" ca="1">HYPERLINK(Common_InputFunctions.Utility_SourceHyperlink($D$61),$D$61)</f>
        <v>Table_PF_scope</v>
      </c>
    </row>
    <row r="18" spans="1:9" ht="20.100000000000001" customHeight="1" x14ac:dyDescent="0.25">
      <c r="A18" s="21" t="str">
        <f>HYPERLINK("#'4.3.1.8 Manure applied to soils'!A1", "4.3.1.8 Manure applied to soils")</f>
        <v>4.3.1.8 Manure applied to soils</v>
      </c>
    </row>
    <row r="19" spans="1:9" ht="20.100000000000001" customHeight="1" x14ac:dyDescent="0.25">
      <c r="A19" s="17" t="str">
        <f>HYPERLINK("#'4.3.1.9 Soil direct N2O'!A1", "4.3.1.9 Soil direct N2O")</f>
        <v>4.3.1.9 Soil direct N2O</v>
      </c>
      <c r="D19" s="100" t="s">
        <v>305</v>
      </c>
    </row>
    <row r="20" spans="1:9" ht="20.100000000000001" customHeight="1" x14ac:dyDescent="0.25">
      <c r="A20" s="17" t="str">
        <f>HYPERLINK("#'4.3.1.10-11 Soil Atmos Dep'!A1", "4.3.1.10-11 Soil Atmos Dep")</f>
        <v>4.3.1.10-11 Soil Atmos Dep</v>
      </c>
      <c r="D20" s="99" t="s">
        <v>306</v>
      </c>
    </row>
    <row r="21" spans="1:9" ht="20.100000000000001" customHeight="1" x14ac:dyDescent="0.25">
      <c r="A21" s="17" t="str">
        <f>HYPERLINK("#'4.3.1.12-13 Soil leach runoff'!A1", "4.3.1.12-13 Soil leach runoff")</f>
        <v>4.3.1.12-13 Soil leach runoff</v>
      </c>
      <c r="D21" s="52" t="s">
        <v>65</v>
      </c>
      <c r="E21" s="52" t="s">
        <v>307</v>
      </c>
    </row>
    <row r="22" spans="1:9" ht="20.100000000000001" customHeight="1" x14ac:dyDescent="0.25">
      <c r="D22" s="53" t="str" cm="1">
        <f t="array" ref="D22:D26">Table_SourceData_Dairy_EFmFracGASM[NIR reference]</f>
        <v>Pasture range and paddock</v>
      </c>
      <c r="E22" s="53" cm="1">
        <f t="array" ref="E22:E26">Table_SourceData_Dairy_EFmFracGASM[EFm]</f>
        <v>0</v>
      </c>
    </row>
    <row r="23" spans="1:9" ht="20.100000000000001" customHeight="1" x14ac:dyDescent="0.25">
      <c r="D23" s="53" t="str">
        <v>Anaerobic lagoon</v>
      </c>
      <c r="E23" s="53">
        <v>0</v>
      </c>
    </row>
    <row r="24" spans="1:9" ht="20.100000000000001" customHeight="1" x14ac:dyDescent="0.25">
      <c r="A24" s="154" t="s">
        <v>1</v>
      </c>
      <c r="D24" s="53" t="str">
        <v>Sump and dispersal system</v>
      </c>
      <c r="E24" s="53">
        <v>0</v>
      </c>
    </row>
    <row r="25" spans="1:9" ht="20.100000000000001" customHeight="1" x14ac:dyDescent="0.25">
      <c r="A25" s="17" t="str">
        <f>HYPERLINK("#'Constants - Dairy'!A1", "Constants - Dairy")</f>
        <v>Constants - Dairy</v>
      </c>
      <c r="D25" s="53" t="str">
        <v>Drains to paddock</v>
      </c>
      <c r="E25" s="53">
        <v>0</v>
      </c>
    </row>
    <row r="26" spans="1:9" ht="20.100000000000001" customHeight="1" x14ac:dyDescent="0.25">
      <c r="A26" s="17" t="str">
        <f>HYPERLINK("#'Constants - Common'!A1", "Constants - Common")</f>
        <v>Constants - Common</v>
      </c>
      <c r="D26" s="53" t="str">
        <v>Solid storage</v>
      </c>
      <c r="E26" s="53">
        <v>5.0000000000000001E-3</v>
      </c>
    </row>
    <row r="27" spans="1:9" ht="20.100000000000001" customHeight="1" x14ac:dyDescent="0.25">
      <c r="A27" s="17" t="str">
        <f>HYPERLINK("#'Constants - Livestock'!A1", "Constants - Livestock")</f>
        <v>Constants - Livestock</v>
      </c>
    </row>
    <row r="28" spans="1:9" ht="20.100000000000001" customHeight="1" x14ac:dyDescent="0.25">
      <c r="A28" s="17" t="str">
        <f>HYPERLINK("#'Acknowledgements'!A1", "Acknowledgements")</f>
        <v>Acknowledgements</v>
      </c>
      <c r="D28" s="100" t="s">
        <v>311</v>
      </c>
    </row>
    <row r="29" spans="1:9" ht="20.100000000000001" customHeight="1" x14ac:dyDescent="0.25">
      <c r="A29" s="17" t="str">
        <f>HYPERLINK("#'Tab template'!A1", "Tab template")</f>
        <v>Tab template</v>
      </c>
      <c r="D29" s="99" t="s">
        <v>313</v>
      </c>
    </row>
    <row r="30" spans="1:9" ht="20.100000000000001" customHeight="1" x14ac:dyDescent="0.25">
      <c r="D30" s="52" t="s">
        <v>65</v>
      </c>
      <c r="E30" s="52" t="s">
        <v>312</v>
      </c>
    </row>
    <row r="31" spans="1:9" ht="20.100000000000001" customHeight="1" x14ac:dyDescent="0.25">
      <c r="D31" s="53" t="str" cm="1">
        <f t="array" ref="D31:D35">Table_SourceData_Dairy_EFmFracGASM[NIR reference]</f>
        <v>Pasture range and paddock</v>
      </c>
      <c r="E31" s="53" cm="1">
        <f t="array" ref="E31:E35">Table_SourceData_Dairy_EFmFracGASM[FracGASMm]</f>
        <v>0</v>
      </c>
      <c r="F31" s="2" t="str">
        <f>'Constants - Dairy'!$D$84</f>
        <v>kg N2O-N/kg N excreted</v>
      </c>
    </row>
    <row r="32" spans="1:9" ht="20.100000000000001" customHeight="1" x14ac:dyDescent="0.25">
      <c r="D32" s="53" t="str">
        <v>Anaerobic lagoon</v>
      </c>
      <c r="E32" s="53">
        <v>0.35</v>
      </c>
      <c r="F32" s="2" t="str">
        <f>'Constants - Dairy'!$D$84</f>
        <v>kg N2O-N/kg N excreted</v>
      </c>
    </row>
    <row r="33" spans="4:22" ht="20.100000000000001" customHeight="1" x14ac:dyDescent="0.25">
      <c r="D33" s="53" t="str">
        <v>Sump and dispersal system</v>
      </c>
      <c r="E33" s="53">
        <v>7.0000000000000007E-2</v>
      </c>
      <c r="F33" s="2" t="str">
        <f>'Constants - Dairy'!$D$84</f>
        <v>kg N2O-N/kg N excreted</v>
      </c>
    </row>
    <row r="34" spans="4:22" ht="20.100000000000001" customHeight="1" x14ac:dyDescent="0.25">
      <c r="D34" s="53" t="str">
        <v>Drains to paddock</v>
      </c>
      <c r="E34" s="53">
        <v>0.2</v>
      </c>
      <c r="F34" s="2" t="str">
        <f>'Constants - Dairy'!$D$84</f>
        <v>kg N2O-N/kg N excreted</v>
      </c>
    </row>
    <row r="35" spans="4:22" ht="20.100000000000001" customHeight="1" x14ac:dyDescent="0.25">
      <c r="D35" s="53" t="str">
        <v>Solid storage</v>
      </c>
      <c r="E35" s="53">
        <v>0.3</v>
      </c>
      <c r="F35" s="2" t="str">
        <f>'Constants - Dairy'!$D$84</f>
        <v>kg N2O-N/kg N excreted</v>
      </c>
    </row>
    <row r="36" spans="4:22" ht="20.100000000000001" customHeight="1" x14ac:dyDescent="0.25"/>
    <row r="37" spans="4:22" ht="20.100000000000001" customHeight="1" x14ac:dyDescent="0.25">
      <c r="D37" s="100" t="s">
        <v>301</v>
      </c>
      <c r="M37"/>
      <c r="O37" s="100" t="s">
        <v>304</v>
      </c>
    </row>
    <row r="38" spans="4:22" ht="20.100000000000001" customHeight="1" x14ac:dyDescent="0.25">
      <c r="D38" s="99" t="s">
        <v>302</v>
      </c>
      <c r="M38"/>
      <c r="O38" s="99" t="s">
        <v>303</v>
      </c>
    </row>
    <row r="39" spans="4:22" ht="20.100000000000001" customHeight="1" x14ac:dyDescent="0.25">
      <c r="D39" s="52" t="s">
        <v>140</v>
      </c>
      <c r="E39" s="52" t="s">
        <v>65</v>
      </c>
      <c r="F39" s="52" t="s">
        <v>165</v>
      </c>
      <c r="G39" s="52" t="s">
        <v>182</v>
      </c>
      <c r="H39" s="52" t="s">
        <v>183</v>
      </c>
      <c r="I39" s="52" t="s">
        <v>184</v>
      </c>
      <c r="J39" s="52" t="s">
        <v>185</v>
      </c>
      <c r="M39"/>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f>INDEX(M1_Table_MN_j_m,2,3)</f>
        <v>0</v>
      </c>
      <c r="G40" s="53">
        <f>INDEX(M1_Table_MN_j_m,2,4)</f>
        <v>0</v>
      </c>
      <c r="H40" s="53">
        <f>INDEX(M1_Table_MN_j_m,2,5)</f>
        <v>0</v>
      </c>
      <c r="I40" s="53">
        <f>INDEX(M1_Table_MN_j_m,2,6)</f>
        <v>0</v>
      </c>
      <c r="J40" s="53">
        <f>INDEX(M1_Table_MN_j_m,2,7)</f>
        <v>0</v>
      </c>
      <c r="K40" s="2" t="str">
        <f>$G$13</f>
        <v>kg N</v>
      </c>
      <c r="M40"/>
      <c r="O40" s="53" t="str">
        <f>INDEX(X_Table_Dairy_ProductionSystems_Method1,3,1)</f>
        <v>Milking shed</v>
      </c>
      <c r="P40" s="53" t="str">
        <f>INDEX(X_Table_Dairy_Stage1MMS_1_AnaerobicLagoon,2,1)</f>
        <v>Anaerobic lagoon</v>
      </c>
      <c r="Q40" s="53">
        <f>INDEX(M2_Table_MN_j_m,2,3)</f>
        <v>0</v>
      </c>
      <c r="R40" s="53">
        <f>INDEX(M2_Table_MN_j_m,2,4)</f>
        <v>0</v>
      </c>
      <c r="S40" s="53">
        <f>INDEX(M2_Table_MN_j_m,2,5)</f>
        <v>0</v>
      </c>
      <c r="T40" s="53">
        <f>INDEX(M2_Table_MN_j_m,2,6)</f>
        <v>0</v>
      </c>
      <c r="U40" s="53">
        <f>INDEX(M2_Table_MN_j_m,2,7)</f>
        <v>0</v>
      </c>
      <c r="V40" s="2" t="str">
        <f>$G$13</f>
        <v>kg N</v>
      </c>
    </row>
    <row r="41" spans="4:22" ht="20.100000000000001" customHeight="1" x14ac:dyDescent="0.25">
      <c r="D41" s="53" t="str">
        <f>INDEX(X_Table_Dairy_ProductionSystems_Method1,3,1)</f>
        <v>Milking shed</v>
      </c>
      <c r="E41" s="53" t="str">
        <f>INDEX(X_Table_Dairy_Stage1MMS_1_SumpAndDispersal,2,1)</f>
        <v>Sump and dispersal system</v>
      </c>
      <c r="F41" s="53">
        <f>INDEX(M1_Table_MN_j_m,3,3)</f>
        <v>17404.731333822594</v>
      </c>
      <c r="G41" s="53">
        <f>INDEX(M1_Table_MN_j_m,3,4)</f>
        <v>0</v>
      </c>
      <c r="H41" s="53">
        <f>INDEX(M1_Table_MN_j_m,3,5)</f>
        <v>0</v>
      </c>
      <c r="I41" s="53">
        <f>INDEX(M1_Table_MN_j_m,3,6)</f>
        <v>0</v>
      </c>
      <c r="J41" s="53">
        <f>INDEX(M1_Table_MN_j_m,3,7)</f>
        <v>0</v>
      </c>
      <c r="K41" s="2"/>
      <c r="M41"/>
      <c r="O41" s="53" t="str">
        <f>INDEX(X_Table_Dairy_ProductionSystems_Method1,3,1)</f>
        <v>Milking shed</v>
      </c>
      <c r="P41" s="53" t="str">
        <f>INDEX(X_Table_Dairy_Stage1MMS_1_SumpAndDispersal,2,1)</f>
        <v>Sump and dispersal system</v>
      </c>
      <c r="Q41" s="53">
        <f>INDEX(M2_Table_MN_j_m,3,3)</f>
        <v>17404.731333822594</v>
      </c>
      <c r="R41" s="53">
        <f>INDEX(M2_Table_MN_j_m,3,4)</f>
        <v>0</v>
      </c>
      <c r="S41" s="53">
        <f>INDEX(M2_Table_MN_j_m,3,5)</f>
        <v>0</v>
      </c>
      <c r="T41" s="53">
        <f>INDEX(M2_Table_MN_j_m,3,6)</f>
        <v>0</v>
      </c>
      <c r="U41" s="53">
        <f>INDEX(M2_Table_MN_j_m,3,7)</f>
        <v>0</v>
      </c>
      <c r="V41" s="2"/>
    </row>
    <row r="42" spans="4:22" ht="20.100000000000001" customHeight="1" x14ac:dyDescent="0.25">
      <c r="D42" s="53" t="str">
        <f>INDEX(X_Table_Dairy_ProductionSystems_Method1,3,1)</f>
        <v>Milking shed</v>
      </c>
      <c r="E42" s="53" t="str">
        <f>INDEX(X_Table_Dairy_Stage1MMS_1_DrainsToPaddock,2,1)</f>
        <v>Drains to paddock</v>
      </c>
      <c r="F42" s="53">
        <f>INDEX(M1_Table_MN_j_m,4,3)</f>
        <v>0</v>
      </c>
      <c r="G42" s="53">
        <f>INDEX(M1_Table_MN_j_m,4,4)</f>
        <v>0</v>
      </c>
      <c r="H42" s="53">
        <f>INDEX(M1_Table_MN_j_m,4,5)</f>
        <v>0</v>
      </c>
      <c r="I42" s="53">
        <f>INDEX(M1_Table_MN_j_m,4,6)</f>
        <v>0</v>
      </c>
      <c r="J42" s="53">
        <f>INDEX(M1_Table_MN_j_m,4,7)</f>
        <v>0</v>
      </c>
      <c r="K42" s="2"/>
      <c r="M42"/>
      <c r="O42" s="53" t="str">
        <f>INDEX(X_Table_Dairy_ProductionSystems_Method1,3,1)</f>
        <v>Milking shed</v>
      </c>
      <c r="P42" s="53" t="str">
        <f>INDEX(X_Table_Dairy_Stage1MMS_1_DrainsToPaddock,2,1)</f>
        <v>Drains to paddock</v>
      </c>
      <c r="Q42" s="53">
        <f>INDEX(M2_Table_MN_j_m,4,3)</f>
        <v>0</v>
      </c>
      <c r="R42" s="53">
        <f>INDEX(M2_Table_MN_j_m,4,4)</f>
        <v>0</v>
      </c>
      <c r="S42" s="53">
        <f>INDEX(M2_Table_MN_j_m,4,5)</f>
        <v>0</v>
      </c>
      <c r="T42" s="53">
        <f>INDEX(M2_Table_MN_j_m,4,6)</f>
        <v>0</v>
      </c>
      <c r="U42" s="53">
        <f>INDEX(M2_Table_MN_j_m,4,7)</f>
        <v>0</v>
      </c>
      <c r="V42" s="2"/>
    </row>
    <row r="43" spans="4:22" ht="20.100000000000001" customHeight="1" x14ac:dyDescent="0.25">
      <c r="D43" s="53" t="str">
        <f>INDEX(X_Table_Dairy_ProductionSystems_Method1,3,1)</f>
        <v>Milking shed</v>
      </c>
      <c r="E43" s="53" t="s">
        <v>398</v>
      </c>
      <c r="F43" s="53">
        <f>INDEX(M1_Table_MN_j_m,5,3)</f>
        <v>0</v>
      </c>
      <c r="G43" s="53">
        <f>INDEX(M1_Table_MN_j_m,5,4)</f>
        <v>0</v>
      </c>
      <c r="H43" s="53">
        <f>INDEX(M1_Table_MN_j_m,5,5)</f>
        <v>0</v>
      </c>
      <c r="I43" s="53">
        <f>INDEX(M1_Table_MN_j_m,5,6)</f>
        <v>0</v>
      </c>
      <c r="J43" s="53">
        <f>INDEX(M1_Table_MN_j_m,5,7)</f>
        <v>0</v>
      </c>
      <c r="K43" s="2"/>
      <c r="M43"/>
      <c r="O43" s="53" t="str">
        <f>INDEX(X_Table_Dairy_ProductionSystems_Method1,3,1)</f>
        <v>Milking shed</v>
      </c>
      <c r="P43" s="53" t="s">
        <v>398</v>
      </c>
      <c r="Q43" s="53">
        <f>INDEX(M2_Table_MN_j_m,5,3)</f>
        <v>0</v>
      </c>
      <c r="R43" s="53">
        <f>INDEX(M2_Table_MN_j_m,5,4)</f>
        <v>0</v>
      </c>
      <c r="S43" s="53">
        <f>INDEX(M2_Table_MN_j_m,5,5)</f>
        <v>0</v>
      </c>
      <c r="T43" s="53">
        <f>INDEX(M2_Table_MN_j_m,5,6)</f>
        <v>0</v>
      </c>
      <c r="U43" s="53">
        <f>INDEX(M2_Table_MN_j_m,5,7)</f>
        <v>0</v>
      </c>
      <c r="V43" s="2"/>
    </row>
    <row r="44" spans="4:22" ht="20.100000000000001" customHeight="1" x14ac:dyDescent="0.25">
      <c r="D44" s="53" t="str">
        <f>INDEX(X_Table_Dairy_ProductionSystems_Method1,4,1)</f>
        <v>Feed pad</v>
      </c>
      <c r="E44" s="53" t="str">
        <f>INDEX(X_Table_Dairy_Stage1MMS_2_AnaerobicLagoon,2,1)</f>
        <v>Anaerobic lagoon</v>
      </c>
      <c r="F44" s="53">
        <f>INDEX(M1_Table_MN_j_m,6,3)</f>
        <v>0</v>
      </c>
      <c r="G44" s="53">
        <f>INDEX(M1_Table_MN_j_m,6,4)</f>
        <v>0</v>
      </c>
      <c r="H44" s="53">
        <f>INDEX(M1_Table_MN_j_m,6,5)</f>
        <v>0</v>
      </c>
      <c r="I44" s="53">
        <f>INDEX(M1_Table_MN_j_m,6,6)</f>
        <v>0</v>
      </c>
      <c r="J44" s="53">
        <f>INDEX(M1_Table_MN_j_m,6,7)</f>
        <v>0</v>
      </c>
      <c r="K44" s="2"/>
      <c r="M44"/>
      <c r="O44" s="53" t="str">
        <f>INDEX(X_Table_Dairy_ProductionSystems_Method1,4,1)</f>
        <v>Feed pad</v>
      </c>
      <c r="P44" s="53" t="str">
        <f>INDEX(X_Table_Dairy_Stage1MMS_2_AnaerobicLagoon,2,1)</f>
        <v>Anaerobic lagoon</v>
      </c>
      <c r="Q44" s="53">
        <f>INDEX(M2_Table_MN_j_m,6,3)</f>
        <v>0</v>
      </c>
      <c r="R44" s="53">
        <f>INDEX(M2_Table_MN_j_m,6,4)</f>
        <v>0</v>
      </c>
      <c r="S44" s="53">
        <f>INDEX(M2_Table_MN_j_m,6,5)</f>
        <v>0</v>
      </c>
      <c r="T44" s="53">
        <f>INDEX(M2_Table_MN_j_m,6,6)</f>
        <v>0</v>
      </c>
      <c r="U44" s="53">
        <f>INDEX(M2_Table_MN_j_m,6,7)</f>
        <v>0</v>
      </c>
      <c r="V44" s="2"/>
    </row>
    <row r="45" spans="4:22" ht="20.100000000000001" customHeight="1" x14ac:dyDescent="0.25">
      <c r="D45" s="53" t="str">
        <f>INDEX(X_Table_Dairy_ProductionSystems_Method1,4,1)</f>
        <v>Feed pad</v>
      </c>
      <c r="E45" s="53" t="str">
        <f>INDEX(X_Table_Dairy_Stage1MMS_2_SumpAndDispersal,2,1)</f>
        <v>Sump and dispersal system</v>
      </c>
      <c r="F45" s="53">
        <f>INDEX(M1_Table_MN_j_m,7,3)</f>
        <v>0</v>
      </c>
      <c r="G45" s="53">
        <f>INDEX(M1_Table_MN_j_m,7,4)</f>
        <v>0</v>
      </c>
      <c r="H45" s="53">
        <f>INDEX(M1_Table_MN_j_m,7,5)</f>
        <v>0</v>
      </c>
      <c r="I45" s="53">
        <f>INDEX(M1_Table_MN_j_m,7,6)</f>
        <v>0</v>
      </c>
      <c r="J45" s="53">
        <f>INDEX(M1_Table_MN_j_m,7,7)</f>
        <v>0</v>
      </c>
      <c r="K45" s="2"/>
      <c r="M45"/>
      <c r="O45" s="53" t="str">
        <f>INDEX(X_Table_Dairy_ProductionSystems_Method1,4,1)</f>
        <v>Feed pad</v>
      </c>
      <c r="P45" s="53" t="str">
        <f>INDEX(X_Table_Dairy_Stage1MMS_2_SumpAndDispersal,2,1)</f>
        <v>Sump and dispersal system</v>
      </c>
      <c r="Q45" s="53">
        <f>INDEX(M2_Table_MN_j_m,7,3)</f>
        <v>0</v>
      </c>
      <c r="R45" s="53">
        <f>INDEX(M2_Table_MN_j_m,7,4)</f>
        <v>0</v>
      </c>
      <c r="S45" s="53">
        <f>INDEX(M2_Table_MN_j_m,7,5)</f>
        <v>0</v>
      </c>
      <c r="T45" s="53">
        <f>INDEX(M2_Table_MN_j_m,7,6)</f>
        <v>0</v>
      </c>
      <c r="U45" s="53">
        <f>INDEX(M2_Table_MN_j_m,7,7)</f>
        <v>0</v>
      </c>
      <c r="V45" s="2"/>
    </row>
    <row r="46" spans="4:22" ht="20.100000000000001" customHeight="1" x14ac:dyDescent="0.25">
      <c r="D46" s="53" t="str">
        <f>INDEX(X_Table_Dairy_ProductionSystems_Method1,4,1)</f>
        <v>Feed pad</v>
      </c>
      <c r="E46" s="53" t="str">
        <f>INDEX(X_Table_Dairy_Stage1MMS_2_DrainsToPaddock,2,1)</f>
        <v>Drains to paddock</v>
      </c>
      <c r="F46" s="53">
        <f>INDEX(M1_Table_MN_j_m,8,3)</f>
        <v>0</v>
      </c>
      <c r="G46" s="53">
        <f>INDEX(M1_Table_MN_j_m,8,4)</f>
        <v>0</v>
      </c>
      <c r="H46" s="53">
        <f>INDEX(M1_Table_MN_j_m,8,5)</f>
        <v>0</v>
      </c>
      <c r="I46" s="53">
        <f>INDEX(M1_Table_MN_j_m,8,6)</f>
        <v>0</v>
      </c>
      <c r="J46" s="53">
        <f>INDEX(M1_Table_MN_j_m,8,7)</f>
        <v>0</v>
      </c>
      <c r="K46" s="2"/>
      <c r="M46"/>
      <c r="O46" s="53" t="str">
        <f>INDEX(X_Table_Dairy_ProductionSystems_Method1,4,1)</f>
        <v>Feed pad</v>
      </c>
      <c r="P46" s="53" t="str">
        <f>INDEX(X_Table_Dairy_Stage1MMS_2_DrainsToPaddock,2,1)</f>
        <v>Drains to paddock</v>
      </c>
      <c r="Q46" s="53">
        <f>INDEX(M2_Table_MN_j_m,8,3)</f>
        <v>0</v>
      </c>
      <c r="R46" s="53">
        <f>INDEX(M2_Table_MN_j_m,8,4)</f>
        <v>0</v>
      </c>
      <c r="S46" s="53">
        <f>INDEX(M2_Table_MN_j_m,8,5)</f>
        <v>0</v>
      </c>
      <c r="T46" s="53">
        <f>INDEX(M2_Table_MN_j_m,8,6)</f>
        <v>0</v>
      </c>
      <c r="U46" s="53">
        <f>INDEX(M2_Table_MN_j_m,8,7)</f>
        <v>0</v>
      </c>
      <c r="V46" s="2"/>
    </row>
    <row r="47" spans="4:22" ht="20.100000000000001" customHeight="1" x14ac:dyDescent="0.25">
      <c r="D47" s="53" t="str">
        <f>INDEX(X_Table_Dairy_ProductionSystems_Method1,4,1)</f>
        <v>Feed pad</v>
      </c>
      <c r="E47" s="53" t="s">
        <v>398</v>
      </c>
      <c r="F47" s="53">
        <f>INDEX(M1_Table_MN_j_m,9,3)</f>
        <v>0</v>
      </c>
      <c r="G47" s="53">
        <f>INDEX(M1_Table_MN_j_m,9,4)</f>
        <v>0</v>
      </c>
      <c r="H47" s="53">
        <f>INDEX(M1_Table_MN_j_m,9,5)</f>
        <v>0</v>
      </c>
      <c r="I47" s="53">
        <f>INDEX(M1_Table_MN_j_m,9,6)</f>
        <v>0</v>
      </c>
      <c r="J47" s="53">
        <f>INDEX(M1_Table_MN_j_m,9,7)</f>
        <v>0</v>
      </c>
      <c r="K47" s="2"/>
      <c r="M47"/>
      <c r="O47" s="53" t="str">
        <f>INDEX(X_Table_Dairy_ProductionSystems_Method1,4,1)</f>
        <v>Feed pad</v>
      </c>
      <c r="P47" s="53" t="s">
        <v>398</v>
      </c>
      <c r="Q47" s="53">
        <f>INDEX(M2_Table_MN_j_m,9,3)</f>
        <v>0</v>
      </c>
      <c r="R47" s="53">
        <f>INDEX(M2_Table_MN_j_m,9,4)</f>
        <v>0</v>
      </c>
      <c r="S47" s="53">
        <f>INDEX(M2_Table_MN_j_m,9,5)</f>
        <v>0</v>
      </c>
      <c r="T47" s="53">
        <f>INDEX(M2_Table_MN_j_m,9,6)</f>
        <v>0</v>
      </c>
      <c r="U47" s="53">
        <f>INDEX(M2_Table_MN_j_m,9,7)</f>
        <v>0</v>
      </c>
      <c r="V47" s="2"/>
    </row>
    <row r="48" spans="4:22" ht="20.100000000000001" customHeight="1" x14ac:dyDescent="0.25"/>
    <row r="49" spans="4:22" ht="20.100000000000001" customHeight="1" x14ac:dyDescent="0.25">
      <c r="D49" s="100" t="s">
        <v>390</v>
      </c>
      <c r="O49" s="100" t="s">
        <v>388</v>
      </c>
    </row>
    <row r="50" spans="4:22" ht="20.100000000000001" customHeight="1" x14ac:dyDescent="0.25">
      <c r="D50" s="99" t="s">
        <v>391</v>
      </c>
      <c r="O50" s="99" t="s">
        <v>389</v>
      </c>
    </row>
    <row r="51" spans="4:22" ht="20.100000000000001" customHeight="1" x14ac:dyDescent="0.25">
      <c r="D51" s="52" t="s">
        <v>140</v>
      </c>
      <c r="E51" s="52" t="s">
        <v>65</v>
      </c>
      <c r="F51" s="52" t="s">
        <v>165</v>
      </c>
      <c r="G51" s="52" t="s">
        <v>182</v>
      </c>
      <c r="H51" s="52" t="s">
        <v>183</v>
      </c>
      <c r="I51" s="52" t="s">
        <v>184</v>
      </c>
      <c r="J51" s="52" t="s">
        <v>185</v>
      </c>
      <c r="O51" s="52" t="s">
        <v>140</v>
      </c>
      <c r="P51" s="52" t="s">
        <v>65</v>
      </c>
      <c r="Q51" s="52" t="s">
        <v>165</v>
      </c>
      <c r="R51" s="52" t="s">
        <v>182</v>
      </c>
      <c r="S51" s="52" t="s">
        <v>183</v>
      </c>
      <c r="T51" s="52" t="s">
        <v>184</v>
      </c>
      <c r="U51" s="52" t="s">
        <v>185</v>
      </c>
    </row>
    <row r="52" spans="4:22" ht="20.100000000000001" customHeight="1" x14ac:dyDescent="0.25">
      <c r="D52" s="53" t="str">
        <f>INDEX(X_Table_Dairy_ProductionSystems_Method1,3,1)</f>
        <v>Milking shed</v>
      </c>
      <c r="E52" s="53" t="str">
        <f>INDEX(X_Table_Dairy_Stage1MMS_1_AnaerobicLagoon,2,1)</f>
        <v>Anaerobic lagoon</v>
      </c>
      <c r="F52" s="53">
        <v>0</v>
      </c>
      <c r="G52" s="53">
        <v>0</v>
      </c>
      <c r="H52" s="53">
        <v>0</v>
      </c>
      <c r="I52" s="53">
        <v>0</v>
      </c>
      <c r="J52" s="53">
        <v>0</v>
      </c>
      <c r="K52" s="2" t="str">
        <f>$G$16</f>
        <v>kg N</v>
      </c>
      <c r="O52" s="53" t="str">
        <f>INDEX(X_Table_Dairy_ProductionSystems_Method1,3,1)</f>
        <v>Milking shed</v>
      </c>
      <c r="P52" s="53" t="str">
        <f>INDEX(X_Table_Dairy_Stage1MMS_1_AnaerobicLagoon,2,1)</f>
        <v>Anaerobic lagoon</v>
      </c>
      <c r="Q52" s="53">
        <v>0</v>
      </c>
      <c r="R52" s="53">
        <v>0</v>
      </c>
      <c r="S52" s="53">
        <v>0</v>
      </c>
      <c r="T52" s="53">
        <v>0</v>
      </c>
      <c r="U52" s="53">
        <v>0</v>
      </c>
      <c r="V52" s="2" t="str">
        <f>$G$16</f>
        <v>kg N</v>
      </c>
    </row>
    <row r="53" spans="4:22" ht="20.100000000000001" customHeight="1" x14ac:dyDescent="0.25">
      <c r="D53" s="53" t="str">
        <f>INDEX(X_Table_Dairy_ProductionSystems_Method1,3,1)</f>
        <v>Milking shed</v>
      </c>
      <c r="E53" s="53" t="str">
        <f>INDEX(X_Table_Dairy_Stage1MMS_1_SumpAndDispersal,2,1)</f>
        <v>Sump and dispersal system</v>
      </c>
      <c r="F53" s="53">
        <v>0</v>
      </c>
      <c r="G53" s="53">
        <v>0</v>
      </c>
      <c r="H53" s="53">
        <v>0</v>
      </c>
      <c r="I53" s="53">
        <v>0</v>
      </c>
      <c r="J53" s="53">
        <v>0</v>
      </c>
      <c r="K53" s="2"/>
      <c r="O53" s="53" t="str">
        <f>INDEX(X_Table_Dairy_ProductionSystems_Method1,3,1)</f>
        <v>Milking shed</v>
      </c>
      <c r="P53" s="53" t="str">
        <f>INDEX(X_Table_Dairy_Stage1MMS_1_SumpAndDispersal,2,1)</f>
        <v>Sump and dispersal system</v>
      </c>
      <c r="Q53" s="53">
        <v>0</v>
      </c>
      <c r="R53" s="53">
        <v>0</v>
      </c>
      <c r="S53" s="53">
        <v>0</v>
      </c>
      <c r="T53" s="53">
        <v>0</v>
      </c>
      <c r="U53" s="53">
        <v>0</v>
      </c>
      <c r="V53" s="2"/>
    </row>
    <row r="54" spans="4:22" ht="20.100000000000001" customHeight="1" x14ac:dyDescent="0.25">
      <c r="D54" s="53" t="str">
        <f>INDEX(X_Table_Dairy_ProductionSystems_Method1,3,1)</f>
        <v>Milking shed</v>
      </c>
      <c r="E54" s="53" t="str">
        <f>INDEX(X_Table_Dairy_Stage1MMS_1_DrainsToPaddock,2,1)</f>
        <v>Drains to paddock</v>
      </c>
      <c r="F54" s="53">
        <v>0</v>
      </c>
      <c r="G54" s="53">
        <v>0</v>
      </c>
      <c r="H54" s="53">
        <v>0</v>
      </c>
      <c r="I54" s="53">
        <v>0</v>
      </c>
      <c r="J54" s="53">
        <v>0</v>
      </c>
      <c r="K54" s="2"/>
      <c r="O54" s="53" t="str">
        <f>INDEX(X_Table_Dairy_ProductionSystems_Method1,3,1)</f>
        <v>Milking shed</v>
      </c>
      <c r="P54" s="53" t="str">
        <f>INDEX(X_Table_Dairy_Stage1MMS_1_DrainsToPaddock,2,1)</f>
        <v>Drains to paddock</v>
      </c>
      <c r="Q54" s="53">
        <v>0</v>
      </c>
      <c r="R54" s="53">
        <v>0</v>
      </c>
      <c r="S54" s="53">
        <v>0</v>
      </c>
      <c r="T54" s="53">
        <v>0</v>
      </c>
      <c r="U54" s="53">
        <v>0</v>
      </c>
      <c r="V54" s="2"/>
    </row>
    <row r="55" spans="4:22" ht="20.100000000000001" customHeight="1" x14ac:dyDescent="0.25">
      <c r="D55" s="53" t="str">
        <f>INDEX(X_Table_Dairy_ProductionSystems_Method1,3,1)</f>
        <v>Milking shed</v>
      </c>
      <c r="E55" s="53" t="s">
        <v>398</v>
      </c>
      <c r="F55" s="53">
        <f>INDEX(M1_Table_MN_leach_j_m4,2,3)</f>
        <v>0</v>
      </c>
      <c r="G55" s="53">
        <f>INDEX(M1_Table_MN_leach_j_m4,2,4)</f>
        <v>0</v>
      </c>
      <c r="H55" s="53">
        <f>INDEX(M1_Table_MN_leach_j_m4,2,5)</f>
        <v>0</v>
      </c>
      <c r="I55" s="53">
        <f>INDEX(M1_Table_MN_leach_j_m4,2,6)</f>
        <v>0</v>
      </c>
      <c r="J55" s="53">
        <f>INDEX(M1_Table_MN_leach_j_m4,2,7)</f>
        <v>0</v>
      </c>
      <c r="K55" s="2"/>
      <c r="O55" s="53" t="str">
        <f>INDEX(X_Table_Dairy_ProductionSystems_Method1,3,1)</f>
        <v>Milking shed</v>
      </c>
      <c r="P55" s="53" t="s">
        <v>398</v>
      </c>
      <c r="Q55" s="53">
        <f>INDEX(M2_Table_MN_leach_j_m4,2,3)</f>
        <v>0</v>
      </c>
      <c r="R55" s="53">
        <f>INDEX(M2_Table_MN_leach_j_m4,2,4)</f>
        <v>0</v>
      </c>
      <c r="S55" s="53">
        <f>INDEX(M2_Table_MN_leach_j_m4,2,5)</f>
        <v>0</v>
      </c>
      <c r="T55" s="53">
        <f>INDEX(M2_Table_MN_leach_j_m4,2,6)</f>
        <v>0</v>
      </c>
      <c r="U55" s="53">
        <f>INDEX(M2_Table_MN_leach_j_m4,2,7)</f>
        <v>0</v>
      </c>
      <c r="V55" s="2"/>
    </row>
    <row r="56" spans="4:22" ht="20.100000000000001" customHeight="1" x14ac:dyDescent="0.25">
      <c r="D56" s="53" t="str">
        <f>INDEX(X_Table_Dairy_ProductionSystems_Method1,4,1)</f>
        <v>Feed pad</v>
      </c>
      <c r="E56" s="53" t="str">
        <f>INDEX(X_Table_Dairy_Stage1MMS_2_AnaerobicLagoon,2,1)</f>
        <v>Anaerobic lagoon</v>
      </c>
      <c r="F56" s="53">
        <v>0</v>
      </c>
      <c r="G56" s="53">
        <v>0</v>
      </c>
      <c r="H56" s="53">
        <v>0</v>
      </c>
      <c r="I56" s="53">
        <v>0</v>
      </c>
      <c r="J56" s="53">
        <v>0</v>
      </c>
      <c r="K56" s="2"/>
      <c r="O56" s="53" t="str">
        <f>INDEX(X_Table_Dairy_ProductionSystems_Method1,4,1)</f>
        <v>Feed pad</v>
      </c>
      <c r="P56" s="53" t="str">
        <f>INDEX(X_Table_Dairy_Stage1MMS_2_AnaerobicLagoon,2,1)</f>
        <v>Anaerobic lagoon</v>
      </c>
      <c r="Q56" s="53">
        <v>0</v>
      </c>
      <c r="R56" s="53">
        <v>0</v>
      </c>
      <c r="S56" s="53">
        <v>0</v>
      </c>
      <c r="T56" s="53">
        <v>0</v>
      </c>
      <c r="U56" s="53">
        <v>0</v>
      </c>
      <c r="V56" s="2"/>
    </row>
    <row r="57" spans="4:22" ht="20.100000000000001" customHeight="1" x14ac:dyDescent="0.25">
      <c r="D57" s="53" t="str">
        <f>INDEX(X_Table_Dairy_ProductionSystems_Method1,4,1)</f>
        <v>Feed pad</v>
      </c>
      <c r="E57" s="53" t="str">
        <f>INDEX(X_Table_Dairy_Stage1MMS_2_SumpAndDispersal,2,1)</f>
        <v>Sump and dispersal system</v>
      </c>
      <c r="F57" s="53">
        <v>0</v>
      </c>
      <c r="G57" s="53">
        <v>0</v>
      </c>
      <c r="H57" s="53">
        <v>0</v>
      </c>
      <c r="I57" s="53">
        <v>0</v>
      </c>
      <c r="J57" s="53">
        <v>0</v>
      </c>
      <c r="K57" s="2"/>
      <c r="O57" s="53" t="str">
        <f>INDEX(X_Table_Dairy_ProductionSystems_Method1,4,1)</f>
        <v>Feed pad</v>
      </c>
      <c r="P57" s="53" t="str">
        <f>INDEX(X_Table_Dairy_Stage1MMS_2_SumpAndDispersal,2,1)</f>
        <v>Sump and dispersal system</v>
      </c>
      <c r="Q57" s="53">
        <v>0</v>
      </c>
      <c r="R57" s="53">
        <v>0</v>
      </c>
      <c r="S57" s="53">
        <v>0</v>
      </c>
      <c r="T57" s="53">
        <v>0</v>
      </c>
      <c r="U57" s="53">
        <v>0</v>
      </c>
      <c r="V57" s="2"/>
    </row>
    <row r="58" spans="4:22" ht="20.100000000000001" customHeight="1" x14ac:dyDescent="0.25">
      <c r="D58" s="53" t="str">
        <f>INDEX(X_Table_Dairy_ProductionSystems_Method1,4,1)</f>
        <v>Feed pad</v>
      </c>
      <c r="E58" s="53" t="str">
        <f>INDEX(X_Table_Dairy_Stage1MMS_2_DrainsToPaddock,2,1)</f>
        <v>Drains to paddock</v>
      </c>
      <c r="F58" s="53">
        <v>0</v>
      </c>
      <c r="G58" s="53">
        <v>0</v>
      </c>
      <c r="H58" s="53">
        <v>0</v>
      </c>
      <c r="I58" s="53">
        <v>0</v>
      </c>
      <c r="J58" s="53">
        <v>0</v>
      </c>
      <c r="K58" s="2"/>
      <c r="O58" s="53" t="str">
        <f>INDEX(X_Table_Dairy_ProductionSystems_Method1,4,1)</f>
        <v>Feed pad</v>
      </c>
      <c r="P58" s="53" t="str">
        <f>INDEX(X_Table_Dairy_Stage1MMS_2_DrainsToPaddock,2,1)</f>
        <v>Drains to paddock</v>
      </c>
      <c r="Q58" s="53">
        <v>0</v>
      </c>
      <c r="R58" s="53">
        <v>0</v>
      </c>
      <c r="S58" s="53">
        <v>0</v>
      </c>
      <c r="T58" s="53">
        <v>0</v>
      </c>
      <c r="U58" s="53">
        <v>0</v>
      </c>
      <c r="V58" s="2"/>
    </row>
    <row r="59" spans="4:22" ht="20.100000000000001" customHeight="1" x14ac:dyDescent="0.25">
      <c r="D59" s="53" t="str">
        <f>INDEX(X_Table_Dairy_ProductionSystems_Method1,4,1)</f>
        <v>Feed pad</v>
      </c>
      <c r="E59" s="53" t="s">
        <v>398</v>
      </c>
      <c r="F59" s="53">
        <f>INDEX(M1_Table_MN_leach_j_m4,3,3)</f>
        <v>0</v>
      </c>
      <c r="G59" s="53">
        <f>INDEX(M1_Table_MN_leach_j_m4,3,4)</f>
        <v>0</v>
      </c>
      <c r="H59" s="53">
        <f>INDEX(M1_Table_MN_leach_j_m4,3,5)</f>
        <v>0</v>
      </c>
      <c r="I59" s="53">
        <f>INDEX(M1_Table_MN_leach_j_m4,3,6)</f>
        <v>0</v>
      </c>
      <c r="J59" s="53">
        <f>INDEX(M1_Table_MN_leach_j_m4,3,7)</f>
        <v>0</v>
      </c>
      <c r="K59" s="2"/>
      <c r="O59" s="53" t="str">
        <f>INDEX(X_Table_Dairy_ProductionSystems_Method1,4,1)</f>
        <v>Feed pad</v>
      </c>
      <c r="P59" s="53" t="s">
        <v>398</v>
      </c>
      <c r="Q59" s="53">
        <f>INDEX(M2_Table_MN_leach_j_m4,3,3)</f>
        <v>0</v>
      </c>
      <c r="R59" s="53">
        <f>INDEX(M2_Table_MN_leach_j_m4,3,4)</f>
        <v>0</v>
      </c>
      <c r="S59" s="53">
        <f>INDEX(M2_Table_MN_leach_j_m4,3,5)</f>
        <v>0</v>
      </c>
      <c r="T59" s="53">
        <f>INDEX(M2_Table_MN_leach_j_m4,3,6)</f>
        <v>0</v>
      </c>
      <c r="U59" s="53">
        <f>INDEX(M2_Table_MN_leach_j_m4,3,7)</f>
        <v>0</v>
      </c>
      <c r="V59" s="2"/>
    </row>
    <row r="60" spans="4:22" ht="20.100000000000001" customHeight="1" x14ac:dyDescent="0.25"/>
    <row r="61" spans="4:22" ht="20.100000000000001" customHeight="1" x14ac:dyDescent="0.25">
      <c r="D61" s="100" t="s">
        <v>333</v>
      </c>
    </row>
    <row r="62" spans="4:22" ht="20.100000000000001" customHeight="1" x14ac:dyDescent="0.25">
      <c r="D62" s="99" t="s">
        <v>334</v>
      </c>
    </row>
    <row r="63" spans="4:22" ht="20.100000000000001" customHeight="1" x14ac:dyDescent="0.25">
      <c r="D63" s="40" t="s">
        <v>140</v>
      </c>
      <c r="E63" s="40" t="s">
        <v>65</v>
      </c>
      <c r="F63" s="40" t="s">
        <v>424</v>
      </c>
    </row>
    <row r="64" spans="4:22" ht="20.100000000000001" customHeight="1" x14ac:dyDescent="0.25">
      <c r="D64" s="53" t="str">
        <f>INDEX(X_Table_Dairy_ProductionSystems_Method1,3,1)</f>
        <v>Milking shed</v>
      </c>
      <c r="E64" s="53" t="str">
        <f>INDEX(X_Table_Dairy_Stage1MMS_1_AnaerobicLagoon,2,1)</f>
        <v>Anaerobic lagoon</v>
      </c>
      <c r="F64" s="53">
        <f ca="1">SUM(OFFSET(X_Table_Dairy_Stage1MMS_1_AnaerobicLagoon_Destinations,1,2,1,2))</f>
        <v>1</v>
      </c>
      <c r="G64" s="2" t="str">
        <f>$G$17</f>
        <v>fraction</v>
      </c>
    </row>
    <row r="65" spans="4:22" ht="20.100000000000001" customHeight="1" x14ac:dyDescent="0.25">
      <c r="D65" s="53" t="str">
        <f>INDEX(X_Table_Dairy_ProductionSystems_Method1,3,1)</f>
        <v>Milking shed</v>
      </c>
      <c r="E65" s="53" t="str">
        <f>INDEX(X_Table_Dairy_Stage1MMS_1_SumpAndDispersal,2,1)</f>
        <v>Sump and dispersal system</v>
      </c>
      <c r="F65" s="53">
        <f ca="1">SUM(OFFSET(X_Table_Dairy_Stage1MMS_1_SumpAndDispersal_Destinations,1,2,1,2))</f>
        <v>1</v>
      </c>
      <c r="G65" s="2"/>
    </row>
    <row r="66" spans="4:22" ht="20.100000000000001" customHeight="1" x14ac:dyDescent="0.25">
      <c r="D66" s="53" t="str">
        <f>INDEX(X_Table_Dairy_ProductionSystems_Method1,3,1)</f>
        <v>Milking shed</v>
      </c>
      <c r="E66" s="53" t="str">
        <f>INDEX(X_Table_Dairy_Stage1MMS_1_DrainsToPaddock,2,1)</f>
        <v>Drains to paddock</v>
      </c>
      <c r="F66" s="53">
        <f ca="1">SUM(OFFSET(X_Table_Dairy_Stage1MMS_1_DrainsToPaddock_Destinations,1,2,1,2))</f>
        <v>1</v>
      </c>
      <c r="G66" s="2"/>
    </row>
    <row r="67" spans="4:22" ht="20.100000000000001" customHeight="1" x14ac:dyDescent="0.25">
      <c r="D67" s="53" t="str">
        <f>INDEX(X_Table_Dairy_ProductionSystems_Method1,3,1)</f>
        <v>Milking shed</v>
      </c>
      <c r="E67" s="53" t="str">
        <f>INDEX(X_Table_Dairy_Stage1MMS_1_SolidStorage,2,1)</f>
        <v>Solid storage (before solid separation)</v>
      </c>
      <c r="F67" s="53">
        <f ca="1">SUM(OFFSET(X_Table_Dairy_Stage1MMS_1_SolidStorage_Destinations,1,2,1,2))</f>
        <v>1</v>
      </c>
      <c r="G67" s="2"/>
    </row>
    <row r="68" spans="4:22" ht="20.100000000000001" customHeight="1" x14ac:dyDescent="0.25">
      <c r="D68" s="53" t="str">
        <f>INDEX(X_Table_Dairy_ProductionSystems_Method1,4,1)</f>
        <v>Feed pad</v>
      </c>
      <c r="E68" s="53" t="str">
        <f>INDEX(X_Table_Dairy_Stage1MMS_2_AnaerobicLagoon,2,1)</f>
        <v>Anaerobic lagoon</v>
      </c>
      <c r="F68" s="53">
        <f ca="1">SUM(OFFSET(X_Table_Dairy_Stage1MMS_2_AnaerobicLagoon_Destinations,1,2,1,2))</f>
        <v>1</v>
      </c>
      <c r="G68" s="2"/>
    </row>
    <row r="69" spans="4:22" ht="20.100000000000001" customHeight="1" x14ac:dyDescent="0.25">
      <c r="D69" s="53" t="str">
        <f>INDEX(X_Table_Dairy_ProductionSystems_Method1,4,1)</f>
        <v>Feed pad</v>
      </c>
      <c r="E69" s="53" t="str">
        <f>INDEX(X_Table_Dairy_Stage1MMS_2_SumpAndDispersal,2,1)</f>
        <v>Sump and dispersal system</v>
      </c>
      <c r="F69" s="53">
        <f ca="1">SUM(OFFSET(X_Table_Dairy_Stage1MMS_2_SumpAndDispersal_Destinations,1,2,1,2))</f>
        <v>1</v>
      </c>
      <c r="G69" s="2"/>
    </row>
    <row r="70" spans="4:22" ht="20.100000000000001" customHeight="1" x14ac:dyDescent="0.25">
      <c r="D70" s="53" t="str">
        <f>INDEX(X_Table_Dairy_ProductionSystems_Method1,4,1)</f>
        <v>Feed pad</v>
      </c>
      <c r="E70" s="53" t="str">
        <f>INDEX(X_Table_Dairy_Stage1MMS_2_DrainsToPaddock,2,1)</f>
        <v>Drains to paddock</v>
      </c>
      <c r="F70" s="53">
        <f ca="1">SUM(OFFSET(X_Table_Dairy_Stage1MMS_2_DrainsToPaddock_Destinations,1,2,1,2))</f>
        <v>1</v>
      </c>
      <c r="G70" s="2"/>
    </row>
    <row r="71" spans="4:22" ht="20.100000000000001" customHeight="1" x14ac:dyDescent="0.25">
      <c r="D71" s="53" t="str">
        <f>INDEX(X_Table_Dairy_ProductionSystems_Method1,4,1)</f>
        <v>Feed pad</v>
      </c>
      <c r="E71" s="53" t="str">
        <f>INDEX(X_Table_Dairy_Stage1MMS_2_SolidStorage,2,1)</f>
        <v>Solid storage (before solid separation)</v>
      </c>
      <c r="F71" s="53">
        <f ca="1">SUM(OFFSET(X_Table_Dairy_Stage1MMS_2_SolidStorage_Destinations,1,2,1,2))</f>
        <v>1</v>
      </c>
      <c r="G71" s="2"/>
    </row>
    <row r="72" spans="4:22" ht="20.100000000000001" customHeight="1" x14ac:dyDescent="0.25"/>
    <row r="73" spans="4:22" ht="20.100000000000001" customHeight="1" x14ac:dyDescent="0.25">
      <c r="D73" s="100" t="s">
        <v>335</v>
      </c>
      <c r="O73" s="100" t="s">
        <v>339</v>
      </c>
    </row>
    <row r="74" spans="4:22" ht="20.100000000000001" customHeight="1" x14ac:dyDescent="0.25">
      <c r="D74" s="99" t="s">
        <v>338</v>
      </c>
      <c r="O74" s="99" t="s">
        <v>340</v>
      </c>
    </row>
    <row r="75" spans="4:22" ht="20.100000000000001" customHeight="1" x14ac:dyDescent="0.25">
      <c r="D75" s="52" t="s">
        <v>140</v>
      </c>
      <c r="E75" s="52" t="s">
        <v>65</v>
      </c>
      <c r="F75" s="52" t="s">
        <v>165</v>
      </c>
      <c r="G75" s="52" t="s">
        <v>182</v>
      </c>
      <c r="H75" s="52" t="s">
        <v>183</v>
      </c>
      <c r="I75" s="52" t="s">
        <v>184</v>
      </c>
      <c r="J75" s="52" t="s">
        <v>185</v>
      </c>
      <c r="O75" s="52" t="s">
        <v>140</v>
      </c>
      <c r="P75" s="52" t="s">
        <v>65</v>
      </c>
      <c r="Q75" s="52" t="s">
        <v>165</v>
      </c>
      <c r="R75" s="52" t="s">
        <v>182</v>
      </c>
      <c r="S75" s="52" t="s">
        <v>183</v>
      </c>
      <c r="T75" s="52" t="s">
        <v>184</v>
      </c>
      <c r="U75" s="52" t="s">
        <v>185</v>
      </c>
    </row>
    <row r="76" spans="4:22" ht="20.100000000000001" customHeight="1" x14ac:dyDescent="0.25">
      <c r="D76" s="53" t="str">
        <f>INDEX(X_Table_Dairy_ProductionSystems_Method1,3,1)</f>
        <v>Milking shed</v>
      </c>
      <c r="E76" s="53" t="str">
        <f>INDEX(X_Table_Dairy_Stage1MMS_1_AnaerobicLagoon,2,1)</f>
        <v>Anaerobic lagoon</v>
      </c>
      <c r="F76" s="53" cm="1">
        <f t="array" aca="1" ref="F76" ca="1">MMS_Dairy_ManureAppliedToSoils_Equations.VEERG_4_3_1_8__1_MassOfNitrogenAppliedToSoilsScope1(F40,_xlfn.XLOOKUP($E76,$D$22:$D$26,$E$22:$E$26),_xlfn.XLOOKUP($E76, $D$31:$D$35,$E$31:$E$35),F52,$F64)</f>
        <v>0</v>
      </c>
      <c r="G76" s="53" cm="1">
        <f t="array" aca="1" ref="G76" ca="1">MMS_Dairy_ManureAppliedToSoils_Equations.VEERG_4_3_1_8__1_MassOfNitrogenAppliedToSoilsScope1(G40,_xlfn.XLOOKUP($E76,$D$22:$D$26,$E$22:$E$26),_xlfn.XLOOKUP($E76, $D$31:$D$35,$E$31:$E$35),G52,$F64)</f>
        <v>0</v>
      </c>
      <c r="H76" s="53" cm="1">
        <f t="array" aca="1" ref="H76" ca="1">MMS_Dairy_ManureAppliedToSoils_Equations.VEERG_4_3_1_8__1_MassOfNitrogenAppliedToSoilsScope1(H40,_xlfn.XLOOKUP($E76,$D$22:$D$26,$E$22:$E$26),_xlfn.XLOOKUP($E76, $D$31:$D$35,$E$31:$E$35),H52,$F64)</f>
        <v>0</v>
      </c>
      <c r="I76" s="53" cm="1">
        <f t="array" aca="1" ref="I76" ca="1">MMS_Dairy_ManureAppliedToSoils_Equations.VEERG_4_3_1_8__1_MassOfNitrogenAppliedToSoilsScope1(I40,_xlfn.XLOOKUP($E76,$D$22:$D$26,$E$22:$E$26),_xlfn.XLOOKUP($E76, $D$31:$D$35,$E$31:$E$35),I52,$F64)</f>
        <v>0</v>
      </c>
      <c r="J76" s="53" cm="1">
        <f t="array" aca="1" ref="J76" ca="1">MMS_Dairy_ManureAppliedToSoils_Equations.VEERG_4_3_1_8__1_MassOfNitrogenAppliedToSoilsScope1(J40,_xlfn.XLOOKUP($E76,$D$22:$D$26,$E$22:$E$26),_xlfn.XLOOKUP($E76, $D$31:$D$35,$E$31:$E$35),J52,$F64)</f>
        <v>0</v>
      </c>
      <c r="K76" s="2" t="str">
        <f t="shared" ref="K76" si="0">$E$11</f>
        <v>kg N</v>
      </c>
      <c r="O76" s="53" t="str">
        <f>INDEX(X_Table_Dairy_ProductionSystems_Method1,3,1)</f>
        <v>Milking shed</v>
      </c>
      <c r="P76" s="53" t="str">
        <f>INDEX(X_Table_Dairy_Stage1MMS_1_AnaerobicLagoon,2,1)</f>
        <v>Anaerobic lagoon</v>
      </c>
      <c r="Q76" s="53" cm="1">
        <f t="array" aca="1" ref="Q76" ca="1">MMS_Dairy_ManureAppliedToSoils_Equations.VEERG_4_3_1_8__1_MassOfNitrogenAppliedToSoilsScope1(Q40,_xlfn.XLOOKUP($P76,$D$22:$D$26,$E$22:$E$26),_xlfn.XLOOKUP($P76, $D$31:$D$35,$E$31:$E$35),Q52,$F64)</f>
        <v>0</v>
      </c>
      <c r="R76" s="53" cm="1">
        <f t="array" aca="1" ref="R76" ca="1">MMS_Dairy_ManureAppliedToSoils_Equations.VEERG_4_3_1_8__1_MassOfNitrogenAppliedToSoilsScope1(R40,_xlfn.XLOOKUP($P76,$D$22:$D$26,$E$22:$E$26),_xlfn.XLOOKUP($P76, $D$31:$D$35,$E$31:$E$35),R52,$F64)</f>
        <v>0</v>
      </c>
      <c r="S76" s="53" cm="1">
        <f t="array" aca="1" ref="S76" ca="1">MMS_Dairy_ManureAppliedToSoils_Equations.VEERG_4_3_1_8__1_MassOfNitrogenAppliedToSoilsScope1(S40,_xlfn.XLOOKUP($P76,$D$22:$D$26,$E$22:$E$26),_xlfn.XLOOKUP($P76, $D$31:$D$35,$E$31:$E$35),S52,$F64)</f>
        <v>0</v>
      </c>
      <c r="T76" s="53" cm="1">
        <f t="array" aca="1" ref="T76" ca="1">MMS_Dairy_ManureAppliedToSoils_Equations.VEERG_4_3_1_8__1_MassOfNitrogenAppliedToSoilsScope1(T40,_xlfn.XLOOKUP($P76,$D$22:$D$26,$E$22:$E$26),_xlfn.XLOOKUP($P76, $D$31:$D$35,$E$31:$E$35),T52,$F64)</f>
        <v>0</v>
      </c>
      <c r="U76" s="53" cm="1">
        <f t="array" aca="1" ref="U76" ca="1">MMS_Dairy_ManureAppliedToSoils_Equations.VEERG_4_3_1_8__1_MassOfNitrogenAppliedToSoilsScope1(U40,_xlfn.XLOOKUP($P76,$D$22:$D$26,$E$22:$E$26),_xlfn.XLOOKUP($P76, $D$31:$D$35,$E$31:$E$35),U52,$F64)</f>
        <v>0</v>
      </c>
      <c r="V76" s="2" t="str">
        <f t="shared" ref="V76" si="1">$E$11</f>
        <v>kg N</v>
      </c>
    </row>
    <row r="77" spans="4:22" ht="20.100000000000001" customHeight="1" x14ac:dyDescent="0.25">
      <c r="D77" s="53" t="str">
        <f>INDEX(X_Table_Dairy_ProductionSystems_Method1,3,1)</f>
        <v>Milking shed</v>
      </c>
      <c r="E77" s="53" t="str">
        <f>INDEX(X_Table_Dairy_Stage1MMS_1_SumpAndDispersal,2,1)</f>
        <v>Sump and dispersal system</v>
      </c>
      <c r="F77" s="53" cm="1">
        <f t="array" aca="1" ref="F77" ca="1">MMS_Dairy_ManureAppliedToSoils_Equations.VEERG_4_3_1_8__1_MassOfNitrogenAppliedToSoilsScope1(F41,_xlfn.XLOOKUP($E77,$D$22:$D$26,$E$22:$E$26),_xlfn.XLOOKUP($E77, $D$31:$D$35,$E$31:$E$35),F53,$F65)</f>
        <v>16186.400140455011</v>
      </c>
      <c r="G77" s="53" cm="1">
        <f t="array" aca="1" ref="G77" ca="1">MMS_Dairy_ManureAppliedToSoils_Equations.VEERG_4_3_1_8__1_MassOfNitrogenAppliedToSoilsScope1(G41,_xlfn.XLOOKUP($E77,$D$22:$D$26,$E$22:$E$26),_xlfn.XLOOKUP($E77, $D$31:$D$35,$E$31:$E$35),G53,$F65)</f>
        <v>0</v>
      </c>
      <c r="H77" s="53" cm="1">
        <f t="array" aca="1" ref="H77" ca="1">MMS_Dairy_ManureAppliedToSoils_Equations.VEERG_4_3_1_8__1_MassOfNitrogenAppliedToSoilsScope1(H41,_xlfn.XLOOKUP($E77,$D$22:$D$26,$E$22:$E$26),_xlfn.XLOOKUP($E77, $D$31:$D$35,$E$31:$E$35),H53,$F65)</f>
        <v>0</v>
      </c>
      <c r="I77" s="53" cm="1">
        <f t="array" aca="1" ref="I77" ca="1">MMS_Dairy_ManureAppliedToSoils_Equations.VEERG_4_3_1_8__1_MassOfNitrogenAppliedToSoilsScope1(I41,_xlfn.XLOOKUP($E77,$D$22:$D$26,$E$22:$E$26),_xlfn.XLOOKUP($E77, $D$31:$D$35,$E$31:$E$35),I53,$F65)</f>
        <v>0</v>
      </c>
      <c r="J77" s="53" cm="1">
        <f t="array" aca="1" ref="J77" ca="1">MMS_Dairy_ManureAppliedToSoils_Equations.VEERG_4_3_1_8__1_MassOfNitrogenAppliedToSoilsScope1(J41,_xlfn.XLOOKUP($E77,$D$22:$D$26,$E$22:$E$26),_xlfn.XLOOKUP($E77, $D$31:$D$35,$E$31:$E$35),J53,$F65)</f>
        <v>0</v>
      </c>
      <c r="K77" s="2"/>
      <c r="O77" s="53" t="str">
        <f>INDEX(X_Table_Dairy_ProductionSystems_Method1,3,1)</f>
        <v>Milking shed</v>
      </c>
      <c r="P77" s="53" t="str">
        <f>INDEX(X_Table_Dairy_Stage1MMS_1_SumpAndDispersal,2,1)</f>
        <v>Sump and dispersal system</v>
      </c>
      <c r="Q77" s="53" cm="1">
        <f t="array" aca="1" ref="Q77" ca="1">MMS_Dairy_ManureAppliedToSoils_Equations.VEERG_4_3_1_8__1_MassOfNitrogenAppliedToSoilsScope1(Q41,_xlfn.XLOOKUP($P77,$D$22:$D$26,$E$22:$E$26),_xlfn.XLOOKUP($P77, $D$31:$D$35,$E$31:$E$35),Q53,$F65)</f>
        <v>16186.400140455011</v>
      </c>
      <c r="R77" s="53" cm="1">
        <f t="array" aca="1" ref="R77" ca="1">MMS_Dairy_ManureAppliedToSoils_Equations.VEERG_4_3_1_8__1_MassOfNitrogenAppliedToSoilsScope1(R41,_xlfn.XLOOKUP($P77,$D$22:$D$26,$E$22:$E$26),_xlfn.XLOOKUP($P77, $D$31:$D$35,$E$31:$E$35),R53,$F65)</f>
        <v>0</v>
      </c>
      <c r="S77" s="53" cm="1">
        <f t="array" aca="1" ref="S77" ca="1">MMS_Dairy_ManureAppliedToSoils_Equations.VEERG_4_3_1_8__1_MassOfNitrogenAppliedToSoilsScope1(S41,_xlfn.XLOOKUP($P77,$D$22:$D$26,$E$22:$E$26),_xlfn.XLOOKUP($P77, $D$31:$D$35,$E$31:$E$35),S53,$F65)</f>
        <v>0</v>
      </c>
      <c r="T77" s="53" cm="1">
        <f t="array" aca="1" ref="T77" ca="1">MMS_Dairy_ManureAppliedToSoils_Equations.VEERG_4_3_1_8__1_MassOfNitrogenAppliedToSoilsScope1(T41,_xlfn.XLOOKUP($P77,$D$22:$D$26,$E$22:$E$26),_xlfn.XLOOKUP($P77, $D$31:$D$35,$E$31:$E$35),T53,$F65)</f>
        <v>0</v>
      </c>
      <c r="U77" s="53" cm="1">
        <f t="array" aca="1" ref="U77" ca="1">MMS_Dairy_ManureAppliedToSoils_Equations.VEERG_4_3_1_8__1_MassOfNitrogenAppliedToSoilsScope1(U41,_xlfn.XLOOKUP($P77,$D$22:$D$26,$E$22:$E$26),_xlfn.XLOOKUP($P77, $D$31:$D$35,$E$31:$E$35),U53,$F65)</f>
        <v>0</v>
      </c>
      <c r="V77" s="2"/>
    </row>
    <row r="78" spans="4:22" ht="20.100000000000001" customHeight="1" x14ac:dyDescent="0.25">
      <c r="D78" s="53" t="str">
        <f>INDEX(X_Table_Dairy_ProductionSystems_Method1,3,1)</f>
        <v>Milking shed</v>
      </c>
      <c r="E78" s="53" t="str">
        <f>INDEX(X_Table_Dairy_Stage1MMS_1_DrainsToPaddock,2,1)</f>
        <v>Drains to paddock</v>
      </c>
      <c r="F78" s="53" cm="1">
        <f t="array" aca="1" ref="F78" ca="1">MMS_Dairy_ManureAppliedToSoils_Equations.VEERG_4_3_1_8__1_MassOfNitrogenAppliedToSoilsScope1(F42,_xlfn.XLOOKUP($E78,$D$22:$D$26,$E$22:$E$26),_xlfn.XLOOKUP($E78, $D$31:$D$35,$E$31:$E$35),F54,$F66)</f>
        <v>0</v>
      </c>
      <c r="G78" s="53" cm="1">
        <f t="array" aca="1" ref="G78" ca="1">MMS_Dairy_ManureAppliedToSoils_Equations.VEERG_4_3_1_8__1_MassOfNitrogenAppliedToSoilsScope1(G42,_xlfn.XLOOKUP($E78,$D$22:$D$26,$E$22:$E$26),_xlfn.XLOOKUP($E78, $D$31:$D$35,$E$31:$E$35),G54,$F66)</f>
        <v>0</v>
      </c>
      <c r="H78" s="53" cm="1">
        <f t="array" aca="1" ref="H78" ca="1">MMS_Dairy_ManureAppliedToSoils_Equations.VEERG_4_3_1_8__1_MassOfNitrogenAppliedToSoilsScope1(H42,_xlfn.XLOOKUP($E78,$D$22:$D$26,$E$22:$E$26),_xlfn.XLOOKUP($E78, $D$31:$D$35,$E$31:$E$35),H54,$F66)</f>
        <v>0</v>
      </c>
      <c r="I78" s="53" cm="1">
        <f t="array" aca="1" ref="I78" ca="1">MMS_Dairy_ManureAppliedToSoils_Equations.VEERG_4_3_1_8__1_MassOfNitrogenAppliedToSoilsScope1(I42,_xlfn.XLOOKUP($E78,$D$22:$D$26,$E$22:$E$26),_xlfn.XLOOKUP($E78, $D$31:$D$35,$E$31:$E$35),I54,$F66)</f>
        <v>0</v>
      </c>
      <c r="J78" s="53" cm="1">
        <f t="array" aca="1" ref="J78" ca="1">MMS_Dairy_ManureAppliedToSoils_Equations.VEERG_4_3_1_8__1_MassOfNitrogenAppliedToSoilsScope1(J42,_xlfn.XLOOKUP($E78,$D$22:$D$26,$E$22:$E$26),_xlfn.XLOOKUP($E78, $D$31:$D$35,$E$31:$E$35),J54,$F66)</f>
        <v>0</v>
      </c>
      <c r="K78" s="2"/>
      <c r="O78" s="53" t="str">
        <f>INDEX(X_Table_Dairy_ProductionSystems_Method1,3,1)</f>
        <v>Milking shed</v>
      </c>
      <c r="P78" s="53" t="str">
        <f>INDEX(X_Table_Dairy_Stage1MMS_1_DrainsToPaddock,2,1)</f>
        <v>Drains to paddock</v>
      </c>
      <c r="Q78" s="53" cm="1">
        <f t="array" aca="1" ref="Q78" ca="1">MMS_Dairy_ManureAppliedToSoils_Equations.VEERG_4_3_1_8__1_MassOfNitrogenAppliedToSoilsScope1(Q42,_xlfn.XLOOKUP($P78,$D$22:$D$26,$E$22:$E$26),_xlfn.XLOOKUP($P78, $D$31:$D$35,$E$31:$E$35),Q54,$F66)</f>
        <v>0</v>
      </c>
      <c r="R78" s="53" cm="1">
        <f t="array" aca="1" ref="R78" ca="1">MMS_Dairy_ManureAppliedToSoils_Equations.VEERG_4_3_1_8__1_MassOfNitrogenAppliedToSoilsScope1(R42,_xlfn.XLOOKUP($P78,$D$22:$D$26,$E$22:$E$26),_xlfn.XLOOKUP($P78, $D$31:$D$35,$E$31:$E$35),R54,$F66)</f>
        <v>0</v>
      </c>
      <c r="S78" s="53" cm="1">
        <f t="array" aca="1" ref="S78" ca="1">MMS_Dairy_ManureAppliedToSoils_Equations.VEERG_4_3_1_8__1_MassOfNitrogenAppliedToSoilsScope1(S42,_xlfn.XLOOKUP($P78,$D$22:$D$26,$E$22:$E$26),_xlfn.XLOOKUP($P78, $D$31:$D$35,$E$31:$E$35),S54,$F66)</f>
        <v>0</v>
      </c>
      <c r="T78" s="53" cm="1">
        <f t="array" aca="1" ref="T78" ca="1">MMS_Dairy_ManureAppliedToSoils_Equations.VEERG_4_3_1_8__1_MassOfNitrogenAppliedToSoilsScope1(T42,_xlfn.XLOOKUP($P78,$D$22:$D$26,$E$22:$E$26),_xlfn.XLOOKUP($P78, $D$31:$D$35,$E$31:$E$35),T54,$F66)</f>
        <v>0</v>
      </c>
      <c r="U78" s="53" cm="1">
        <f t="array" aca="1" ref="U78" ca="1">MMS_Dairy_ManureAppliedToSoils_Equations.VEERG_4_3_1_8__1_MassOfNitrogenAppliedToSoilsScope1(U42,_xlfn.XLOOKUP($P78,$D$22:$D$26,$E$22:$E$26),_xlfn.XLOOKUP($P78, $D$31:$D$35,$E$31:$E$35),U54,$F66)</f>
        <v>0</v>
      </c>
      <c r="V78" s="2"/>
    </row>
    <row r="79" spans="4:22" ht="20.100000000000001" customHeight="1" x14ac:dyDescent="0.25">
      <c r="D79" s="53" t="str">
        <f>INDEX(X_Table_Dairy_ProductionSystems_Method1,3,1)</f>
        <v>Milking shed</v>
      </c>
      <c r="E79" s="53" t="s">
        <v>398</v>
      </c>
      <c r="F79" s="53" cm="1">
        <f t="array" aca="1" ref="F79" ca="1">MMS_Dairy_ManureAppliedToSoils_Equations.VEERG_4_3_1_8__1_MassOfNitrogenAppliedToSoilsScope1(F43,_xlfn.XLOOKUP($E79,$D$22:$D$26,$E$22:$E$26),_xlfn.XLOOKUP($E79, $D$31:$D$35,$E$31:$E$35),F55,$F67)</f>
        <v>0</v>
      </c>
      <c r="G79" s="53" cm="1">
        <f t="array" aca="1" ref="G79" ca="1">MMS_Dairy_ManureAppliedToSoils_Equations.VEERG_4_3_1_8__1_MassOfNitrogenAppliedToSoilsScope1(G43,_xlfn.XLOOKUP($E79,$D$22:$D$26,$E$22:$E$26),_xlfn.XLOOKUP($E79, $D$31:$D$35,$E$31:$E$35),G55,$F67)</f>
        <v>0</v>
      </c>
      <c r="H79" s="53" cm="1">
        <f t="array" aca="1" ref="H79" ca="1">MMS_Dairy_ManureAppliedToSoils_Equations.VEERG_4_3_1_8__1_MassOfNitrogenAppliedToSoilsScope1(H43,_xlfn.XLOOKUP($E79,$D$22:$D$26,$E$22:$E$26),_xlfn.XLOOKUP($E79, $D$31:$D$35,$E$31:$E$35),H55,$F67)</f>
        <v>0</v>
      </c>
      <c r="I79" s="53" cm="1">
        <f t="array" aca="1" ref="I79" ca="1">MMS_Dairy_ManureAppliedToSoils_Equations.VEERG_4_3_1_8__1_MassOfNitrogenAppliedToSoilsScope1(I43,_xlfn.XLOOKUP($E79,$D$22:$D$26,$E$22:$E$26),_xlfn.XLOOKUP($E79, $D$31:$D$35,$E$31:$E$35),I55,$F67)</f>
        <v>0</v>
      </c>
      <c r="J79" s="53" cm="1">
        <f t="array" aca="1" ref="J79" ca="1">MMS_Dairy_ManureAppliedToSoils_Equations.VEERG_4_3_1_8__1_MassOfNitrogenAppliedToSoilsScope1(J43,_xlfn.XLOOKUP($E79,$D$22:$D$26,$E$22:$E$26),_xlfn.XLOOKUP($E79, $D$31:$D$35,$E$31:$E$35),J55,$F67)</f>
        <v>0</v>
      </c>
      <c r="K79" s="2"/>
      <c r="O79" s="53" t="str">
        <f>INDEX(X_Table_Dairy_ProductionSystems_Method1,3,1)</f>
        <v>Milking shed</v>
      </c>
      <c r="P79" s="53" t="s">
        <v>398</v>
      </c>
      <c r="Q79" s="53" cm="1">
        <f t="array" aca="1" ref="Q79" ca="1">MMS_Dairy_ManureAppliedToSoils_Equations.VEERG_4_3_1_8__1_MassOfNitrogenAppliedToSoilsScope1(Q43,_xlfn.XLOOKUP($P79,$D$22:$D$26,$E$22:$E$26),_xlfn.XLOOKUP($P79, $D$31:$D$35,$E$31:$E$35),Q55,$F67)</f>
        <v>0</v>
      </c>
      <c r="R79" s="53" cm="1">
        <f t="array" aca="1" ref="R79" ca="1">MMS_Dairy_ManureAppliedToSoils_Equations.VEERG_4_3_1_8__1_MassOfNitrogenAppliedToSoilsScope1(R43,_xlfn.XLOOKUP($P79,$D$22:$D$26,$E$22:$E$26),_xlfn.XLOOKUP($P79, $D$31:$D$35,$E$31:$E$35),R55,$F67)</f>
        <v>0</v>
      </c>
      <c r="S79" s="53" cm="1">
        <f t="array" aca="1" ref="S79" ca="1">MMS_Dairy_ManureAppliedToSoils_Equations.VEERG_4_3_1_8__1_MassOfNitrogenAppliedToSoilsScope1(S43,_xlfn.XLOOKUP($P79,$D$22:$D$26,$E$22:$E$26),_xlfn.XLOOKUP($P79, $D$31:$D$35,$E$31:$E$35),S55,$F67)</f>
        <v>0</v>
      </c>
      <c r="T79" s="53" cm="1">
        <f t="array" aca="1" ref="T79" ca="1">MMS_Dairy_ManureAppliedToSoils_Equations.VEERG_4_3_1_8__1_MassOfNitrogenAppliedToSoilsScope1(T43,_xlfn.XLOOKUP($P79,$D$22:$D$26,$E$22:$E$26),_xlfn.XLOOKUP($P79, $D$31:$D$35,$E$31:$E$35),T55,$F67)</f>
        <v>0</v>
      </c>
      <c r="U79" s="53" cm="1">
        <f t="array" aca="1" ref="U79" ca="1">MMS_Dairy_ManureAppliedToSoils_Equations.VEERG_4_3_1_8__1_MassOfNitrogenAppliedToSoilsScope1(U43,_xlfn.XLOOKUP($P79,$D$22:$D$26,$E$22:$E$26),_xlfn.XLOOKUP($P79, $D$31:$D$35,$E$31:$E$35),U55,$F67)</f>
        <v>0</v>
      </c>
      <c r="V79" s="2"/>
    </row>
    <row r="80" spans="4:22" ht="20.100000000000001" customHeight="1" x14ac:dyDescent="0.25">
      <c r="D80" s="53" t="str">
        <f>INDEX(X_Table_Dairy_ProductionSystems_Method1,4,1)</f>
        <v>Feed pad</v>
      </c>
      <c r="E80" s="53" t="str">
        <f>INDEX(X_Table_Dairy_Stage1MMS_2_AnaerobicLagoon,2,1)</f>
        <v>Anaerobic lagoon</v>
      </c>
      <c r="F80" s="53" cm="1">
        <f t="array" aca="1" ref="F80" ca="1">MMS_Dairy_ManureAppliedToSoils_Equations.VEERG_4_3_1_8__1_MassOfNitrogenAppliedToSoilsScope1(F44,_xlfn.XLOOKUP($E80,$D$22:$D$26,$E$22:$E$26),_xlfn.XLOOKUP($E80, $D$31:$D$35,$E$31:$E$35),F56,$F68)</f>
        <v>0</v>
      </c>
      <c r="G80" s="53" cm="1">
        <f t="array" aca="1" ref="G80" ca="1">MMS_Dairy_ManureAppliedToSoils_Equations.VEERG_4_3_1_8__1_MassOfNitrogenAppliedToSoilsScope1(G44,_xlfn.XLOOKUP($E80,$D$22:$D$26,$E$22:$E$26),_xlfn.XLOOKUP($E80, $D$31:$D$35,$E$31:$E$35),G56,$F68)</f>
        <v>0</v>
      </c>
      <c r="H80" s="53" cm="1">
        <f t="array" aca="1" ref="H80" ca="1">MMS_Dairy_ManureAppliedToSoils_Equations.VEERG_4_3_1_8__1_MassOfNitrogenAppliedToSoilsScope1(H44,_xlfn.XLOOKUP($E80,$D$22:$D$26,$E$22:$E$26),_xlfn.XLOOKUP($E80, $D$31:$D$35,$E$31:$E$35),H56,$F68)</f>
        <v>0</v>
      </c>
      <c r="I80" s="53" cm="1">
        <f t="array" aca="1" ref="I80" ca="1">MMS_Dairy_ManureAppliedToSoils_Equations.VEERG_4_3_1_8__1_MassOfNitrogenAppliedToSoilsScope1(I44,_xlfn.XLOOKUP($E80,$D$22:$D$26,$E$22:$E$26),_xlfn.XLOOKUP($E80, $D$31:$D$35,$E$31:$E$35),I56,$F68)</f>
        <v>0</v>
      </c>
      <c r="J80" s="53" cm="1">
        <f t="array" aca="1" ref="J80" ca="1">MMS_Dairy_ManureAppliedToSoils_Equations.VEERG_4_3_1_8__1_MassOfNitrogenAppliedToSoilsScope1(J44,_xlfn.XLOOKUP($E80,$D$22:$D$26,$E$22:$E$26),_xlfn.XLOOKUP($E80, $D$31:$D$35,$E$31:$E$35),J56,$F68)</f>
        <v>0</v>
      </c>
      <c r="K80" s="2"/>
      <c r="O80" s="53" t="str">
        <f>INDEX(X_Table_Dairy_ProductionSystems_Method1,4,1)</f>
        <v>Feed pad</v>
      </c>
      <c r="P80" s="53" t="str">
        <f>INDEX(X_Table_Dairy_Stage1MMS_2_AnaerobicLagoon,2,1)</f>
        <v>Anaerobic lagoon</v>
      </c>
      <c r="Q80" s="53" cm="1">
        <f t="array" aca="1" ref="Q80" ca="1">MMS_Dairy_ManureAppliedToSoils_Equations.VEERG_4_3_1_8__1_MassOfNitrogenAppliedToSoilsScope1(Q44,_xlfn.XLOOKUP($P80,$D$22:$D$26,$E$22:$E$26),_xlfn.XLOOKUP($P80, $D$31:$D$35,$E$31:$E$35),Q56,$F68)</f>
        <v>0</v>
      </c>
      <c r="R80" s="53" cm="1">
        <f t="array" aca="1" ref="R80" ca="1">MMS_Dairy_ManureAppliedToSoils_Equations.VEERG_4_3_1_8__1_MassOfNitrogenAppliedToSoilsScope1(R44,_xlfn.XLOOKUP($P80,$D$22:$D$26,$E$22:$E$26),_xlfn.XLOOKUP($P80, $D$31:$D$35,$E$31:$E$35),R56,$F68)</f>
        <v>0</v>
      </c>
      <c r="S80" s="53" cm="1">
        <f t="array" aca="1" ref="S80" ca="1">MMS_Dairy_ManureAppliedToSoils_Equations.VEERG_4_3_1_8__1_MassOfNitrogenAppliedToSoilsScope1(S44,_xlfn.XLOOKUP($P80,$D$22:$D$26,$E$22:$E$26),_xlfn.XLOOKUP($P80, $D$31:$D$35,$E$31:$E$35),S56,$F68)</f>
        <v>0</v>
      </c>
      <c r="T80" s="53" cm="1">
        <f t="array" aca="1" ref="T80" ca="1">MMS_Dairy_ManureAppliedToSoils_Equations.VEERG_4_3_1_8__1_MassOfNitrogenAppliedToSoilsScope1(T44,_xlfn.XLOOKUP($P80,$D$22:$D$26,$E$22:$E$26),_xlfn.XLOOKUP($P80, $D$31:$D$35,$E$31:$E$35),T56,$F68)</f>
        <v>0</v>
      </c>
      <c r="U80" s="53" cm="1">
        <f t="array" aca="1" ref="U80" ca="1">MMS_Dairy_ManureAppliedToSoils_Equations.VEERG_4_3_1_8__1_MassOfNitrogenAppliedToSoilsScope1(U44,_xlfn.XLOOKUP($P80,$D$22:$D$26,$E$22:$E$26),_xlfn.XLOOKUP($P80, $D$31:$D$35,$E$31:$E$35),U56,$F68)</f>
        <v>0</v>
      </c>
      <c r="V80" s="2"/>
    </row>
    <row r="81" spans="3:23" ht="20.100000000000001" customHeight="1" x14ac:dyDescent="0.25">
      <c r="D81" s="53" t="str">
        <f>INDEX(X_Table_Dairy_ProductionSystems_Method1,4,1)</f>
        <v>Feed pad</v>
      </c>
      <c r="E81" s="53" t="str">
        <f>INDEX(X_Table_Dairy_Stage1MMS_2_SumpAndDispersal,2,1)</f>
        <v>Sump and dispersal system</v>
      </c>
      <c r="F81" s="53" cm="1">
        <f t="array" aca="1" ref="F81" ca="1">MMS_Dairy_ManureAppliedToSoils_Equations.VEERG_4_3_1_8__1_MassOfNitrogenAppliedToSoilsScope1(F45,_xlfn.XLOOKUP($E81,$D$22:$D$26,$E$22:$E$26),_xlfn.XLOOKUP($E81, $D$31:$D$35,$E$31:$E$35),F57,$F69)</f>
        <v>0</v>
      </c>
      <c r="G81" s="53" cm="1">
        <f t="array" aca="1" ref="G81" ca="1">MMS_Dairy_ManureAppliedToSoils_Equations.VEERG_4_3_1_8__1_MassOfNitrogenAppliedToSoilsScope1(G45,_xlfn.XLOOKUP($E81,$D$22:$D$26,$E$22:$E$26),_xlfn.XLOOKUP($E81, $D$31:$D$35,$E$31:$E$35),G57,$F69)</f>
        <v>0</v>
      </c>
      <c r="H81" s="53" cm="1">
        <f t="array" aca="1" ref="H81" ca="1">MMS_Dairy_ManureAppliedToSoils_Equations.VEERG_4_3_1_8__1_MassOfNitrogenAppliedToSoilsScope1(H45,_xlfn.XLOOKUP($E81,$D$22:$D$26,$E$22:$E$26),_xlfn.XLOOKUP($E81, $D$31:$D$35,$E$31:$E$35),H57,$F69)</f>
        <v>0</v>
      </c>
      <c r="I81" s="53" cm="1">
        <f t="array" aca="1" ref="I81" ca="1">MMS_Dairy_ManureAppliedToSoils_Equations.VEERG_4_3_1_8__1_MassOfNitrogenAppliedToSoilsScope1(I45,_xlfn.XLOOKUP($E81,$D$22:$D$26,$E$22:$E$26),_xlfn.XLOOKUP($E81, $D$31:$D$35,$E$31:$E$35),I57,$F69)</f>
        <v>0</v>
      </c>
      <c r="J81" s="53" cm="1">
        <f t="array" aca="1" ref="J81" ca="1">MMS_Dairy_ManureAppliedToSoils_Equations.VEERG_4_3_1_8__1_MassOfNitrogenAppliedToSoilsScope1(J45,_xlfn.XLOOKUP($E81,$D$22:$D$26,$E$22:$E$26),_xlfn.XLOOKUP($E81, $D$31:$D$35,$E$31:$E$35),J57,$F69)</f>
        <v>0</v>
      </c>
      <c r="K81" s="2"/>
      <c r="O81" s="53" t="str">
        <f>INDEX(X_Table_Dairy_ProductionSystems_Method1,4,1)</f>
        <v>Feed pad</v>
      </c>
      <c r="P81" s="53" t="str">
        <f>INDEX(X_Table_Dairy_Stage1MMS_2_SumpAndDispersal,2,1)</f>
        <v>Sump and dispersal system</v>
      </c>
      <c r="Q81" s="53" cm="1">
        <f t="array" aca="1" ref="Q81" ca="1">MMS_Dairy_ManureAppliedToSoils_Equations.VEERG_4_3_1_8__1_MassOfNitrogenAppliedToSoilsScope1(Q45,_xlfn.XLOOKUP($P81,$D$22:$D$26,$E$22:$E$26),_xlfn.XLOOKUP($P81, $D$31:$D$35,$E$31:$E$35),Q57,$F69)</f>
        <v>0</v>
      </c>
      <c r="R81" s="53" cm="1">
        <f t="array" aca="1" ref="R81" ca="1">MMS_Dairy_ManureAppliedToSoils_Equations.VEERG_4_3_1_8__1_MassOfNitrogenAppliedToSoilsScope1(R45,_xlfn.XLOOKUP($P81,$D$22:$D$26,$E$22:$E$26),_xlfn.XLOOKUP($P81, $D$31:$D$35,$E$31:$E$35),R57,$F69)</f>
        <v>0</v>
      </c>
      <c r="S81" s="53" cm="1">
        <f t="array" aca="1" ref="S81" ca="1">MMS_Dairy_ManureAppliedToSoils_Equations.VEERG_4_3_1_8__1_MassOfNitrogenAppliedToSoilsScope1(S45,_xlfn.XLOOKUP($P81,$D$22:$D$26,$E$22:$E$26),_xlfn.XLOOKUP($P81, $D$31:$D$35,$E$31:$E$35),S57,$F69)</f>
        <v>0</v>
      </c>
      <c r="T81" s="53" cm="1">
        <f t="array" aca="1" ref="T81" ca="1">MMS_Dairy_ManureAppliedToSoils_Equations.VEERG_4_3_1_8__1_MassOfNitrogenAppliedToSoilsScope1(T45,_xlfn.XLOOKUP($P81,$D$22:$D$26,$E$22:$E$26),_xlfn.XLOOKUP($P81, $D$31:$D$35,$E$31:$E$35),T57,$F69)</f>
        <v>0</v>
      </c>
      <c r="U81" s="53" cm="1">
        <f t="array" aca="1" ref="U81" ca="1">MMS_Dairy_ManureAppliedToSoils_Equations.VEERG_4_3_1_8__1_MassOfNitrogenAppliedToSoilsScope1(U45,_xlfn.XLOOKUP($P81,$D$22:$D$26,$E$22:$E$26),_xlfn.XLOOKUP($P81, $D$31:$D$35,$E$31:$E$35),U57,$F69)</f>
        <v>0</v>
      </c>
      <c r="V81" s="2"/>
    </row>
    <row r="82" spans="3:23" ht="20.100000000000001" customHeight="1" x14ac:dyDescent="0.25">
      <c r="D82" s="53" t="str">
        <f>INDEX(X_Table_Dairy_ProductionSystems_Method1,4,1)</f>
        <v>Feed pad</v>
      </c>
      <c r="E82" s="53" t="str">
        <f>INDEX(X_Table_Dairy_Stage1MMS_2_DrainsToPaddock,2,1)</f>
        <v>Drains to paddock</v>
      </c>
      <c r="F82" s="53" cm="1">
        <f t="array" aca="1" ref="F82" ca="1">MMS_Dairy_ManureAppliedToSoils_Equations.VEERG_4_3_1_8__1_MassOfNitrogenAppliedToSoilsScope1(F46,_xlfn.XLOOKUP($E82,$D$22:$D$26,$E$22:$E$26),_xlfn.XLOOKUP($E82, $D$31:$D$35,$E$31:$E$35),F58,$F70)</f>
        <v>0</v>
      </c>
      <c r="G82" s="53" cm="1">
        <f t="array" aca="1" ref="G82" ca="1">MMS_Dairy_ManureAppliedToSoils_Equations.VEERG_4_3_1_8__1_MassOfNitrogenAppliedToSoilsScope1(G46,_xlfn.XLOOKUP($E82,$D$22:$D$26,$E$22:$E$26),_xlfn.XLOOKUP($E82, $D$31:$D$35,$E$31:$E$35),G58,$F70)</f>
        <v>0</v>
      </c>
      <c r="H82" s="53" cm="1">
        <f t="array" aca="1" ref="H82" ca="1">MMS_Dairy_ManureAppliedToSoils_Equations.VEERG_4_3_1_8__1_MassOfNitrogenAppliedToSoilsScope1(H46,_xlfn.XLOOKUP($E82,$D$22:$D$26,$E$22:$E$26),_xlfn.XLOOKUP($E82, $D$31:$D$35,$E$31:$E$35),H58,$F70)</f>
        <v>0</v>
      </c>
      <c r="I82" s="53" cm="1">
        <f t="array" aca="1" ref="I82" ca="1">MMS_Dairy_ManureAppliedToSoils_Equations.VEERG_4_3_1_8__1_MassOfNitrogenAppliedToSoilsScope1(I46,_xlfn.XLOOKUP($E82,$D$22:$D$26,$E$22:$E$26),_xlfn.XLOOKUP($E82, $D$31:$D$35,$E$31:$E$35),I58,$F70)</f>
        <v>0</v>
      </c>
      <c r="J82" s="53" cm="1">
        <f t="array" aca="1" ref="J82" ca="1">MMS_Dairy_ManureAppliedToSoils_Equations.VEERG_4_3_1_8__1_MassOfNitrogenAppliedToSoilsScope1(J46,_xlfn.XLOOKUP($E82,$D$22:$D$26,$E$22:$E$26),_xlfn.XLOOKUP($E82, $D$31:$D$35,$E$31:$E$35),J58,$F70)</f>
        <v>0</v>
      </c>
      <c r="K82" s="2"/>
      <c r="O82" s="53" t="str">
        <f>INDEX(X_Table_Dairy_ProductionSystems_Method1,4,1)</f>
        <v>Feed pad</v>
      </c>
      <c r="P82" s="53" t="str">
        <f>INDEX(X_Table_Dairy_Stage1MMS_2_DrainsToPaddock,2,1)</f>
        <v>Drains to paddock</v>
      </c>
      <c r="Q82" s="53" cm="1">
        <f t="array" aca="1" ref="Q82" ca="1">MMS_Dairy_ManureAppliedToSoils_Equations.VEERG_4_3_1_8__1_MassOfNitrogenAppliedToSoilsScope1(Q46,_xlfn.XLOOKUP($P82,$D$22:$D$26,$E$22:$E$26),_xlfn.XLOOKUP($P82, $D$31:$D$35,$E$31:$E$35),Q58,$F70)</f>
        <v>0</v>
      </c>
      <c r="R82" s="53" cm="1">
        <f t="array" aca="1" ref="R82" ca="1">MMS_Dairy_ManureAppliedToSoils_Equations.VEERG_4_3_1_8__1_MassOfNitrogenAppliedToSoilsScope1(R46,_xlfn.XLOOKUP($P82,$D$22:$D$26,$E$22:$E$26),_xlfn.XLOOKUP($P82, $D$31:$D$35,$E$31:$E$35),R58,$F70)</f>
        <v>0</v>
      </c>
      <c r="S82" s="53" cm="1">
        <f t="array" aca="1" ref="S82" ca="1">MMS_Dairy_ManureAppliedToSoils_Equations.VEERG_4_3_1_8__1_MassOfNitrogenAppliedToSoilsScope1(S46,_xlfn.XLOOKUP($P82,$D$22:$D$26,$E$22:$E$26),_xlfn.XLOOKUP($P82, $D$31:$D$35,$E$31:$E$35),S58,$F70)</f>
        <v>0</v>
      </c>
      <c r="T82" s="53" cm="1">
        <f t="array" aca="1" ref="T82" ca="1">MMS_Dairy_ManureAppliedToSoils_Equations.VEERG_4_3_1_8__1_MassOfNitrogenAppliedToSoilsScope1(T46,_xlfn.XLOOKUP($P82,$D$22:$D$26,$E$22:$E$26),_xlfn.XLOOKUP($P82, $D$31:$D$35,$E$31:$E$35),T58,$F70)</f>
        <v>0</v>
      </c>
      <c r="U82" s="53" cm="1">
        <f t="array" aca="1" ref="U82" ca="1">MMS_Dairy_ManureAppliedToSoils_Equations.VEERG_4_3_1_8__1_MassOfNitrogenAppliedToSoilsScope1(U46,_xlfn.XLOOKUP($P82,$D$22:$D$26,$E$22:$E$26),_xlfn.XLOOKUP($P82, $D$31:$D$35,$E$31:$E$35),U58,$F70)</f>
        <v>0</v>
      </c>
      <c r="V82" s="2"/>
    </row>
    <row r="83" spans="3:23" ht="20.100000000000001" customHeight="1" x14ac:dyDescent="0.25">
      <c r="D83" s="53" t="str">
        <f>INDEX(X_Table_Dairy_ProductionSystems_Method1,4,1)</f>
        <v>Feed pad</v>
      </c>
      <c r="E83" s="53" t="s">
        <v>398</v>
      </c>
      <c r="F83" s="53" cm="1">
        <f t="array" aca="1" ref="F83" ca="1">MMS_Dairy_ManureAppliedToSoils_Equations.VEERG_4_3_1_8__1_MassOfNitrogenAppliedToSoilsScope1(F47,_xlfn.XLOOKUP($E83,$D$22:$D$26,$E$22:$E$26),_xlfn.XLOOKUP($E83, $D$31:$D$35,$E$31:$E$35),F59,$F71)</f>
        <v>0</v>
      </c>
      <c r="G83" s="53" cm="1">
        <f t="array" aca="1" ref="G83" ca="1">MMS_Dairy_ManureAppliedToSoils_Equations.VEERG_4_3_1_8__1_MassOfNitrogenAppliedToSoilsScope1(G47,_xlfn.XLOOKUP($E83,$D$22:$D$26,$E$22:$E$26),_xlfn.XLOOKUP($E83, $D$31:$D$35,$E$31:$E$35),G59,$F71)</f>
        <v>0</v>
      </c>
      <c r="H83" s="53" cm="1">
        <f t="array" aca="1" ref="H83" ca="1">MMS_Dairy_ManureAppliedToSoils_Equations.VEERG_4_3_1_8__1_MassOfNitrogenAppliedToSoilsScope1(H47,_xlfn.XLOOKUP($E83,$D$22:$D$26,$E$22:$E$26),_xlfn.XLOOKUP($E83, $D$31:$D$35,$E$31:$E$35),H59,$F71)</f>
        <v>0</v>
      </c>
      <c r="I83" s="53" cm="1">
        <f t="array" aca="1" ref="I83" ca="1">MMS_Dairy_ManureAppliedToSoils_Equations.VEERG_4_3_1_8__1_MassOfNitrogenAppliedToSoilsScope1(I47,_xlfn.XLOOKUP($E83,$D$22:$D$26,$E$22:$E$26),_xlfn.XLOOKUP($E83, $D$31:$D$35,$E$31:$E$35),I59,$F71)</f>
        <v>0</v>
      </c>
      <c r="J83" s="53" cm="1">
        <f t="array" aca="1" ref="J83" ca="1">MMS_Dairy_ManureAppliedToSoils_Equations.VEERG_4_3_1_8__1_MassOfNitrogenAppliedToSoilsScope1(J47,_xlfn.XLOOKUP($E83,$D$22:$D$26,$E$22:$E$26),_xlfn.XLOOKUP($E83, $D$31:$D$35,$E$31:$E$35),J59,$F71)</f>
        <v>0</v>
      </c>
      <c r="K83" s="2"/>
      <c r="O83" s="53" t="str">
        <f>INDEX(X_Table_Dairy_ProductionSystems_Method1,4,1)</f>
        <v>Feed pad</v>
      </c>
      <c r="P83" s="53" t="s">
        <v>398</v>
      </c>
      <c r="Q83" s="53" cm="1">
        <f t="array" aca="1" ref="Q83" ca="1">MMS_Dairy_ManureAppliedToSoils_Equations.VEERG_4_3_1_8__1_MassOfNitrogenAppliedToSoilsScope1(Q47,_xlfn.XLOOKUP($P83,$D$22:$D$26,$E$22:$E$26),_xlfn.XLOOKUP($P83, $D$31:$D$35,$E$31:$E$35),Q59,$F71)</f>
        <v>0</v>
      </c>
      <c r="R83" s="53" cm="1">
        <f t="array" aca="1" ref="R83" ca="1">MMS_Dairy_ManureAppliedToSoils_Equations.VEERG_4_3_1_8__1_MassOfNitrogenAppliedToSoilsScope1(R47,_xlfn.XLOOKUP($P83,$D$22:$D$26,$E$22:$E$26),_xlfn.XLOOKUP($P83, $D$31:$D$35,$E$31:$E$35),R59,$F71)</f>
        <v>0</v>
      </c>
      <c r="S83" s="53" cm="1">
        <f t="array" aca="1" ref="S83" ca="1">MMS_Dairy_ManureAppliedToSoils_Equations.VEERG_4_3_1_8__1_MassOfNitrogenAppliedToSoilsScope1(S47,_xlfn.XLOOKUP($P83,$D$22:$D$26,$E$22:$E$26),_xlfn.XLOOKUP($P83, $D$31:$D$35,$E$31:$E$35),S59,$F71)</f>
        <v>0</v>
      </c>
      <c r="T83" s="53" cm="1">
        <f t="array" aca="1" ref="T83" ca="1">MMS_Dairy_ManureAppliedToSoils_Equations.VEERG_4_3_1_8__1_MassOfNitrogenAppliedToSoilsScope1(T47,_xlfn.XLOOKUP($P83,$D$22:$D$26,$E$22:$E$26),_xlfn.XLOOKUP($P83, $D$31:$D$35,$E$31:$E$35),T59,$F71)</f>
        <v>0</v>
      </c>
      <c r="U83" s="53" cm="1">
        <f t="array" aca="1" ref="U83" ca="1">MMS_Dairy_ManureAppliedToSoils_Equations.VEERG_4_3_1_8__1_MassOfNitrogenAppliedToSoilsScope1(U47,_xlfn.XLOOKUP($P83,$D$22:$D$26,$E$22:$E$26),_xlfn.XLOOKUP($P83, $D$31:$D$35,$E$31:$E$35),U59,$F71)</f>
        <v>0</v>
      </c>
      <c r="V83" s="2"/>
    </row>
    <row r="84" spans="3:23" ht="20.100000000000001" customHeight="1" x14ac:dyDescent="0.25"/>
    <row r="85" spans="3:23" ht="20.100000000000001" customHeight="1" x14ac:dyDescent="0.25">
      <c r="D85" s="104" t="s">
        <v>125</v>
      </c>
      <c r="E85" s="105">
        <f ca="1">SUM(F76:J83)</f>
        <v>16186.400140455011</v>
      </c>
      <c r="F85" s="106" t="str">
        <f>$E$11</f>
        <v>kg N</v>
      </c>
      <c r="O85" s="104" t="s">
        <v>125</v>
      </c>
      <c r="P85" s="105">
        <f ca="1">SUM(Q76:U83)</f>
        <v>16186.400140455011</v>
      </c>
      <c r="Q85" s="106" t="str">
        <f>$E$11</f>
        <v>kg N</v>
      </c>
    </row>
    <row r="86" spans="3:23" ht="20.100000000000001" customHeight="1" x14ac:dyDescent="0.25"/>
    <row r="87" spans="3:23" ht="20.100000000000001" customHeight="1" x14ac:dyDescent="0.25"/>
    <row r="88" spans="3:23" ht="20.100000000000001" customHeight="1" x14ac:dyDescent="0.25">
      <c r="C88" s="46"/>
      <c r="D88" s="46"/>
      <c r="E88" s="46"/>
      <c r="F88" s="46"/>
      <c r="G88" s="46"/>
      <c r="H88" s="46"/>
      <c r="I88" s="46"/>
      <c r="J88" s="46"/>
      <c r="K88" s="46"/>
      <c r="L88" s="46"/>
      <c r="N88" s="46"/>
      <c r="O88" s="46"/>
      <c r="P88" s="46"/>
      <c r="Q88" s="46"/>
      <c r="R88" s="46"/>
      <c r="S88" s="46"/>
      <c r="T88" s="46"/>
      <c r="U88" s="46"/>
      <c r="V88" s="46"/>
      <c r="W88" s="46"/>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25</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54" t="s">
        <v>28</v>
      </c>
      <c r="E94" s="1" t="str" cm="1">
        <f t="array" ref="E94">MMS_Dairy_ManureAppliedToSoils_Equations.VEERG_4_3_1_8__2_MassOfNitrogenAppliedToSoilsScope3_Variable()</f>
        <v>MNSoil_scope3</v>
      </c>
    </row>
    <row r="95" spans="3:23" ht="20.100000000000001" customHeight="1" x14ac:dyDescent="0.25">
      <c r="D95" s="54" t="s">
        <v>18</v>
      </c>
      <c r="E95" s="55"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33" t="str" cm="1">
        <f t="array" ref="D97:E101">_xlfn.CHOOSECOLS(MMS_Dairy_ManureAppliedToSoils_Equations.VEERG_4_3_1_8__2_MassOfNitrogenAppliedToSoilsScope3_Arguments(),1,2)</f>
        <v>MN_jm</v>
      </c>
      <c r="E97" s="132" t="str">
        <v>total nitrogen in each MMS for dairy cattle classes</v>
      </c>
      <c r="F97" s="134"/>
      <c r="G97" s="133" t="str" cm="1">
        <f t="array" ref="G97:H101">_xlfn.CHOOSECOLS(MMS_Dairy_ManureAppliedToSoils_Equations.VEERG_4_3_1_8__2_MassOfNitrogenAppliedToSoilsScope3_Arguments(),3,4)</f>
        <v>kg N</v>
      </c>
      <c r="H97" s="129" t="str">
        <v>Calculated from 4.3.1.3 (2)</v>
      </c>
      <c r="I97" s="130" t="str" cm="1">
        <f t="array" aca="1" ref="I97" ca="1">HYPERLINK(Common_InputFunctions.Utility_SourceHyperlink($D$37),$D$37)</f>
        <v>M1_Table_MN_j_m</v>
      </c>
    </row>
    <row r="98" spans="4:22" ht="20.100000000000001" customHeight="1" x14ac:dyDescent="0.25">
      <c r="D98" s="133" t="str">
        <v>EF_m</v>
      </c>
      <c r="E98" s="132" t="str">
        <v>emission factor for nitrous oxide emissions per MMS</v>
      </c>
      <c r="F98" s="134"/>
      <c r="G98" s="133" t="str">
        <v>kg N2O-N/kg N</v>
      </c>
      <c r="H98" s="129" t="str">
        <v>Constant</v>
      </c>
      <c r="I98" s="130" t="str" cm="1">
        <f t="array" aca="1" ref="I98" ca="1">HYPERLINK(Common_InputFunctions.Utility_SourceHyperlink($D$19),$D$19)</f>
        <v>Table_EF_m</v>
      </c>
    </row>
    <row r="99" spans="4:22" ht="20.100000000000001" customHeight="1" x14ac:dyDescent="0.25">
      <c r="D99" s="133" t="str">
        <v>FracGASM_m</v>
      </c>
      <c r="E99" s="132" t="str">
        <v>fraction of N volatilised from MMS</v>
      </c>
      <c r="F99" s="134"/>
      <c r="G99" s="133" t="str">
        <v>fraction</v>
      </c>
      <c r="H99" s="129" t="str">
        <v>Constant</v>
      </c>
      <c r="I99" s="130" t="str" cm="1">
        <f t="array" aca="1" ref="I99" ca="1">HYPERLINK(Common_InputFunctions.Utility_SourceHyperlink($D$28),$D$28)</f>
        <v>Table_FracGASM_m</v>
      </c>
    </row>
    <row r="100" spans="4:22" ht="20.100000000000001" customHeight="1" x14ac:dyDescent="0.25">
      <c r="D100" s="133" t="str">
        <v>MNLeach_jm</v>
      </c>
      <c r="E100" s="132" t="str">
        <v>mass of N lost through leaching and runoff from each MMS</v>
      </c>
      <c r="F100" s="134"/>
      <c r="G100" s="133" t="str">
        <v>kg N</v>
      </c>
      <c r="H100" s="129" t="str">
        <v>Calculated from 4.3.1.6 (2)</v>
      </c>
      <c r="I100" s="130" t="str" cm="1">
        <f t="array" aca="1" ref="I100" ca="1">HYPERLINK(Common_InputFunctions.Utility_SourceHyperlink($D$49),$D$49)</f>
        <v>M1_Table_MN_leach_j_m</v>
      </c>
    </row>
    <row r="101" spans="4:22" ht="20.100000000000001" customHeight="1" x14ac:dyDescent="0.25">
      <c r="D101" s="133" t="str">
        <v>PF</v>
      </c>
      <c r="E101" s="132" t="str">
        <v>fraction of manure applied to soil within farm boundary</v>
      </c>
      <c r="F101" s="134"/>
      <c r="G101" s="133" t="str">
        <v>fraction</v>
      </c>
      <c r="H101" s="131" t="str">
        <v>Input</v>
      </c>
      <c r="I101" s="130" t="str" cm="1">
        <f t="array" aca="1" ref="I101" ca="1">HYPERLINK(Common_InputFunctions.Utility_SourceHyperlink($D$61),$D$61)</f>
        <v>Table_PF_scope</v>
      </c>
    </row>
    <row r="102" spans="4:22" ht="20.100000000000001" customHeight="1" x14ac:dyDescent="0.25"/>
    <row r="103" spans="4:22" ht="20.100000000000001" customHeight="1" x14ac:dyDescent="0.25">
      <c r="D103" s="100" t="s">
        <v>336</v>
      </c>
      <c r="O103" s="100" t="s">
        <v>342</v>
      </c>
    </row>
    <row r="104" spans="4:22" ht="20.100000000000001" customHeight="1" x14ac:dyDescent="0.25">
      <c r="D104" s="99" t="s">
        <v>337</v>
      </c>
      <c r="O104" s="99" t="s">
        <v>343</v>
      </c>
    </row>
    <row r="105" spans="4:22" ht="20.100000000000001" customHeight="1" x14ac:dyDescent="0.25">
      <c r="D105" s="52" t="s">
        <v>140</v>
      </c>
      <c r="E105" s="52" t="s">
        <v>65</v>
      </c>
      <c r="F105" s="52" t="s">
        <v>165</v>
      </c>
      <c r="G105" s="52" t="s">
        <v>182</v>
      </c>
      <c r="H105" s="52" t="s">
        <v>183</v>
      </c>
      <c r="I105" s="52" t="s">
        <v>184</v>
      </c>
      <c r="J105" s="52" t="s">
        <v>185</v>
      </c>
      <c r="O105" s="52" t="s">
        <v>140</v>
      </c>
      <c r="P105" s="52" t="s">
        <v>65</v>
      </c>
      <c r="Q105" s="52" t="s">
        <v>165</v>
      </c>
      <c r="R105" s="52" t="s">
        <v>182</v>
      </c>
      <c r="S105" s="52" t="s">
        <v>183</v>
      </c>
      <c r="T105" s="52" t="s">
        <v>184</v>
      </c>
      <c r="U105" s="52" t="s">
        <v>185</v>
      </c>
    </row>
    <row r="106" spans="4:22" ht="20.100000000000001" customHeight="1" x14ac:dyDescent="0.25">
      <c r="D106" s="53" t="str">
        <f>INDEX(X_Table_Dairy_ProductionSystems_Method1,3,1)</f>
        <v>Milking shed</v>
      </c>
      <c r="E106" s="53" t="str">
        <f>INDEX(X_Table_Dairy_Stage1MMS_1_AnaerobicLagoon,2,1)</f>
        <v>Anaerobic lagoon</v>
      </c>
      <c r="F106" s="53" cm="1">
        <f t="array" aca="1" ref="F106" ca="1">MMS_Dairy_ManureAppliedToSoils_Equations.VEERG_4_3_1_8__2_MassOfNitrogenAppliedToSoilsScope3(F40, _xlfn.XLOOKUP($E106, $D$22:$D$26,$E$22:$E$26), _xlfn.XLOOKUP($E106,$D$31:$D$35,$E$31:$E$35),F52, $F64)</f>
        <v>0</v>
      </c>
      <c r="G106" s="53" cm="1">
        <f t="array" aca="1" ref="G106" ca="1">MMS_Dairy_ManureAppliedToSoils_Equations.VEERG_4_3_1_8__2_MassOfNitrogenAppliedToSoilsScope3(G40, _xlfn.XLOOKUP($E106, $D$22:$D$26,$E$22:$E$26), _xlfn.XLOOKUP($E106,$D$31:$D$35,$E$31:$E$35),G52, $F64)</f>
        <v>0</v>
      </c>
      <c r="H106" s="53" cm="1">
        <f t="array" aca="1" ref="H106" ca="1">MMS_Dairy_ManureAppliedToSoils_Equations.VEERG_4_3_1_8__2_MassOfNitrogenAppliedToSoilsScope3(H40, _xlfn.XLOOKUP($E106, $D$22:$D$26,$E$22:$E$26), _xlfn.XLOOKUP($E106,$D$31:$D$35,$E$31:$E$35),H52, $F64)</f>
        <v>0</v>
      </c>
      <c r="I106" s="53" cm="1">
        <f t="array" aca="1" ref="I106" ca="1">MMS_Dairy_ManureAppliedToSoils_Equations.VEERG_4_3_1_8__2_MassOfNitrogenAppliedToSoilsScope3(I40, _xlfn.XLOOKUP($E106, $D$22:$D$26,$E$22:$E$26), _xlfn.XLOOKUP($E106,$D$31:$D$35,$E$31:$E$35),I52, $F64)</f>
        <v>0</v>
      </c>
      <c r="J106" s="53" cm="1">
        <f t="array" aca="1" ref="J106" ca="1">MMS_Dairy_ManureAppliedToSoils_Equations.VEERG_4_3_1_8__2_MassOfNitrogenAppliedToSoilsScope3(J40, _xlfn.XLOOKUP($E106, $D$22:$D$26,$E$22:$E$26), _xlfn.XLOOKUP($E106,$D$31:$D$35,$E$31:$E$35),J52, $F64)</f>
        <v>0</v>
      </c>
      <c r="K106" s="2" t="str">
        <f t="shared" ref="K106" si="2">$E$95</f>
        <v>kg N</v>
      </c>
      <c r="O106" s="53" t="str">
        <f>INDEX(X_Table_Dairy_ProductionSystems_Method1,3,1)</f>
        <v>Milking shed</v>
      </c>
      <c r="P106" s="53" t="str">
        <f>INDEX(X_Table_Dairy_Stage1MMS_1_AnaerobicLagoon,2,1)</f>
        <v>Anaerobic lagoon</v>
      </c>
      <c r="Q106" s="53" cm="1">
        <f t="array" aca="1" ref="Q106" ca="1">MMS_Dairy_ManureAppliedToSoils_Equations.VEERG_4_3_1_8__2_MassOfNitrogenAppliedToSoilsScope3(Q40, _xlfn.XLOOKUP($P106, $D$22:$D$26,$E$22:$E$26), _xlfn.XLOOKUP($P106,$D$31:$D$35,$E$31:$E$35),Q52, $F64)</f>
        <v>0</v>
      </c>
      <c r="R106" s="53" cm="1">
        <f t="array" aca="1" ref="R106" ca="1">MMS_Dairy_ManureAppliedToSoils_Equations.VEERG_4_3_1_8__2_MassOfNitrogenAppliedToSoilsScope3(R40, _xlfn.XLOOKUP($P106, $D$22:$D$26,$E$22:$E$26), _xlfn.XLOOKUP($P106,$D$31:$D$35,$E$31:$E$35),R52, $F64)</f>
        <v>0</v>
      </c>
      <c r="S106" s="53" cm="1">
        <f t="array" aca="1" ref="S106" ca="1">MMS_Dairy_ManureAppliedToSoils_Equations.VEERG_4_3_1_8__2_MassOfNitrogenAppliedToSoilsScope3(S40, _xlfn.XLOOKUP($P106, $D$22:$D$26,$E$22:$E$26), _xlfn.XLOOKUP($P106,$D$31:$D$35,$E$31:$E$35),S52, $F64)</f>
        <v>0</v>
      </c>
      <c r="T106" s="53" cm="1">
        <f t="array" aca="1" ref="T106" ca="1">MMS_Dairy_ManureAppliedToSoils_Equations.VEERG_4_3_1_8__2_MassOfNitrogenAppliedToSoilsScope3(T40, _xlfn.XLOOKUP($P106, $D$22:$D$26,$E$22:$E$26), _xlfn.XLOOKUP($P106,$D$31:$D$35,$E$31:$E$35),T52, $F64)</f>
        <v>0</v>
      </c>
      <c r="U106" s="53" cm="1">
        <f t="array" aca="1" ref="U106" ca="1">MMS_Dairy_ManureAppliedToSoils_Equations.VEERG_4_3_1_8__2_MassOfNitrogenAppliedToSoilsScope3(U40, _xlfn.XLOOKUP($P106, $D$22:$D$26,$E$22:$E$26), _xlfn.XLOOKUP($P106,$D$31:$D$35,$E$31:$E$35),U52, $F64)</f>
        <v>0</v>
      </c>
      <c r="V106" s="2" t="str">
        <f t="shared" ref="V106" si="3">$E$95</f>
        <v>kg N</v>
      </c>
    </row>
    <row r="107" spans="4:22" ht="20.100000000000001" customHeight="1" x14ac:dyDescent="0.25">
      <c r="D107" s="53" t="str">
        <f>INDEX(X_Table_Dairy_ProductionSystems_Method1,3,1)</f>
        <v>Milking shed</v>
      </c>
      <c r="E107" s="53" t="str">
        <f>INDEX(X_Table_Dairy_Stage1MMS_1_SumpAndDispersal,2,1)</f>
        <v>Sump and dispersal system</v>
      </c>
      <c r="F107" s="53" cm="1">
        <f t="array" aca="1" ref="F107" ca="1">MMS_Dairy_ManureAppliedToSoils_Equations.VEERG_4_3_1_8__2_MassOfNitrogenAppliedToSoilsScope3(F41, _xlfn.XLOOKUP($E107, $D$22:$D$26,$E$22:$E$26), _xlfn.XLOOKUP($E107,$D$31:$D$35,$E$31:$E$35),F53, $F65)</f>
        <v>0</v>
      </c>
      <c r="G107" s="53" cm="1">
        <f t="array" aca="1" ref="G107" ca="1">MMS_Dairy_ManureAppliedToSoils_Equations.VEERG_4_3_1_8__2_MassOfNitrogenAppliedToSoilsScope3(G41, _xlfn.XLOOKUP($E107, $D$22:$D$26,$E$22:$E$26), _xlfn.XLOOKUP($E107,$D$31:$D$35,$E$31:$E$35),G53, $F65)</f>
        <v>0</v>
      </c>
      <c r="H107" s="53" cm="1">
        <f t="array" aca="1" ref="H107" ca="1">MMS_Dairy_ManureAppliedToSoils_Equations.VEERG_4_3_1_8__2_MassOfNitrogenAppliedToSoilsScope3(H41, _xlfn.XLOOKUP($E107, $D$22:$D$26,$E$22:$E$26), _xlfn.XLOOKUP($E107,$D$31:$D$35,$E$31:$E$35),H53, $F65)</f>
        <v>0</v>
      </c>
      <c r="I107" s="53" cm="1">
        <f t="array" aca="1" ref="I107" ca="1">MMS_Dairy_ManureAppliedToSoils_Equations.VEERG_4_3_1_8__2_MassOfNitrogenAppliedToSoilsScope3(I41, _xlfn.XLOOKUP($E107, $D$22:$D$26,$E$22:$E$26), _xlfn.XLOOKUP($E107,$D$31:$D$35,$E$31:$E$35),I53, $F65)</f>
        <v>0</v>
      </c>
      <c r="J107" s="53" cm="1">
        <f t="array" aca="1" ref="J107" ca="1">MMS_Dairy_ManureAppliedToSoils_Equations.VEERG_4_3_1_8__2_MassOfNitrogenAppliedToSoilsScope3(J41, _xlfn.XLOOKUP($E107, $D$22:$D$26,$E$22:$E$26), _xlfn.XLOOKUP($E107,$D$31:$D$35,$E$31:$E$35),J53, $F65)</f>
        <v>0</v>
      </c>
      <c r="K107" s="2"/>
      <c r="O107" s="53" t="str">
        <f>INDEX(X_Table_Dairy_ProductionSystems_Method1,3,1)</f>
        <v>Milking shed</v>
      </c>
      <c r="P107" s="53" t="str">
        <f>INDEX(X_Table_Dairy_Stage1MMS_1_SumpAndDispersal,2,1)</f>
        <v>Sump and dispersal system</v>
      </c>
      <c r="Q107" s="53" cm="1">
        <f t="array" aca="1" ref="Q107" ca="1">MMS_Dairy_ManureAppliedToSoils_Equations.VEERG_4_3_1_8__2_MassOfNitrogenAppliedToSoilsScope3(Q41, _xlfn.XLOOKUP($P107, $D$22:$D$26,$E$22:$E$26), _xlfn.XLOOKUP($P107,$D$31:$D$35,$E$31:$E$35),Q53, $F65)</f>
        <v>0</v>
      </c>
      <c r="R107" s="53" cm="1">
        <f t="array" aca="1" ref="R107" ca="1">MMS_Dairy_ManureAppliedToSoils_Equations.VEERG_4_3_1_8__2_MassOfNitrogenAppliedToSoilsScope3(R41, _xlfn.XLOOKUP($P107, $D$22:$D$26,$E$22:$E$26), _xlfn.XLOOKUP($P107,$D$31:$D$35,$E$31:$E$35),R53, $F65)</f>
        <v>0</v>
      </c>
      <c r="S107" s="53" cm="1">
        <f t="array" aca="1" ref="S107" ca="1">MMS_Dairy_ManureAppliedToSoils_Equations.VEERG_4_3_1_8__2_MassOfNitrogenAppliedToSoilsScope3(S41, _xlfn.XLOOKUP($P107, $D$22:$D$26,$E$22:$E$26), _xlfn.XLOOKUP($P107,$D$31:$D$35,$E$31:$E$35),S53, $F65)</f>
        <v>0</v>
      </c>
      <c r="T107" s="53" cm="1">
        <f t="array" aca="1" ref="T107" ca="1">MMS_Dairy_ManureAppliedToSoils_Equations.VEERG_4_3_1_8__2_MassOfNitrogenAppliedToSoilsScope3(T41, _xlfn.XLOOKUP($P107, $D$22:$D$26,$E$22:$E$26), _xlfn.XLOOKUP($P107,$D$31:$D$35,$E$31:$E$35),T53, $F65)</f>
        <v>0</v>
      </c>
      <c r="U107" s="53" cm="1">
        <f t="array" aca="1" ref="U107" ca="1">MMS_Dairy_ManureAppliedToSoils_Equations.VEERG_4_3_1_8__2_MassOfNitrogenAppliedToSoilsScope3(U41, _xlfn.XLOOKUP($P107, $D$22:$D$26,$E$22:$E$26), _xlfn.XLOOKUP($P107,$D$31:$D$35,$E$31:$E$35),U53, $F65)</f>
        <v>0</v>
      </c>
      <c r="V107" s="2"/>
    </row>
    <row r="108" spans="4:22" ht="20.100000000000001" customHeight="1" x14ac:dyDescent="0.25">
      <c r="D108" s="53" t="str">
        <f>INDEX(X_Table_Dairy_ProductionSystems_Method1,3,1)</f>
        <v>Milking shed</v>
      </c>
      <c r="E108" s="53" t="str">
        <f>INDEX(X_Table_Dairy_Stage1MMS_1_DrainsToPaddock,2,1)</f>
        <v>Drains to paddock</v>
      </c>
      <c r="F108" s="53" cm="1">
        <f t="array" aca="1" ref="F108" ca="1">MMS_Dairy_ManureAppliedToSoils_Equations.VEERG_4_3_1_8__2_MassOfNitrogenAppliedToSoilsScope3(F42, _xlfn.XLOOKUP($E108, $D$22:$D$26,$E$22:$E$26), _xlfn.XLOOKUP($E108,$D$31:$D$35,$E$31:$E$35),F54, $F66)</f>
        <v>0</v>
      </c>
      <c r="G108" s="53" cm="1">
        <f t="array" aca="1" ref="G108" ca="1">MMS_Dairy_ManureAppliedToSoils_Equations.VEERG_4_3_1_8__2_MassOfNitrogenAppliedToSoilsScope3(G42, _xlfn.XLOOKUP($E108, $D$22:$D$26,$E$22:$E$26), _xlfn.XLOOKUP($E108,$D$31:$D$35,$E$31:$E$35),G54, $F66)</f>
        <v>0</v>
      </c>
      <c r="H108" s="53" cm="1">
        <f t="array" aca="1" ref="H108" ca="1">MMS_Dairy_ManureAppliedToSoils_Equations.VEERG_4_3_1_8__2_MassOfNitrogenAppliedToSoilsScope3(H42, _xlfn.XLOOKUP($E108, $D$22:$D$26,$E$22:$E$26), _xlfn.XLOOKUP($E108,$D$31:$D$35,$E$31:$E$35),H54, $F66)</f>
        <v>0</v>
      </c>
      <c r="I108" s="53" cm="1">
        <f t="array" aca="1" ref="I108" ca="1">MMS_Dairy_ManureAppliedToSoils_Equations.VEERG_4_3_1_8__2_MassOfNitrogenAppliedToSoilsScope3(I42, _xlfn.XLOOKUP($E108, $D$22:$D$26,$E$22:$E$26), _xlfn.XLOOKUP($E108,$D$31:$D$35,$E$31:$E$35),I54, $F66)</f>
        <v>0</v>
      </c>
      <c r="J108" s="53" cm="1">
        <f t="array" aca="1" ref="J108" ca="1">MMS_Dairy_ManureAppliedToSoils_Equations.VEERG_4_3_1_8__2_MassOfNitrogenAppliedToSoilsScope3(J42, _xlfn.XLOOKUP($E108, $D$22:$D$26,$E$22:$E$26), _xlfn.XLOOKUP($E108,$D$31:$D$35,$E$31:$E$35),J54, $F66)</f>
        <v>0</v>
      </c>
      <c r="K108" s="2"/>
      <c r="O108" s="53" t="str">
        <f>INDEX(X_Table_Dairy_ProductionSystems_Method1,3,1)</f>
        <v>Milking shed</v>
      </c>
      <c r="P108" s="53" t="str">
        <f>INDEX(X_Table_Dairy_Stage1MMS_1_DrainsToPaddock,2,1)</f>
        <v>Drains to paddock</v>
      </c>
      <c r="Q108" s="53" cm="1">
        <f t="array" aca="1" ref="Q108" ca="1">MMS_Dairy_ManureAppliedToSoils_Equations.VEERG_4_3_1_8__2_MassOfNitrogenAppliedToSoilsScope3(Q42, _xlfn.XLOOKUP($P108, $D$22:$D$26,$E$22:$E$26), _xlfn.XLOOKUP($P108,$D$31:$D$35,$E$31:$E$35),Q54, $F66)</f>
        <v>0</v>
      </c>
      <c r="R108" s="53" cm="1">
        <f t="array" aca="1" ref="R108" ca="1">MMS_Dairy_ManureAppliedToSoils_Equations.VEERG_4_3_1_8__2_MassOfNitrogenAppliedToSoilsScope3(R42, _xlfn.XLOOKUP($P108, $D$22:$D$26,$E$22:$E$26), _xlfn.XLOOKUP($P108,$D$31:$D$35,$E$31:$E$35),R54, $F66)</f>
        <v>0</v>
      </c>
      <c r="S108" s="53" cm="1">
        <f t="array" aca="1" ref="S108" ca="1">MMS_Dairy_ManureAppliedToSoils_Equations.VEERG_4_3_1_8__2_MassOfNitrogenAppliedToSoilsScope3(S42, _xlfn.XLOOKUP($P108, $D$22:$D$26,$E$22:$E$26), _xlfn.XLOOKUP($P108,$D$31:$D$35,$E$31:$E$35),S54, $F66)</f>
        <v>0</v>
      </c>
      <c r="T108" s="53" cm="1">
        <f t="array" aca="1" ref="T108" ca="1">MMS_Dairy_ManureAppliedToSoils_Equations.VEERG_4_3_1_8__2_MassOfNitrogenAppliedToSoilsScope3(T42, _xlfn.XLOOKUP($P108, $D$22:$D$26,$E$22:$E$26), _xlfn.XLOOKUP($P108,$D$31:$D$35,$E$31:$E$35),T54, $F66)</f>
        <v>0</v>
      </c>
      <c r="U108" s="53" cm="1">
        <f t="array" aca="1" ref="U108" ca="1">MMS_Dairy_ManureAppliedToSoils_Equations.VEERG_4_3_1_8__2_MassOfNitrogenAppliedToSoilsScope3(U42, _xlfn.XLOOKUP($P108, $D$22:$D$26,$E$22:$E$26), _xlfn.XLOOKUP($P108,$D$31:$D$35,$E$31:$E$35),U54, $F66)</f>
        <v>0</v>
      </c>
      <c r="V108" s="2"/>
    </row>
    <row r="109" spans="4:22" ht="20.100000000000001" customHeight="1" x14ac:dyDescent="0.25">
      <c r="D109" s="53" t="str">
        <f>INDEX(X_Table_Dairy_ProductionSystems_Method1,3,1)</f>
        <v>Milking shed</v>
      </c>
      <c r="E109" s="53" t="s">
        <v>398</v>
      </c>
      <c r="F109" s="53" cm="1">
        <f t="array" aca="1" ref="F109" ca="1">MMS_Dairy_ManureAppliedToSoils_Equations.VEERG_4_3_1_8__2_MassOfNitrogenAppliedToSoilsScope3(F43, _xlfn.XLOOKUP($E109, $D$22:$D$26,$E$22:$E$26), _xlfn.XLOOKUP($E109,$D$31:$D$35,$E$31:$E$35),F55, $F67)</f>
        <v>0</v>
      </c>
      <c r="G109" s="53" cm="1">
        <f t="array" aca="1" ref="G109" ca="1">MMS_Dairy_ManureAppliedToSoils_Equations.VEERG_4_3_1_8__2_MassOfNitrogenAppliedToSoilsScope3(G43, _xlfn.XLOOKUP($E109, $D$22:$D$26,$E$22:$E$26), _xlfn.XLOOKUP($E109,$D$31:$D$35,$E$31:$E$35),G55, $F67)</f>
        <v>0</v>
      </c>
      <c r="H109" s="53" cm="1">
        <f t="array" aca="1" ref="H109" ca="1">MMS_Dairy_ManureAppliedToSoils_Equations.VEERG_4_3_1_8__2_MassOfNitrogenAppliedToSoilsScope3(H43, _xlfn.XLOOKUP($E109, $D$22:$D$26,$E$22:$E$26), _xlfn.XLOOKUP($E109,$D$31:$D$35,$E$31:$E$35),H55, $F67)</f>
        <v>0</v>
      </c>
      <c r="I109" s="53" cm="1">
        <f t="array" aca="1" ref="I109" ca="1">MMS_Dairy_ManureAppliedToSoils_Equations.VEERG_4_3_1_8__2_MassOfNitrogenAppliedToSoilsScope3(I43, _xlfn.XLOOKUP($E109, $D$22:$D$26,$E$22:$E$26), _xlfn.XLOOKUP($E109,$D$31:$D$35,$E$31:$E$35),I55, $F67)</f>
        <v>0</v>
      </c>
      <c r="J109" s="53" cm="1">
        <f t="array" aca="1" ref="J109" ca="1">MMS_Dairy_ManureAppliedToSoils_Equations.VEERG_4_3_1_8__2_MassOfNitrogenAppliedToSoilsScope3(J43, _xlfn.XLOOKUP($E109, $D$22:$D$26,$E$22:$E$26), _xlfn.XLOOKUP($E109,$D$31:$D$35,$E$31:$E$35),J55, $F67)</f>
        <v>0</v>
      </c>
      <c r="K109" s="2"/>
      <c r="O109" s="53" t="str">
        <f>INDEX(X_Table_Dairy_ProductionSystems_Method1,3,1)</f>
        <v>Milking shed</v>
      </c>
      <c r="P109" s="53" t="s">
        <v>398</v>
      </c>
      <c r="Q109" s="53" cm="1">
        <f t="array" aca="1" ref="Q109" ca="1">MMS_Dairy_ManureAppliedToSoils_Equations.VEERG_4_3_1_8__2_MassOfNitrogenAppliedToSoilsScope3(Q43, _xlfn.XLOOKUP($P109, $D$22:$D$26,$E$22:$E$26), _xlfn.XLOOKUP($P109,$D$31:$D$35,$E$31:$E$35),Q55, $F67)</f>
        <v>0</v>
      </c>
      <c r="R109" s="53" cm="1">
        <f t="array" aca="1" ref="R109" ca="1">MMS_Dairy_ManureAppliedToSoils_Equations.VEERG_4_3_1_8__2_MassOfNitrogenAppliedToSoilsScope3(R43, _xlfn.XLOOKUP($P109, $D$22:$D$26,$E$22:$E$26), _xlfn.XLOOKUP($P109,$D$31:$D$35,$E$31:$E$35),R55, $F67)</f>
        <v>0</v>
      </c>
      <c r="S109" s="53" cm="1">
        <f t="array" aca="1" ref="S109" ca="1">MMS_Dairy_ManureAppliedToSoils_Equations.VEERG_4_3_1_8__2_MassOfNitrogenAppliedToSoilsScope3(S43, _xlfn.XLOOKUP($P109, $D$22:$D$26,$E$22:$E$26), _xlfn.XLOOKUP($P109,$D$31:$D$35,$E$31:$E$35),S55, $F67)</f>
        <v>0</v>
      </c>
      <c r="T109" s="53" cm="1">
        <f t="array" aca="1" ref="T109" ca="1">MMS_Dairy_ManureAppliedToSoils_Equations.VEERG_4_3_1_8__2_MassOfNitrogenAppliedToSoilsScope3(T43, _xlfn.XLOOKUP($P109, $D$22:$D$26,$E$22:$E$26), _xlfn.XLOOKUP($P109,$D$31:$D$35,$E$31:$E$35),T55, $F67)</f>
        <v>0</v>
      </c>
      <c r="U109" s="53" cm="1">
        <f t="array" aca="1" ref="U109" ca="1">MMS_Dairy_ManureAppliedToSoils_Equations.VEERG_4_3_1_8__2_MassOfNitrogenAppliedToSoilsScope3(U43, _xlfn.XLOOKUP($P109, $D$22:$D$26,$E$22:$E$26), _xlfn.XLOOKUP($P109,$D$31:$D$35,$E$31:$E$35),U55, $F67)</f>
        <v>0</v>
      </c>
      <c r="V109" s="2"/>
    </row>
    <row r="110" spans="4:22" ht="20.100000000000001" customHeight="1" x14ac:dyDescent="0.25">
      <c r="D110" s="53" t="str">
        <f>INDEX(X_Table_Dairy_ProductionSystems_Method1,4,1)</f>
        <v>Feed pad</v>
      </c>
      <c r="E110" s="53" t="str">
        <f>INDEX(X_Table_Dairy_Stage1MMS_2_AnaerobicLagoon,2,1)</f>
        <v>Anaerobic lagoon</v>
      </c>
      <c r="F110" s="53" cm="1">
        <f t="array" aca="1" ref="F110" ca="1">MMS_Dairy_ManureAppliedToSoils_Equations.VEERG_4_3_1_8__2_MassOfNitrogenAppliedToSoilsScope3(F44, _xlfn.XLOOKUP($E110, $D$22:$D$26,$E$22:$E$26), _xlfn.XLOOKUP($E110,$D$31:$D$35,$E$31:$E$35),F56, $F68)</f>
        <v>0</v>
      </c>
      <c r="G110" s="53" cm="1">
        <f t="array" aca="1" ref="G110" ca="1">MMS_Dairy_ManureAppliedToSoils_Equations.VEERG_4_3_1_8__2_MassOfNitrogenAppliedToSoilsScope3(G44, _xlfn.XLOOKUP($E110, $D$22:$D$26,$E$22:$E$26), _xlfn.XLOOKUP($E110,$D$31:$D$35,$E$31:$E$35),G56, $F68)</f>
        <v>0</v>
      </c>
      <c r="H110" s="53" cm="1">
        <f t="array" aca="1" ref="H110" ca="1">MMS_Dairy_ManureAppliedToSoils_Equations.VEERG_4_3_1_8__2_MassOfNitrogenAppliedToSoilsScope3(H44, _xlfn.XLOOKUP($E110, $D$22:$D$26,$E$22:$E$26), _xlfn.XLOOKUP($E110,$D$31:$D$35,$E$31:$E$35),H56, $F68)</f>
        <v>0</v>
      </c>
      <c r="I110" s="53" cm="1">
        <f t="array" aca="1" ref="I110" ca="1">MMS_Dairy_ManureAppliedToSoils_Equations.VEERG_4_3_1_8__2_MassOfNitrogenAppliedToSoilsScope3(I44, _xlfn.XLOOKUP($E110, $D$22:$D$26,$E$22:$E$26), _xlfn.XLOOKUP($E110,$D$31:$D$35,$E$31:$E$35),I56, $F68)</f>
        <v>0</v>
      </c>
      <c r="J110" s="53" cm="1">
        <f t="array" aca="1" ref="J110" ca="1">MMS_Dairy_ManureAppliedToSoils_Equations.VEERG_4_3_1_8__2_MassOfNitrogenAppliedToSoilsScope3(J44, _xlfn.XLOOKUP($E110, $D$22:$D$26,$E$22:$E$26), _xlfn.XLOOKUP($E110,$D$31:$D$35,$E$31:$E$35),J56, $F68)</f>
        <v>0</v>
      </c>
      <c r="K110" s="2"/>
      <c r="O110" s="53" t="str">
        <f>INDEX(X_Table_Dairy_ProductionSystems_Method1,4,1)</f>
        <v>Feed pad</v>
      </c>
      <c r="P110" s="53" t="str">
        <f>INDEX(X_Table_Dairy_Stage1MMS_2_AnaerobicLagoon,2,1)</f>
        <v>Anaerobic lagoon</v>
      </c>
      <c r="Q110" s="53" cm="1">
        <f t="array" aca="1" ref="Q110" ca="1">MMS_Dairy_ManureAppliedToSoils_Equations.VEERG_4_3_1_8__2_MassOfNitrogenAppliedToSoilsScope3(Q44, _xlfn.XLOOKUP($P110, $D$22:$D$26,$E$22:$E$26), _xlfn.XLOOKUP($P110,$D$31:$D$35,$E$31:$E$35),Q56, $F68)</f>
        <v>0</v>
      </c>
      <c r="R110" s="53" cm="1">
        <f t="array" aca="1" ref="R110" ca="1">MMS_Dairy_ManureAppliedToSoils_Equations.VEERG_4_3_1_8__2_MassOfNitrogenAppliedToSoilsScope3(R44, _xlfn.XLOOKUP($P110, $D$22:$D$26,$E$22:$E$26), _xlfn.XLOOKUP($P110,$D$31:$D$35,$E$31:$E$35),R56, $F68)</f>
        <v>0</v>
      </c>
      <c r="S110" s="53" cm="1">
        <f t="array" aca="1" ref="S110" ca="1">MMS_Dairy_ManureAppliedToSoils_Equations.VEERG_4_3_1_8__2_MassOfNitrogenAppliedToSoilsScope3(S44, _xlfn.XLOOKUP($P110, $D$22:$D$26,$E$22:$E$26), _xlfn.XLOOKUP($P110,$D$31:$D$35,$E$31:$E$35),S56, $F68)</f>
        <v>0</v>
      </c>
      <c r="T110" s="53" cm="1">
        <f t="array" aca="1" ref="T110" ca="1">MMS_Dairy_ManureAppliedToSoils_Equations.VEERG_4_3_1_8__2_MassOfNitrogenAppliedToSoilsScope3(T44, _xlfn.XLOOKUP($P110, $D$22:$D$26,$E$22:$E$26), _xlfn.XLOOKUP($P110,$D$31:$D$35,$E$31:$E$35),T56, $F68)</f>
        <v>0</v>
      </c>
      <c r="U110" s="53" cm="1">
        <f t="array" aca="1" ref="U110" ca="1">MMS_Dairy_ManureAppliedToSoils_Equations.VEERG_4_3_1_8__2_MassOfNitrogenAppliedToSoilsScope3(U44, _xlfn.XLOOKUP($P110, $D$22:$D$26,$E$22:$E$26), _xlfn.XLOOKUP($P110,$D$31:$D$35,$E$31:$E$35),U56, $F68)</f>
        <v>0</v>
      </c>
      <c r="V110" s="2"/>
    </row>
    <row r="111" spans="4:22" ht="20.100000000000001" customHeight="1" x14ac:dyDescent="0.25">
      <c r="D111" s="53" t="str">
        <f>INDEX(X_Table_Dairy_ProductionSystems_Method1,4,1)</f>
        <v>Feed pad</v>
      </c>
      <c r="E111" s="53" t="str">
        <f>INDEX(X_Table_Dairy_Stage1MMS_2_SumpAndDispersal,2,1)</f>
        <v>Sump and dispersal system</v>
      </c>
      <c r="F111" s="53" cm="1">
        <f t="array" aca="1" ref="F111" ca="1">MMS_Dairy_ManureAppliedToSoils_Equations.VEERG_4_3_1_8__2_MassOfNitrogenAppliedToSoilsScope3(F45, _xlfn.XLOOKUP($E111, $D$22:$D$26,$E$22:$E$26), _xlfn.XLOOKUP($E111,$D$31:$D$35,$E$31:$E$35),F57, $F69)</f>
        <v>0</v>
      </c>
      <c r="G111" s="53" cm="1">
        <f t="array" aca="1" ref="G111" ca="1">MMS_Dairy_ManureAppliedToSoils_Equations.VEERG_4_3_1_8__2_MassOfNitrogenAppliedToSoilsScope3(G45, _xlfn.XLOOKUP($E111, $D$22:$D$26,$E$22:$E$26), _xlfn.XLOOKUP($E111,$D$31:$D$35,$E$31:$E$35),G57, $F69)</f>
        <v>0</v>
      </c>
      <c r="H111" s="53" cm="1">
        <f t="array" aca="1" ref="H111" ca="1">MMS_Dairy_ManureAppliedToSoils_Equations.VEERG_4_3_1_8__2_MassOfNitrogenAppliedToSoilsScope3(H45, _xlfn.XLOOKUP($E111, $D$22:$D$26,$E$22:$E$26), _xlfn.XLOOKUP($E111,$D$31:$D$35,$E$31:$E$35),H57, $F69)</f>
        <v>0</v>
      </c>
      <c r="I111" s="53" cm="1">
        <f t="array" aca="1" ref="I111" ca="1">MMS_Dairy_ManureAppliedToSoils_Equations.VEERG_4_3_1_8__2_MassOfNitrogenAppliedToSoilsScope3(I45, _xlfn.XLOOKUP($E111, $D$22:$D$26,$E$22:$E$26), _xlfn.XLOOKUP($E111,$D$31:$D$35,$E$31:$E$35),I57, $F69)</f>
        <v>0</v>
      </c>
      <c r="J111" s="53" cm="1">
        <f t="array" aca="1" ref="J111" ca="1">MMS_Dairy_ManureAppliedToSoils_Equations.VEERG_4_3_1_8__2_MassOfNitrogenAppliedToSoilsScope3(J45, _xlfn.XLOOKUP($E111, $D$22:$D$26,$E$22:$E$26), _xlfn.XLOOKUP($E111,$D$31:$D$35,$E$31:$E$35),J57, $F69)</f>
        <v>0</v>
      </c>
      <c r="K111" s="2"/>
      <c r="O111" s="53" t="str">
        <f>INDEX(X_Table_Dairy_ProductionSystems_Method1,4,1)</f>
        <v>Feed pad</v>
      </c>
      <c r="P111" s="53" t="str">
        <f>INDEX(X_Table_Dairy_Stage1MMS_2_SumpAndDispersal,2,1)</f>
        <v>Sump and dispersal system</v>
      </c>
      <c r="Q111" s="53" cm="1">
        <f t="array" aca="1" ref="Q111" ca="1">MMS_Dairy_ManureAppliedToSoils_Equations.VEERG_4_3_1_8__2_MassOfNitrogenAppliedToSoilsScope3(Q45, _xlfn.XLOOKUP($P111, $D$22:$D$26,$E$22:$E$26), _xlfn.XLOOKUP($P111,$D$31:$D$35,$E$31:$E$35),Q57, $F69)</f>
        <v>0</v>
      </c>
      <c r="R111" s="53" cm="1">
        <f t="array" aca="1" ref="R111" ca="1">MMS_Dairy_ManureAppliedToSoils_Equations.VEERG_4_3_1_8__2_MassOfNitrogenAppliedToSoilsScope3(R45, _xlfn.XLOOKUP($P111, $D$22:$D$26,$E$22:$E$26), _xlfn.XLOOKUP($P111,$D$31:$D$35,$E$31:$E$35),R57, $F69)</f>
        <v>0</v>
      </c>
      <c r="S111" s="53" cm="1">
        <f t="array" aca="1" ref="S111" ca="1">MMS_Dairy_ManureAppliedToSoils_Equations.VEERG_4_3_1_8__2_MassOfNitrogenAppliedToSoilsScope3(S45, _xlfn.XLOOKUP($P111, $D$22:$D$26,$E$22:$E$26), _xlfn.XLOOKUP($P111,$D$31:$D$35,$E$31:$E$35),S57, $F69)</f>
        <v>0</v>
      </c>
      <c r="T111" s="53" cm="1">
        <f t="array" aca="1" ref="T111" ca="1">MMS_Dairy_ManureAppliedToSoils_Equations.VEERG_4_3_1_8__2_MassOfNitrogenAppliedToSoilsScope3(T45, _xlfn.XLOOKUP($P111, $D$22:$D$26,$E$22:$E$26), _xlfn.XLOOKUP($P111,$D$31:$D$35,$E$31:$E$35),T57, $F69)</f>
        <v>0</v>
      </c>
      <c r="U111" s="53" cm="1">
        <f t="array" aca="1" ref="U111" ca="1">MMS_Dairy_ManureAppliedToSoils_Equations.VEERG_4_3_1_8__2_MassOfNitrogenAppliedToSoilsScope3(U45, _xlfn.XLOOKUP($P111, $D$22:$D$26,$E$22:$E$26), _xlfn.XLOOKUP($P111,$D$31:$D$35,$E$31:$E$35),U57, $F69)</f>
        <v>0</v>
      </c>
      <c r="V111" s="2"/>
    </row>
    <row r="112" spans="4:22" ht="20.100000000000001" customHeight="1" x14ac:dyDescent="0.25">
      <c r="D112" s="53" t="str">
        <f>INDEX(X_Table_Dairy_ProductionSystems_Method1,4,1)</f>
        <v>Feed pad</v>
      </c>
      <c r="E112" s="53" t="str">
        <f>INDEX(X_Table_Dairy_Stage1MMS_2_DrainsToPaddock,2,1)</f>
        <v>Drains to paddock</v>
      </c>
      <c r="F112" s="53" cm="1">
        <f t="array" aca="1" ref="F112" ca="1">MMS_Dairy_ManureAppliedToSoils_Equations.VEERG_4_3_1_8__2_MassOfNitrogenAppliedToSoilsScope3(F46, _xlfn.XLOOKUP($E112, $D$22:$D$26,$E$22:$E$26), _xlfn.XLOOKUP($E112,$D$31:$D$35,$E$31:$E$35),F58, $F70)</f>
        <v>0</v>
      </c>
      <c r="G112" s="53" cm="1">
        <f t="array" aca="1" ref="G112" ca="1">MMS_Dairy_ManureAppliedToSoils_Equations.VEERG_4_3_1_8__2_MassOfNitrogenAppliedToSoilsScope3(G46, _xlfn.XLOOKUP($E112, $D$22:$D$26,$E$22:$E$26), _xlfn.XLOOKUP($E112,$D$31:$D$35,$E$31:$E$35),G58, $F70)</f>
        <v>0</v>
      </c>
      <c r="H112" s="53" cm="1">
        <f t="array" aca="1" ref="H112" ca="1">MMS_Dairy_ManureAppliedToSoils_Equations.VEERG_4_3_1_8__2_MassOfNitrogenAppliedToSoilsScope3(H46, _xlfn.XLOOKUP($E112, $D$22:$D$26,$E$22:$E$26), _xlfn.XLOOKUP($E112,$D$31:$D$35,$E$31:$E$35),H58, $F70)</f>
        <v>0</v>
      </c>
      <c r="I112" s="53" cm="1">
        <f t="array" aca="1" ref="I112" ca="1">MMS_Dairy_ManureAppliedToSoils_Equations.VEERG_4_3_1_8__2_MassOfNitrogenAppliedToSoilsScope3(I46, _xlfn.XLOOKUP($E112, $D$22:$D$26,$E$22:$E$26), _xlfn.XLOOKUP($E112,$D$31:$D$35,$E$31:$E$35),I58, $F70)</f>
        <v>0</v>
      </c>
      <c r="J112" s="53" cm="1">
        <f t="array" aca="1" ref="J112" ca="1">MMS_Dairy_ManureAppliedToSoils_Equations.VEERG_4_3_1_8__2_MassOfNitrogenAppliedToSoilsScope3(J46, _xlfn.XLOOKUP($E112, $D$22:$D$26,$E$22:$E$26), _xlfn.XLOOKUP($E112,$D$31:$D$35,$E$31:$E$35),J58, $F70)</f>
        <v>0</v>
      </c>
      <c r="K112" s="2"/>
      <c r="O112" s="53" t="str">
        <f>INDEX(X_Table_Dairy_ProductionSystems_Method1,4,1)</f>
        <v>Feed pad</v>
      </c>
      <c r="P112" s="53" t="str">
        <f>INDEX(X_Table_Dairy_Stage1MMS_2_DrainsToPaddock,2,1)</f>
        <v>Drains to paddock</v>
      </c>
      <c r="Q112" s="53" cm="1">
        <f t="array" aca="1" ref="Q112" ca="1">MMS_Dairy_ManureAppliedToSoils_Equations.VEERG_4_3_1_8__2_MassOfNitrogenAppliedToSoilsScope3(Q46, _xlfn.XLOOKUP($P112, $D$22:$D$26,$E$22:$E$26), _xlfn.XLOOKUP($P112,$D$31:$D$35,$E$31:$E$35),Q58, $F70)</f>
        <v>0</v>
      </c>
      <c r="R112" s="53" cm="1">
        <f t="array" aca="1" ref="R112" ca="1">MMS_Dairy_ManureAppliedToSoils_Equations.VEERG_4_3_1_8__2_MassOfNitrogenAppliedToSoilsScope3(R46, _xlfn.XLOOKUP($P112, $D$22:$D$26,$E$22:$E$26), _xlfn.XLOOKUP($P112,$D$31:$D$35,$E$31:$E$35),R58, $F70)</f>
        <v>0</v>
      </c>
      <c r="S112" s="53" cm="1">
        <f t="array" aca="1" ref="S112" ca="1">MMS_Dairy_ManureAppliedToSoils_Equations.VEERG_4_3_1_8__2_MassOfNitrogenAppliedToSoilsScope3(S46, _xlfn.XLOOKUP($P112, $D$22:$D$26,$E$22:$E$26), _xlfn.XLOOKUP($P112,$D$31:$D$35,$E$31:$E$35),S58, $F70)</f>
        <v>0</v>
      </c>
      <c r="T112" s="53" cm="1">
        <f t="array" aca="1" ref="T112" ca="1">MMS_Dairy_ManureAppliedToSoils_Equations.VEERG_4_3_1_8__2_MassOfNitrogenAppliedToSoilsScope3(T46, _xlfn.XLOOKUP($P112, $D$22:$D$26,$E$22:$E$26), _xlfn.XLOOKUP($P112,$D$31:$D$35,$E$31:$E$35),T58, $F70)</f>
        <v>0</v>
      </c>
      <c r="U112" s="53" cm="1">
        <f t="array" aca="1" ref="U112" ca="1">MMS_Dairy_ManureAppliedToSoils_Equations.VEERG_4_3_1_8__2_MassOfNitrogenAppliedToSoilsScope3(U46, _xlfn.XLOOKUP($P112, $D$22:$D$26,$E$22:$E$26), _xlfn.XLOOKUP($P112,$D$31:$D$35,$E$31:$E$35),U58, $F70)</f>
        <v>0</v>
      </c>
      <c r="V112" s="2"/>
    </row>
    <row r="113" spans="3:23" ht="20.100000000000001" customHeight="1" x14ac:dyDescent="0.25">
      <c r="D113" s="53" t="str">
        <f>INDEX(X_Table_Dairy_ProductionSystems_Method1,4,1)</f>
        <v>Feed pad</v>
      </c>
      <c r="E113" s="53" t="s">
        <v>398</v>
      </c>
      <c r="F113" s="53" cm="1">
        <f t="array" aca="1" ref="F113" ca="1">MMS_Dairy_ManureAppliedToSoils_Equations.VEERG_4_3_1_8__2_MassOfNitrogenAppliedToSoilsScope3(F47, _xlfn.XLOOKUP($E113, $D$22:$D$26,$E$22:$E$26), _xlfn.XLOOKUP($E113,$D$31:$D$35,$E$31:$E$35),F59, $F71)</f>
        <v>0</v>
      </c>
      <c r="G113" s="53" cm="1">
        <f t="array" aca="1" ref="G113" ca="1">MMS_Dairy_ManureAppliedToSoils_Equations.VEERG_4_3_1_8__2_MassOfNitrogenAppliedToSoilsScope3(G47, _xlfn.XLOOKUP($E113, $D$22:$D$26,$E$22:$E$26), _xlfn.XLOOKUP($E113,$D$31:$D$35,$E$31:$E$35),G59, $F71)</f>
        <v>0</v>
      </c>
      <c r="H113" s="53" cm="1">
        <f t="array" aca="1" ref="H113" ca="1">MMS_Dairy_ManureAppliedToSoils_Equations.VEERG_4_3_1_8__2_MassOfNitrogenAppliedToSoilsScope3(H47, _xlfn.XLOOKUP($E113, $D$22:$D$26,$E$22:$E$26), _xlfn.XLOOKUP($E113,$D$31:$D$35,$E$31:$E$35),H59, $F71)</f>
        <v>0</v>
      </c>
      <c r="I113" s="53" cm="1">
        <f t="array" aca="1" ref="I113" ca="1">MMS_Dairy_ManureAppliedToSoils_Equations.VEERG_4_3_1_8__2_MassOfNitrogenAppliedToSoilsScope3(I47, _xlfn.XLOOKUP($E113, $D$22:$D$26,$E$22:$E$26), _xlfn.XLOOKUP($E113,$D$31:$D$35,$E$31:$E$35),I59, $F71)</f>
        <v>0</v>
      </c>
      <c r="J113" s="53" cm="1">
        <f t="array" aca="1" ref="J113" ca="1">MMS_Dairy_ManureAppliedToSoils_Equations.VEERG_4_3_1_8__2_MassOfNitrogenAppliedToSoilsScope3(J47, _xlfn.XLOOKUP($E113, $D$22:$D$26,$E$22:$E$26), _xlfn.XLOOKUP($E113,$D$31:$D$35,$E$31:$E$35),J59, $F71)</f>
        <v>0</v>
      </c>
      <c r="K113" s="2"/>
      <c r="O113" s="53" t="str">
        <f>INDEX(X_Table_Dairy_ProductionSystems_Method1,4,1)</f>
        <v>Feed pad</v>
      </c>
      <c r="P113" s="53" t="s">
        <v>398</v>
      </c>
      <c r="Q113" s="53" cm="1">
        <f t="array" aca="1" ref="Q113" ca="1">MMS_Dairy_ManureAppliedToSoils_Equations.VEERG_4_3_1_8__2_MassOfNitrogenAppliedToSoilsScope3(Q47, _xlfn.XLOOKUP($P113, $D$22:$D$26,$E$22:$E$26), _xlfn.XLOOKUP($P113,$D$31:$D$35,$E$31:$E$35),Q59, $F71)</f>
        <v>0</v>
      </c>
      <c r="R113" s="53" cm="1">
        <f t="array" aca="1" ref="R113" ca="1">MMS_Dairy_ManureAppliedToSoils_Equations.VEERG_4_3_1_8__2_MassOfNitrogenAppliedToSoilsScope3(R47, _xlfn.XLOOKUP($P113, $D$22:$D$26,$E$22:$E$26), _xlfn.XLOOKUP($P113,$D$31:$D$35,$E$31:$E$35),R59, $F71)</f>
        <v>0</v>
      </c>
      <c r="S113" s="53" cm="1">
        <f t="array" aca="1" ref="S113" ca="1">MMS_Dairy_ManureAppliedToSoils_Equations.VEERG_4_3_1_8__2_MassOfNitrogenAppliedToSoilsScope3(S47, _xlfn.XLOOKUP($P113, $D$22:$D$26,$E$22:$E$26), _xlfn.XLOOKUP($P113,$D$31:$D$35,$E$31:$E$35),S59, $F71)</f>
        <v>0</v>
      </c>
      <c r="T113" s="53" cm="1">
        <f t="array" aca="1" ref="T113" ca="1">MMS_Dairy_ManureAppliedToSoils_Equations.VEERG_4_3_1_8__2_MassOfNitrogenAppliedToSoilsScope3(T47, _xlfn.XLOOKUP($P113, $D$22:$D$26,$E$22:$E$26), _xlfn.XLOOKUP($P113,$D$31:$D$35,$E$31:$E$35),T59, $F71)</f>
        <v>0</v>
      </c>
      <c r="U113" s="53" cm="1">
        <f t="array" aca="1" ref="U113" ca="1">MMS_Dairy_ManureAppliedToSoils_Equations.VEERG_4_3_1_8__2_MassOfNitrogenAppliedToSoilsScope3(U47, _xlfn.XLOOKUP($P113, $D$22:$D$26,$E$22:$E$26), _xlfn.XLOOKUP($P113,$D$31:$D$35,$E$31:$E$35),U59, $F71)</f>
        <v>0</v>
      </c>
      <c r="V113" s="2"/>
    </row>
    <row r="114" spans="3:23" ht="20.100000000000001" customHeight="1" x14ac:dyDescent="0.25"/>
    <row r="115" spans="3:23" ht="20.100000000000001" customHeight="1" x14ac:dyDescent="0.25">
      <c r="D115" s="104" t="s">
        <v>341</v>
      </c>
      <c r="E115" s="105">
        <f ca="1">SUM(F106:J113)</f>
        <v>0</v>
      </c>
      <c r="F115" s="106" t="str">
        <f>$E$11</f>
        <v>kg N</v>
      </c>
      <c r="O115" s="104" t="s">
        <v>341</v>
      </c>
      <c r="P115" s="105">
        <f ca="1">SUM(Q106:U113)</f>
        <v>0</v>
      </c>
      <c r="Q115" s="106" t="str">
        <f>$E$11</f>
        <v>kg N</v>
      </c>
    </row>
    <row r="116" spans="3:23" ht="20.100000000000001" customHeight="1" x14ac:dyDescent="0.25"/>
    <row r="117" spans="3:23" ht="20.100000000000001" customHeight="1" x14ac:dyDescent="0.25"/>
    <row r="118" spans="3:23" ht="20.100000000000001" customHeight="1" x14ac:dyDescent="0.25">
      <c r="C118" s="46"/>
      <c r="D118" s="46"/>
      <c r="E118" s="46"/>
      <c r="F118" s="46"/>
      <c r="G118" s="46"/>
      <c r="H118" s="46"/>
      <c r="I118" s="46"/>
      <c r="J118" s="46"/>
      <c r="K118" s="46"/>
      <c r="L118" s="46"/>
      <c r="N118" s="46"/>
      <c r="O118" s="46"/>
      <c r="P118" s="46"/>
      <c r="Q118" s="46"/>
      <c r="R118" s="46"/>
      <c r="S118" s="46"/>
      <c r="T118" s="46"/>
      <c r="U118" s="46"/>
      <c r="V118" s="46"/>
      <c r="W118" s="46"/>
    </row>
    <row r="119" spans="3:23" ht="20.100000000000001" customHeight="1" x14ac:dyDescent="0.25">
      <c r="D119" s="111" t="str">
        <f>"Below are applications of " &amp; D6 &amp; " that are applied to the following contexts:"</f>
        <v>Below are applications of VEERG 2026: 4.3.1.8, Equation (1) that are applied to the following contexts:</v>
      </c>
      <c r="E119" s="91"/>
      <c r="F119" s="91"/>
      <c r="G119" s="91"/>
      <c r="H119" s="87"/>
    </row>
    <row r="120" spans="3:23" ht="20.100000000000001" customHeight="1" x14ac:dyDescent="0.25">
      <c r="D120" s="93" t="s">
        <v>386</v>
      </c>
      <c r="E120" s="90"/>
      <c r="F120" s="90"/>
      <c r="G120" s="90"/>
      <c r="H120" s="88"/>
    </row>
    <row r="121" spans="3:23" ht="20.100000000000001" customHeight="1" x14ac:dyDescent="0.25"/>
    <row r="122" spans="3:23" ht="20.100000000000001" customHeight="1" x14ac:dyDescent="0.25">
      <c r="D122" s="6" t="s">
        <v>385</v>
      </c>
    </row>
    <row r="123" spans="3:23" ht="20.100000000000001" customHeight="1" x14ac:dyDescent="0.25"/>
    <row r="124" spans="3:23" ht="20.100000000000001" customHeight="1" x14ac:dyDescent="0.25">
      <c r="D124" s="100" t="s">
        <v>126</v>
      </c>
    </row>
    <row r="125" spans="3:23" ht="20.100000000000001" customHeight="1" x14ac:dyDescent="0.25">
      <c r="D125" s="99" t="s">
        <v>127</v>
      </c>
    </row>
    <row r="126" spans="3:23" ht="20.100000000000001" customHeight="1" x14ac:dyDescent="0.25">
      <c r="D126" s="40" t="s">
        <v>140</v>
      </c>
      <c r="E126" s="40" t="s">
        <v>65</v>
      </c>
      <c r="F126" s="40" t="s">
        <v>425</v>
      </c>
    </row>
    <row r="127" spans="3:23" ht="20.100000000000001" customHeight="1" x14ac:dyDescent="0.25">
      <c r="D127" s="53" t="str">
        <f>INDEX(X_Table_Dairy_ProductionSystems_Method1,3,1)</f>
        <v>Milking shed</v>
      </c>
      <c r="E127" s="53" t="str">
        <f>INDEX(X_Table_Dairy_Stage1MMS_1_AnaerobicLagoon,2,1)</f>
        <v>Anaerobic lagoon</v>
      </c>
      <c r="F127" s="53">
        <f>INDEX(X_Table_Dairy_Stage1MMS_1_AnaerobicLagoon_Destinations,2,3)</f>
        <v>0</v>
      </c>
      <c r="G127" s="2" t="str">
        <f>G101</f>
        <v>fraction</v>
      </c>
    </row>
    <row r="128" spans="3:23" ht="20.100000000000001" customHeight="1" x14ac:dyDescent="0.25">
      <c r="D128" s="53" t="str">
        <f>INDEX(X_Table_Dairy_ProductionSystems_Method1,3,1)</f>
        <v>Milking shed</v>
      </c>
      <c r="E128" s="53" t="str">
        <f>INDEX(X_Table_Dairy_Stage1MMS_1_SumpAndDispersal,2,1)</f>
        <v>Sump and dispersal system</v>
      </c>
      <c r="F128" s="53">
        <f>INDEX(X_Table_Dairy_Stage1MMS_1_SumpAndDispersal_Destinations,2,3)</f>
        <v>0</v>
      </c>
      <c r="G128" s="2"/>
    </row>
    <row r="129" spans="4:22" ht="20.100000000000001" customHeight="1" x14ac:dyDescent="0.25">
      <c r="D129" s="53" t="str">
        <f>INDEX(X_Table_Dairy_ProductionSystems_Method1,3,1)</f>
        <v>Milking shed</v>
      </c>
      <c r="E129" s="53" t="str">
        <f>INDEX(X_Table_Dairy_Stage1MMS_1_DrainsToPaddock,2,1)</f>
        <v>Drains to paddock</v>
      </c>
      <c r="F129" s="53">
        <f>INDEX(X_Table_Dairy_Stage1MMS_1_DrainsToPaddock_Destinations,2,3)</f>
        <v>0</v>
      </c>
      <c r="G129" s="2"/>
    </row>
    <row r="130" spans="4:22" ht="20.100000000000001" customHeight="1" x14ac:dyDescent="0.25">
      <c r="D130" s="53" t="str">
        <f>INDEX(X_Table_Dairy_ProductionSystems_Method1,3,1)</f>
        <v>Milking shed</v>
      </c>
      <c r="E130" s="53" t="s">
        <v>398</v>
      </c>
      <c r="F130" s="53">
        <f>INDEX(X_Table_Dairy_Stage1MMS_1_SolidStorage_Destinations,2,3)</f>
        <v>0</v>
      </c>
      <c r="G130" s="2"/>
    </row>
    <row r="131" spans="4:22" ht="20.100000000000001" customHeight="1" x14ac:dyDescent="0.25">
      <c r="D131" s="53" t="str">
        <f>INDEX(X_Table_Dairy_ProductionSystems_Method1,4,1)</f>
        <v>Feed pad</v>
      </c>
      <c r="E131" s="53" t="str">
        <f>INDEX(X_Table_Dairy_Stage1MMS_2_AnaerobicLagoon,2,1)</f>
        <v>Anaerobic lagoon</v>
      </c>
      <c r="F131" s="53">
        <f>INDEX(X_Table_Dairy_Stage1MMS_2_AnaerobicLagoon_Destinations,2,3)</f>
        <v>0</v>
      </c>
      <c r="G131" s="2"/>
    </row>
    <row r="132" spans="4:22" ht="20.100000000000001" customHeight="1" x14ac:dyDescent="0.25">
      <c r="D132" s="53" t="str">
        <f>INDEX(X_Table_Dairy_ProductionSystems_Method1,4,1)</f>
        <v>Feed pad</v>
      </c>
      <c r="E132" s="53" t="str">
        <f>INDEX(X_Table_Dairy_Stage1MMS_2_SumpAndDispersal,2,1)</f>
        <v>Sump and dispersal system</v>
      </c>
      <c r="F132" s="53">
        <f>INDEX(X_Table_Dairy_Stage1MMS_2_SumpAndDispersal_Destinations,2,3)</f>
        <v>0</v>
      </c>
      <c r="G132" s="2"/>
    </row>
    <row r="133" spans="4:22" ht="20.100000000000001" customHeight="1" x14ac:dyDescent="0.25">
      <c r="D133" s="53" t="str">
        <f>INDEX(X_Table_Dairy_ProductionSystems_Method1,4,1)</f>
        <v>Feed pad</v>
      </c>
      <c r="E133" s="53" t="str">
        <f>INDEX(X_Table_Dairy_Stage1MMS_2_DrainsToPaddock,2,1)</f>
        <v>Drains to paddock</v>
      </c>
      <c r="F133" s="53">
        <f>INDEX(X_Table_Dairy_Stage1MMS_2_DrainsToPaddock_Destinations,2,3)</f>
        <v>0</v>
      </c>
      <c r="G133" s="2"/>
    </row>
    <row r="134" spans="4:22" ht="20.100000000000001" customHeight="1" x14ac:dyDescent="0.25">
      <c r="D134" s="53" t="str">
        <f>INDEX(X_Table_Dairy_ProductionSystems_Method1,4,1)</f>
        <v>Feed pad</v>
      </c>
      <c r="E134" s="53" t="s">
        <v>398</v>
      </c>
      <c r="F134" s="53">
        <f>INDEX(X_Table_Dairy_Stage1MMS_2_SolidStorage_Destinations,2,3)</f>
        <v>0</v>
      </c>
      <c r="G134" s="2"/>
    </row>
    <row r="135" spans="4:22" ht="20.100000000000001" customHeight="1" x14ac:dyDescent="0.25"/>
    <row r="136" spans="4:22" ht="20.100000000000001" customHeight="1" x14ac:dyDescent="0.25">
      <c r="D136" s="100" t="s">
        <v>128</v>
      </c>
      <c r="O136" s="100" t="s">
        <v>129</v>
      </c>
    </row>
    <row r="137" spans="4:22" ht="20.100000000000001" customHeight="1" x14ac:dyDescent="0.25">
      <c r="D137" s="99" t="s">
        <v>131</v>
      </c>
      <c r="O137" s="99" t="s">
        <v>130</v>
      </c>
    </row>
    <row r="138" spans="4:22" ht="20.100000000000001" customHeight="1" x14ac:dyDescent="0.25">
      <c r="D138" s="52" t="s">
        <v>140</v>
      </c>
      <c r="E138" s="52" t="s">
        <v>65</v>
      </c>
      <c r="F138" s="52" t="s">
        <v>165</v>
      </c>
      <c r="G138" s="52" t="s">
        <v>182</v>
      </c>
      <c r="H138" s="52" t="s">
        <v>183</v>
      </c>
      <c r="I138" s="52" t="s">
        <v>184</v>
      </c>
      <c r="J138" s="52" t="s">
        <v>185</v>
      </c>
      <c r="O138" s="52" t="s">
        <v>140</v>
      </c>
      <c r="P138" s="52" t="s">
        <v>65</v>
      </c>
      <c r="Q138" s="52" t="s">
        <v>165</v>
      </c>
      <c r="R138" s="52" t="s">
        <v>182</v>
      </c>
      <c r="S138" s="52" t="s">
        <v>183</v>
      </c>
      <c r="T138" s="52" t="s">
        <v>184</v>
      </c>
      <c r="U138" s="52" t="s">
        <v>185</v>
      </c>
    </row>
    <row r="139" spans="4:22" ht="20.100000000000001" customHeight="1" x14ac:dyDescent="0.25">
      <c r="D139" s="53" t="str">
        <f>INDEX(X_Table_Dairy_ProductionSystems_Method1,3,1)</f>
        <v>Milking shed</v>
      </c>
      <c r="E139" s="53" t="str">
        <f>INDEX(X_Table_Dairy_Stage1MMS_1_AnaerobicLagoon,2,1)</f>
        <v>Anaerobic lagoon</v>
      </c>
      <c r="F139" s="53" cm="1">
        <f t="array" ref="F139">MMS_Dairy_ManureAppliedToSoils_Equations.VEERG_4_3_1_8__1_MassOfNitrogenAppliedToSoilsScope1(F40,_xlfn.XLOOKUP($E139,$D$22:$D$26,$E$22:$E$26),_xlfn.XLOOKUP($E139,$D$31:$D$35,$E$31:$E$35),F52,$F127)</f>
        <v>0</v>
      </c>
      <c r="G139" s="53" cm="1">
        <f t="array" ref="G139">MMS_Dairy_ManureAppliedToSoils_Equations.VEERG_4_3_1_8__1_MassOfNitrogenAppliedToSoilsScope1(G40,_xlfn.XLOOKUP($E139,$D$22:$D$26,$E$22:$E$26),_xlfn.XLOOKUP($E139,$D$31:$D$35,$E$31:$E$35),G52,$F127)</f>
        <v>0</v>
      </c>
      <c r="H139" s="53" cm="1">
        <f t="array" ref="H139">MMS_Dairy_ManureAppliedToSoils_Equations.VEERG_4_3_1_8__1_MassOfNitrogenAppliedToSoilsScope1(H40,_xlfn.XLOOKUP($E139,$D$22:$D$26,$E$22:$E$26),_xlfn.XLOOKUP($E139,$D$31:$D$35,$E$31:$E$35),H52,$F127)</f>
        <v>0</v>
      </c>
      <c r="I139" s="53" cm="1">
        <f t="array" ref="I139">MMS_Dairy_ManureAppliedToSoils_Equations.VEERG_4_3_1_8__1_MassOfNitrogenAppliedToSoilsScope1(I40,_xlfn.XLOOKUP($E139,$D$22:$D$26,$E$22:$E$26),_xlfn.XLOOKUP($E139,$D$31:$D$35,$E$31:$E$35),I52,$F127)</f>
        <v>0</v>
      </c>
      <c r="J139" s="53" cm="1">
        <f t="array" ref="J139">MMS_Dairy_ManureAppliedToSoils_Equations.VEERG_4_3_1_8__1_MassOfNitrogenAppliedToSoilsScope1(J40,_xlfn.XLOOKUP($E139,$D$22:$D$26,$E$22:$E$26),_xlfn.XLOOKUP($E139,$D$31:$D$35,$E$31:$E$35),J52,$F127)</f>
        <v>0</v>
      </c>
      <c r="K139" s="2" t="str">
        <f t="shared" ref="K139:K146" si="4">$E$95</f>
        <v>kg N</v>
      </c>
      <c r="O139" s="53" t="str">
        <f>INDEX(X_Table_Dairy_ProductionSystems_Method1,3,1)</f>
        <v>Milking shed</v>
      </c>
      <c r="P139" s="53" t="str">
        <f>INDEX(X_Table_Dairy_Stage1MMS_1_AnaerobicLagoon,2,1)</f>
        <v>Anaerobic lagoon</v>
      </c>
      <c r="Q139" s="53" cm="1">
        <f t="array" ref="Q139">MMS_Dairy_ManureAppliedToSoils_Equations.VEERG_4_3_1_8__1_MassOfNitrogenAppliedToSoilsScope1(Q40,_xlfn.XLOOKUP($P139,$D$22:$D$26,$E$22:$E$26),_xlfn.XLOOKUP($P139,$D$31:$D$35,$E$31:$E$35),Q52,$F127)</f>
        <v>0</v>
      </c>
      <c r="R139" s="53" cm="1">
        <f t="array" ref="R139">MMS_Dairy_ManureAppliedToSoils_Equations.VEERG_4_3_1_8__1_MassOfNitrogenAppliedToSoilsScope1(R40,_xlfn.XLOOKUP($P139,$D$22:$D$26,$E$22:$E$26),_xlfn.XLOOKUP($P139,$D$31:$D$35,$E$31:$E$35),R52,$F127)</f>
        <v>0</v>
      </c>
      <c r="S139" s="53" cm="1">
        <f t="array" ref="S139">MMS_Dairy_ManureAppliedToSoils_Equations.VEERG_4_3_1_8__1_MassOfNitrogenAppliedToSoilsScope1(S40,_xlfn.XLOOKUP($P139,$D$22:$D$26,$E$22:$E$26),_xlfn.XLOOKUP($P139,$D$31:$D$35,$E$31:$E$35),S52,$F127)</f>
        <v>0</v>
      </c>
      <c r="T139" s="53" cm="1">
        <f t="array" ref="T139">MMS_Dairy_ManureAppliedToSoils_Equations.VEERG_4_3_1_8__1_MassOfNitrogenAppliedToSoilsScope1(T40,_xlfn.XLOOKUP($P139,$D$22:$D$26,$E$22:$E$26),_xlfn.XLOOKUP($P139,$D$31:$D$35,$E$31:$E$35),T52,$F127)</f>
        <v>0</v>
      </c>
      <c r="U139" s="53" cm="1">
        <f t="array" ref="U139">MMS_Dairy_ManureAppliedToSoils_Equations.VEERG_4_3_1_8__1_MassOfNitrogenAppliedToSoilsScope1(U40,_xlfn.XLOOKUP($P139,$D$22:$D$26,$E$22:$E$26),_xlfn.XLOOKUP($P139,$D$31:$D$35,$E$31:$E$35),U52,$F127)</f>
        <v>0</v>
      </c>
      <c r="V139" s="2" t="str">
        <f t="shared" ref="V139" si="5">$E$95</f>
        <v>kg N</v>
      </c>
    </row>
    <row r="140" spans="4:22" ht="20.100000000000001" customHeight="1" x14ac:dyDescent="0.25">
      <c r="D140" s="53" t="str">
        <f>INDEX(X_Table_Dairy_ProductionSystems_Method1,3,1)</f>
        <v>Milking shed</v>
      </c>
      <c r="E140" s="53" t="str">
        <f>INDEX(X_Table_Dairy_Stage1MMS_1_SumpAndDispersal,2,1)</f>
        <v>Sump and dispersal system</v>
      </c>
      <c r="F140" s="53" cm="1">
        <f t="array" ref="F140">MMS_Dairy_ManureAppliedToSoils_Equations.VEERG_4_3_1_8__1_MassOfNitrogenAppliedToSoilsScope1(F41,_xlfn.XLOOKUP($E140,$D$22:$D$26,$E$22:$E$26),_xlfn.XLOOKUP($E140,$D$31:$D$35,$E$31:$E$35),F53,$F128)</f>
        <v>0</v>
      </c>
      <c r="G140" s="53" cm="1">
        <f t="array" ref="G140">MMS_Dairy_ManureAppliedToSoils_Equations.VEERG_4_3_1_8__1_MassOfNitrogenAppliedToSoilsScope1(G41,_xlfn.XLOOKUP($E140,$D$22:$D$26,$E$22:$E$26),_xlfn.XLOOKUP($E140,$D$31:$D$35,$E$31:$E$35),G53,$F128)</f>
        <v>0</v>
      </c>
      <c r="H140" s="53" cm="1">
        <f t="array" ref="H140">MMS_Dairy_ManureAppliedToSoils_Equations.VEERG_4_3_1_8__1_MassOfNitrogenAppliedToSoilsScope1(H41,_xlfn.XLOOKUP($E140,$D$22:$D$26,$E$22:$E$26),_xlfn.XLOOKUP($E140,$D$31:$D$35,$E$31:$E$35),H53,$F128)</f>
        <v>0</v>
      </c>
      <c r="I140" s="53" cm="1">
        <f t="array" ref="I140">MMS_Dairy_ManureAppliedToSoils_Equations.VEERG_4_3_1_8__1_MassOfNitrogenAppliedToSoilsScope1(I41,_xlfn.XLOOKUP($E140,$D$22:$D$26,$E$22:$E$26),_xlfn.XLOOKUP($E140,$D$31:$D$35,$E$31:$E$35),I53,$F128)</f>
        <v>0</v>
      </c>
      <c r="J140" s="53" cm="1">
        <f t="array" ref="J140">MMS_Dairy_ManureAppliedToSoils_Equations.VEERG_4_3_1_8__1_MassOfNitrogenAppliedToSoilsScope1(J41,_xlfn.XLOOKUP($E140,$D$22:$D$26,$E$22:$E$26),_xlfn.XLOOKUP($E140,$D$31:$D$35,$E$31:$E$35),J53,$F128)</f>
        <v>0</v>
      </c>
      <c r="K140" s="2" t="str">
        <f t="shared" si="4"/>
        <v>kg N</v>
      </c>
      <c r="O140" s="53" t="str">
        <f>INDEX(X_Table_Dairy_ProductionSystems_Method1,3,1)</f>
        <v>Milking shed</v>
      </c>
      <c r="P140" s="53" t="str">
        <f>INDEX(X_Table_Dairy_Stage1MMS_1_SumpAndDispersal,2,1)</f>
        <v>Sump and dispersal system</v>
      </c>
      <c r="Q140" s="53" cm="1">
        <f t="array" ref="Q140">MMS_Dairy_ManureAppliedToSoils_Equations.VEERG_4_3_1_8__1_MassOfNitrogenAppliedToSoilsScope1(Q41,_xlfn.XLOOKUP($P140,$D$22:$D$26,$E$22:$E$26),_xlfn.XLOOKUP($P140,$D$31:$D$35,$E$31:$E$35),Q53,$F128)</f>
        <v>0</v>
      </c>
      <c r="R140" s="53" cm="1">
        <f t="array" ref="R140">MMS_Dairy_ManureAppliedToSoils_Equations.VEERG_4_3_1_8__1_MassOfNitrogenAppliedToSoilsScope1(R41,_xlfn.XLOOKUP($P140,$D$22:$D$26,$E$22:$E$26),_xlfn.XLOOKUP($P140,$D$31:$D$35,$E$31:$E$35),R53,$F128)</f>
        <v>0</v>
      </c>
      <c r="S140" s="53" cm="1">
        <f t="array" ref="S140">MMS_Dairy_ManureAppliedToSoils_Equations.VEERG_4_3_1_8__1_MassOfNitrogenAppliedToSoilsScope1(S41,_xlfn.XLOOKUP($P140,$D$22:$D$26,$E$22:$E$26),_xlfn.XLOOKUP($P140,$D$31:$D$35,$E$31:$E$35),S53,$F128)</f>
        <v>0</v>
      </c>
      <c r="T140" s="53" cm="1">
        <f t="array" ref="T140">MMS_Dairy_ManureAppliedToSoils_Equations.VEERG_4_3_1_8__1_MassOfNitrogenAppliedToSoilsScope1(T41,_xlfn.XLOOKUP($P140,$D$22:$D$26,$E$22:$E$26),_xlfn.XLOOKUP($P140,$D$31:$D$35,$E$31:$E$35),T53,$F128)</f>
        <v>0</v>
      </c>
      <c r="U140" s="53" cm="1">
        <f t="array" ref="U140">MMS_Dairy_ManureAppliedToSoils_Equations.VEERG_4_3_1_8__1_MassOfNitrogenAppliedToSoilsScope1(U41,_xlfn.XLOOKUP($P140,$D$22:$D$26,$E$22:$E$26),_xlfn.XLOOKUP($P140,$D$31:$D$35,$E$31:$E$35),U53,$F128)</f>
        <v>0</v>
      </c>
      <c r="V140" s="2"/>
    </row>
    <row r="141" spans="4:22" ht="20.100000000000001" customHeight="1" x14ac:dyDescent="0.25">
      <c r="D141" s="53" t="str">
        <f>INDEX(X_Table_Dairy_ProductionSystems_Method1,3,1)</f>
        <v>Milking shed</v>
      </c>
      <c r="E141" s="53" t="str">
        <f>INDEX(X_Table_Dairy_Stage1MMS_1_DrainsToPaddock,2,1)</f>
        <v>Drains to paddock</v>
      </c>
      <c r="F141" s="53" cm="1">
        <f t="array" ref="F141">MMS_Dairy_ManureAppliedToSoils_Equations.VEERG_4_3_1_8__1_MassOfNitrogenAppliedToSoilsScope1(F42,_xlfn.XLOOKUP($E141,$D$22:$D$26,$E$22:$E$26),_xlfn.XLOOKUP($E141,$D$31:$D$35,$E$31:$E$35),F54,$F129)</f>
        <v>0</v>
      </c>
      <c r="G141" s="53" cm="1">
        <f t="array" ref="G141">MMS_Dairy_ManureAppliedToSoils_Equations.VEERG_4_3_1_8__1_MassOfNitrogenAppliedToSoilsScope1(G42,_xlfn.XLOOKUP($E141,$D$22:$D$26,$E$22:$E$26),_xlfn.XLOOKUP($E141,$D$31:$D$35,$E$31:$E$35),G54,$F129)</f>
        <v>0</v>
      </c>
      <c r="H141" s="53" cm="1">
        <f t="array" ref="H141">MMS_Dairy_ManureAppliedToSoils_Equations.VEERG_4_3_1_8__1_MassOfNitrogenAppliedToSoilsScope1(H42,_xlfn.XLOOKUP($E141,$D$22:$D$26,$E$22:$E$26),_xlfn.XLOOKUP($E141,$D$31:$D$35,$E$31:$E$35),H54,$F129)</f>
        <v>0</v>
      </c>
      <c r="I141" s="53" cm="1">
        <f t="array" ref="I141">MMS_Dairy_ManureAppliedToSoils_Equations.VEERG_4_3_1_8__1_MassOfNitrogenAppliedToSoilsScope1(I42,_xlfn.XLOOKUP($E141,$D$22:$D$26,$E$22:$E$26),_xlfn.XLOOKUP($E141,$D$31:$D$35,$E$31:$E$35),I54,$F129)</f>
        <v>0</v>
      </c>
      <c r="J141" s="53" cm="1">
        <f t="array" ref="J141">MMS_Dairy_ManureAppliedToSoils_Equations.VEERG_4_3_1_8__1_MassOfNitrogenAppliedToSoilsScope1(J42,_xlfn.XLOOKUP($E141,$D$22:$D$26,$E$22:$E$26),_xlfn.XLOOKUP($E141,$D$31:$D$35,$E$31:$E$35),J54,$F129)</f>
        <v>0</v>
      </c>
      <c r="K141" s="2" t="str">
        <f t="shared" si="4"/>
        <v>kg N</v>
      </c>
      <c r="O141" s="53" t="str">
        <f>INDEX(X_Table_Dairy_ProductionSystems_Method1,3,1)</f>
        <v>Milking shed</v>
      </c>
      <c r="P141" s="53" t="str">
        <f>INDEX(X_Table_Dairy_Stage1MMS_1_DrainsToPaddock,2,1)</f>
        <v>Drains to paddock</v>
      </c>
      <c r="Q141" s="53" cm="1">
        <f t="array" ref="Q141">MMS_Dairy_ManureAppliedToSoils_Equations.VEERG_4_3_1_8__1_MassOfNitrogenAppliedToSoilsScope1(Q42,_xlfn.XLOOKUP($P141,$D$22:$D$26,$E$22:$E$26),_xlfn.XLOOKUP($P141,$D$31:$D$35,$E$31:$E$35),Q54,$F129)</f>
        <v>0</v>
      </c>
      <c r="R141" s="53" cm="1">
        <f t="array" ref="R141">MMS_Dairy_ManureAppliedToSoils_Equations.VEERG_4_3_1_8__1_MassOfNitrogenAppliedToSoilsScope1(R42,_xlfn.XLOOKUP($P141,$D$22:$D$26,$E$22:$E$26),_xlfn.XLOOKUP($P141,$D$31:$D$35,$E$31:$E$35),R54,$F129)</f>
        <v>0</v>
      </c>
      <c r="S141" s="53" cm="1">
        <f t="array" ref="S141">MMS_Dairy_ManureAppliedToSoils_Equations.VEERG_4_3_1_8__1_MassOfNitrogenAppliedToSoilsScope1(S42,_xlfn.XLOOKUP($P141,$D$22:$D$26,$E$22:$E$26),_xlfn.XLOOKUP($P141,$D$31:$D$35,$E$31:$E$35),S54,$F129)</f>
        <v>0</v>
      </c>
      <c r="T141" s="53" cm="1">
        <f t="array" ref="T141">MMS_Dairy_ManureAppliedToSoils_Equations.VEERG_4_3_1_8__1_MassOfNitrogenAppliedToSoilsScope1(T42,_xlfn.XLOOKUP($P141,$D$22:$D$26,$E$22:$E$26),_xlfn.XLOOKUP($P141,$D$31:$D$35,$E$31:$E$35),T54,$F129)</f>
        <v>0</v>
      </c>
      <c r="U141" s="53" cm="1">
        <f t="array" ref="U141">MMS_Dairy_ManureAppliedToSoils_Equations.VEERG_4_3_1_8__1_MassOfNitrogenAppliedToSoilsScope1(U42,_xlfn.XLOOKUP($P141,$D$22:$D$26,$E$22:$E$26),_xlfn.XLOOKUP($P141,$D$31:$D$35,$E$31:$E$35),U54,$F129)</f>
        <v>0</v>
      </c>
      <c r="V141" s="2"/>
    </row>
    <row r="142" spans="4:22" ht="20.100000000000001" customHeight="1" x14ac:dyDescent="0.25">
      <c r="D142" s="53" t="str">
        <f>INDEX(X_Table_Dairy_ProductionSystems_Method1,3,1)</f>
        <v>Milking shed</v>
      </c>
      <c r="E142" s="53" t="s">
        <v>398</v>
      </c>
      <c r="F142" s="53" cm="1">
        <f t="array" ref="F142">MMS_Dairy_ManureAppliedToSoils_Equations.VEERG_4_3_1_8__1_MassOfNitrogenAppliedToSoilsScope1(F43,_xlfn.XLOOKUP($E142,$D$22:$D$26,$E$22:$E$26),_xlfn.XLOOKUP($E142,$D$31:$D$35,$E$31:$E$35),F55,$F130)</f>
        <v>0</v>
      </c>
      <c r="G142" s="53" cm="1">
        <f t="array" ref="G142">MMS_Dairy_ManureAppliedToSoils_Equations.VEERG_4_3_1_8__1_MassOfNitrogenAppliedToSoilsScope1(G43,_xlfn.XLOOKUP($E142,$D$22:$D$26,$E$22:$E$26),_xlfn.XLOOKUP($E142,$D$31:$D$35,$E$31:$E$35),G55,$F130)</f>
        <v>0</v>
      </c>
      <c r="H142" s="53" cm="1">
        <f t="array" ref="H142">MMS_Dairy_ManureAppliedToSoils_Equations.VEERG_4_3_1_8__1_MassOfNitrogenAppliedToSoilsScope1(H43,_xlfn.XLOOKUP($E142,$D$22:$D$26,$E$22:$E$26),_xlfn.XLOOKUP($E142,$D$31:$D$35,$E$31:$E$35),H55,$F130)</f>
        <v>0</v>
      </c>
      <c r="I142" s="53" cm="1">
        <f t="array" ref="I142">MMS_Dairy_ManureAppliedToSoils_Equations.VEERG_4_3_1_8__1_MassOfNitrogenAppliedToSoilsScope1(I43,_xlfn.XLOOKUP($E142,$D$22:$D$26,$E$22:$E$26),_xlfn.XLOOKUP($E142,$D$31:$D$35,$E$31:$E$35),I55,$F130)</f>
        <v>0</v>
      </c>
      <c r="J142" s="53" cm="1">
        <f t="array" ref="J142">MMS_Dairy_ManureAppliedToSoils_Equations.VEERG_4_3_1_8__1_MassOfNitrogenAppliedToSoilsScope1(J43,_xlfn.XLOOKUP($E142,$D$22:$D$26,$E$22:$E$26),_xlfn.XLOOKUP($E142,$D$31:$D$35,$E$31:$E$35),J55,$F130)</f>
        <v>0</v>
      </c>
      <c r="K142" s="2" t="str">
        <f t="shared" si="4"/>
        <v>kg N</v>
      </c>
      <c r="O142" s="53" t="str">
        <f>INDEX(X_Table_Dairy_ProductionSystems_Method1,3,1)</f>
        <v>Milking shed</v>
      </c>
      <c r="P142" s="53" t="s">
        <v>398</v>
      </c>
      <c r="Q142" s="53" cm="1">
        <f t="array" ref="Q142">MMS_Dairy_ManureAppliedToSoils_Equations.VEERG_4_3_1_8__1_MassOfNitrogenAppliedToSoilsScope1(Q43,_xlfn.XLOOKUP($P142,$D$22:$D$26,$E$22:$E$26),_xlfn.XLOOKUP($P142,$D$31:$D$35,$E$31:$E$35),Q55,$F130)</f>
        <v>0</v>
      </c>
      <c r="R142" s="53" cm="1">
        <f t="array" ref="R142">MMS_Dairy_ManureAppliedToSoils_Equations.VEERG_4_3_1_8__1_MassOfNitrogenAppliedToSoilsScope1(R43,_xlfn.XLOOKUP($P142,$D$22:$D$26,$E$22:$E$26),_xlfn.XLOOKUP($P142,$D$31:$D$35,$E$31:$E$35),R55,$F130)</f>
        <v>0</v>
      </c>
      <c r="S142" s="53" cm="1">
        <f t="array" ref="S142">MMS_Dairy_ManureAppliedToSoils_Equations.VEERG_4_3_1_8__1_MassOfNitrogenAppliedToSoilsScope1(S43,_xlfn.XLOOKUP($P142,$D$22:$D$26,$E$22:$E$26),_xlfn.XLOOKUP($P142,$D$31:$D$35,$E$31:$E$35),S55,$F130)</f>
        <v>0</v>
      </c>
      <c r="T142" s="53" cm="1">
        <f t="array" ref="T142">MMS_Dairy_ManureAppliedToSoils_Equations.VEERG_4_3_1_8__1_MassOfNitrogenAppliedToSoilsScope1(T43,_xlfn.XLOOKUP($P142,$D$22:$D$26,$E$22:$E$26),_xlfn.XLOOKUP($P142,$D$31:$D$35,$E$31:$E$35),T55,$F130)</f>
        <v>0</v>
      </c>
      <c r="U142" s="53" cm="1">
        <f t="array" ref="U142">MMS_Dairy_ManureAppliedToSoils_Equations.VEERG_4_3_1_8__1_MassOfNitrogenAppliedToSoilsScope1(U43,_xlfn.XLOOKUP($P142,$D$22:$D$26,$E$22:$E$26),_xlfn.XLOOKUP($P142,$D$31:$D$35,$E$31:$E$35),U55,$F130)</f>
        <v>0</v>
      </c>
      <c r="V142" s="2"/>
    </row>
    <row r="143" spans="4:22" ht="20.100000000000001" customHeight="1" x14ac:dyDescent="0.25">
      <c r="D143" s="53" t="str">
        <f>INDEX(X_Table_Dairy_ProductionSystems_Method1,4,1)</f>
        <v>Feed pad</v>
      </c>
      <c r="E143" s="53" t="str">
        <f>INDEX(X_Table_Dairy_Stage1MMS_2_AnaerobicLagoon,2,1)</f>
        <v>Anaerobic lagoon</v>
      </c>
      <c r="F143" s="53" cm="1">
        <f t="array" ref="F143">MMS_Dairy_ManureAppliedToSoils_Equations.VEERG_4_3_1_8__1_MassOfNitrogenAppliedToSoilsScope1(F44,_xlfn.XLOOKUP($E143,$D$22:$D$26,$E$22:$E$26),_xlfn.XLOOKUP($E143,$D$31:$D$35,$E$31:$E$35),F56,$F131)</f>
        <v>0</v>
      </c>
      <c r="G143" s="53" cm="1">
        <f t="array" ref="G143">MMS_Dairy_ManureAppliedToSoils_Equations.VEERG_4_3_1_8__1_MassOfNitrogenAppliedToSoilsScope1(G44,_xlfn.XLOOKUP($E143,$D$22:$D$26,$E$22:$E$26),_xlfn.XLOOKUP($E143,$D$31:$D$35,$E$31:$E$35),G56,$F131)</f>
        <v>0</v>
      </c>
      <c r="H143" s="53" cm="1">
        <f t="array" ref="H143">MMS_Dairy_ManureAppliedToSoils_Equations.VEERG_4_3_1_8__1_MassOfNitrogenAppliedToSoilsScope1(H44,_xlfn.XLOOKUP($E143,$D$22:$D$26,$E$22:$E$26),_xlfn.XLOOKUP($E143,$D$31:$D$35,$E$31:$E$35),H56,$F131)</f>
        <v>0</v>
      </c>
      <c r="I143" s="53" cm="1">
        <f t="array" ref="I143">MMS_Dairy_ManureAppliedToSoils_Equations.VEERG_4_3_1_8__1_MassOfNitrogenAppliedToSoilsScope1(I44,_xlfn.XLOOKUP($E143,$D$22:$D$26,$E$22:$E$26),_xlfn.XLOOKUP($E143,$D$31:$D$35,$E$31:$E$35),I56,$F131)</f>
        <v>0</v>
      </c>
      <c r="J143" s="53" cm="1">
        <f t="array" ref="J143">MMS_Dairy_ManureAppliedToSoils_Equations.VEERG_4_3_1_8__1_MassOfNitrogenAppliedToSoilsScope1(J44,_xlfn.XLOOKUP($E143,$D$22:$D$26,$E$22:$E$26),_xlfn.XLOOKUP($E143,$D$31:$D$35,$E$31:$E$35),J56,$F131)</f>
        <v>0</v>
      </c>
      <c r="K143" s="2" t="str">
        <f t="shared" si="4"/>
        <v>kg N</v>
      </c>
      <c r="O143" s="53" t="str">
        <f>INDEX(X_Table_Dairy_ProductionSystems_Method1,4,1)</f>
        <v>Feed pad</v>
      </c>
      <c r="P143" s="53" t="str">
        <f>INDEX(X_Table_Dairy_Stage1MMS_2_AnaerobicLagoon,2,1)</f>
        <v>Anaerobic lagoon</v>
      </c>
      <c r="Q143" s="53" cm="1">
        <f t="array" ref="Q143">MMS_Dairy_ManureAppliedToSoils_Equations.VEERG_4_3_1_8__1_MassOfNitrogenAppliedToSoilsScope1(Q44,_xlfn.XLOOKUP($P143,$D$22:$D$26,$E$22:$E$26),_xlfn.XLOOKUP($P143,$D$31:$D$35,$E$31:$E$35),Q56,$F131)</f>
        <v>0</v>
      </c>
      <c r="R143" s="53" cm="1">
        <f t="array" ref="R143">MMS_Dairy_ManureAppliedToSoils_Equations.VEERG_4_3_1_8__1_MassOfNitrogenAppliedToSoilsScope1(R44,_xlfn.XLOOKUP($P143,$D$22:$D$26,$E$22:$E$26),_xlfn.XLOOKUP($P143,$D$31:$D$35,$E$31:$E$35),R56,$F131)</f>
        <v>0</v>
      </c>
      <c r="S143" s="53" cm="1">
        <f t="array" ref="S143">MMS_Dairy_ManureAppliedToSoils_Equations.VEERG_4_3_1_8__1_MassOfNitrogenAppliedToSoilsScope1(S44,_xlfn.XLOOKUP($P143,$D$22:$D$26,$E$22:$E$26),_xlfn.XLOOKUP($P143,$D$31:$D$35,$E$31:$E$35),S56,$F131)</f>
        <v>0</v>
      </c>
      <c r="T143" s="53" cm="1">
        <f t="array" ref="T143">MMS_Dairy_ManureAppliedToSoils_Equations.VEERG_4_3_1_8__1_MassOfNitrogenAppliedToSoilsScope1(T44,_xlfn.XLOOKUP($P143,$D$22:$D$26,$E$22:$E$26),_xlfn.XLOOKUP($P143,$D$31:$D$35,$E$31:$E$35),T56,$F131)</f>
        <v>0</v>
      </c>
      <c r="U143" s="53" cm="1">
        <f t="array" ref="U143">MMS_Dairy_ManureAppliedToSoils_Equations.VEERG_4_3_1_8__1_MassOfNitrogenAppliedToSoilsScope1(U44,_xlfn.XLOOKUP($P143,$D$22:$D$26,$E$22:$E$26),_xlfn.XLOOKUP($P143,$D$31:$D$35,$E$31:$E$35),U56,$F131)</f>
        <v>0</v>
      </c>
      <c r="V143" s="2"/>
    </row>
    <row r="144" spans="4:22" ht="20.100000000000001" customHeight="1" x14ac:dyDescent="0.25">
      <c r="D144" s="53" t="str">
        <f>INDEX(X_Table_Dairy_ProductionSystems_Method1,4,1)</f>
        <v>Feed pad</v>
      </c>
      <c r="E144" s="53" t="str">
        <f>INDEX(X_Table_Dairy_Stage1MMS_2_SumpAndDispersal,2,1)</f>
        <v>Sump and dispersal system</v>
      </c>
      <c r="F144" s="53" cm="1">
        <f t="array" ref="F144">MMS_Dairy_ManureAppliedToSoils_Equations.VEERG_4_3_1_8__1_MassOfNitrogenAppliedToSoilsScope1(F45,_xlfn.XLOOKUP($E144,$D$22:$D$26,$E$22:$E$26),_xlfn.XLOOKUP($E144,$D$31:$D$35,$E$31:$E$35),F57,$F132)</f>
        <v>0</v>
      </c>
      <c r="G144" s="53" cm="1">
        <f t="array" ref="G144">MMS_Dairy_ManureAppliedToSoils_Equations.VEERG_4_3_1_8__1_MassOfNitrogenAppliedToSoilsScope1(G45,_xlfn.XLOOKUP($E144,$D$22:$D$26,$E$22:$E$26),_xlfn.XLOOKUP($E144,$D$31:$D$35,$E$31:$E$35),G57,$F132)</f>
        <v>0</v>
      </c>
      <c r="H144" s="53" cm="1">
        <f t="array" ref="H144">MMS_Dairy_ManureAppliedToSoils_Equations.VEERG_4_3_1_8__1_MassOfNitrogenAppliedToSoilsScope1(H45,_xlfn.XLOOKUP($E144,$D$22:$D$26,$E$22:$E$26),_xlfn.XLOOKUP($E144,$D$31:$D$35,$E$31:$E$35),H57,$F132)</f>
        <v>0</v>
      </c>
      <c r="I144" s="53" cm="1">
        <f t="array" ref="I144">MMS_Dairy_ManureAppliedToSoils_Equations.VEERG_4_3_1_8__1_MassOfNitrogenAppliedToSoilsScope1(I45,_xlfn.XLOOKUP($E144,$D$22:$D$26,$E$22:$E$26),_xlfn.XLOOKUP($E144,$D$31:$D$35,$E$31:$E$35),I57,$F132)</f>
        <v>0</v>
      </c>
      <c r="J144" s="53" cm="1">
        <f t="array" ref="J144">MMS_Dairy_ManureAppliedToSoils_Equations.VEERG_4_3_1_8__1_MassOfNitrogenAppliedToSoilsScope1(J45,_xlfn.XLOOKUP($E144,$D$22:$D$26,$E$22:$E$26),_xlfn.XLOOKUP($E144,$D$31:$D$35,$E$31:$E$35),J57,$F132)</f>
        <v>0</v>
      </c>
      <c r="K144" s="2" t="str">
        <f t="shared" si="4"/>
        <v>kg N</v>
      </c>
      <c r="O144" s="53" t="str">
        <f>INDEX(X_Table_Dairy_ProductionSystems_Method1,4,1)</f>
        <v>Feed pad</v>
      </c>
      <c r="P144" s="53" t="str">
        <f>INDEX(X_Table_Dairy_Stage1MMS_2_SumpAndDispersal,2,1)</f>
        <v>Sump and dispersal system</v>
      </c>
      <c r="Q144" s="53" cm="1">
        <f t="array" ref="Q144">MMS_Dairy_ManureAppliedToSoils_Equations.VEERG_4_3_1_8__1_MassOfNitrogenAppliedToSoilsScope1(Q45,_xlfn.XLOOKUP($P144,$D$22:$D$26,$E$22:$E$26),_xlfn.XLOOKUP($P144,$D$31:$D$35,$E$31:$E$35),Q57,$F132)</f>
        <v>0</v>
      </c>
      <c r="R144" s="53" cm="1">
        <f t="array" ref="R144">MMS_Dairy_ManureAppliedToSoils_Equations.VEERG_4_3_1_8__1_MassOfNitrogenAppliedToSoilsScope1(R45,_xlfn.XLOOKUP($P144,$D$22:$D$26,$E$22:$E$26),_xlfn.XLOOKUP($P144,$D$31:$D$35,$E$31:$E$35),R57,$F132)</f>
        <v>0</v>
      </c>
      <c r="S144" s="53" cm="1">
        <f t="array" ref="S144">MMS_Dairy_ManureAppliedToSoils_Equations.VEERG_4_3_1_8__1_MassOfNitrogenAppliedToSoilsScope1(S45,_xlfn.XLOOKUP($P144,$D$22:$D$26,$E$22:$E$26),_xlfn.XLOOKUP($P144,$D$31:$D$35,$E$31:$E$35),S57,$F132)</f>
        <v>0</v>
      </c>
      <c r="T144" s="53" cm="1">
        <f t="array" ref="T144">MMS_Dairy_ManureAppliedToSoils_Equations.VEERG_4_3_1_8__1_MassOfNitrogenAppliedToSoilsScope1(T45,_xlfn.XLOOKUP($P144,$D$22:$D$26,$E$22:$E$26),_xlfn.XLOOKUP($P144,$D$31:$D$35,$E$31:$E$35),T57,$F132)</f>
        <v>0</v>
      </c>
      <c r="U144" s="53" cm="1">
        <f t="array" ref="U144">MMS_Dairy_ManureAppliedToSoils_Equations.VEERG_4_3_1_8__1_MassOfNitrogenAppliedToSoilsScope1(U45,_xlfn.XLOOKUP($P144,$D$22:$D$26,$E$22:$E$26),_xlfn.XLOOKUP($P144,$D$31:$D$35,$E$31:$E$35),U57,$F132)</f>
        <v>0</v>
      </c>
      <c r="V144" s="2"/>
    </row>
    <row r="145" spans="4:22" ht="20.100000000000001" customHeight="1" x14ac:dyDescent="0.25">
      <c r="D145" s="53" t="str">
        <f>INDEX(X_Table_Dairy_ProductionSystems_Method1,4,1)</f>
        <v>Feed pad</v>
      </c>
      <c r="E145" s="53" t="str">
        <f>INDEX(X_Table_Dairy_Stage1MMS_2_DrainsToPaddock,2,1)</f>
        <v>Drains to paddock</v>
      </c>
      <c r="F145" s="53" cm="1">
        <f t="array" ref="F145">MMS_Dairy_ManureAppliedToSoils_Equations.VEERG_4_3_1_8__1_MassOfNitrogenAppliedToSoilsScope1(F46,_xlfn.XLOOKUP($E145,$D$22:$D$26,$E$22:$E$26),_xlfn.XLOOKUP($E145,$D$31:$D$35,$E$31:$E$35),F58,$F133)</f>
        <v>0</v>
      </c>
      <c r="G145" s="53" cm="1">
        <f t="array" ref="G145">MMS_Dairy_ManureAppliedToSoils_Equations.VEERG_4_3_1_8__1_MassOfNitrogenAppliedToSoilsScope1(G46,_xlfn.XLOOKUP($E145,$D$22:$D$26,$E$22:$E$26),_xlfn.XLOOKUP($E145,$D$31:$D$35,$E$31:$E$35),G58,$F133)</f>
        <v>0</v>
      </c>
      <c r="H145" s="53" cm="1">
        <f t="array" ref="H145">MMS_Dairy_ManureAppliedToSoils_Equations.VEERG_4_3_1_8__1_MassOfNitrogenAppliedToSoilsScope1(H46,_xlfn.XLOOKUP($E145,$D$22:$D$26,$E$22:$E$26),_xlfn.XLOOKUP($E145,$D$31:$D$35,$E$31:$E$35),H58,$F133)</f>
        <v>0</v>
      </c>
      <c r="I145" s="53" cm="1">
        <f t="array" ref="I145">MMS_Dairy_ManureAppliedToSoils_Equations.VEERG_4_3_1_8__1_MassOfNitrogenAppliedToSoilsScope1(I46,_xlfn.XLOOKUP($E145,$D$22:$D$26,$E$22:$E$26),_xlfn.XLOOKUP($E145,$D$31:$D$35,$E$31:$E$35),I58,$F133)</f>
        <v>0</v>
      </c>
      <c r="J145" s="53" cm="1">
        <f t="array" ref="J145">MMS_Dairy_ManureAppliedToSoils_Equations.VEERG_4_3_1_8__1_MassOfNitrogenAppliedToSoilsScope1(J46,_xlfn.XLOOKUP($E145,$D$22:$D$26,$E$22:$E$26),_xlfn.XLOOKUP($E145,$D$31:$D$35,$E$31:$E$35),J58,$F133)</f>
        <v>0</v>
      </c>
      <c r="K145" s="2" t="str">
        <f t="shared" si="4"/>
        <v>kg N</v>
      </c>
      <c r="O145" s="53" t="str">
        <f>INDEX(X_Table_Dairy_ProductionSystems_Method1,4,1)</f>
        <v>Feed pad</v>
      </c>
      <c r="P145" s="53" t="str">
        <f>INDEX(X_Table_Dairy_Stage1MMS_2_DrainsToPaddock,2,1)</f>
        <v>Drains to paddock</v>
      </c>
      <c r="Q145" s="53" cm="1">
        <f t="array" ref="Q145">MMS_Dairy_ManureAppliedToSoils_Equations.VEERG_4_3_1_8__1_MassOfNitrogenAppliedToSoilsScope1(Q46,_xlfn.XLOOKUP($P145,$D$22:$D$26,$E$22:$E$26),_xlfn.XLOOKUP($P145,$D$31:$D$35,$E$31:$E$35),Q58,$F133)</f>
        <v>0</v>
      </c>
      <c r="R145" s="53" cm="1">
        <f t="array" ref="R145">MMS_Dairy_ManureAppliedToSoils_Equations.VEERG_4_3_1_8__1_MassOfNitrogenAppliedToSoilsScope1(R46,_xlfn.XLOOKUP($P145,$D$22:$D$26,$E$22:$E$26),_xlfn.XLOOKUP($P145,$D$31:$D$35,$E$31:$E$35),R58,$F133)</f>
        <v>0</v>
      </c>
      <c r="S145" s="53" cm="1">
        <f t="array" ref="S145">MMS_Dairy_ManureAppliedToSoils_Equations.VEERG_4_3_1_8__1_MassOfNitrogenAppliedToSoilsScope1(S46,_xlfn.XLOOKUP($P145,$D$22:$D$26,$E$22:$E$26),_xlfn.XLOOKUP($P145,$D$31:$D$35,$E$31:$E$35),S58,$F133)</f>
        <v>0</v>
      </c>
      <c r="T145" s="53" cm="1">
        <f t="array" ref="T145">MMS_Dairy_ManureAppliedToSoils_Equations.VEERG_4_3_1_8__1_MassOfNitrogenAppliedToSoilsScope1(T46,_xlfn.XLOOKUP($P145,$D$22:$D$26,$E$22:$E$26),_xlfn.XLOOKUP($P145,$D$31:$D$35,$E$31:$E$35),T58,$F133)</f>
        <v>0</v>
      </c>
      <c r="U145" s="53" cm="1">
        <f t="array" ref="U145">MMS_Dairy_ManureAppliedToSoils_Equations.VEERG_4_3_1_8__1_MassOfNitrogenAppliedToSoilsScope1(U46,_xlfn.XLOOKUP($P145,$D$22:$D$26,$E$22:$E$26),_xlfn.XLOOKUP($P145,$D$31:$D$35,$E$31:$E$35),U58,$F133)</f>
        <v>0</v>
      </c>
      <c r="V145" s="2"/>
    </row>
    <row r="146" spans="4:22" ht="20.100000000000001" customHeight="1" x14ac:dyDescent="0.25">
      <c r="D146" s="53" t="str">
        <f>INDEX(X_Table_Dairy_ProductionSystems_Method1,4,1)</f>
        <v>Feed pad</v>
      </c>
      <c r="E146" s="53" t="s">
        <v>398</v>
      </c>
      <c r="F146" s="53" cm="1">
        <f t="array" ref="F146">MMS_Dairy_ManureAppliedToSoils_Equations.VEERG_4_3_1_8__1_MassOfNitrogenAppliedToSoilsScope1(F47,_xlfn.XLOOKUP($E146,$D$22:$D$26,$E$22:$E$26),_xlfn.XLOOKUP($E146,$D$31:$D$35,$E$31:$E$35),F59,$F134)</f>
        <v>0</v>
      </c>
      <c r="G146" s="53" cm="1">
        <f t="array" ref="G146">MMS_Dairy_ManureAppliedToSoils_Equations.VEERG_4_3_1_8__1_MassOfNitrogenAppliedToSoilsScope1(G47,_xlfn.XLOOKUP($E146,$D$22:$D$26,$E$22:$E$26),_xlfn.XLOOKUP($E146,$D$31:$D$35,$E$31:$E$35),G59,$F134)</f>
        <v>0</v>
      </c>
      <c r="H146" s="53" cm="1">
        <f t="array" ref="H146">MMS_Dairy_ManureAppliedToSoils_Equations.VEERG_4_3_1_8__1_MassOfNitrogenAppliedToSoilsScope1(H47,_xlfn.XLOOKUP($E146,$D$22:$D$26,$E$22:$E$26),_xlfn.XLOOKUP($E146,$D$31:$D$35,$E$31:$E$35),H59,$F134)</f>
        <v>0</v>
      </c>
      <c r="I146" s="53" cm="1">
        <f t="array" ref="I146">MMS_Dairy_ManureAppliedToSoils_Equations.VEERG_4_3_1_8__1_MassOfNitrogenAppliedToSoilsScope1(I47,_xlfn.XLOOKUP($E146,$D$22:$D$26,$E$22:$E$26),_xlfn.XLOOKUP($E146,$D$31:$D$35,$E$31:$E$35),I59,$F134)</f>
        <v>0</v>
      </c>
      <c r="J146" s="53" cm="1">
        <f t="array" ref="J146">MMS_Dairy_ManureAppliedToSoils_Equations.VEERG_4_3_1_8__1_MassOfNitrogenAppliedToSoilsScope1(J47,_xlfn.XLOOKUP($E146,$D$22:$D$26,$E$22:$E$26),_xlfn.XLOOKUP($E146,$D$31:$D$35,$E$31:$E$35),J59,$F134)</f>
        <v>0</v>
      </c>
      <c r="K146" s="2" t="str">
        <f t="shared" si="4"/>
        <v>kg N</v>
      </c>
      <c r="O146" s="53" t="str">
        <f>INDEX(X_Table_Dairy_ProductionSystems_Method1,4,1)</f>
        <v>Feed pad</v>
      </c>
      <c r="P146" s="53" t="s">
        <v>398</v>
      </c>
      <c r="Q146" s="53" cm="1">
        <f t="array" ref="Q146">MMS_Dairy_ManureAppliedToSoils_Equations.VEERG_4_3_1_8__1_MassOfNitrogenAppliedToSoilsScope1(Q47,_xlfn.XLOOKUP($P146,$D$22:$D$26,$E$22:$E$26),_xlfn.XLOOKUP($P146,$D$31:$D$35,$E$31:$E$35),Q59,$F134)</f>
        <v>0</v>
      </c>
      <c r="R146" s="53" cm="1">
        <f t="array" ref="R146">MMS_Dairy_ManureAppliedToSoils_Equations.VEERG_4_3_1_8__1_MassOfNitrogenAppliedToSoilsScope1(R47,_xlfn.XLOOKUP($P146,$D$22:$D$26,$E$22:$E$26),_xlfn.XLOOKUP($P146,$D$31:$D$35,$E$31:$E$35),R59,$F134)</f>
        <v>0</v>
      </c>
      <c r="S146" s="53" cm="1">
        <f t="array" ref="S146">MMS_Dairy_ManureAppliedToSoils_Equations.VEERG_4_3_1_8__1_MassOfNitrogenAppliedToSoilsScope1(S47,_xlfn.XLOOKUP($P146,$D$22:$D$26,$E$22:$E$26),_xlfn.XLOOKUP($P146,$D$31:$D$35,$E$31:$E$35),S59,$F134)</f>
        <v>0</v>
      </c>
      <c r="T146" s="53" cm="1">
        <f t="array" ref="T146">MMS_Dairy_ManureAppliedToSoils_Equations.VEERG_4_3_1_8__1_MassOfNitrogenAppliedToSoilsScope1(T47,_xlfn.XLOOKUP($P146,$D$22:$D$26,$E$22:$E$26),_xlfn.XLOOKUP($P146,$D$31:$D$35,$E$31:$E$35),T59,$F134)</f>
        <v>0</v>
      </c>
      <c r="U146" s="53" cm="1">
        <f t="array" ref="U146">MMS_Dairy_ManureAppliedToSoils_Equations.VEERG_4_3_1_8__1_MassOfNitrogenAppliedToSoilsScope1(U47,_xlfn.XLOOKUP($P146,$D$22:$D$26,$E$22:$E$26),_xlfn.XLOOKUP($P146,$D$31:$D$35,$E$31:$E$35),U59,$F134)</f>
        <v>0</v>
      </c>
      <c r="V146" s="2"/>
    </row>
    <row r="147" spans="4:22" ht="20.100000000000001" customHeight="1" x14ac:dyDescent="0.25"/>
    <row r="148" spans="4:22" ht="20.100000000000001" customHeight="1" x14ac:dyDescent="0.25">
      <c r="D148" s="104" t="s">
        <v>132</v>
      </c>
      <c r="E148" s="105">
        <f>SUM(F139:J146)</f>
        <v>0</v>
      </c>
      <c r="F148" s="106" t="str">
        <f>$E$95</f>
        <v>kg N</v>
      </c>
      <c r="O148" s="104" t="s">
        <v>132</v>
      </c>
      <c r="P148" s="105">
        <f>SUM(Q139:U146)</f>
        <v>0</v>
      </c>
      <c r="Q148" s="106"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28"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7"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346</v>
      </c>
      <c r="M1" s="57"/>
    </row>
    <row r="2" spans="1:23" s="9" customFormat="1" ht="20.100000000000001" customHeight="1" x14ac:dyDescent="0.25">
      <c r="A2"/>
      <c r="M2" s="57"/>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D6" s="5" t="str" cm="1">
        <f t="array" ref="D6">MMS_Dairy_N2ODirect_Equations.VEERG_4_3_1_3__2_TotalNitrogenInEachMMS_Source()</f>
        <v>VEERG 2026: 4.3.1.3, Equation (2)</v>
      </c>
    </row>
    <row r="7" spans="1:23" ht="20.100000000000001" customHeight="1" x14ac:dyDescent="0.25">
      <c r="D7" s="13" t="s">
        <v>25</v>
      </c>
      <c r="E7" s="13" t="str" cm="1">
        <f t="array" aca="1" ref="E7" ca="1">Common_InputFunctions.Utility_DisplayFunctionName(F31)</f>
        <v>=MMS_Dairy_N2ODirect_Equations.VEERG_4_3_1_3__2_TotalNitrogenInEachMMS</v>
      </c>
    </row>
    <row r="8" spans="1:23" ht="20.100000000000001" customHeight="1" x14ac:dyDescent="0.25">
      <c r="A8" s="19" t="s">
        <v>0</v>
      </c>
    </row>
    <row r="9" spans="1:23" ht="20.100000000000001" customHeight="1" x14ac:dyDescent="0.25">
      <c r="A9" s="17" t="str">
        <f>HYPERLINK("#'Input - Site'!A1", "Site")</f>
        <v>Site</v>
      </c>
      <c r="D9" s="6"/>
    </row>
    <row r="10" spans="1:23" ht="20.100000000000001" customHeight="1" x14ac:dyDescent="0.25">
      <c r="A10" s="17" t="str">
        <f>HYPERLINK("#'Input - Dairy'!A1", "Dairy")</f>
        <v>Dairy</v>
      </c>
      <c r="D10" s="54" t="s">
        <v>28</v>
      </c>
      <c r="E10" s="1" t="str" cm="1">
        <f t="array" ref="E10">MMS_Dairy_N2ODirect_Equations.VEERG_4_3_1_3__2_TotalNitrogenInEachMMS_Variable()</f>
        <v>MN_jm</v>
      </c>
    </row>
    <row r="11" spans="1:23" ht="20.100000000000001" customHeight="1" x14ac:dyDescent="0.25">
      <c r="D11" s="54" t="s">
        <v>18</v>
      </c>
      <c r="E11" s="55" t="str" cm="1">
        <f t="array" ref="E11">MMS_Dairy_N2ODirect_Equations.VEERG_4_3_1_3__2_TotalNitrogenInEachMMS_Unit()</f>
        <v>kg N</v>
      </c>
    </row>
    <row r="12" spans="1:23" ht="20.100000000000001" customHeight="1" x14ac:dyDescent="0.25"/>
    <row r="13" spans="1:23" ht="20.100000000000001" customHeight="1" x14ac:dyDescent="0.25">
      <c r="A13" s="18" t="s">
        <v>72</v>
      </c>
      <c r="D13" s="133" t="str" cm="1">
        <f t="array" ref="D13:E14">_xlfn.CHOOSECOLS(MMS_Dairy_N2ODirect_Equations.VEERG_4_3_1_3__2_TotalNitrogenInEachMMS_Arguments(),1,2)</f>
        <v>AE_j</v>
      </c>
      <c r="E13" s="132" t="str">
        <v>total nitrogen excreted by each dairy class</v>
      </c>
      <c r="F13" s="134"/>
      <c r="G13" s="133" t="str" cm="1">
        <f t="array" ref="G13:H14">_xlfn.CHOOSECOLS(MMS_Dairy_N2ODirect_Equations.VEERG_4_3_1_3__2_TotalNitrogenInEachMMS_Arguments(),3,4)</f>
        <v>kg N</v>
      </c>
      <c r="H13" s="129" t="str">
        <v>Calculated from 4.3.1.3 (3a) and (3b)</v>
      </c>
      <c r="I13" s="130" t="str" cm="1">
        <f t="array" aca="1" ref="I13" ca="1">HYPERLINK(Common_InputFunctions.Utility_SourceHyperlink($D$16),$D$16)</f>
        <v>M1_Table_AE_j</v>
      </c>
    </row>
    <row r="14" spans="1:23" ht="20.100000000000001" customHeight="1" x14ac:dyDescent="0.25">
      <c r="A14" s="17" t="str">
        <f>HYPERLINK("#'4.3.1.1-2 Methane'!A1", "4.3.1.1-2 Methane")</f>
        <v>4.3.1.1-2 Methane</v>
      </c>
      <c r="D14" s="133" t="str">
        <v>MMS_jm</v>
      </c>
      <c r="E14" s="132" t="str">
        <v>manure management system fraction for class j and system m</v>
      </c>
      <c r="F14" s="134"/>
      <c r="G14" s="133" t="str">
        <v>fraction</v>
      </c>
      <c r="H14" s="131" t="str">
        <v>Input</v>
      </c>
      <c r="I14" s="130" t="str" cm="1">
        <f t="array" aca="1" ref="I14" ca="1">HYPERLINK(Common_InputFunctions.Utility_SourceHyperlink($D$22),$D$22)</f>
        <v>M1_Table_MMS_j_m-14</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114</v>
      </c>
      <c r="O16" s="100" t="s">
        <v>460</v>
      </c>
    </row>
    <row r="17" spans="1:22" ht="20.100000000000001" customHeight="1" x14ac:dyDescent="0.25">
      <c r="A17" s="17" t="str">
        <f>HYPERLINK("#'4.3.1.6-7 Leaching and runoff'!A1", "4.3.1.6-7 Leaching and runoff")</f>
        <v>4.3.1.6-7 Leaching and runoff</v>
      </c>
      <c r="D17" s="99" t="s">
        <v>349</v>
      </c>
      <c r="O17" s="99" t="s">
        <v>459</v>
      </c>
    </row>
    <row r="18" spans="1:22" ht="20.100000000000001" customHeight="1" x14ac:dyDescent="0.25">
      <c r="A18" s="17" t="str">
        <f>HYPERLINK("#'4.3.1.8 Manure applied to soils'!A1", "4.3.1.8 Manure applied to soils")</f>
        <v>4.3.1.8 Manure applied to soils</v>
      </c>
      <c r="D18" s="52" t="s">
        <v>165</v>
      </c>
      <c r="E18" s="52" t="s">
        <v>182</v>
      </c>
      <c r="F18" s="52" t="s">
        <v>183</v>
      </c>
      <c r="G18" s="52" t="s">
        <v>184</v>
      </c>
      <c r="H18" s="52" t="s">
        <v>185</v>
      </c>
      <c r="O18" s="52" t="s">
        <v>165</v>
      </c>
      <c r="P18" s="52" t="s">
        <v>182</v>
      </c>
      <c r="Q18" s="52" t="s">
        <v>183</v>
      </c>
      <c r="R18" s="52" t="s">
        <v>184</v>
      </c>
      <c r="S18" s="52" t="s">
        <v>185</v>
      </c>
    </row>
    <row r="19" spans="1:22" ht="20.100000000000001" customHeight="1" x14ac:dyDescent="0.25">
      <c r="A19" s="21" t="str">
        <f>HYPERLINK("#'4.3.1.9 Soil direct N2O'!A1", "4.3.1.9 Soil direct N2O")</f>
        <v>4.3.1.9 Soil direct N2O</v>
      </c>
      <c r="D19" s="53">
        <f>INDEX(M1_Table_AE_j124,2,1)</f>
        <v>17404.731333822594</v>
      </c>
      <c r="E19" s="53">
        <f>INDEX(M1_Table_AE_j124,2,2)</f>
        <v>0</v>
      </c>
      <c r="F19" s="53">
        <f>INDEX(M1_Table_AE_j_Consumer_1,2,3)</f>
        <v>0</v>
      </c>
      <c r="G19" s="53">
        <f>INDEX(M1_Table_AE_j124,2,4)</f>
        <v>0</v>
      </c>
      <c r="H19" s="53">
        <f>INDEX(M1_Table_AE_j_Consumer_1,2,5)</f>
        <v>0</v>
      </c>
      <c r="I19" s="2" t="str">
        <f>$G$13</f>
        <v>kg N</v>
      </c>
      <c r="O19" s="53">
        <f>INDEX(M2_Table_AE_j124,2,1)</f>
        <v>17404.731333822594</v>
      </c>
      <c r="P19" s="53">
        <f>INDEX(M2_Table_AE_j124,2,2)</f>
        <v>0</v>
      </c>
      <c r="Q19" s="53">
        <f>INDEX(M1_Table_AE_j,2,3)</f>
        <v>0</v>
      </c>
      <c r="R19" s="53">
        <f>INDEX(M2_Table_AE_j124,2,4)</f>
        <v>0</v>
      </c>
      <c r="S19" s="53">
        <f>INDEX(M1_Table_AE_j,2,5)</f>
        <v>0</v>
      </c>
      <c r="T19" s="2" t="str">
        <f>$G$13</f>
        <v>kg N</v>
      </c>
    </row>
    <row r="20" spans="1:22" ht="20.100000000000001" customHeight="1" x14ac:dyDescent="0.25">
      <c r="A20" s="17" t="str">
        <f>HYPERLINK("#'4.3.1.10-11 Soil Atmos Dep'!A1", "4.3.1.10-11 Soil Atmos Dep")</f>
        <v>4.3.1.10-11 Soil Atmos Dep</v>
      </c>
    </row>
    <row r="21" spans="1:22" ht="20.100000000000001" customHeight="1" x14ac:dyDescent="0.25">
      <c r="A21" s="17" t="str">
        <f>HYPERLINK("#'4.3.1.12-13 Soil leach runoff'!A1", "4.3.1.12-13 Soil leach runoff")</f>
        <v>4.3.1.12-13 Soil leach runoff</v>
      </c>
    </row>
    <row r="22" spans="1:22" ht="20.100000000000001" customHeight="1" x14ac:dyDescent="0.25">
      <c r="D22" s="100" t="s">
        <v>347</v>
      </c>
      <c r="O22" s="100" t="s">
        <v>415</v>
      </c>
    </row>
    <row r="23" spans="1:22" ht="20.100000000000001" customHeight="1" x14ac:dyDescent="0.25">
      <c r="D23" s="99" t="s">
        <v>348</v>
      </c>
      <c r="O23" s="99" t="s">
        <v>416</v>
      </c>
    </row>
    <row r="24" spans="1:22" ht="20.100000000000001" customHeight="1" x14ac:dyDescent="0.25">
      <c r="A24" s="154" t="s">
        <v>1</v>
      </c>
      <c r="D24" s="40" t="s">
        <v>140</v>
      </c>
      <c r="E24" s="40" t="s">
        <v>65</v>
      </c>
      <c r="F24" s="40" t="s">
        <v>165</v>
      </c>
      <c r="G24" s="40" t="s">
        <v>182</v>
      </c>
      <c r="H24" s="40" t="s">
        <v>183</v>
      </c>
      <c r="I24" s="40" t="s">
        <v>184</v>
      </c>
      <c r="J24" s="40" t="s">
        <v>185</v>
      </c>
      <c r="O24" s="40" t="s">
        <v>140</v>
      </c>
      <c r="P24" s="40" t="s">
        <v>65</v>
      </c>
      <c r="Q24" s="40" t="s">
        <v>165</v>
      </c>
      <c r="R24" s="40" t="s">
        <v>182</v>
      </c>
      <c r="S24" s="40" t="s">
        <v>183</v>
      </c>
      <c r="T24" s="40" t="s">
        <v>184</v>
      </c>
      <c r="U24" s="40" t="s">
        <v>185</v>
      </c>
    </row>
    <row r="25" spans="1:22" ht="20.100000000000001" customHeight="1" x14ac:dyDescent="0.25">
      <c r="A25" s="17" t="str">
        <f>HYPERLINK("#'Constants - Dairy'!A1", "Constants - Dairy")</f>
        <v>Constants - Dairy</v>
      </c>
      <c r="D25" s="53" t="str">
        <f>INDEX(X_Table_Dairy_ProductionSystems_Method1,2,1)</f>
        <v>Pasture</v>
      </c>
      <c r="E25" s="53" t="str">
        <f>'Constants - Common Livestock'!$E$27</f>
        <v>Pasture range and paddock</v>
      </c>
      <c r="F25" s="53">
        <f>INDEX(X_Table_Dairy_ProductionSystems_Method1,2,2)</f>
        <v>0</v>
      </c>
      <c r="G25" s="53">
        <f>INDEX(X_Table_Dairy_ProductionSystems_Method1,2,3)</f>
        <v>0</v>
      </c>
      <c r="H25" s="53">
        <f>INDEX(X_Table_Dairy_ProductionSystems_Method1,2,4)</f>
        <v>0</v>
      </c>
      <c r="I25" s="53">
        <f>INDEX(X_Table_Dairy_ProductionSystems_Method1,2,5)</f>
        <v>0</v>
      </c>
      <c r="J25" s="53">
        <f>INDEX(X_Table_Dairy_ProductionSystems_Method1,2,6)</f>
        <v>0</v>
      </c>
      <c r="K25" s="2" t="str">
        <f>$G$14</f>
        <v>fraction</v>
      </c>
      <c r="O25" s="53" t="str">
        <f>INDEX(X_Table_Dairy_ProductionSystems_Method1,2,1)</f>
        <v>Pasture</v>
      </c>
      <c r="P25" s="53" t="str">
        <f>'Constants - Common Livestock'!$E$27</f>
        <v>Pasture range and paddock</v>
      </c>
      <c r="Q25" s="53">
        <f>INDEX(X_Table_Dairy_ProductionSystems_Method2,2,2)</f>
        <v>0</v>
      </c>
      <c r="R25" s="53">
        <f>INDEX(X_Table_Dairy_ProductionSystems_Method2,2,3)</f>
        <v>0</v>
      </c>
      <c r="S25" s="53">
        <f>INDEX(X_Table_Dairy_ProductionSystems_Method2,2,4)</f>
        <v>0</v>
      </c>
      <c r="T25" s="53">
        <f>INDEX(X_Table_Dairy_ProductionSystems_Method2,2,5)</f>
        <v>0</v>
      </c>
      <c r="U25" s="53">
        <f>INDEX(X_Table_Dairy_ProductionSystems_Method2,2,6)</f>
        <v>0</v>
      </c>
      <c r="V25" s="2" t="str">
        <f>$G$14</f>
        <v>fraction</v>
      </c>
    </row>
    <row r="26" spans="1:22" ht="20.100000000000001" customHeight="1" x14ac:dyDescent="0.25">
      <c r="A26" s="17" t="str">
        <f>HYPERLINK("#'Constants - Common'!A1", "Constants - Common")</f>
        <v>Constants - Common</v>
      </c>
    </row>
    <row r="27" spans="1:22" ht="20.100000000000001" customHeight="1" x14ac:dyDescent="0.25">
      <c r="A27" s="17" t="str">
        <f>HYPERLINK("#'Constants - Livestock'!A1", "Constants - Livestock")</f>
        <v>Constants - Livestock</v>
      </c>
      <c r="Q27" s="127"/>
    </row>
    <row r="28" spans="1:22" ht="20.100000000000001" customHeight="1" x14ac:dyDescent="0.25">
      <c r="A28" s="17" t="str">
        <f>HYPERLINK("#'Acknowledgements'!A1", "Acknowledgements")</f>
        <v>Acknowledgements</v>
      </c>
      <c r="D28" s="100" t="s">
        <v>350</v>
      </c>
      <c r="O28" s="100" t="s">
        <v>352</v>
      </c>
    </row>
    <row r="29" spans="1:22" ht="20.100000000000001" customHeight="1" x14ac:dyDescent="0.25">
      <c r="A29" s="17" t="str">
        <f>HYPERLINK("#'Tab template'!A1", "Tab template")</f>
        <v>Tab template</v>
      </c>
      <c r="D29" s="99" t="s">
        <v>351</v>
      </c>
      <c r="O29" s="99" t="s">
        <v>353</v>
      </c>
    </row>
    <row r="30" spans="1:22" ht="20.100000000000001" customHeight="1" x14ac:dyDescent="0.25">
      <c r="D30" s="52" t="s">
        <v>140</v>
      </c>
      <c r="E30" s="52" t="s">
        <v>65</v>
      </c>
      <c r="F30" s="52" t="s">
        <v>165</v>
      </c>
      <c r="G30" s="52" t="s">
        <v>182</v>
      </c>
      <c r="H30" s="52" t="s">
        <v>183</v>
      </c>
      <c r="I30" s="52" t="s">
        <v>184</v>
      </c>
      <c r="J30" s="52" t="s">
        <v>185</v>
      </c>
      <c r="O30" s="52" t="s">
        <v>140</v>
      </c>
      <c r="P30" s="52" t="s">
        <v>65</v>
      </c>
      <c r="Q30" s="52" t="s">
        <v>165</v>
      </c>
      <c r="R30" s="52" t="s">
        <v>182</v>
      </c>
      <c r="S30" s="52" t="s">
        <v>183</v>
      </c>
      <c r="T30" s="52" t="s">
        <v>184</v>
      </c>
      <c r="U30" s="52" t="s">
        <v>185</v>
      </c>
    </row>
    <row r="31" spans="1:22" ht="20.100000000000001" customHeight="1" x14ac:dyDescent="0.25">
      <c r="D31" s="53" t="str">
        <f>INDEX(X_Table_Dairy_ProductionSystems_Method1,2,1)</f>
        <v>Pasture</v>
      </c>
      <c r="E31" s="53" t="str">
        <f>'Constants - Common Livestock'!$E$27</f>
        <v>Pasture range and paddock</v>
      </c>
      <c r="F31" s="53" cm="1">
        <f t="array" ref="F31">MMS_Dairy_N2ODirect_Equations.VEERG_4_3_1_3__2_TotalNitrogenInEachMMS(D19,F25)</f>
        <v>0</v>
      </c>
      <c r="G31" s="53" cm="1">
        <f t="array" ref="G31">MMS_Dairy_N2ODirect_Equations.VEERG_4_3_1_3__2_TotalNitrogenInEachMMS(E19,G25)</f>
        <v>0</v>
      </c>
      <c r="H31" s="53" cm="1">
        <f t="array" ref="H31">MMS_Dairy_N2ODirect_Equations.VEERG_4_3_1_3__2_TotalNitrogenInEachMMS(F19,H25)</f>
        <v>0</v>
      </c>
      <c r="I31" s="53" cm="1">
        <f t="array" ref="I31">MMS_Dairy_N2ODirect_Equations.VEERG_4_3_1_3__2_TotalNitrogenInEachMMS(G19,I25)</f>
        <v>0</v>
      </c>
      <c r="J31" s="53" cm="1">
        <f t="array" ref="J31">MMS_Dairy_N2ODirect_Equations.VEERG_4_3_1_3__2_TotalNitrogenInEachMMS(H19,J25)</f>
        <v>0</v>
      </c>
      <c r="K31" s="2" t="str">
        <f>$E$11</f>
        <v>kg N</v>
      </c>
      <c r="O31" s="53" t="str">
        <f>INDEX(X_Table_Dairy_ProductionSystems_Method1,2,1)</f>
        <v>Pasture</v>
      </c>
      <c r="P31" s="53" t="str">
        <f>'Constants - Common Livestock'!$E$27</f>
        <v>Pasture range and paddock</v>
      </c>
      <c r="Q31" s="53" cm="1">
        <f t="array" ref="Q31">MMS_Dairy_N2ODirect_Equations.VEERG_4_3_1_3__2_TotalNitrogenInEachMMS(O19,Q25)</f>
        <v>0</v>
      </c>
      <c r="R31" s="53" cm="1">
        <f t="array" ref="R31">MMS_Dairy_N2ODirect_Equations.VEERG_4_3_1_3__2_TotalNitrogenInEachMMS(P19,R25)</f>
        <v>0</v>
      </c>
      <c r="S31" s="53" cm="1">
        <f t="array" ref="S31">MMS_Dairy_N2ODirect_Equations.VEERG_4_3_1_3__2_TotalNitrogenInEachMMS(Q19,S25)</f>
        <v>0</v>
      </c>
      <c r="T31" s="53" cm="1">
        <f t="array" ref="T31">MMS_Dairy_N2ODirect_Equations.VEERG_4_3_1_3__2_TotalNitrogenInEachMMS(R19,T25)</f>
        <v>0</v>
      </c>
      <c r="U31" s="53" cm="1">
        <f t="array" ref="U31">MMS_Dairy_N2ODirect_Equations.VEERG_4_3_1_3__2_TotalNitrogenInEachMMS(S19,U25)</f>
        <v>0</v>
      </c>
      <c r="V31" s="2" t="str">
        <f>$E$11</f>
        <v>kg N</v>
      </c>
    </row>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103</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MMS_Dairy_Soil_N2ODirect_Equations.VEERG_4_3_1_9__1_DirectNitrousOxideEmissionsOnPasture_Variable()</f>
        <v>E_N2Odir</v>
      </c>
    </row>
    <row r="41" spans="3:23" ht="20.100000000000001" customHeight="1" x14ac:dyDescent="0.25">
      <c r="D41" s="54" t="s">
        <v>18</v>
      </c>
      <c r="E41" s="55"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3" t="str" cm="1">
        <f t="array" ref="D43:E46">_xlfn.CHOOSECOLS(MMS_Dairy_Soil_N2ODirect_Equations.VEERG_4_3_1_9__1_DirectNitrousOxideEmissionsOnPasture_Arguments(),1,2)</f>
        <v>MN_jm14</v>
      </c>
      <c r="E43" s="132" t="str">
        <v>mass of nitrogen excreted on pasture, range, and paddock for each dairy cattle class</v>
      </c>
      <c r="F43" s="138"/>
      <c r="G43" s="134"/>
      <c r="H43" s="133" t="str" cm="1">
        <f t="array" ref="H43:I46">_xlfn.CHOOSECOLS(MMS_Dairy_Soil_N2ODirect_Equations.VEERG_4_3_1_9__1_DirectNitrousOxideEmissionsOnPasture_Arguments(),3,4)</f>
        <v>kg N</v>
      </c>
      <c r="I43" s="129" t="str">
        <v>Calculated from 4.3.1.3 (2)</v>
      </c>
      <c r="J43" s="130" t="str" cm="1">
        <f t="array" aca="1" ref="J43" ca="1">HYPERLINK(Common_InputFunctions.Utility_SourceHyperlink($D$28),$D$28)</f>
        <v>M1_Table_MN_j_m-14</v>
      </c>
    </row>
    <row r="44" spans="3:23" ht="20.100000000000001" customHeight="1" x14ac:dyDescent="0.25">
      <c r="D44" s="133" t="str">
        <v>EF_PRP</v>
      </c>
      <c r="E44" s="132" t="str">
        <v>emission factor for nitrous oxide emissions for urine and dung deposited on PRP</v>
      </c>
      <c r="F44" s="138"/>
      <c r="G44" s="134"/>
      <c r="H44" s="133" t="str">
        <v>kg N2O-N/kg N deposited</v>
      </c>
      <c r="I44" s="129" t="str">
        <v>Constant</v>
      </c>
      <c r="J44" s="133">
        <f>Common_InputFunctions.Utility_LookupValueInTable(J46, Table_SourceData_EFPastureRangeAndPaddock[Climate zone],Table_SourceData_EFPastureRangeAndPaddock[EFPRP])</f>
        <v>2E-3</v>
      </c>
    </row>
    <row r="45" spans="3:23" ht="20.100000000000001" customHeight="1" x14ac:dyDescent="0.25">
      <c r="D45" s="133" t="str">
        <v>C_N2O</v>
      </c>
      <c r="E45" s="132" t="str">
        <v>factor to convert elemental mass of N2O to molecular mass</v>
      </c>
      <c r="F45" s="138"/>
      <c r="G45" s="134"/>
      <c r="H45" s="133" t="str">
        <v/>
      </c>
      <c r="I45" s="129" t="str">
        <v>Constant</v>
      </c>
      <c r="J45" s="133">
        <f>Common_InputFunctions.Utility_LookupValueInTableNumber("N2O",Table_GasToMolecularConversionFactor[Gas],Table_GasToMolecularConversionFactor[Conversion factor combined])</f>
        <v>1.5714285714285714</v>
      </c>
    </row>
    <row r="46" spans="3:23" ht="20.100000000000001" customHeight="1" x14ac:dyDescent="0.25">
      <c r="D46" s="133" t="str">
        <v>z</v>
      </c>
      <c r="E46" s="132" t="str">
        <v>Wet or dry climate zone</v>
      </c>
      <c r="F46" s="138"/>
      <c r="G46" s="134"/>
      <c r="H46" s="133" t="str">
        <v/>
      </c>
      <c r="I46" s="131" t="str">
        <v>Input</v>
      </c>
      <c r="J46" s="133" t="str">
        <f>X_Cell_Site_WetOrDryClimateZone</f>
        <v>Dry climate zone</v>
      </c>
    </row>
    <row r="47" spans="3:23" ht="20.100000000000001" customHeight="1" x14ac:dyDescent="0.25"/>
    <row r="48" spans="3:23" ht="20.100000000000001" customHeight="1" x14ac:dyDescent="0.25">
      <c r="D48" s="100" t="s">
        <v>116</v>
      </c>
      <c r="O48" s="100" t="s">
        <v>356</v>
      </c>
    </row>
    <row r="49" spans="4:22" ht="20.100000000000001" customHeight="1" x14ac:dyDescent="0.25">
      <c r="D49" s="99" t="s">
        <v>355</v>
      </c>
      <c r="O49" s="99" t="s">
        <v>357</v>
      </c>
    </row>
    <row r="50" spans="4:22" ht="20.100000000000001" customHeight="1" x14ac:dyDescent="0.25">
      <c r="D50" s="52" t="s">
        <v>140</v>
      </c>
      <c r="E50" s="52" t="s">
        <v>65</v>
      </c>
      <c r="F50" s="52" t="s">
        <v>165</v>
      </c>
      <c r="G50" s="52" t="s">
        <v>182</v>
      </c>
      <c r="H50" s="52" t="s">
        <v>183</v>
      </c>
      <c r="I50" s="52" t="s">
        <v>184</v>
      </c>
      <c r="J50" s="52" t="s">
        <v>185</v>
      </c>
      <c r="O50" s="52" t="s">
        <v>140</v>
      </c>
      <c r="P50" s="52" t="s">
        <v>65</v>
      </c>
      <c r="Q50" s="52" t="s">
        <v>165</v>
      </c>
      <c r="R50" s="52" t="s">
        <v>182</v>
      </c>
      <c r="S50" s="52" t="s">
        <v>183</v>
      </c>
      <c r="T50" s="52" t="s">
        <v>184</v>
      </c>
      <c r="U50" s="52" t="s">
        <v>185</v>
      </c>
    </row>
    <row r="51" spans="4:22" ht="20.100000000000001" customHeight="1" x14ac:dyDescent="0.25">
      <c r="D51" s="53" t="str">
        <f>INDEX(X_Table_Dairy_ProductionSystems_Method1,2,1)</f>
        <v>Pasture</v>
      </c>
      <c r="E51" s="53" t="str">
        <f>'Constants - Common Livestock'!$E$27</f>
        <v>Pasture range and paddock</v>
      </c>
      <c r="F51" s="53" cm="1">
        <f t="array" ref="F51">MMS_Dairy_Soil_N2ODirect_Equations.VEERG_4_3_1_9__1_DirectNitrousOxideEmissionsOnPasture(F31,$J$44,$J$45)</f>
        <v>0</v>
      </c>
      <c r="G51" s="53" cm="1">
        <f t="array" ref="G51">MMS_Dairy_Soil_N2ODirect_Equations.VEERG_4_3_1_9__1_DirectNitrousOxideEmissionsOnPasture(G31,$J$44,$J$45)</f>
        <v>0</v>
      </c>
      <c r="H51" s="53" cm="1">
        <f t="array" ref="H51">MMS_Dairy_Soil_N2ODirect_Equations.VEERG_4_3_1_9__1_DirectNitrousOxideEmissionsOnPasture(H31,$J$44,$J$45)</f>
        <v>0</v>
      </c>
      <c r="I51" s="53" cm="1">
        <f t="array" ref="I51">MMS_Dairy_Soil_N2ODirect_Equations.VEERG_4_3_1_9__1_DirectNitrousOxideEmissionsOnPasture(I31,$J$44,$J$45)</f>
        <v>0</v>
      </c>
      <c r="J51" s="53" cm="1">
        <f t="array" ref="J51">MMS_Dairy_Soil_N2ODirect_Equations.VEERG_4_3_1_9__1_DirectNitrousOxideEmissionsOnPasture(J31,$J$44,$J$45)</f>
        <v>0</v>
      </c>
      <c r="K51" s="2" t="str">
        <f>$E$41</f>
        <v>t N2O</v>
      </c>
      <c r="O51" s="53" t="str">
        <f>INDEX(X_Table_Dairy_ProductionSystems_Method1,2,1)</f>
        <v>Pasture</v>
      </c>
      <c r="P51" s="53" t="str">
        <f>'Constants - Common Livestock'!$E$27</f>
        <v>Pasture range and paddock</v>
      </c>
      <c r="Q51" s="53" cm="1">
        <f t="array" ref="Q51">MMS_Dairy_Soil_N2ODirect_Equations.VEERG_4_3_1_9__1_DirectNitrousOxideEmissionsOnPasture(Q31,$J$44,$J$45)</f>
        <v>0</v>
      </c>
      <c r="R51" s="53" cm="1">
        <f t="array" ref="R51">MMS_Dairy_Soil_N2ODirect_Equations.VEERG_4_3_1_9__1_DirectNitrousOxideEmissionsOnPasture(R31,$J$44,$J$45)</f>
        <v>0</v>
      </c>
      <c r="S51" s="53" cm="1">
        <f t="array" ref="S51">MMS_Dairy_Soil_N2ODirect_Equations.VEERG_4_3_1_9__1_DirectNitrousOxideEmissionsOnPasture(S31,$J$44,$J$45)</f>
        <v>0</v>
      </c>
      <c r="T51" s="53" cm="1">
        <f t="array" ref="T51">MMS_Dairy_Soil_N2ODirect_Equations.VEERG_4_3_1_9__1_DirectNitrousOxideEmissionsOnPasture(T31,$J$44,$J$45)</f>
        <v>0</v>
      </c>
      <c r="U51" s="53" cm="1">
        <f t="array" ref="U51">MMS_Dairy_Soil_N2ODirect_Equations.VEERG_4_3_1_9__1_DirectNitrousOxideEmissionsOnPasture(U31,$J$44,$J$45)</f>
        <v>0</v>
      </c>
      <c r="V51" s="2" t="str">
        <f>$E$41</f>
        <v>t N2O</v>
      </c>
    </row>
    <row r="52" spans="4:22" ht="20.100000000000001" customHeight="1" x14ac:dyDescent="0.25"/>
    <row r="53" spans="4:22" ht="20.100000000000001" customHeight="1" x14ac:dyDescent="0.25">
      <c r="D53" s="104" t="s">
        <v>115</v>
      </c>
      <c r="E53" s="105">
        <f>SUM(F51:J51)</f>
        <v>0</v>
      </c>
      <c r="F53" s="106" t="str">
        <f>$E$41</f>
        <v>t N2O</v>
      </c>
      <c r="O53" s="104" t="s">
        <v>115</v>
      </c>
      <c r="P53" s="105">
        <f>SUM(Q51:U51)</f>
        <v>0</v>
      </c>
      <c r="Q53" s="106" t="str">
        <f>$E$41</f>
        <v>t N2O</v>
      </c>
    </row>
    <row r="54" spans="4:22" ht="20.100000000000001" customHeight="1" x14ac:dyDescent="0.25"/>
    <row r="55" spans="4:22" ht="20.100000000000001" customHeight="1" x14ac:dyDescent="0.25">
      <c r="D55" s="58" t="str" cm="1">
        <f t="array" ref="D55:E56">Common_Equations.Common_ConvertN2OToCO2e_Arguments()</f>
        <v>EN2O</v>
      </c>
      <c r="E55" s="59" t="str">
        <v>Nitrous oxide emissions (t N2O)</v>
      </c>
      <c r="F55" s="107"/>
      <c r="G55" s="53">
        <f>VEERG_4_3_1_9__1_DirectNitrousOxideEmissionsOnPasture_Result_Method1</f>
        <v>0</v>
      </c>
      <c r="O55" s="58" t="str" cm="1">
        <f t="array" ref="O55:P56">Common_Equations.Common_ConvertN2OToCO2e_Arguments()</f>
        <v>EN2O</v>
      </c>
      <c r="P55" s="59" t="str">
        <v>Nitrous oxide emissions (t N2O)</v>
      </c>
      <c r="Q55" s="107"/>
      <c r="R55" s="53">
        <f>VEERG_4_3_1_9__1_DirectNitrousOxideEmissionsOnPasture_Result_Method2</f>
        <v>0</v>
      </c>
    </row>
    <row r="56" spans="4:22" ht="20.100000000000001" customHeight="1" x14ac:dyDescent="0.25">
      <c r="D56" s="58" t="str">
        <v>GWPN2O</v>
      </c>
      <c r="E56" s="59" t="str">
        <v>Global warming potential for nitrous oxide (t CO2-e / t N2O)</v>
      </c>
      <c r="F56" s="107"/>
      <c r="G56" s="53">
        <f>Common_InputFunctions.Utility_LookupValueInTableNumber("N2O",Table_GWPData[Gas],Table_GWPData[CO2-e factor])</f>
        <v>265</v>
      </c>
      <c r="O56" s="58" t="str">
        <v>GWPN2O</v>
      </c>
      <c r="P56" s="59" t="str">
        <v>Global warming potential for nitrous oxide (t CO2-e / t N2O)</v>
      </c>
      <c r="Q56" s="107"/>
      <c r="R56" s="53">
        <f>Common_InputFunctions.Utility_LookupValueInTableNumber("N2O",Table_GWPData[Gas],Table_GWPData[CO2-e factor])</f>
        <v>265</v>
      </c>
    </row>
    <row r="57" spans="4:22" ht="20.100000000000001" customHeight="1" x14ac:dyDescent="0.25"/>
    <row r="58" spans="4:22" ht="20.100000000000001" customHeight="1" x14ac:dyDescent="0.25">
      <c r="D58" s="46" t="s">
        <v>102</v>
      </c>
      <c r="E58" s="46" cm="1">
        <f t="array" ref="E58">Common_Equations.Common_ConvertN2OToCO2e(G55,G56)</f>
        <v>0</v>
      </c>
      <c r="F58" s="108" t="str" cm="1">
        <f t="array" ref="F58">Common_Equations.Common_ConvertN2OToCO2e_Unit()</f>
        <v>t CO2e</v>
      </c>
      <c r="O58" s="46" t="s">
        <v>102</v>
      </c>
      <c r="P58" s="46" cm="1">
        <f t="array" ref="P58">Common_Equations.Common_ConvertN2OToCO2e(R55,R56)</f>
        <v>0</v>
      </c>
      <c r="Q58" s="108"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7"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365</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D6" s="5" t="str" cm="1">
        <f t="array" ref="D6">MMS_Dairy_Soil_AtmosphericDeposition_Equations.VEERG_4_3_1_10__2_MassOfNitrogenVolatilisedOnPasture_Source()</f>
        <v>VEERG 2026: 4.3.1.10, Equation (2)</v>
      </c>
    </row>
    <row r="7" spans="1:23" ht="20.100000000000001" customHeight="1" x14ac:dyDescent="0.25">
      <c r="D7" s="13" t="s">
        <v>25</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MMS_Dairy_Soil_AtmosphericDeposition_Equations.VEERG_4_3_1_10__2_MassOfNitrogenVolatilisedOnPasture_Variable()</f>
        <v>M_vol_m14</v>
      </c>
    </row>
    <row r="11" spans="1:23" ht="20.100000000000001" customHeight="1" x14ac:dyDescent="0.25">
      <c r="D11" s="54" t="s">
        <v>18</v>
      </c>
      <c r="E11" s="55" t="str" cm="1">
        <f t="array" ref="E11">MMS_Dairy_Soil_AtmosphericDeposition_Equations.VEERG_4_3_1_10__2_MassOfNitrogenVolatilisedOnPasture_Unit()</f>
        <v>kg N</v>
      </c>
    </row>
    <row r="12" spans="1:23" ht="20.100000000000001" customHeight="1" x14ac:dyDescent="0.25"/>
    <row r="13" spans="1:23" ht="20.100000000000001" customHeight="1" x14ac:dyDescent="0.25">
      <c r="A13" s="18" t="s">
        <v>72</v>
      </c>
      <c r="D13" s="133" t="str" cm="1">
        <f t="array" ref="D13:E14">_xlfn.CHOOSECOLS(MMS_Dairy_Soil_AtmosphericDeposition_Equations.VEERG_4_3_1_10__2_MassOfNitrogenVolatilisedOnPasture_Arguments(),1,2)</f>
        <v>MN_jm14</v>
      </c>
      <c r="E13" s="133" t="str">
        <v>mass of nitrogen excreted on pasture, range and paddock for each dairy class</v>
      </c>
      <c r="F13" s="133"/>
      <c r="G13" s="133" t="str" cm="1">
        <f t="array" ref="G13:H14">_xlfn.CHOOSECOLS(MMS_Dairy_Soil_AtmosphericDeposition_Equations.VEERG_4_3_1_10__2_MassOfNitrogenVolatilisedOnPasture_Arguments(),3,4)</f>
        <v>kg N</v>
      </c>
      <c r="H13" s="129" t="str">
        <v>Calculated from 4.3.1.3 (2)</v>
      </c>
      <c r="I13" s="130" t="str" cm="1">
        <f t="array" aca="1" ref="I13" ca="1">HYPERLINK(Common_InputFunctions.Utility_SourceHyperlink($D$16),$D$16)</f>
        <v>M1_Table_MN_j_m-14</v>
      </c>
    </row>
    <row r="14" spans="1:23" ht="20.100000000000001" customHeight="1" x14ac:dyDescent="0.25">
      <c r="A14" s="17" t="str">
        <f>HYPERLINK("#'4.3.1.1-2 Methane'!A1", "4.3.1.1-2 Methane")</f>
        <v>4.3.1.1-2 Methane</v>
      </c>
      <c r="D14" s="133" t="str">
        <v>FracGASMsoil</v>
      </c>
      <c r="E14" s="133" t="str">
        <v>fraction of nitrogen volatilised from urine and faeces deposited on pasture</v>
      </c>
      <c r="F14" s="133"/>
      <c r="G14" s="133" t="str">
        <v>(kg NH3-N + NOx-N)/kg N)</v>
      </c>
      <c r="H14" s="129" t="str">
        <v>Constant</v>
      </c>
      <c r="I14" s="133">
        <f>SourceData_Dairy_FracGASMSoil_Data</f>
        <v>0.21</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350</v>
      </c>
      <c r="M16" s="57"/>
      <c r="O16" s="100" t="s">
        <v>352</v>
      </c>
    </row>
    <row r="17" spans="1:23" ht="20.100000000000001" customHeight="1" x14ac:dyDescent="0.25">
      <c r="A17" s="17" t="str">
        <f>HYPERLINK("#'4.3.1.6-7 Leaching and runoff'!A1", "4.3.1.6-7 Leaching and runoff")</f>
        <v>4.3.1.6-7 Leaching and runoff</v>
      </c>
      <c r="D17" s="99" t="s">
        <v>351</v>
      </c>
      <c r="M17" s="57"/>
      <c r="O17" s="99" t="s">
        <v>353</v>
      </c>
    </row>
    <row r="18" spans="1:23"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M18" s="57"/>
      <c r="O18" s="52" t="s">
        <v>140</v>
      </c>
      <c r="P18" s="52" t="s">
        <v>65</v>
      </c>
      <c r="Q18" s="52" t="s">
        <v>165</v>
      </c>
      <c r="R18" s="52" t="s">
        <v>182</v>
      </c>
      <c r="S18" s="52" t="s">
        <v>183</v>
      </c>
      <c r="T18" s="52" t="s">
        <v>184</v>
      </c>
      <c r="U18" s="52" t="s">
        <v>185</v>
      </c>
    </row>
    <row r="19" spans="1:23" ht="20.100000000000001" customHeight="1" x14ac:dyDescent="0.25">
      <c r="A19" s="17" t="str">
        <f>HYPERLINK("#'4.3.1.9 Soil direct N2O'!A1", "4.3.1.9 Soil direct N2O")</f>
        <v>4.3.1.9 Soil direct N2O</v>
      </c>
      <c r="D19" s="53" t="str">
        <f>INDEX(X_Table_Dairy_ProductionSystems_Method1,2,1)</f>
        <v>Pasture</v>
      </c>
      <c r="E19" s="53" t="str">
        <f>'Constants - Common Livestock'!$E$27</f>
        <v>Pasture range and paddock</v>
      </c>
      <c r="F19" s="53">
        <f>INDEX(M1_Table_MN_j_m14,2,3)</f>
        <v>0</v>
      </c>
      <c r="G19" s="53">
        <f>INDEX(M1_Table_MN_j_m14,2,4)</f>
        <v>0</v>
      </c>
      <c r="H19" s="53">
        <f>INDEX(M1_Table_MN_j_m14,2,5)</f>
        <v>0</v>
      </c>
      <c r="I19" s="53">
        <f>INDEX(M1_Table_MN_j_m14,2,6)</f>
        <v>0</v>
      </c>
      <c r="J19" s="53">
        <f>INDEX(M1_Table_MN_j_m14,2,7)</f>
        <v>0</v>
      </c>
      <c r="K19" s="2" t="str">
        <f>$E$11</f>
        <v>kg N</v>
      </c>
      <c r="M19" s="57"/>
      <c r="O19" s="53" t="str">
        <f>INDEX(X_Table_Dairy_ProductionSystems_Method1,2,1)</f>
        <v>Pasture</v>
      </c>
      <c r="P19" s="53" t="str">
        <f>'Constants - Common Livestock'!$E$27</f>
        <v>Pasture range and paddock</v>
      </c>
      <c r="Q19" s="53">
        <f>INDEX(M2_Table_MN_j_m14,2,3)</f>
        <v>0</v>
      </c>
      <c r="R19" s="53">
        <f>INDEX(M2_Table_MN_j_m14,2,4)</f>
        <v>0</v>
      </c>
      <c r="S19" s="53">
        <f>INDEX(M2_Table_MN_j_m14,2,5)</f>
        <v>0</v>
      </c>
      <c r="T19" s="53">
        <f>INDEX(M2_Table_MN_j_m14,2,6)</f>
        <v>0</v>
      </c>
      <c r="U19" s="53">
        <f>INDEX(M2_Table_MN_j_m14,2,7)</f>
        <v>0</v>
      </c>
      <c r="V19" s="2" t="str">
        <f>$E$11</f>
        <v>kg N</v>
      </c>
    </row>
    <row r="20" spans="1:23" ht="20.100000000000001" customHeight="1" x14ac:dyDescent="0.25">
      <c r="A20" s="21"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358</v>
      </c>
      <c r="O21" s="100" t="s">
        <v>360</v>
      </c>
    </row>
    <row r="22" spans="1:23" ht="20.100000000000001" customHeight="1" x14ac:dyDescent="0.25">
      <c r="D22" s="99" t="s">
        <v>359</v>
      </c>
      <c r="O22" s="99" t="s">
        <v>361</v>
      </c>
    </row>
    <row r="23" spans="1:23" ht="20.100000000000001" customHeight="1" x14ac:dyDescent="0.25">
      <c r="D23" s="52" t="s">
        <v>140</v>
      </c>
      <c r="E23" s="52" t="s">
        <v>65</v>
      </c>
      <c r="F23" s="52" t="s">
        <v>165</v>
      </c>
      <c r="G23" s="52" t="s">
        <v>182</v>
      </c>
      <c r="H23" s="52" t="s">
        <v>183</v>
      </c>
      <c r="I23" s="52" t="s">
        <v>184</v>
      </c>
      <c r="J23" s="52" t="s">
        <v>185</v>
      </c>
      <c r="O23" s="52" t="s">
        <v>140</v>
      </c>
      <c r="P23" s="52" t="s">
        <v>65</v>
      </c>
      <c r="Q23" s="52" t="s">
        <v>165</v>
      </c>
      <c r="R23" s="52" t="s">
        <v>182</v>
      </c>
      <c r="S23" s="52" t="s">
        <v>183</v>
      </c>
      <c r="T23" s="52" t="s">
        <v>184</v>
      </c>
      <c r="U23" s="52" t="s">
        <v>185</v>
      </c>
    </row>
    <row r="24" spans="1:23" ht="20.100000000000001" customHeight="1" x14ac:dyDescent="0.25">
      <c r="A24" s="154" t="s">
        <v>1</v>
      </c>
      <c r="D24" s="53" t="str">
        <f>INDEX(X_Table_Dairy_ProductionSystems_Method1,2,1)</f>
        <v>Pasture</v>
      </c>
      <c r="E24" s="53" t="str">
        <f>'Constants - Common Livestock'!$E$27</f>
        <v>Pasture range and paddock</v>
      </c>
      <c r="F24" s="53" cm="1">
        <f t="array" ref="F24">MMS_Dairy_Soil_AtmosphericDeposition_Equations.VEERG_4_3_1_10__2_MassOfNitrogenVolatilisedOnPasture(F19,$I$14)</f>
        <v>0</v>
      </c>
      <c r="G24" s="53" cm="1">
        <f t="array" ref="G24">MMS_Dairy_Soil_AtmosphericDeposition_Equations.VEERG_4_3_1_10__2_MassOfNitrogenVolatilisedOnPasture(G19,$I$14)</f>
        <v>0</v>
      </c>
      <c r="H24" s="53" cm="1">
        <f t="array" ref="H24">MMS_Dairy_Soil_AtmosphericDeposition_Equations.VEERG_4_3_1_10__2_MassOfNitrogenVolatilisedOnPasture(H19,$I$14)</f>
        <v>0</v>
      </c>
      <c r="I24" s="53" cm="1">
        <f t="array" ref="I24">MMS_Dairy_Soil_AtmosphericDeposition_Equations.VEERG_4_3_1_10__2_MassOfNitrogenVolatilisedOnPasture(I19,$I$14)</f>
        <v>0</v>
      </c>
      <c r="J24" s="53" cm="1">
        <f t="array" ref="J24">MMS_Dairy_Soil_AtmosphericDeposition_Equations.VEERG_4_3_1_10__2_MassOfNitrogenVolatilisedOnPasture(J19,$I$14)</f>
        <v>0</v>
      </c>
      <c r="K24" s="2" t="str">
        <f>$E$11</f>
        <v>kg N</v>
      </c>
      <c r="O24" s="53" t="str">
        <f>INDEX(X_Table_Dairy_ProductionSystems_Method1,2,1)</f>
        <v>Pasture</v>
      </c>
      <c r="P24" s="53" t="str">
        <f>'Constants - Common Livestock'!$E$27</f>
        <v>Pasture range and paddock</v>
      </c>
      <c r="Q24" s="53" cm="1">
        <f t="array" ref="Q24">MMS_Dairy_Soil_AtmosphericDeposition_Equations.VEERG_4_3_1_10__2_MassOfNitrogenVolatilisedOnPasture(Q19,$I$14)</f>
        <v>0</v>
      </c>
      <c r="R24" s="53" cm="1">
        <f t="array" ref="R24">MMS_Dairy_Soil_AtmosphericDeposition_Equations.VEERG_4_3_1_10__2_MassOfNitrogenVolatilisedOnPasture(R19,$I$14)</f>
        <v>0</v>
      </c>
      <c r="S24" s="53" cm="1">
        <f t="array" ref="S24">MMS_Dairy_Soil_AtmosphericDeposition_Equations.VEERG_4_3_1_10__2_MassOfNitrogenVolatilisedOnPasture(S19,$I$14)</f>
        <v>0</v>
      </c>
      <c r="T24" s="53" cm="1">
        <f t="array" ref="T24">MMS_Dairy_Soil_AtmosphericDeposition_Equations.VEERG_4_3_1_10__2_MassOfNitrogenVolatilisedOnPasture(T19,$I$14)</f>
        <v>0</v>
      </c>
      <c r="U24" s="53" cm="1">
        <f t="array" ref="U24">MMS_Dairy_Soil_AtmosphericDeposition_Equations.VEERG_4_3_1_10__2_MassOfNitrogenVolatilisedOnPasture(U19,$I$14)</f>
        <v>0</v>
      </c>
      <c r="V24" s="2" t="str">
        <f>$E$11</f>
        <v>kg N</v>
      </c>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c r="D26" s="114" t="s">
        <v>372</v>
      </c>
      <c r="E26" s="46">
        <f>SUM(F24:J24)</f>
        <v>0</v>
      </c>
      <c r="F26" s="108" t="str">
        <f>$E$11</f>
        <v>kg N</v>
      </c>
      <c r="O26" s="114" t="s">
        <v>372</v>
      </c>
      <c r="P26" s="46">
        <f>SUM(Q24:U24)</f>
        <v>0</v>
      </c>
      <c r="Q26" s="108" t="str">
        <f>$E$11</f>
        <v>kg N</v>
      </c>
    </row>
    <row r="27" spans="1:23" ht="20.100000000000001" customHeight="1" x14ac:dyDescent="0.25">
      <c r="A27" s="17" t="str">
        <f>HYPERLINK("#'Constants - Livestock'!A1", "Constants - Livestock")</f>
        <v>Constants - Livestock</v>
      </c>
    </row>
    <row r="28" spans="1:23" ht="20.100000000000001" customHeight="1" x14ac:dyDescent="0.25">
      <c r="A28" s="17" t="str">
        <f>HYPERLINK("#'Acknowledgements'!A1", "Acknowledgements")</f>
        <v>Acknowledgements</v>
      </c>
    </row>
    <row r="29" spans="1:23" ht="20.100000000000001" customHeight="1" x14ac:dyDescent="0.25">
      <c r="A29" s="17" t="str">
        <f>HYPERLINK("#'Tab template'!A1", "Tab template")</f>
        <v>Tab template</v>
      </c>
      <c r="C29" s="46"/>
      <c r="D29" s="46"/>
      <c r="E29" s="46"/>
      <c r="F29" s="46"/>
      <c r="G29" s="46"/>
      <c r="H29" s="46"/>
      <c r="I29" s="46"/>
      <c r="J29" s="46"/>
      <c r="K29" s="46"/>
      <c r="L29" s="46"/>
      <c r="N29" s="46"/>
      <c r="O29" s="46"/>
      <c r="P29" s="46"/>
      <c r="Q29" s="46"/>
      <c r="R29" s="46"/>
      <c r="S29" s="46"/>
      <c r="T29" s="46"/>
      <c r="U29" s="46"/>
      <c r="V29" s="46"/>
      <c r="W29" s="46"/>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25</v>
      </c>
      <c r="E32" s="13" t="str">
        <f ca="1">Common_InputFunctions.Utility_DisplayFunctionName(VEERG_4_3_1_10__1_AtmosphericDepositionEmissionsFromUrineAndDungOnPasture_Result_Method1)</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4" t="s">
        <v>28</v>
      </c>
      <c r="E35" s="1" t="str" cm="1">
        <f t="array" ref="E35">MMS_Dairy_Soil_AtmosphericDeposition_Equations.VEERG_4_3_1_10__1_AtmosphericDepositionEmissionsFromUrineAndDungOnPasture_Variable()</f>
        <v>E_N2Oad</v>
      </c>
    </row>
    <row r="36" spans="4:19" ht="20.100000000000001" customHeight="1" x14ac:dyDescent="0.25">
      <c r="D36" s="54" t="s">
        <v>18</v>
      </c>
      <c r="E36" s="55"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3" t="str" cm="1">
        <f t="array" ref="D38:E43">_xlfn.CHOOSECOLS(MMS_Dairy_Soil_AtmosphericDeposition_Equations.VEERG_4_3_1_10__1_AtmosphericDepositionEmissionsFromUrineAndDungOnPasture_Arguments(),1,2)</f>
        <v>M_vol_m14</v>
      </c>
      <c r="E38" s="132" t="str">
        <v>mass of nitrogen volatilised from urine and faeces deposited on pasture</v>
      </c>
      <c r="F38" s="134"/>
      <c r="G38" s="133" t="str" cm="1">
        <f t="array" ref="G38:H43">_xlfn.CHOOSECOLS(MMS_Dairy_Soil_AtmosphericDeposition_Equations.VEERG_4_3_1_10__1_AtmosphericDepositionEmissionsFromUrineAndDungOnPasture_Arguments(),3,4)</f>
        <v>kg N</v>
      </c>
      <c r="H38" s="129" t="str">
        <v>Calculated from 4.3.1.10 (2)</v>
      </c>
      <c r="I38" s="133">
        <f>$E$26</f>
        <v>0</v>
      </c>
      <c r="O38" s="58" t="str">
        <f>D38</f>
        <v>M_vol_m14</v>
      </c>
      <c r="P38" s="58" t="str">
        <f>E38</f>
        <v>mass of nitrogen volatilised from urine and faeces deposited on pasture</v>
      </c>
      <c r="Q38" s="59"/>
      <c r="R38" s="60"/>
      <c r="S38" s="58">
        <f>$P$26</f>
        <v>0</v>
      </c>
    </row>
    <row r="39" spans="4:19" ht="20.100000000000001" customHeight="1" x14ac:dyDescent="0.25">
      <c r="D39" s="133" t="str">
        <v>EF_N2O</v>
      </c>
      <c r="E39" s="132" t="str">
        <v>nitrous oxide emission factor for atmospheric deposition</v>
      </c>
      <c r="F39" s="134"/>
      <c r="G39" s="133" t="str">
        <v>kg N2O-N/kg N</v>
      </c>
      <c r="H39" s="129" t="str">
        <v>Constant</v>
      </c>
      <c r="I39" s="133">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58"/>
      <c r="P39" s="59"/>
      <c r="Q39" s="101"/>
      <c r="R39" s="60"/>
      <c r="S39" s="58"/>
    </row>
    <row r="40" spans="4:19" ht="20.100000000000001" customHeight="1" x14ac:dyDescent="0.25">
      <c r="D40" s="133" t="str">
        <v>C_N2O</v>
      </c>
      <c r="E40" s="132" t="str">
        <v>factor to convert elemental mass of N2O to molecular mass</v>
      </c>
      <c r="F40" s="134"/>
      <c r="G40" s="133" t="str">
        <v/>
      </c>
      <c r="H40" s="129" t="str">
        <v>Constant</v>
      </c>
      <c r="I40" s="133">
        <f>Common_InputFunctions.Utility_LookupValueInTableNumber("N2O",Table_GasToMolecularConversionFactor[Gas],Table_GasToMolecularConversionFactor[Conversion factor combined])</f>
        <v>1.5714285714285714</v>
      </c>
      <c r="O40" s="58"/>
      <c r="P40" s="59"/>
      <c r="Q40" s="101"/>
      <c r="R40" s="60"/>
      <c r="S40" s="58"/>
    </row>
    <row r="41" spans="4:19" ht="20.100000000000001" customHeight="1" x14ac:dyDescent="0.25">
      <c r="D41" s="133" t="str">
        <v>j</v>
      </c>
      <c r="E41" s="132" t="str">
        <v>production system</v>
      </c>
      <c r="F41" s="134"/>
      <c r="G41" s="133" t="str">
        <v/>
      </c>
      <c r="H41" s="131" t="str">
        <v>Input</v>
      </c>
      <c r="I41" s="133" t="str">
        <f>X_Cell_Dairy_ManureAppliedProductionSystem</f>
        <v>Pasture</v>
      </c>
      <c r="O41" s="58"/>
      <c r="P41" s="59"/>
      <c r="Q41" s="101"/>
      <c r="R41" s="60"/>
      <c r="S41" s="58"/>
    </row>
    <row r="42" spans="4:19" ht="20.100000000000001" customHeight="1" x14ac:dyDescent="0.25">
      <c r="D42" s="133" t="str">
        <v>ir</v>
      </c>
      <c r="E42" s="132" t="str">
        <v>irrigation method</v>
      </c>
      <c r="F42" s="134"/>
      <c r="G42" s="133" t="str">
        <v/>
      </c>
      <c r="H42" s="131" t="str">
        <v>Input</v>
      </c>
      <c r="I42" s="133" t="str">
        <f>X_Cell_Dairy_ManureAppliedIrrigationMethod</f>
        <v>Sprinkler irrigation</v>
      </c>
      <c r="O42" s="58"/>
      <c r="P42" s="59"/>
      <c r="Q42" s="101"/>
      <c r="R42" s="60"/>
      <c r="S42" s="58"/>
    </row>
    <row r="43" spans="4:19" ht="20.100000000000001" customHeight="1" x14ac:dyDescent="0.25">
      <c r="D43" s="133" t="str">
        <v>r</v>
      </c>
      <c r="E43" s="132" t="str">
        <v>rainfall region</v>
      </c>
      <c r="F43" s="134"/>
      <c r="G43" s="133" t="str">
        <v/>
      </c>
      <c r="H43" s="131" t="str">
        <v>Input</v>
      </c>
      <c r="I43" s="133" t="str">
        <f>X_Cell_Site_RainfallZone</f>
        <v>High rainfall</v>
      </c>
      <c r="O43" s="58"/>
      <c r="P43" s="59"/>
      <c r="Q43" s="101"/>
      <c r="R43" s="60"/>
      <c r="S43" s="58"/>
    </row>
    <row r="44" spans="4:19" ht="20.100000000000001" customHeight="1" x14ac:dyDescent="0.25"/>
    <row r="45" spans="4:19" ht="20.100000000000001" customHeight="1" x14ac:dyDescent="0.25">
      <c r="D45" s="104" t="s">
        <v>147</v>
      </c>
      <c r="E45" s="105" cm="1">
        <f t="array" ref="E45">MMS_Dairy_Soil_AtmosphericDeposition_Equations.VEERG_4_3_1_10__1_AtmosphericDepositionEmissionsFromUrineAndDungOnPasture($I$38,$I$39,$I$40)</f>
        <v>0</v>
      </c>
      <c r="F45" s="106" t="str">
        <f>$E$36</f>
        <v>t N2O</v>
      </c>
      <c r="O45" s="104" t="s">
        <v>147</v>
      </c>
      <c r="P45" s="105" cm="1">
        <f t="array" ref="P45">MMS_Dairy_Soil_AtmosphericDeposition_Equations.VEERG_4_3_1_10__1_AtmosphericDepositionEmissionsFromUrineAndDungOnPasture($S$38,$I$39,$I$40)</f>
        <v>0</v>
      </c>
      <c r="Q45" s="106" t="str">
        <f>$E$36</f>
        <v>t N2O</v>
      </c>
    </row>
    <row r="46" spans="4:19" ht="20.100000000000001" customHeight="1" x14ac:dyDescent="0.25"/>
    <row r="47" spans="4:19" ht="20.100000000000001" customHeight="1" x14ac:dyDescent="0.25">
      <c r="D47" s="58" t="str" cm="1">
        <f t="array" ref="D47:E48">Common_Equations.Common_ConvertN2OToCO2e_Arguments()</f>
        <v>EN2O</v>
      </c>
      <c r="E47" s="59" t="str">
        <v>Nitrous oxide emissions (t N2O)</v>
      </c>
      <c r="F47" s="107"/>
      <c r="G47" s="53">
        <f>VEERG_4_3_1_10__1_AtmosphericDepositionEmissionsFromUrineAndDungOnPasture_Result_Method1</f>
        <v>0</v>
      </c>
      <c r="O47" s="58" t="str" cm="1">
        <f t="array" ref="O47:P48">Common_Equations.Common_ConvertN2OToCO2e_Arguments()</f>
        <v>EN2O</v>
      </c>
      <c r="P47" s="59" t="str">
        <v>Nitrous oxide emissions (t N2O)</v>
      </c>
      <c r="Q47" s="107"/>
      <c r="R47" s="53">
        <f>VEERG_4_3_1_10__1_AtmosphericDepositionEmissionsFromUrineAndDungOnPasture_Result_Method2</f>
        <v>0</v>
      </c>
    </row>
    <row r="48" spans="4:19" ht="20.100000000000001" customHeight="1" x14ac:dyDescent="0.25">
      <c r="D48" s="58" t="str">
        <v>GWPN2O</v>
      </c>
      <c r="E48" s="59" t="str">
        <v>Global warming potential for nitrous oxide (t CO2-e / t N2O)</v>
      </c>
      <c r="F48" s="107"/>
      <c r="G48" s="53">
        <f>Common_InputFunctions.Utility_LookupValueInTableNumber("N2O",Table_GWPData[Gas],Table_GWPData[CO2-e factor])</f>
        <v>265</v>
      </c>
      <c r="O48" s="58" t="str">
        <v>GWPN2O</v>
      </c>
      <c r="P48" s="59" t="str">
        <v>Global warming potential for nitrous oxide (t CO2-e / t N2O)</v>
      </c>
      <c r="Q48" s="107"/>
      <c r="R48" s="53">
        <f>Common_InputFunctions.Utility_LookupValueInTableNumber("N2O",Table_GWPData[Gas],Table_GWPData[CO2-e factor])</f>
        <v>265</v>
      </c>
    </row>
    <row r="49" spans="4:17" ht="20.100000000000001" customHeight="1" x14ac:dyDescent="0.25"/>
    <row r="50" spans="4:17" ht="20.100000000000001" customHeight="1" x14ac:dyDescent="0.25">
      <c r="D50" s="46" t="s">
        <v>102</v>
      </c>
      <c r="E50" s="46" cm="1">
        <f t="array" ref="E50">Common_Equations.Common_ConvertN2OToCO2e(G47,G48)</f>
        <v>0</v>
      </c>
      <c r="F50" s="108" t="str" cm="1">
        <f t="array" ref="F50">Common_Equations.Common_ConvertN2OToCO2e_Unit()</f>
        <v>t CO2e</v>
      </c>
      <c r="O50" s="46" t="s">
        <v>102</v>
      </c>
      <c r="P50" s="46" cm="1">
        <f t="array" ref="P50">Common_Equations.Common_ConvertN2OToCO2e(R47,R48)</f>
        <v>0</v>
      </c>
      <c r="Q50" s="108"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364</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D6" s="5" t="str" cm="1">
        <f t="array" ref="D6">MMS_Dairy_Soil_LeachingAndRunoff.VEERG_4_3_1_12__2_MassOfNitrogenLostToLeachingAndRunoffOnPasture_Source()</f>
        <v>VEERG 2026: 4.3.1.12, Equation (2)</v>
      </c>
    </row>
    <row r="7" spans="1:23" ht="20.100000000000001" customHeight="1" x14ac:dyDescent="0.25">
      <c r="D7" s="13" t="s">
        <v>25</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9" t="s">
        <v>0</v>
      </c>
      <c r="E8" s="1" t="s">
        <v>15</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MMS_Dairy_Soil_LeachingAndRunoff.VEERG_4_3_1_12__2_MassOfNitrogenLostToLeachingAndRunoffOnPasture_Variable()</f>
        <v>M_leach_m14</v>
      </c>
    </row>
    <row r="11" spans="1:23" ht="20.100000000000001" customHeight="1" x14ac:dyDescent="0.25">
      <c r="D11" s="54" t="s">
        <v>18</v>
      </c>
      <c r="E11" s="55" t="str" cm="1">
        <f t="array" ref="E11">MMS_Dairy_Soil_LeachingAndRunoff.VEERG_4_3_1_12__2_MassOfNitrogenLostToLeachingAndRunoffOnPasture_Unit()</f>
        <v>kg N</v>
      </c>
    </row>
    <row r="12" spans="1:23" ht="20.100000000000001" customHeight="1" x14ac:dyDescent="0.25"/>
    <row r="13" spans="1:23" ht="20.100000000000001" customHeight="1" x14ac:dyDescent="0.25">
      <c r="A13" s="18" t="s">
        <v>72</v>
      </c>
      <c r="D13" s="133" t="str" cm="1">
        <f t="array" ref="D13:E18">_xlfn.CHOOSECOLS(MMS_Dairy_Soil_LeachingAndRunoff.VEERG_4_3_1_12__2_MassOfNitrogenLostToLeachingAndRunoffOnPasture_Arguments(),1,2)</f>
        <v>MN_jm14</v>
      </c>
      <c r="E13" s="132" t="str">
        <v>mass of nitrogen excreted on pasture, range and paddock for each dairy class</v>
      </c>
      <c r="F13" s="134"/>
      <c r="G13" s="133" t="str" cm="1">
        <f t="array" ref="G13:H18">_xlfn.CHOOSECOLS(MMS_Dairy_Soil_LeachingAndRunoff.VEERG_4_3_1_12__2_MassOfNitrogenLostToLeachingAndRunoffOnPasture_Arguments(),3,4)</f>
        <v>kg N</v>
      </c>
      <c r="H13" s="129" t="str">
        <v>Calculated from 4.3.1.3 (2)</v>
      </c>
      <c r="I13" s="130" t="str" cm="1">
        <f t="array" aca="1" ref="I13" ca="1">HYPERLINK(Common_InputFunctions.Utility_SourceHyperlink($D$20),$D$20)</f>
        <v>M1_Table_MN_j_m-14</v>
      </c>
    </row>
    <row r="14" spans="1:23" ht="20.100000000000001" customHeight="1" x14ac:dyDescent="0.25">
      <c r="A14" s="17" t="str">
        <f>HYPERLINK("#'4.3.1.1-2 Methane'!A1", "4.3.1.1-2 Methane")</f>
        <v>4.3.1.1-2 Methane</v>
      </c>
      <c r="D14" s="133" t="str">
        <v>FracWet</v>
      </c>
      <c r="E14" s="132" t="str">
        <v>fraction of N available for leaching and runoff</v>
      </c>
      <c r="F14" s="134"/>
      <c r="G14" s="133" t="str">
        <v/>
      </c>
      <c r="H14" s="129" t="str">
        <v>Constant</v>
      </c>
      <c r="I14" s="133">
        <f>Common_InputFunctions.CommonCropping_GetFracWET(I16,I18,#REF!,#REF!,Table_SourceData_FracWETIrrigation[Irrigation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v>
      </c>
      <c r="E15" s="132" t="str">
        <v>fraction of N lost through leaching and runoff</v>
      </c>
      <c r="F15" s="134"/>
      <c r="G15" s="133" t="str">
        <v/>
      </c>
      <c r="H15" s="129" t="str">
        <v>Constant</v>
      </c>
      <c r="I15" s="133">
        <f>SourceData_Dairy_FractionOfNitrogenLostThroughLeachingAndRunoff_Data</f>
        <v>0.24</v>
      </c>
    </row>
    <row r="16" spans="1:23" ht="20.100000000000001" customHeight="1" x14ac:dyDescent="0.25">
      <c r="A16" s="17" t="str">
        <f>HYPERLINK("#'4.3.1.5 Atmos deposition'!A1", "4.3.1.5 Atmos deposition")</f>
        <v>4.3.1.5 Atmos deposition</v>
      </c>
      <c r="D16" s="133" t="str">
        <v>z</v>
      </c>
      <c r="E16" s="132" t="str">
        <v>location in leaching zone</v>
      </c>
      <c r="F16" s="134"/>
      <c r="G16" s="133" t="str">
        <v/>
      </c>
      <c r="H16" s="131" t="str">
        <v>Input</v>
      </c>
      <c r="I16" s="133" t="str">
        <f>X_Cell_Site_LeachingZone</f>
        <v>YES - In leaching zone</v>
      </c>
    </row>
    <row r="17" spans="1:22" ht="20.100000000000001" customHeight="1" x14ac:dyDescent="0.25">
      <c r="A17" s="17" t="str">
        <f>HYPERLINK("#'4.3.1.6-7 Leaching and runoff'!A1", "4.3.1.6-7 Leaching and runoff")</f>
        <v>4.3.1.6-7 Leaching and runoff</v>
      </c>
      <c r="D17" s="133" t="str">
        <v>j</v>
      </c>
      <c r="E17" s="132" t="str">
        <v>production system</v>
      </c>
      <c r="F17" s="134"/>
      <c r="G17" s="133" t="str">
        <v/>
      </c>
      <c r="H17" s="131" t="str">
        <v>Input</v>
      </c>
      <c r="I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4"/>
      <c r="G18" s="133" t="str">
        <v/>
      </c>
      <c r="H18" s="131" t="str">
        <v>Input</v>
      </c>
      <c r="I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350</v>
      </c>
      <c r="M20" s="57"/>
      <c r="O20" s="100" t="s">
        <v>352</v>
      </c>
    </row>
    <row r="21" spans="1:22" ht="20.100000000000001" customHeight="1" x14ac:dyDescent="0.25">
      <c r="A21" s="21" t="str">
        <f>HYPERLINK("#'4.3.1.12-13 Soil leach runoff'!A1", "4.3.1.12-13 Soil leach runoff")</f>
        <v>4.3.1.12-13 Soil leach runoff</v>
      </c>
      <c r="D21" s="99" t="s">
        <v>351</v>
      </c>
      <c r="M21" s="57"/>
      <c r="O21" s="99" t="s">
        <v>353</v>
      </c>
    </row>
    <row r="22" spans="1:22" ht="20.100000000000001" customHeight="1" x14ac:dyDescent="0.25">
      <c r="D22" s="52" t="s">
        <v>140</v>
      </c>
      <c r="E22" s="52" t="s">
        <v>65</v>
      </c>
      <c r="F22" s="52" t="s">
        <v>165</v>
      </c>
      <c r="G22" s="52" t="s">
        <v>182</v>
      </c>
      <c r="H22" s="52" t="s">
        <v>183</v>
      </c>
      <c r="I22" s="52" t="s">
        <v>184</v>
      </c>
      <c r="J22" s="52" t="s">
        <v>185</v>
      </c>
      <c r="M22" s="57"/>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INDEX(X_Table_Dairy_ProductionSystems_Method1,2,1)</f>
        <v>Pasture</v>
      </c>
      <c r="E23" s="53" t="str">
        <f>'Constants - Common Livestock'!$E$27</f>
        <v>Pasture range and paddock</v>
      </c>
      <c r="F23" s="53">
        <f>INDEX(M1_Table_MN_j_m14,2,3)</f>
        <v>0</v>
      </c>
      <c r="G23" s="53">
        <f>INDEX(M1_Table_MN_j_m14,2,4)</f>
        <v>0</v>
      </c>
      <c r="H23" s="53">
        <f>INDEX(M1_Table_MN_j_m14,2,5)</f>
        <v>0</v>
      </c>
      <c r="I23" s="53">
        <f>INDEX(M1_Table_MN_j_m14,2,6)</f>
        <v>0</v>
      </c>
      <c r="J23" s="53">
        <f>INDEX(M1_Table_MN_j_m14,2,7)</f>
        <v>0</v>
      </c>
      <c r="K23" s="2" t="str">
        <f>$E$11</f>
        <v>kg N</v>
      </c>
      <c r="M23" s="57"/>
      <c r="O23" s="53" t="str">
        <f>INDEX(X_Table_Dairy_ProductionSystems_Method1,2,1)</f>
        <v>Pasture</v>
      </c>
      <c r="P23" s="53" t="str">
        <f>'Constants - Common Livestock'!$E$27</f>
        <v>Pasture range and paddock</v>
      </c>
      <c r="Q23" s="53">
        <f>INDEX(M2_Table_MN_j_m14,2,3)</f>
        <v>0</v>
      </c>
      <c r="R23" s="53">
        <f>INDEX(M2_Table_MN_j_m14,2,4)</f>
        <v>0</v>
      </c>
      <c r="S23" s="53">
        <f>INDEX(M2_Table_MN_j_m14,2,5)</f>
        <v>0</v>
      </c>
      <c r="T23" s="53">
        <f>INDEX(M2_Table_MN_j_m14,2,6)</f>
        <v>0</v>
      </c>
      <c r="U23" s="53">
        <f>INDEX(M2_Table_MN_j_m14,2,7)</f>
        <v>0</v>
      </c>
      <c r="V23" s="2" t="str">
        <f>$E$11</f>
        <v>kg N</v>
      </c>
    </row>
    <row r="24" spans="1:22" ht="20.100000000000001" customHeight="1" x14ac:dyDescent="0.25">
      <c r="A24" s="154" t="s">
        <v>1</v>
      </c>
    </row>
    <row r="25" spans="1:22" ht="20.100000000000001" customHeight="1" x14ac:dyDescent="0.25">
      <c r="A25" s="17" t="str">
        <f>HYPERLINK("#'Constants - Dairy'!A1", "Constants - Dairy")</f>
        <v>Constants - Dairy</v>
      </c>
      <c r="D25" s="100" t="s">
        <v>366</v>
      </c>
      <c r="O25" s="100" t="s">
        <v>368</v>
      </c>
    </row>
    <row r="26" spans="1:22" ht="20.100000000000001" customHeight="1" x14ac:dyDescent="0.25">
      <c r="A26" s="17" t="str">
        <f>HYPERLINK("#'Constants - Common'!A1", "Constants - Common")</f>
        <v>Constants - Common</v>
      </c>
      <c r="D26" s="99" t="s">
        <v>367</v>
      </c>
      <c r="O26" s="99" t="s">
        <v>369</v>
      </c>
    </row>
    <row r="27" spans="1:22" ht="20.100000000000001" customHeight="1" x14ac:dyDescent="0.25">
      <c r="A27" s="17" t="str">
        <f>HYPERLINK("#'Constants - Livestock'!A1", "Constants - Livestock")</f>
        <v>Constants - Livestock</v>
      </c>
      <c r="D27" s="52" t="s">
        <v>140</v>
      </c>
      <c r="E27" s="52" t="s">
        <v>65</v>
      </c>
      <c r="F27" s="52" t="s">
        <v>165</v>
      </c>
      <c r="G27" s="52" t="s">
        <v>182</v>
      </c>
      <c r="H27" s="52" t="s">
        <v>183</v>
      </c>
      <c r="I27" s="52" t="s">
        <v>184</v>
      </c>
      <c r="J27" s="52" t="s">
        <v>185</v>
      </c>
      <c r="O27" s="52" t="s">
        <v>140</v>
      </c>
      <c r="P27" s="52" t="s">
        <v>65</v>
      </c>
      <c r="Q27" s="52" t="s">
        <v>165</v>
      </c>
      <c r="R27" s="52" t="s">
        <v>182</v>
      </c>
      <c r="S27" s="52" t="s">
        <v>183</v>
      </c>
      <c r="T27" s="52" t="s">
        <v>184</v>
      </c>
      <c r="U27" s="52" t="s">
        <v>185</v>
      </c>
    </row>
    <row r="28" spans="1:22" ht="20.100000000000001" customHeight="1" x14ac:dyDescent="0.25">
      <c r="A28" s="17" t="str">
        <f>HYPERLINK("#'Acknowledgements'!A1", "Acknowledgements")</f>
        <v>Acknowledgements</v>
      </c>
      <c r="D28" s="53" t="str">
        <f>INDEX(X_Table_Dairy_ProductionSystems_Method1,2,1)</f>
        <v>Pasture</v>
      </c>
      <c r="E28" s="53" t="str">
        <f>'Constants - Common Livestock'!$E$27</f>
        <v>Pasture range and paddock</v>
      </c>
      <c r="F28" s="53" cm="1">
        <f t="array" ref="F28">MMS_Dairy_Soil_LeachingAndRunoff.VEERG_4_3_1_12__2_MassOfNitrogenLostToLeachingAndRunoffOnPasture(F23,$I$14,$I$15)</f>
        <v>0</v>
      </c>
      <c r="G28" s="53" cm="1">
        <f t="array" ref="G28">MMS_Dairy_Soil_LeachingAndRunoff.VEERG_4_3_1_12__2_MassOfNitrogenLostToLeachingAndRunoffOnPasture(G23,$I$14,$I$15)</f>
        <v>0</v>
      </c>
      <c r="H28" s="53" cm="1">
        <f t="array" ref="H28">MMS_Dairy_Soil_LeachingAndRunoff.VEERG_4_3_1_12__2_MassOfNitrogenLostToLeachingAndRunoffOnPasture(H23,$I$14,$I$15)</f>
        <v>0</v>
      </c>
      <c r="I28" s="53" cm="1">
        <f t="array" ref="I28">MMS_Dairy_Soil_LeachingAndRunoff.VEERG_4_3_1_12__2_MassOfNitrogenLostToLeachingAndRunoffOnPasture(I23,$I$14,$I$15)</f>
        <v>0</v>
      </c>
      <c r="J28" s="53" cm="1">
        <f t="array" ref="J28">MMS_Dairy_Soil_LeachingAndRunoff.VEERG_4_3_1_12__2_MassOfNitrogenLostToLeachingAndRunoffOnPasture(J23,$I$14,$I$15)</f>
        <v>0</v>
      </c>
      <c r="K28" s="2" t="str">
        <f>$E$11</f>
        <v>kg N</v>
      </c>
      <c r="O28" s="53" t="str">
        <f>INDEX(X_Table_Dairy_ProductionSystems_Method1,2,1)</f>
        <v>Pasture</v>
      </c>
      <c r="P28" s="53" t="str">
        <f>'Constants - Common Livestock'!$E$27</f>
        <v>Pasture range and paddock</v>
      </c>
      <c r="Q28" s="53" cm="1">
        <f t="array" ref="Q28">MMS_Dairy_Soil_LeachingAndRunoff.VEERG_4_3_1_12__2_MassOfNitrogenLostToLeachingAndRunoffOnPasture(Q23,$I$14,$I$15)</f>
        <v>0</v>
      </c>
      <c r="R28" s="53" cm="1">
        <f t="array" ref="R28">MMS_Dairy_Soil_LeachingAndRunoff.VEERG_4_3_1_12__2_MassOfNitrogenLostToLeachingAndRunoffOnPasture(R23,$I$14,$I$15)</f>
        <v>0</v>
      </c>
      <c r="S28" s="53" cm="1">
        <f t="array" ref="S28">MMS_Dairy_Soil_LeachingAndRunoff.VEERG_4_3_1_12__2_MassOfNitrogenLostToLeachingAndRunoffOnPasture(S23,$I$14,$I$15)</f>
        <v>0</v>
      </c>
      <c r="T28" s="53" cm="1">
        <f t="array" ref="T28">MMS_Dairy_Soil_LeachingAndRunoff.VEERG_4_3_1_12__2_MassOfNitrogenLostToLeachingAndRunoffOnPasture(T23,$I$14,$I$15)</f>
        <v>0</v>
      </c>
      <c r="U28" s="53" cm="1">
        <f t="array" ref="U28">MMS_Dairy_Soil_LeachingAndRunoff.VEERG_4_3_1_12__2_MassOfNitrogenLostToLeachingAndRunoffOnPasture(U23,$I$14,$I$15)</f>
        <v>0</v>
      </c>
      <c r="V28" s="2" t="str">
        <f>$E$11</f>
        <v>kg N</v>
      </c>
    </row>
    <row r="29" spans="1:22" ht="20.100000000000001" customHeight="1" x14ac:dyDescent="0.25">
      <c r="A29" s="17" t="str">
        <f>HYPERLINK("#'Tab template'!A1", "Tab template")</f>
        <v>Tab template</v>
      </c>
    </row>
    <row r="30" spans="1:22" ht="20.100000000000001" customHeight="1" x14ac:dyDescent="0.25">
      <c r="D30" s="114" t="s">
        <v>371</v>
      </c>
      <c r="E30" s="46">
        <f>SUM(F28:J28)</f>
        <v>0</v>
      </c>
      <c r="F30" s="108" t="str">
        <f>$E$11</f>
        <v>kg N</v>
      </c>
      <c r="O30" s="114" t="s">
        <v>371</v>
      </c>
      <c r="P30" s="46">
        <f>SUM(Q28:U28)</f>
        <v>0</v>
      </c>
      <c r="Q30" s="108"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25</v>
      </c>
      <c r="E37" s="13" t="str">
        <f ca="1">Common_InputFunctions.Utility_DisplayFunctionName(VEERG_4_3_1_12__1_LeachingAndRunoffEmissionsFromUrineAndDungOnPasture_Result_Method1)</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MMS_Dairy_Soil_LeachingAndRunoff.VEERG_4_3_1_12__1_LeachingAndRunoffEmissionsFromUrineAndDungOnPasture_Variable()</f>
        <v>E_N2Oleach</v>
      </c>
    </row>
    <row r="41" spans="3:23" ht="20.100000000000001" customHeight="1" x14ac:dyDescent="0.25">
      <c r="D41" s="54" t="s">
        <v>18</v>
      </c>
      <c r="E41" s="55"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3" t="str" cm="1">
        <f t="array" ref="D43:E45">_xlfn.CHOOSECOLS(MMS_Dairy_Soil_LeachingAndRunoff.VEERG_4_3_1_12__1_LeachingAndRunoffEmissionsFromUrineAndDungOnPasture_Arguments(),1,2)</f>
        <v>M_leach_m14</v>
      </c>
      <c r="E43" s="133" t="str">
        <v>mass of nitrogen lost to leaching and runoff from urine and faeces deposited on pasture</v>
      </c>
      <c r="F43" s="132"/>
      <c r="G43" s="134"/>
      <c r="H43" s="133" t="str" cm="1">
        <f t="array" ref="H43:I45">_xlfn.CHOOSECOLS(MMS_Dairy_Soil_LeachingAndRunoff.VEERG_4_3_1_12__1_LeachingAndRunoffEmissionsFromUrineAndDungOnPasture_Arguments(),3,4)</f>
        <v>kg N</v>
      </c>
      <c r="I43" s="129" t="str">
        <v>Calculated from 4.3.1.12 (2)</v>
      </c>
      <c r="J43" s="133">
        <f>$E$30</f>
        <v>0</v>
      </c>
      <c r="O43" s="133" t="str" cm="1">
        <f t="array" ref="O43:P45">_xlfn.CHOOSECOLS(MMS_Dairy_Soil_LeachingAndRunoff.VEERG_4_3_1_12__1_LeachingAndRunoffEmissionsFromUrineAndDungOnPasture_Arguments(),1,2)</f>
        <v>M_leach_m14</v>
      </c>
      <c r="P43" s="133" t="str">
        <v>mass of nitrogen lost to leaching and runoff from urine and faeces deposited on pasture</v>
      </c>
      <c r="Q43" s="132"/>
      <c r="R43" s="134"/>
      <c r="S43" s="133" t="str" cm="1">
        <f t="array" ref="S43:T45">_xlfn.CHOOSECOLS(MMS_Dairy_Soil_LeachingAndRunoff.VEERG_4_3_1_12__1_LeachingAndRunoffEmissionsFromUrineAndDungOnPasture_Arguments(),3,4)</f>
        <v>kg N</v>
      </c>
      <c r="T43" s="129" t="str">
        <v>Calculated from 4.3.1.12 (2)</v>
      </c>
      <c r="U43" s="58">
        <f>$P$30</f>
        <v>0</v>
      </c>
    </row>
    <row r="44" spans="3:23" ht="20.100000000000001" customHeight="1" x14ac:dyDescent="0.25">
      <c r="D44" s="133" t="str">
        <v>EF_leach</v>
      </c>
      <c r="E44" s="133" t="str">
        <v>nitrous oxide emission factor for leaching and runoff</v>
      </c>
      <c r="F44" s="132"/>
      <c r="G44" s="134"/>
      <c r="H44" s="133" t="str">
        <v>kg N2O-N/kg N</v>
      </c>
      <c r="I44" s="129" t="str">
        <v>Constant</v>
      </c>
      <c r="J44" s="133">
        <f>SourceData_Dairy_EmissionFactorForLeachingAndRunoff_Data</f>
        <v>1.0999999999999999E-2</v>
      </c>
      <c r="O44" s="133" t="str">
        <v>EF_leach</v>
      </c>
      <c r="P44" s="133" t="str">
        <v>nitrous oxide emission factor for leaching and runoff</v>
      </c>
      <c r="Q44" s="132"/>
      <c r="R44" s="134"/>
      <c r="S44" s="133" t="str">
        <v>kg N2O-N/kg N</v>
      </c>
      <c r="T44" s="129" t="str">
        <v>Constant</v>
      </c>
      <c r="U44" s="58"/>
    </row>
    <row r="45" spans="3:23" ht="20.100000000000001" customHeight="1" x14ac:dyDescent="0.25">
      <c r="D45" s="133" t="str">
        <v>C_N2O</v>
      </c>
      <c r="E45" s="133" t="str">
        <v>factor to convert elemental mass of N2O to molecular mass</v>
      </c>
      <c r="F45" s="132"/>
      <c r="G45" s="134"/>
      <c r="H45" s="133" t="str">
        <v/>
      </c>
      <c r="I45" s="129" t="str">
        <v>Constant</v>
      </c>
      <c r="J45" s="133">
        <f>Common_InputFunctions.Utility_LookupValueInTableNumber("N2O",Table_GasToMolecularConversionFactor[Gas],Table_GasToMolecularConversionFactor[Conversion factor combined])</f>
        <v>1.5714285714285714</v>
      </c>
      <c r="O45" s="133" t="str">
        <v>C_N2O</v>
      </c>
      <c r="P45" s="133" t="str">
        <v>factor to convert elemental mass of N2O to molecular mass</v>
      </c>
      <c r="Q45" s="132"/>
      <c r="R45" s="134"/>
      <c r="S45" s="133" t="str">
        <v/>
      </c>
      <c r="T45" s="129" t="str">
        <v>Constant</v>
      </c>
      <c r="U45" s="58"/>
    </row>
    <row r="46" spans="3:23" ht="20.100000000000001" customHeight="1" x14ac:dyDescent="0.25"/>
    <row r="47" spans="3:23" ht="20.100000000000001" customHeight="1" x14ac:dyDescent="0.25">
      <c r="D47" s="104" t="s">
        <v>370</v>
      </c>
      <c r="E47" s="105" cm="1">
        <f t="array" ref="E47">MMS_Dairy_Soil_LeachingAndRunoff.VEERG_4_3_1_12__1_LeachingAndRunoffEmissionsFromUrineAndDungOnPasture($J$43,$J$44,$J$45)</f>
        <v>0</v>
      </c>
      <c r="F47" s="106" t="str">
        <f>$E$41</f>
        <v>t N2O</v>
      </c>
      <c r="O47" s="104" t="s">
        <v>370</v>
      </c>
      <c r="P47" s="105" cm="1">
        <f t="array" ref="P47">MMS_Dairy_Soil_LeachingAndRunoff.VEERG_4_3_1_12__1_LeachingAndRunoffEmissionsFromUrineAndDungOnPasture($U$43,$J$44,$J$45)</f>
        <v>0</v>
      </c>
      <c r="Q47" s="106" t="str">
        <f>$E$41</f>
        <v>t N2O</v>
      </c>
    </row>
    <row r="48" spans="3:23" ht="20.100000000000001" customHeight="1" x14ac:dyDescent="0.25"/>
    <row r="49" spans="4:18" ht="20.100000000000001" customHeight="1" x14ac:dyDescent="0.25">
      <c r="D49" s="58" t="str" cm="1">
        <f t="array" ref="D49:E50">Common_Equations.Common_ConvertN2OToCO2e_Arguments()</f>
        <v>EN2O</v>
      </c>
      <c r="E49" s="59" t="str">
        <v>Nitrous oxide emissions (t N2O)</v>
      </c>
      <c r="F49" s="107"/>
      <c r="G49" s="53">
        <f>VEERG_4_3_1_12__1_LeachingAndRunoffEmissionsFromUrineAndDungOnPasture_Result_Method1</f>
        <v>0</v>
      </c>
      <c r="O49" s="58" t="str" cm="1">
        <f t="array" ref="O49:P50">Common_Equations.Common_ConvertN2OToCO2e_Arguments()</f>
        <v>EN2O</v>
      </c>
      <c r="P49" s="59" t="str">
        <v>Nitrous oxide emissions (t N2O)</v>
      </c>
      <c r="Q49" s="107"/>
      <c r="R49" s="53">
        <f>VEERG_4_3_1_12__1_LeachingAndRunoffEmissionsFromUrineAndDungOnPasture_Result_Method2</f>
        <v>0</v>
      </c>
    </row>
    <row r="50" spans="4:18" ht="20.100000000000001" customHeight="1" x14ac:dyDescent="0.25">
      <c r="D50" s="58" t="str">
        <v>GWPN2O</v>
      </c>
      <c r="E50" s="59" t="str">
        <v>Global warming potential for nitrous oxide (t CO2-e / t N2O)</v>
      </c>
      <c r="F50" s="107"/>
      <c r="G50" s="53">
        <f>Common_InputFunctions.Utility_LookupValueInTableNumber("N2O",Table_GWPData[Gas],Table_GWPData[CO2-e factor])</f>
        <v>265</v>
      </c>
      <c r="O50" s="58" t="str">
        <v>GWPN2O</v>
      </c>
      <c r="P50" s="59" t="str">
        <v>Global warming potential for nitrous oxide (t CO2-e / t N2O)</v>
      </c>
      <c r="Q50" s="107"/>
      <c r="R50" s="53">
        <f>Common_InputFunctions.Utility_LookupValueInTableNumber("N2O",Table_GWPData[Gas],Table_GWPData[CO2-e factor])</f>
        <v>265</v>
      </c>
    </row>
    <row r="51" spans="4:18" ht="20.100000000000001" customHeight="1" x14ac:dyDescent="0.25"/>
    <row r="52" spans="4:18" ht="20.100000000000001" customHeight="1" x14ac:dyDescent="0.25">
      <c r="D52" s="46" t="s">
        <v>102</v>
      </c>
      <c r="E52" s="46" cm="1">
        <f t="array" ref="E52">Common_Equations.Common_ConvertN2OToCO2e(G49,G50)</f>
        <v>0</v>
      </c>
      <c r="F52" s="108" t="str" cm="1">
        <f t="array" ref="F52">Common_Equations.Common_ConvertN2OToCO2e_Unit()</f>
        <v>t CO2e</v>
      </c>
      <c r="O52" s="46" t="s">
        <v>102</v>
      </c>
      <c r="P52" s="46" cm="1">
        <f t="array" ref="P52">Common_Equations.Common_ConvertN2OToCO2e(R49,R50)</f>
        <v>0</v>
      </c>
      <c r="Q52" s="108"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2"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7" t="e" vm="1">
        <v>#VALUE!</v>
      </c>
      <c r="C1" s="8" t="s">
        <v>429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162</v>
      </c>
      <c r="G5" s="6" t="s">
        <v>163</v>
      </c>
      <c r="J5" s="6" t="s">
        <v>141</v>
      </c>
      <c r="L5" s="6" t="s">
        <v>465</v>
      </c>
      <c r="M5" s="1"/>
    </row>
    <row r="6" spans="1:21" ht="20.100000000000001" customHeight="1" x14ac:dyDescent="0.25">
      <c r="L6" s="1" t="s">
        <v>467</v>
      </c>
      <c r="M6" s="1"/>
    </row>
    <row r="7" spans="1:21" ht="20.100000000000001" customHeight="1" x14ac:dyDescent="0.25">
      <c r="D7" s="98" t="s">
        <v>65</v>
      </c>
      <c r="E7" s="38" t="s">
        <v>76</v>
      </c>
      <c r="G7" s="38" t="s">
        <v>140</v>
      </c>
      <c r="J7" s="38" t="s">
        <v>138</v>
      </c>
      <c r="L7" s="38" t="s">
        <v>466</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142</v>
      </c>
      <c r="L8" s="38" t="s">
        <v>165</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143</v>
      </c>
      <c r="L9" s="38" t="s">
        <v>182</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144</v>
      </c>
      <c r="L10" s="38" t="s">
        <v>183</v>
      </c>
      <c r="M10" s="1"/>
    </row>
    <row r="11" spans="1:21" ht="20.100000000000001" customHeight="1" x14ac:dyDescent="0.25">
      <c r="D11" s="38" t="str">
        <f>'Constants - Common Livestock'!$E$15</f>
        <v>Solid storage</v>
      </c>
      <c r="E11" s="38" t="str">
        <f>'Constants - Common Livestock'!$F$15</f>
        <v>Solid storage (m=4)</v>
      </c>
      <c r="J11" s="1" t="s">
        <v>145</v>
      </c>
      <c r="L11" s="38" t="s">
        <v>184</v>
      </c>
      <c r="M11" s="1"/>
    </row>
    <row r="12" spans="1:21" ht="20.100000000000001" customHeight="1" x14ac:dyDescent="0.25">
      <c r="J12" s="1" t="s">
        <v>146</v>
      </c>
      <c r="L12" s="38" t="s">
        <v>185</v>
      </c>
      <c r="M12" s="1"/>
    </row>
    <row r="13" spans="1:21" ht="20.100000000000001" customHeight="1" x14ac:dyDescent="0.25">
      <c r="A13" s="18" t="s">
        <v>72</v>
      </c>
      <c r="M13" s="1"/>
    </row>
    <row r="14" spans="1:21" ht="20.100000000000001" customHeight="1" x14ac:dyDescent="0.25">
      <c r="A14" s="17" t="str">
        <f>HYPERLINK("#'4.3.1.1-2 Methane'!A1", "4.3.1.1-2 Methane")</f>
        <v>4.3.1.1-2 Methane</v>
      </c>
      <c r="M14" s="1"/>
    </row>
    <row r="15" spans="1:21" ht="20.100000000000001" customHeight="1" x14ac:dyDescent="0.25">
      <c r="A15" s="17" t="str">
        <f>HYPERLINK("#'4.3.1.3-4 Direct N20'!A1", "4.3.1.3-4 Direct N20")</f>
        <v>4.3.1.3-4 Direct N20</v>
      </c>
      <c r="M15" s="1"/>
    </row>
    <row r="16" spans="1:21" ht="20.100000000000001" customHeight="1" x14ac:dyDescent="0.25">
      <c r="A16" s="17" t="str">
        <f>HYPERLINK("#'4.3.1.5 Atmos deposition'!A1", "4.3.1.5 Atmos deposition")</f>
        <v>4.3.1.5 Atmos deposition</v>
      </c>
      <c r="D16" s="6" t="str" cm="1">
        <f t="array" ref="D16">SourceData_Dairy.SourceData_Dairy_LiveweightCowsAndHeifers_Title()</f>
        <v>Table A.1.3.1: Dairy cattle - Liveweight (kg) - Cows and Heifers (Wj)</v>
      </c>
      <c r="M16" s="1"/>
    </row>
    <row r="17" spans="1:13" ht="20.100000000000001" customHeight="1" x14ac:dyDescent="0.25">
      <c r="A17" s="17" t="str">
        <f>HYPERLINK("#'4.3.1.6-7 Leaching and runoff'!A1", "4.3.1.6-7 Leaching and runoff")</f>
        <v>4.3.1.6-7 Leaching and runoff</v>
      </c>
      <c r="D17" s="5" t="str" cm="1">
        <f t="array" ref="D17">SourceData_Dairy.SourceData_Dairy_LiveweightCowsAndHeifers_Source()</f>
        <v>VEERG 2026: Table A.1.3.1</v>
      </c>
      <c r="M17" s="1"/>
    </row>
    <row r="18" spans="1:13" ht="20.100000000000001" customHeight="1" x14ac:dyDescent="0.25">
      <c r="A18" s="17" t="str">
        <f>HYPERLINK("#'4.3.1.8 Manure applied to soils'!A1", "4.3.1.8 Manure applied to soils")</f>
        <v>4.3.1.8 Manure applied to soils</v>
      </c>
      <c r="D18" s="1" t="str" cm="1">
        <f t="array" ref="D18">SourceData_Dairy.SourceData_Dairy_LiveweightCowsAndHeifers_Variable()</f>
        <v>Wj</v>
      </c>
      <c r="M18" s="1"/>
    </row>
    <row r="19" spans="1:13" ht="20.100000000000001" customHeight="1" x14ac:dyDescent="0.25">
      <c r="A19" s="17" t="str">
        <f>HYPERLINK("#'4.3.1.9 Soil direct N2O'!A1", "4.3.1.9 Soil direct N2O")</f>
        <v>4.3.1.9 Soil direct N2O</v>
      </c>
      <c r="D19" s="55" t="str" cm="1">
        <f t="array" ref="D19">SourceData_Dairy.SourceData_Dairy_LiveweightCowsAndHeifers_Unit()</f>
        <v>kg</v>
      </c>
      <c r="M19" s="1"/>
    </row>
    <row r="20" spans="1:13" ht="20.100000000000001" customHeight="1" x14ac:dyDescent="0.25">
      <c r="A20" s="17" t="str">
        <f>HYPERLINK("#'4.3.1.10-11 Soil Atmos Dep'!A1", "4.3.1.10-11 Soil Atmos Dep")</f>
        <v>4.3.1.10-11 Soil Atmos Dep</v>
      </c>
      <c r="D20" s="56"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HYPERLINK("#'4.3.1.12-13 Soil leach runoff'!A1", "4.3.1.12-13 Soil leach runoff")</f>
        <v>4.3.1.12-13 Soil leach runoff</v>
      </c>
      <c r="D21" s="38" t="s">
        <v>164</v>
      </c>
      <c r="E21" s="38" t="s">
        <v>165</v>
      </c>
      <c r="F21" s="38" t="s">
        <v>166</v>
      </c>
      <c r="G21" s="38" t="s">
        <v>167</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54" t="s">
        <v>1</v>
      </c>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68" t="str">
        <f>HYPERLINK("#'Constants - Dairy'!A1", "Constants - Dairy")</f>
        <v>Constants - Dairy</v>
      </c>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A26" s="17" t="str">
        <f>HYPERLINK("#'Constants - Common'!A1", "Constants - Common")</f>
        <v>Constants - Common</v>
      </c>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A27" s="17" t="str">
        <f>HYPERLINK("#'Constants - Livestock'!A1", "Constants - Livestock")</f>
        <v>Constants - Livestock</v>
      </c>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A28" s="17" t="str">
        <f>HYPERLINK("#'Acknowledgements'!A1", "Acknowledgements")</f>
        <v>Acknowledgements</v>
      </c>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A29" s="17" t="str">
        <f>HYPERLINK("#'Tab template'!A1", "Tab template")</f>
        <v>Tab template</v>
      </c>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5" t="str" cm="1">
        <f t="array" ref="D37">SourceData_Dairy.SourceData_Dairy_LiveweightBulls_Unit()</f>
        <v>kg</v>
      </c>
      <c r="M37" s="1"/>
    </row>
    <row r="38" spans="4:13" ht="20.100000000000001" customHeight="1" x14ac:dyDescent="0.25">
      <c r="D38" s="38" t="s">
        <v>164</v>
      </c>
      <c r="E38" s="38" t="s">
        <v>169</v>
      </c>
      <c r="F38" s="38" t="s">
        <v>168</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5" t="str" cm="1">
        <f t="array" ref="D45">SourceData_Dairy.SourceData_Dairy_LiveweightGain_Unit()</f>
        <v>kg</v>
      </c>
      <c r="M45" s="1"/>
    </row>
    <row r="46" spans="4:13" ht="20.100000000000001" customHeight="1" x14ac:dyDescent="0.25">
      <c r="D46" s="38" t="s">
        <v>165</v>
      </c>
      <c r="E46" s="38" t="s">
        <v>166</v>
      </c>
      <c r="F46" s="38" t="s">
        <v>167</v>
      </c>
      <c r="G46" s="38" t="s">
        <v>169</v>
      </c>
      <c r="H46" s="38" t="s">
        <v>168</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5" t="str" cm="1">
        <f t="array" ref="D53">SourceData_Dairy.SourceData_Dairy_ReferenceWeights_Unit()</f>
        <v>kg</v>
      </c>
      <c r="M53" s="1"/>
    </row>
    <row r="54" spans="4:13" ht="20.100000000000001" customHeight="1" x14ac:dyDescent="0.25">
      <c r="D54" s="121" t="s">
        <v>165</v>
      </c>
      <c r="E54" s="121" t="s">
        <v>166</v>
      </c>
      <c r="F54" s="121" t="s">
        <v>167</v>
      </c>
      <c r="G54" s="121" t="s">
        <v>169</v>
      </c>
      <c r="H54" s="121" t="s">
        <v>168</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5" t="str" cm="1">
        <f t="array" ref="D61">SourceData_Dairy.SourceData_Dairy_PreWeanedCalves_Unit()</f>
        <v>kg/day</v>
      </c>
      <c r="M61" s="1"/>
    </row>
    <row r="62" spans="4:13" ht="20.100000000000001" customHeight="1" x14ac:dyDescent="0.25">
      <c r="D62" s="38" t="s">
        <v>170</v>
      </c>
      <c r="E62" s="38" t="s">
        <v>171</v>
      </c>
      <c r="F62" s="38" t="s">
        <v>172</v>
      </c>
      <c r="G62" s="38" t="s">
        <v>173</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5" t="str" cm="1">
        <f t="array" ref="D70">SourceData_Dairy.SourceData_Dairy_MCF_Unit()</f>
        <v>fraction</v>
      </c>
      <c r="M70" s="1"/>
    </row>
    <row r="71" spans="4:22" ht="20.100000000000001" customHeight="1" x14ac:dyDescent="0.25">
      <c r="D71" s="56" t="str" cm="1">
        <f t="array" ref="D71">SourceData_Dairy.SourceData_Dairy_MCF_Variation()</f>
        <v>VARIATION OF SOURCE: Added 'NIR reference' column to aid lookup</v>
      </c>
      <c r="M71" s="1"/>
      <c r="V71" s="1"/>
    </row>
    <row r="72" spans="4:22" ht="20.100000000000001" customHeight="1" x14ac:dyDescent="0.25">
      <c r="D72" s="38" t="s">
        <v>94</v>
      </c>
      <c r="E72" s="38" t="s">
        <v>77</v>
      </c>
      <c r="F72" s="38" t="s">
        <v>78</v>
      </c>
      <c r="G72" s="38" t="s">
        <v>79</v>
      </c>
      <c r="H72" s="38" t="s">
        <v>80</v>
      </c>
      <c r="I72" s="38" t="s">
        <v>81</v>
      </c>
      <c r="J72" s="38" t="s">
        <v>82</v>
      </c>
      <c r="K72" s="38" t="s">
        <v>83</v>
      </c>
      <c r="L72" s="38" t="s">
        <v>84</v>
      </c>
      <c r="M72" s="38" t="s">
        <v>181</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5" t="str" cm="1">
        <f t="array" ref="D84">SourceData_Dairy.SourceData_Dairy_NitrousOxideEFsAndFracGASM_Unit()</f>
        <v>kg N2O-N/kg N excreted</v>
      </c>
      <c r="M84" s="1"/>
    </row>
    <row r="85" spans="4:22" ht="20.100000000000001" customHeight="1" x14ac:dyDescent="0.25">
      <c r="D85" s="56" t="str" cm="1">
        <f t="array" ref="D85">SourceData_Dairy.SourceData_Dairy_NitrousOxideEFsAndFracGASM_Variation()</f>
        <v>VARIATION OF SOURCE: Added 'NIR reference' column to aid lookup</v>
      </c>
      <c r="M85" s="1"/>
      <c r="V85" s="1"/>
    </row>
    <row r="86" spans="4:22" ht="20.100000000000001" customHeight="1" x14ac:dyDescent="0.25">
      <c r="D86" s="38" t="s">
        <v>94</v>
      </c>
      <c r="E86" s="38" t="s">
        <v>174</v>
      </c>
      <c r="F86" s="38" t="s">
        <v>175</v>
      </c>
      <c r="G86" s="38" t="s">
        <v>181</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5" t="str" cm="1">
        <f t="array" ref="D97">SourceData_Dairy.SourceData_Dairy_MethaneProductionPreWeanedCalves_Unit()</f>
        <v>kg CH4/head/day</v>
      </c>
      <c r="M97" s="1"/>
    </row>
    <row r="98" spans="4:13" ht="20.100000000000001" customHeight="1" x14ac:dyDescent="0.25">
      <c r="D98" s="38" t="s">
        <v>170</v>
      </c>
      <c r="E98" s="38" t="s">
        <v>176</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5" t="str" cm="1">
        <f t="array" ref="D106">SourceData_Dairy.SourceData_Dairy_IncreasedMetabolicRateMilk_Unit()</f>
        <v/>
      </c>
      <c r="M106" s="1"/>
    </row>
    <row r="107" spans="4:13" ht="20.100000000000001" customHeight="1" x14ac:dyDescent="0.25">
      <c r="D107" s="38" t="s">
        <v>170</v>
      </c>
      <c r="E107" s="38" t="s">
        <v>177</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5" t="str" cm="1">
        <f t="array" ref="D115">SourceData_Dairy.SourceData_Dairy_FractionVolatileSolidsVoidedMMS_Unit()</f>
        <v>fraction</v>
      </c>
      <c r="M115" s="1"/>
      <c r="V115" s="1"/>
    </row>
    <row r="116" spans="4:22" ht="20.100000000000001" customHeight="1" x14ac:dyDescent="0.25">
      <c r="D116" s="38" t="s">
        <v>178</v>
      </c>
      <c r="E116" s="38" t="s">
        <v>139</v>
      </c>
      <c r="F116" s="38" t="s">
        <v>179</v>
      </c>
      <c r="G116" s="38" t="s">
        <v>180</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5" t="str" cm="1">
        <f t="array" ref="D126">SourceData_Dairy.SourceData_Dairy_EFNitrousOxidePerMMS_Unit()</f>
        <v>kg N2O-N/kg N</v>
      </c>
      <c r="M126" s="1"/>
      <c r="V126" s="1"/>
    </row>
    <row r="127" spans="4:22" ht="20.100000000000001" customHeight="1" x14ac:dyDescent="0.25">
      <c r="D127" s="56" t="str" cm="1">
        <f t="array" ref="D127">SourceData_Dairy.SourceData_Dairy_EFNitrousOxidePerMMS_Variation()</f>
        <v>VARIATION OF SOURCE: Added 'NIR reference' column to aid lookup</v>
      </c>
      <c r="M127" s="1"/>
      <c r="V127" s="1"/>
    </row>
    <row r="128" spans="4:22" ht="20.100000000000001" customHeight="1" x14ac:dyDescent="0.25">
      <c r="D128" s="38" t="s">
        <v>94</v>
      </c>
      <c r="E128" s="38" t="s">
        <v>174</v>
      </c>
      <c r="F128" s="38" t="s">
        <v>181</v>
      </c>
      <c r="G128" s="110" t="s">
        <v>196</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5" t="str" cm="1">
        <f t="array" ref="D139">SourceData_Dairy.SourceData_Dairy_DurationOfStay_Unit()</f>
        <v>days</v>
      </c>
      <c r="M139" s="23"/>
    </row>
    <row r="140" spans="4:22" ht="20.100000000000001" customHeight="1" x14ac:dyDescent="0.25">
      <c r="D140" s="56"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170</v>
      </c>
      <c r="E141" s="38" t="s">
        <v>191</v>
      </c>
      <c r="F141" s="38" t="s">
        <v>192</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5" t="str" cm="1">
        <f t="array" ref="D152">SourceData_Dairy.SourceData_Dairy_CrudeProtein_Unit()</f>
        <v>fraction</v>
      </c>
      <c r="M152" s="23"/>
    </row>
    <row r="153" spans="4:13" ht="20.100000000000001" customHeight="1" x14ac:dyDescent="0.25">
      <c r="D153" s="54"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5" t="str" cm="1">
        <f t="array" ref="D159">SourceData_Dairy.SourceData_Dairy_DryMatterDigestibility_Unit()</f>
        <v>fraction</v>
      </c>
      <c r="M159" s="23"/>
    </row>
    <row r="160" spans="4:13" ht="20.100000000000001" customHeight="1" x14ac:dyDescent="0.25">
      <c r="D160" s="54"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5" t="str" cm="1">
        <f t="array" ref="D166">SourceData_Dairy.SourceData_Dairy_NetEnergy_Unit()</f>
        <v>MJ net energy / kg milk</v>
      </c>
      <c r="M166" s="23"/>
    </row>
    <row r="167" spans="1:13" x14ac:dyDescent="0.25">
      <c r="D167" s="54"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5" t="str" cm="1">
        <f t="array" ref="D173">SourceData_Dairy.SourceData_Dairy_GrossEnergyContent_Unit()</f>
        <v>MJ / kgDM</v>
      </c>
      <c r="M173" s="23"/>
    </row>
    <row r="174" spans="1:13" x14ac:dyDescent="0.25">
      <c r="A174" s="137" t="str">
        <f>HYPERLINK("#A1", "▲ Back to top")</f>
        <v>▲ Back to top</v>
      </c>
      <c r="D174" s="54"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5" t="str" cm="1">
        <f t="array" ref="D180">SourceData_Dairy.SourceData_Dairy_EfficiencyOfUseOfMetabolizableEnergy_Unit()</f>
        <v>fraction</v>
      </c>
      <c r="M180" s="23"/>
    </row>
    <row r="181" spans="4:13" x14ac:dyDescent="0.25">
      <c r="D181" s="54"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5" t="str" cm="1">
        <f t="array" ref="D187">SourceData_Dairy.SourceData_Dairy_AshContent_Unit()</f>
        <v>fraction</v>
      </c>
      <c r="M187" s="23"/>
    </row>
    <row r="188" spans="4:13" x14ac:dyDescent="0.25">
      <c r="D188" s="54"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5" t="str" cm="1">
        <f t="array" ref="D194">SourceData_Dairy.SourceData_Dairy_MethaneEmissionsPotential_Unit()</f>
        <v>m3 CH4/kgVS</v>
      </c>
      <c r="M194" s="23"/>
    </row>
    <row r="195" spans="4:13" x14ac:dyDescent="0.25">
      <c r="D195" s="54"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5" t="str" cm="1">
        <f t="array" ref="D201">SourceData_Dairy.SourceData_Dairy_EmissionFactorForLeachingAndRunoff_Unit()</f>
        <v>kg N2O-N/kg N</v>
      </c>
      <c r="M201" s="23"/>
    </row>
    <row r="202" spans="4:13" x14ac:dyDescent="0.25">
      <c r="D202" s="54"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5" t="str" cm="1">
        <f t="array" ref="D208">SourceData_Dairy.SourceData_Dairy_FractionOfNitrogenLostThroughLeachingAndRunoff_Unit()</f>
        <v>Fraction</v>
      </c>
      <c r="M208" s="23"/>
    </row>
    <row r="209" spans="1:13" x14ac:dyDescent="0.25">
      <c r="D209" s="54"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SourceData_Dairy.SourceData_Dairy_FractionOfNitrogenLostThroughLeachingAndRunoffSolidStorage_Title()</f>
        <v>Fraction of nitrogen lost through leaching and runoff for solid storage MMS only</v>
      </c>
      <c r="M211" s="23"/>
    </row>
    <row r="212" spans="1:13" x14ac:dyDescent="0.25">
      <c r="D212" s="5" t="str" cm="1">
        <f t="array" ref="D212">SourceData_Dairy.SourceData_Dairy_FractionOfNitrogenLostThroughLeachingAndRunoffSolidStorage_Source()</f>
        <v>VEERG 2026: 4.3.2.3 CONSTANTS</v>
      </c>
      <c r="M212" s="23"/>
    </row>
    <row r="213" spans="1:13" x14ac:dyDescent="0.25">
      <c r="D213" s="1" t="str" cm="1">
        <f t="array" ref="D213">SourceData_Dairy.SourceData_Dairy_FractionOfNitrogenLostThroughLeachingAndRunoffSolidStorage_Variable()</f>
        <v>Frac_LEACH_MS</v>
      </c>
      <c r="M213" s="23"/>
    </row>
    <row r="214" spans="1:13" x14ac:dyDescent="0.25">
      <c r="D214" s="55" t="str" cm="1">
        <f t="array" ref="D214">SourceData_Dairy.SourceData_Dairy_FractionOfNitrogenLostThroughLeachingAndRunoffSolidStorage_Unit()</f>
        <v>Fraction</v>
      </c>
      <c r="M214" s="23"/>
    </row>
    <row r="215" spans="1:13" x14ac:dyDescent="0.25">
      <c r="A215" s="137" t="str">
        <f>HYPERLINK("#A1", "▲ Back to top")</f>
        <v>▲ Back to top</v>
      </c>
      <c r="D215" s="54" cm="1">
        <f t="array" ref="D215">SourceData_Dairy.SourceData_Dairy_FractionOfNitrogenLostThroughLeachingAndRunoffSolidStorage_Data()</f>
        <v>0.02</v>
      </c>
      <c r="M215" s="23"/>
    </row>
    <row r="216" spans="1:13" x14ac:dyDescent="0.25">
      <c r="M216" s="23"/>
    </row>
    <row r="217" spans="1:13" ht="23.25" x14ac:dyDescent="0.25">
      <c r="D217" s="6" t="str" cm="1">
        <f t="array" ref="D217">SourceData_Dairy.SourceData_Dairy_FracGASMSoil_Title()</f>
        <v>Fraction of nitrogen volatilized from urine and faeces deposited on pasture</v>
      </c>
      <c r="M217" s="23"/>
    </row>
    <row r="218" spans="1:13" x14ac:dyDescent="0.25">
      <c r="D218" s="5" t="str" cm="1">
        <f t="array" ref="D218">SourceData_Dairy.SourceData_Dairy_FracGASMSoil_Source()</f>
        <v>VEERG 2026: 4.3.2.3 CONSTANTS</v>
      </c>
      <c r="M218" s="23"/>
    </row>
    <row r="219" spans="1:13" x14ac:dyDescent="0.25">
      <c r="D219" s="1" t="str" cm="1">
        <f t="array" ref="D219">SourceData_Dairy.SourceData_Dairy_FracGASMSoil_Variable()</f>
        <v>FracGASMsoil</v>
      </c>
      <c r="M219" s="23"/>
    </row>
    <row r="220" spans="1:13" x14ac:dyDescent="0.25">
      <c r="D220" s="55" t="str" cm="1">
        <f t="array" ref="D220">SourceData_Dairy.SourceData_Dairy_FracGASMSoil_Unit()</f>
        <v>(kg NH3-N + NOx-N)/kg N</v>
      </c>
      <c r="M220" s="23"/>
    </row>
    <row r="221" spans="1:13" x14ac:dyDescent="0.25">
      <c r="D221" s="54" cm="1">
        <f t="array" ref="D221">SourceData_Dairy.SourceData_Dairy_FracGASMSoil_Data()</f>
        <v>0.21</v>
      </c>
      <c r="M221" s="23"/>
    </row>
    <row r="222" spans="1:13" x14ac:dyDescent="0.25">
      <c r="M222" s="23"/>
    </row>
    <row r="223" spans="1:13" ht="23.25" x14ac:dyDescent="0.25">
      <c r="D223" s="6" t="str" cm="1">
        <f t="array" ref="D223">SourceData_Dairy.SourceData_Dairy_FatContentInMilk_Title()</f>
        <v>Fat content in fat and protein corrected milk</v>
      </c>
      <c r="M223" s="23"/>
    </row>
    <row r="224" spans="1:13" x14ac:dyDescent="0.25">
      <c r="D224" s="5" t="str" cm="1">
        <f t="array" ref="D224">SourceData_Dairy.SourceData_Dairy_FatContentInMilk_Source()</f>
        <v>VEERG 2026: 3.3.2.2 DATA (METHOD 1 AND 2 OPTIONS)</v>
      </c>
      <c r="M224" s="23"/>
    </row>
    <row r="225" spans="4:13" x14ac:dyDescent="0.25">
      <c r="D225" s="1" t="str" cm="1">
        <f t="array" ref="D225">SourceData_Dairy.SourceData_Dairy_FatContentInMilk_Variable()</f>
        <v>FC_j</v>
      </c>
      <c r="M225" s="23"/>
    </row>
    <row r="226" spans="4:13" x14ac:dyDescent="0.25">
      <c r="D226" s="55" t="str" cm="1">
        <f t="array" ref="D226">SourceData_Dairy.SourceData_Dairy_FatContentInMilk_Unit()</f>
        <v>percent</v>
      </c>
      <c r="M226" s="23"/>
    </row>
    <row r="227" spans="4:13" x14ac:dyDescent="0.25">
      <c r="D227" s="54" cm="1">
        <f t="array" ref="D227">SourceData_Dairy.SourceData_Dairy_FatContentInMilk_Data()</f>
        <v>4</v>
      </c>
      <c r="M227" s="23"/>
    </row>
    <row r="228" spans="4:13" x14ac:dyDescent="0.25">
      <c r="M228" s="23"/>
    </row>
    <row r="229" spans="4:13" ht="23.25" x14ac:dyDescent="0.25">
      <c r="D229" s="6" t="str" cm="1">
        <f t="array" ref="D229">SourceData_Dairy.SourceData_Dairy_ProteinContentInMilk_Title()</f>
        <v>Protein content in fat and protein corrected milk</v>
      </c>
      <c r="M229" s="23"/>
    </row>
    <row r="230" spans="4:13" x14ac:dyDescent="0.25">
      <c r="D230" s="5" t="str" cm="1">
        <f t="array" ref="D230">SourceData_Dairy.SourceData_Dairy_ProteinContentInMilk_Source()</f>
        <v>VEERG 2026: 3.3.2.2 DATA (METHOD 1 AND 2 OPTIONS)</v>
      </c>
      <c r="M230" s="23"/>
    </row>
    <row r="231" spans="4:13" x14ac:dyDescent="0.25">
      <c r="D231" s="1" t="str" cm="1">
        <f t="array" ref="D231">SourceData_Dairy.SourceData_Dairy_ProteinContentInMilk_Variable()</f>
        <v>PC_j</v>
      </c>
      <c r="M231" s="23"/>
    </row>
    <row r="232" spans="4:13" x14ac:dyDescent="0.25">
      <c r="D232" s="55" t="str" cm="1">
        <f t="array" ref="D232">SourceData_Dairy.SourceData_Dairy_ProteinContentInMilk_Unit()</f>
        <v>percent</v>
      </c>
      <c r="M232" s="23"/>
    </row>
    <row r="233" spans="4:13" x14ac:dyDescent="0.25">
      <c r="D233" s="54" cm="1">
        <f t="array" ref="D233">SourceData_Dairy.SourceData_Dairy_ProteinContentInMilk_Data()</f>
        <v>3.3</v>
      </c>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D9BD9-2D5E-442D-A6F0-C7282DA04AC5}">
  <dimension ref="A1:BY259"/>
  <sheetViews>
    <sheetView showGridLines="0" topLeftCell="A86" zoomScaleNormal="100" workbookViewId="0">
      <selection activeCell="A28" sqref="A2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7" t="e" vm="1">
        <v>#VALUE!</v>
      </c>
      <c r="C1" s="8" t="s">
        <v>73</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20</v>
      </c>
      <c r="E6" s="38" t="s">
        <v>21</v>
      </c>
      <c r="F6" s="38" t="s">
        <v>22</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72</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HYPERLINK("#'4.3.1.1-2 Methane'!A1", "4.3.1.1-2 Methane")</f>
        <v>4.3.1.1-2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HYPERLINK("#'4.3.1.3-4 Direct N20'!A1", "4.3.1.3-4 Direct N20")</f>
        <v>4.3.1.3-4 Direct N20</v>
      </c>
    </row>
    <row r="16" spans="1:65" ht="20.100000000000001" customHeight="1" x14ac:dyDescent="0.25">
      <c r="A16" s="17" t="str">
        <f>HYPERLINK("#'4.3.1.5 Atmos deposition'!A1", "4.3.1.5 Atmos deposition")</f>
        <v>4.3.1.5 Atmos deposition</v>
      </c>
    </row>
    <row r="17" spans="1:4" ht="20.100000000000001" customHeight="1" x14ac:dyDescent="0.25">
      <c r="A17" s="17" t="str">
        <f>HYPERLINK("#'4.3.1.6-7 Leaching and runoff'!A1", "4.3.1.6-7 Leaching and runoff")</f>
        <v>4.3.1.6-7 Leaching and runoff</v>
      </c>
    </row>
    <row r="18" spans="1:4" ht="20.100000000000001" customHeight="1" x14ac:dyDescent="0.25">
      <c r="A18" s="17" t="str">
        <f>HYPERLINK("#'4.3.1.8 Manure applied to soils'!A1", "4.3.1.8 Manure applied to soils")</f>
        <v>4.3.1.8 Manure applied to soils</v>
      </c>
      <c r="D18" s="6" t="str" cm="1">
        <f t="array" ref="D18">Common_SourceData.Common_SourceData_WASA4Areas_Title()</f>
        <v>ABS Statistcal Areas Level 4 - Western Australia</v>
      </c>
    </row>
    <row r="19" spans="1:4" ht="20.100000000000001" customHeight="1" x14ac:dyDescent="0.25">
      <c r="A19" s="17" t="str">
        <f>HYPERLINK("#'4.3.1.9 Soil direct N2O'!A1", "4.3.1.9 Soil direct N2O")</f>
        <v>4.3.1.9 Soil direct N2O</v>
      </c>
      <c r="D19" s="5" t="str" cm="1">
        <f t="array" ref="D19">Common_SourceData.Common_SourceData_WASA4Areas_Source()</f>
        <v>Australian Bureau of Statistics (ABS) - Statistical Areas Level 2 - 2021 - Shapefile</v>
      </c>
    </row>
    <row r="20" spans="1:4" ht="20.100000000000001" customHeight="1" x14ac:dyDescent="0.25">
      <c r="A20" s="17" t="str">
        <f>HYPERLINK("#'4.3.1.10-11 Soil Atmos Dep'!A1", "4.3.1.10-11 Soil Atmos Dep")</f>
        <v>4.3.1.10-11 Soil Atmos Dep</v>
      </c>
      <c r="D20" s="38" t="s">
        <v>23</v>
      </c>
    </row>
    <row r="21" spans="1:4" ht="20.100000000000001" customHeight="1" x14ac:dyDescent="0.25">
      <c r="A21" s="17" t="str">
        <f>HYPERLINK("#'4.3.1.12-13 Soil leach runoff'!A1", "4.3.1.12-13 Soil leach runoff")</f>
        <v>4.3.1.12-13 Soil leach runoff</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s="154" t="s">
        <v>1</v>
      </c>
      <c r="D24" s="38" t="str" cm="1">
        <f t="array" ref="D24">Common_InputFunctions.Utility_DisplayArrayInTable(Common_SourceData.Common_SourceData_WASA4Areas_Data(), Table_WASA4Areas[[#Headers],[SA 4 Name]], 0)</f>
        <v>Perth - North East</v>
      </c>
    </row>
    <row r="25" spans="1:4" ht="20.100000000000001" customHeight="1" x14ac:dyDescent="0.25">
      <c r="A25" s="17" t="str">
        <f>HYPERLINK("#'Constants - Dairy'!A1", "Constants - Dairy")</f>
        <v>Constants - Dairy</v>
      </c>
      <c r="D25" s="38" t="str" cm="1">
        <f t="array" ref="D25">Common_InputFunctions.Utility_DisplayArrayInTable(Common_SourceData.Common_SourceData_WASA4Areas_Data(), Table_WASA4Areas[[#Headers],[SA 4 Name]], 0)</f>
        <v>Perth - North West</v>
      </c>
    </row>
    <row r="26" spans="1:4" ht="20.100000000000001" customHeight="1" x14ac:dyDescent="0.25">
      <c r="A26" s="68" t="str">
        <f>HYPERLINK("#'Constants - Common'!A1", "Constants - Common")</f>
        <v>Constants - Common</v>
      </c>
      <c r="D26" s="38" t="str" cm="1">
        <f t="array" ref="D26">Common_InputFunctions.Utility_DisplayArrayInTable(Common_SourceData.Common_SourceData_WASA4Areas_Data(), Table_WASA4Areas[[#Headers],[SA 4 Name]], 0)</f>
        <v>Perth - South East</v>
      </c>
    </row>
    <row r="27" spans="1:4" ht="20.100000000000001" customHeight="1" x14ac:dyDescent="0.25">
      <c r="A27" s="17" t="str">
        <f>HYPERLINK("#'Constants - Livestock'!A1", "Constants - Livestock")</f>
        <v>Constants - Livestock</v>
      </c>
      <c r="D27" s="38" t="str" cm="1">
        <f t="array" ref="D27">Common_InputFunctions.Utility_DisplayArrayInTable(Common_SourceData.Common_SourceData_WASA4Areas_Data(), Table_WASA4Areas[[#Headers],[SA 4 Name]], 0)</f>
        <v>Perth - South West</v>
      </c>
    </row>
    <row r="28" spans="1:4" ht="20.100000000000001" customHeight="1" x14ac:dyDescent="0.25">
      <c r="A28" s="17" t="str">
        <f>HYPERLINK("#'Acknowledgements'!A1", "Acknowledgements")</f>
        <v>Acknowledgements</v>
      </c>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s="17" t="str">
        <f>HYPERLINK("#'Tab template'!A1", "Tab template")</f>
        <v>Tab template</v>
      </c>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26</v>
      </c>
      <c r="E36" s="38" t="s">
        <v>27</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26</v>
      </c>
      <c r="E47" s="38" t="s">
        <v>29</v>
      </c>
      <c r="F47" s="38" t="s">
        <v>30</v>
      </c>
      <c r="G47" s="38" t="s">
        <v>31</v>
      </c>
      <c r="H47" s="38" t="s">
        <v>32</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6" t="str" cm="1">
        <f t="array" ref="D59:D61">"⚠️" &amp; Common_SourceData.Common_SourceData_WetAndDryZones_Variation()</f>
        <v>⚠️VARIATION OF SOURCE DATA:</v>
      </c>
    </row>
    <row r="60" spans="1:8" ht="20.100000000000001" customHeight="1" x14ac:dyDescent="0.25">
      <c r="A60"/>
      <c r="D60" s="56" t="str">
        <v>⚠️Added warm / cool temperate moist / dry - low frost and high temp classes to accommodate climate scenarios excluded by VEERG criteria.</v>
      </c>
    </row>
    <row r="61" spans="1:8" ht="20.100000000000001" customHeight="1" x14ac:dyDescent="0.25">
      <c r="A61"/>
      <c r="D61" s="56" t="str">
        <v>⚠️Fixed typo - Changed 'Fry' to 'Dry'.</v>
      </c>
    </row>
    <row r="62" spans="1:8" ht="20.100000000000001" customHeight="1" x14ac:dyDescent="0.25">
      <c r="A62"/>
    </row>
    <row r="63" spans="1:8" ht="20.100000000000001" customHeight="1" x14ac:dyDescent="0.25">
      <c r="A63"/>
      <c r="D63" s="38" t="s">
        <v>7</v>
      </c>
      <c r="E63" s="38" t="s">
        <v>46</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6" t="str" cm="1">
        <f t="array" ref="D83:D87">"⚠️" &amp; Common_SourceData.Common_SourceData_ClimateZones_Variation()</f>
        <v>⚠️VARIATION OF SOURCE DATA:</v>
      </c>
    </row>
    <row r="84" spans="1:20" ht="20.100000000000001" customHeight="1" x14ac:dyDescent="0.25">
      <c r="A84"/>
      <c r="D84" s="56" t="str">
        <v>⚠️Added warm / cool temperate moist / dry - low frost and high temp classes to accommodate climate scenarios excluded by VEERG criteria.</v>
      </c>
    </row>
    <row r="85" spans="1:20" ht="20.100000000000001" customHeight="1" x14ac:dyDescent="0.25">
      <c r="A85"/>
      <c r="D85" s="56" t="str">
        <v>⚠️Fixed typo in MAT value for warm temperate dry - changed 10 to 11.</v>
      </c>
    </row>
    <row r="86" spans="1:20" ht="20.100000000000001" customHeight="1" x14ac:dyDescent="0.25">
      <c r="A86"/>
      <c r="D86" s="56" t="str">
        <v>⚠️Added min and max columns for MAT, MAP, frost days per year, elevation, MAP:PET to calculate zones from real climate data.</v>
      </c>
    </row>
    <row r="87" spans="1:20" ht="20.100000000000001" customHeight="1" x14ac:dyDescent="0.25">
      <c r="A87"/>
      <c r="D87" s="56" t="str">
        <v>⚠️GAF accepts rainfall as a proxy for precipitation.</v>
      </c>
    </row>
    <row r="88" spans="1:20" ht="20.100000000000001" customHeight="1" x14ac:dyDescent="0.25">
      <c r="A88"/>
    </row>
    <row r="89" spans="1:20" ht="20.100000000000001" customHeight="1" x14ac:dyDescent="0.25">
      <c r="A89"/>
      <c r="D89" s="38" t="s">
        <v>7</v>
      </c>
      <c r="E89" s="38" t="s">
        <v>34</v>
      </c>
      <c r="F89" s="38" t="s">
        <v>35</v>
      </c>
      <c r="G89" s="38" t="s">
        <v>36</v>
      </c>
      <c r="H89" s="38" t="s">
        <v>37</v>
      </c>
      <c r="I89" s="38" t="s">
        <v>38</v>
      </c>
      <c r="J89" s="38" t="s">
        <v>39</v>
      </c>
      <c r="K89" s="38" t="s">
        <v>40</v>
      </c>
      <c r="L89" s="38" t="s">
        <v>41</v>
      </c>
      <c r="M89" s="38" t="s">
        <v>42</v>
      </c>
      <c r="N89" s="38" t="s">
        <v>43</v>
      </c>
      <c r="O89" s="38" t="s">
        <v>47</v>
      </c>
      <c r="P89" s="38" t="s">
        <v>44</v>
      </c>
      <c r="Q89" s="38" t="s">
        <v>48</v>
      </c>
      <c r="R89" s="38" t="s">
        <v>45</v>
      </c>
      <c r="S89" s="38" t="s">
        <v>49</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5" t="str" cm="1">
        <f t="array" ref="D99:D102">Common_SourceData.Common_SourceData_ClimateZones_Appendices()</f>
        <v>Note:</v>
      </c>
    </row>
    <row r="100" spans="1:20" ht="20.100000000000001" customHeight="1" x14ac:dyDescent="0.25">
      <c r="A100"/>
      <c r="D100" s="55" t="str">
        <v>MAT = mean annual temperature</v>
      </c>
    </row>
    <row r="101" spans="1:20" ht="20.100000000000001" customHeight="1" x14ac:dyDescent="0.25">
      <c r="A101"/>
      <c r="D101" s="55" t="str">
        <v>MAP = mean annual precipitation</v>
      </c>
    </row>
    <row r="102" spans="1:20" ht="20.100000000000001" customHeight="1" x14ac:dyDescent="0.25">
      <c r="A102"/>
      <c r="D102" s="55" t="str">
        <v>PET = potential evapotranspiration</v>
      </c>
    </row>
    <row r="103" spans="1:20" ht="20.100000000000001" customHeight="1" x14ac:dyDescent="0.25">
      <c r="A103"/>
      <c r="D103" s="55"/>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53</v>
      </c>
      <c r="E109" s="38" t="s">
        <v>34</v>
      </c>
      <c r="F109" s="38" t="s">
        <v>54</v>
      </c>
      <c r="G109" s="38" t="s">
        <v>55</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56</v>
      </c>
      <c r="E119" s="38" t="s">
        <v>57</v>
      </c>
      <c r="F119" s="38" t="s">
        <v>41</v>
      </c>
      <c r="G119" s="38" t="s">
        <v>42</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63</v>
      </c>
      <c r="E127" s="38" t="s">
        <v>64</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88</v>
      </c>
      <c r="E134" t="s">
        <v>89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319</v>
      </c>
      <c r="E142" s="38" t="s">
        <v>89</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66</v>
      </c>
      <c r="E153" s="38" t="s">
        <v>67</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8" t="s">
        <v>135</v>
      </c>
      <c r="E186" s="38" t="s">
        <v>136</v>
      </c>
      <c r="F186" s="38" t="s">
        <v>137</v>
      </c>
      <c r="G186" s="38" t="s">
        <v>138</v>
      </c>
      <c r="H186" s="38" t="s">
        <v>33</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8" t="s">
        <v>7</v>
      </c>
      <c r="E206" s="38" t="s">
        <v>354</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383</v>
      </c>
      <c r="E212" s="38" t="s">
        <v>384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50</v>
      </c>
      <c r="E231" s="38" t="s">
        <v>392</v>
      </c>
      <c r="F231" s="37" t="s">
        <v>393</v>
      </c>
      <c r="G231" s="38" t="s">
        <v>394</v>
      </c>
      <c r="H231" s="38" t="s">
        <v>395</v>
      </c>
      <c r="I231" s="38" t="s">
        <v>396</v>
      </c>
      <c r="J231" s="38" t="s">
        <v>397</v>
      </c>
      <c r="K231" s="38" t="s">
        <v>398</v>
      </c>
      <c r="L231" s="38" t="s">
        <v>399</v>
      </c>
      <c r="M231" s="38" t="s">
        <v>400</v>
      </c>
      <c r="N231" s="38" t="s">
        <v>401</v>
      </c>
      <c r="O231" s="38" t="s">
        <v>402</v>
      </c>
      <c r="P231" s="38" t="s">
        <v>403</v>
      </c>
      <c r="Q231" s="38" t="s">
        <v>404</v>
      </c>
      <c r="R231" s="38" t="s">
        <v>405</v>
      </c>
      <c r="S231" s="38" t="s">
        <v>406</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5" x14ac:dyDescent="0.25">
      <c r="D257" s="38" t="s">
        <v>461</v>
      </c>
      <c r="E257" s="38" t="s">
        <v>462</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topLeftCell="A2"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75</v>
      </c>
      <c r="E9" s="38" t="s">
        <v>19</v>
      </c>
      <c r="F9" s="38" t="s">
        <v>76</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72</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HYPERLINK("#'4.3.1.1-2 Methane'!A1", "4.3.1.1-2 Methane")</f>
        <v>4.3.1.1-2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HYPERLINK("#'4.3.1.3-4 Direct N20'!A1", "4.3.1.3-4 Direct N20")</f>
        <v>4.3.1.3-4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HYPERLINK("#'4.3.1.5 Atmos deposition'!A1", "4.3.1.5 Atmos deposition")</f>
        <v>4.3.1.5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HYPERLINK("#'4.3.1.6-7 Leaching and runoff'!A1", "4.3.1.6-7 Leaching and runoff")</f>
        <v>4.3.1.6-7 Leaching and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HYPERLINK("#'4.3.1.8 Manure applied to soils'!A1", "4.3.1.8 Manure applied to soils")</f>
        <v>4.3.1.8 Manure applied to soils</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HYPERLINK("#'4.3.1.9 Soil direct N2O'!A1", "4.3.1.9 Soil direct N2O")</f>
        <v>4.3.1.9 Soil direct N2O</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HYPERLINK("#'4.3.1.10-11 Soil Atmos Dep'!A1", "4.3.1.10-11 Soil Atmos Dep")</f>
        <v>4.3.1.10-11 Soil Atmos Dep</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HYPERLINK("#'4.3.1.12-13 Soil leach runoff'!A1", "4.3.1.12-13 Soil leach runoff")</f>
        <v>4.3.1.12-13 Soil leach runoff</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54" t="s">
        <v>1</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HYPERLINK("#'Constants - Dairy'!A1", "Constants - Dairy")</f>
        <v>Constants - Dairy</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HYPERLINK("#'Constants - Common'!A1", "Constants - Common")</f>
        <v>Constants - Common</v>
      </c>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68" t="str">
        <f>HYPERLINK("#'Constants - Livestock'!A1", "Constants - Livestock")</f>
        <v>Constants - Livestock</v>
      </c>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A28" s="17" t="str">
        <f>HYPERLINK("#'Acknowledgements'!A1", "Acknowledgements")</f>
        <v>Acknowledgements</v>
      </c>
      <c r="G28" s="3"/>
      <c r="H28" s="3"/>
    </row>
    <row r="29" spans="1:8" ht="20.100000000000001" customHeight="1" x14ac:dyDescent="0.25">
      <c r="A29" s="17" t="str">
        <f>HYPERLINK("#'Tab template'!A1", "Tab template")</f>
        <v>Tab template</v>
      </c>
    </row>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68"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7"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row>
    <row r="11" spans="1:21" ht="20.100000000000001" customHeight="1" x14ac:dyDescent="0.25"/>
    <row r="12" spans="1:21" ht="20.100000000000001" customHeight="1" x14ac:dyDescent="0.25"/>
    <row r="13" spans="1:21" ht="20.100000000000001" customHeight="1" x14ac:dyDescent="0.25">
      <c r="A13" s="18" t="s">
        <v>72</v>
      </c>
    </row>
    <row r="14" spans="1:21" ht="20.100000000000001" customHeight="1" x14ac:dyDescent="0.25">
      <c r="A14" s="17" t="str">
        <f>HYPERLINK("#'4.3.1.1-2 Methane'!A1", "4.3.1.1-2 Methane")</f>
        <v>4.3.1.1-2 Methane</v>
      </c>
    </row>
    <row r="15" spans="1:21" ht="20.100000000000001" customHeight="1" x14ac:dyDescent="0.25">
      <c r="A15" s="17" t="str">
        <f>HYPERLINK("#'4.3.1.3-4 Direct N20'!A1", "4.3.1.3-4 Direct N20")</f>
        <v>4.3.1.3-4 Direct N20</v>
      </c>
    </row>
    <row r="16" spans="1:21" ht="20.100000000000001" customHeight="1" x14ac:dyDescent="0.25">
      <c r="A16" s="17" t="str">
        <f>HYPERLINK("#'4.3.1.5 Atmos deposition'!A1", "4.3.1.5 Atmos deposition")</f>
        <v>4.3.1.5 Atmos deposition</v>
      </c>
    </row>
    <row r="17" spans="1:1" ht="20.100000000000001" customHeight="1" x14ac:dyDescent="0.25">
      <c r="A17" s="17" t="str">
        <f>HYPERLINK("#'4.3.1.6-7 Leaching and runoff'!A1", "4.3.1.6-7 Leaching and runoff")</f>
        <v>4.3.1.6-7 Leaching and runoff</v>
      </c>
    </row>
    <row r="18" spans="1:1" ht="20.100000000000001" customHeight="1" x14ac:dyDescent="0.25">
      <c r="A18" s="17" t="str">
        <f>HYPERLINK("#'4.3.1.8 Manure applied to soils'!A1", "4.3.1.8 Manure applied to soils")</f>
        <v>4.3.1.8 Manure applied to soils</v>
      </c>
    </row>
    <row r="19" spans="1:1" ht="20.100000000000001" customHeight="1" x14ac:dyDescent="0.25">
      <c r="A19" s="17" t="str">
        <f>HYPERLINK("#'4.3.1.9 Soil direct N2O'!A1", "4.3.1.9 Soil direct N2O")</f>
        <v>4.3.1.9 Soil direct N2O</v>
      </c>
    </row>
    <row r="20" spans="1:1" ht="20.100000000000001" customHeight="1" x14ac:dyDescent="0.25">
      <c r="A20" s="17" t="str">
        <f>HYPERLINK("#'4.3.1.10-11 Soil Atmos Dep'!A1", "4.3.1.10-11 Soil Atmos Dep")</f>
        <v>4.3.1.10-11 Soil Atmos Dep</v>
      </c>
    </row>
    <row r="21" spans="1:1" ht="20.100000000000001" customHeight="1" x14ac:dyDescent="0.25">
      <c r="A21" s="17" t="str">
        <f>HYPERLINK("#'4.3.1.12-13 Soil leach runoff'!A1", "4.3.1.12-13 Soil leach runoff")</f>
        <v>4.3.1.12-13 Soil leach runoff</v>
      </c>
    </row>
    <row r="22" spans="1:1" ht="20.100000000000001" customHeight="1" x14ac:dyDescent="0.25"/>
    <row r="23" spans="1:1" ht="20.100000000000001" customHeight="1" x14ac:dyDescent="0.25"/>
    <row r="24" spans="1:1" ht="20.100000000000001" customHeight="1" x14ac:dyDescent="0.25">
      <c r="A24" s="154" t="s">
        <v>1</v>
      </c>
    </row>
    <row r="25" spans="1:1" ht="20.100000000000001" customHeight="1" x14ac:dyDescent="0.25">
      <c r="A25" s="17" t="str">
        <f>HYPERLINK("#'Constants - Dairy'!A1", "Constants - Dairy")</f>
        <v>Constants - Dairy</v>
      </c>
    </row>
    <row r="26" spans="1:1" ht="20.100000000000001" customHeight="1" x14ac:dyDescent="0.25">
      <c r="A26" s="17" t="str">
        <f>HYPERLINK("#'Constants - Common'!A1", "Constants - Common")</f>
        <v>Constants - Common</v>
      </c>
    </row>
    <row r="27" spans="1:1" ht="20.100000000000001" customHeight="1" x14ac:dyDescent="0.25">
      <c r="A27" s="17" t="str">
        <f>HYPERLINK("#'Constants - Livestock'!A1", "Constants - Livestock")</f>
        <v>Constants - Livestock</v>
      </c>
    </row>
    <row r="28" spans="1:1" ht="20.100000000000001" customHeight="1" x14ac:dyDescent="0.25">
      <c r="A28" s="17" t="str">
        <f>HYPERLINK("#'Acknowledgements'!A1", "Acknowledgements")</f>
        <v>Acknowledgements</v>
      </c>
    </row>
    <row r="29" spans="1:1" ht="20.100000000000001" customHeight="1" x14ac:dyDescent="0.25">
      <c r="A29" s="68" t="str">
        <f>HYPERLINK("#'Tab template'!A1", "Tab template")</f>
        <v>Tab template</v>
      </c>
    </row>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DAALgAwADMAMgAgACoAIABNAFAAXwBqACAAKgAgADEALgAwADMAKQAgAC8AIAA2AC4AMwA4ACkAIAArACAAKAAoADAALgAyADEAMgAgAC0AIAAwAC4AMAAwADgAIAAqACAAKABMAF8AagAgAC0AIAAyACkAIAAtACAAKAAoADAALgAxADQAMAAgAC0AIAAwAC4AMAAwADgAIAAqACAAKABMAF8AagAgAC0AIAAyACkAKQAgAC8AIAAoADEAIAArACAARQBYAFAAKAAtADYAIAAqACAAKABaAF8AagAgAC0AIAAwAC4ANAApACkAKQApACkAIAAqACAAKABMAFcARwBfAGoAIAAqACAAMAAuADkAMgApACkAIAAqACAAKAAxACAALwAgADYALgAyADUAKQBcAG4AIAAgACkAOwBcAG4AXABuAFYARQBFAFIARwBfADQAXwAzAF8AMQBfADMAXwBfADYAXwBOAGkAdAByAG8AZwBlAG4AUgBlAHQAYQBpAG4AZQBkAEIAeQBCAG8AZAB5AF8AVABpAHQAbABlAFwAbgAgACAAPQBMAEEATQBCAEQAQQAoAFwAIgBBAG0AbwB1AG4AdAAgAG8AZgAgAG4AaQB0AHIAbwBnAGUAbgAgAHIAZQB0AGEAaQBuAGUAZAAgAGIAeQAgAHQAaABlACAAYgBvAGQAeQBcACIAKQA7AFwAbgBcAG4AVgBFAEUAUgBHAF8ANABfADMAXwAxAF8AMwBfAF8ANgBfAE4AaQB0AHIAbwBnAGUAbgBSAGUAdABhAGkAbgBlAGQAQgB5AEIAbwBkAHkAXwBWAGEAcgBpAGEAYgBsAGUAXABuACAAIAA9AEwAQQBNAEIARABBACgAXAAiAE4AUgBfAGoAXAAiACkAOwBcAG4AXABuAFYARQBFAFIARwBfADQAXwAzAF8AMQBfADMAXwBfADYAXwBOAGkAdAByAG8AZwBlAG4AUgBlAHQAYQBpAG4AZQBkAEIAeQBCAG8AZAB5AF8AVQBuAGkAdABcAG4AIAAgAD0ATABBAE0AQgBEAEEAKABcACIAawBnACAATgAvAGgAZQBhAGQALwBkAGEAeQBcACIAKQA7AFwAbgBcAG4AVgBFAEUAUgBHAF8ANABfADMAXwAxAF8AMwBfAF8ANgBfAE4AaQB0AHIAbwBnAGUAbgBSAGUAdABhAGkAbgBlAGQAQgB5AEIAbwBkAHkAXwBTAG8AdQByAGMAZQBcAG4AIAAgAD0ATABBAE0AQgBEAEEAKABcACIAVgBFAEUAUgBHACAAMgAwADIANgA6ACAANAAuADMALgAxAC4AMwAsACAARQBxAHUAYQB0AGkAbwBuACAAKAA2ACkAXAAiACkAOwBcAG4AXABuAFYARQBFAFIARwBfADQAXwAzAF8AMQBfADMAXwBfADYAXwBOAGkAdAByAG8AZwBlAG4AUgBlAHQAYQBpAG4AZQBkAEIAeQBCAG8AZAB5AF8ATgBJAFIAUgBlAGYAZQByAGUAbgBjAGUAXABuACAAIAA9AEwAQQBNAEIARABBACgAXAAiAFwAIgApADsAXABuAFwAbgBWAEUARQBSAEcAXwA0AF8AMwBfADEAXwAzAF8AXwA2AF8ATgBpAHQAcgBvAGcAZQBuAFIAZQB0AGEAaQBuAGUAZABCAHkAQgBvAGQAeQBfAEwAYQB0AGUAeABFAHEAdQBhAHQAaQBvAG4AXABuACAAIAA9AEwAQQBNAEIARABBACgAXAAiAE4AUgBfAGoAPQBcAFwAbABlAGYAdAAoAFwAXABmAHIAYQBjAHsAMAAuADAAMwAyACAAXABcAHQAaQBtAGUAcwAgAE0AUABfAGoAIABcAFwAdABpAG0AZQBzACAAMQAuADAAMwB9AHsANgAuADMAOAB9AFwAXAByAGkAZwBoAHQAKQAgACsAIABcAFwAbABlAGYAdABcAFwAewBcAFwAbABlAGYAdAAoADAALgAyADEAMgAtADAALgAwADAAOAAgAFwAXAB0AGkAbQBlAHMAIAAoAEwAXwBqACAALQAgADIAKQAgAC0AIABcAFwAbABlAGYAdABbAFwAXABmAHIAYQBjAHsAMAAuADEANAAwAC0AMAAuADAAMAA4AFwAXAB0AGkAbQBlAHMAKABMAF8AagAtADIAKQB9AHsAMQArAGUAXgB7AC0ANgBcAFwAdABpAG0AZQBzACgAWgBfAGoALQAwAC4ANAApAH0AfQBcAFwAcgBpAGcAaAB0AF0AXABcAHIAaQBnAGgAdAApACAAXABcAHQAaQBtAGUAcwAgACgATABXAEcAXwBqACAAXABcAHQAaQBtAGUAcwAgADAALgA5ADIAKQBcAFwAcgBpAGcAaAB0AFwAXAB9ACAAXABcAHQAaQBtAGUAcwAgAFwAXABmAHIAYQBjAHsAMQB9AHsANgAuADIANQB9AFwAIgApADsAXABuAFwAbgBWAEUARQBSAEcAXwA0AF8AMwBfADEAXwAzAF8AXwA2AF8ATgBpAHQAcgBvAGcAZQBuAFIAZQB0AGEAaQBuAGUAZABCAHkAQgBvAGQAeQBfAEEAcgBnAHUAbQBlAG4AdABzAFwAbgAgACAAPQBMAEEATQBCAEQAQQAoAFwAbgAgACAAIAAgAE0AQQBLAEUAQQBSAFIAQQBZACgANg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VgBFAEUAUgBHAF8ANABfADMAXwAxAF8AMwBfAF8ANgBfAE4AaQB0AHIAbwBnAGUAbgBSAGUAdABhAGkAbgBlAGQAQgB5AEIAbwBkAHkAXwBWAGEAcgBpAGEAdABpAG8AbgBcAG4AIAAgAD0ATABBAE0AQgBEAEEAKABcACIAVgBBAFIASQBBAFQASQBPAE4AIABPAE4AIABTAE8AVQBSAEMARQA6ACAAQQBkAGQAZQBkACAAYwBoAGUAYwBrACAAZgBvAHIAIABtAGkAbABrACAAcAByAG8AZAB1AGMAdABpAG8AbgAgAGkAbgBwAHUAdAAgAHUAbgBpAHQAIABhAG4AZAAgAGMAaABvAG8AcwBlACAAYwBvAHIAcgBlAHMAcABvAG4AZABpAG4AZwAgAE0AUABfAGoAIAB2AGEAbAB1AGUAIABhAGMAYwBvAHIAZABpAG4AZwBsAHkALgBcACI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JwBEAFAAVwAn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MAbwBsAGkAZABTAHQAbwByAGEAZwBlAF8AVABpAHQAbABlACIALAAiAFMAbwB1AHIAYwBlAEQAYQB0AGEAXwBEAGEAaQByAHkALgBTAG8AdQByAGMAZQBEAGEAdABhAF8ARABhAGkAcgB5AF8ARgByAGEAYwB0AGkAbwBuAE8AZgBOAGkAdAByAG8AZwBlAG4ATABvAHMAdABUAGgAcgBvAHUAZwBoAEwAZQBhAGMAaABpAG4AZwBBAG4AZABSAHUAbgBvAGYAZgBTAG8AbABpAGQAUwB0AG8AcgBhAGcAZQBfAFYAYQByAGkAYQBiAGwAZQAiACwAIgBTAG8AdQByAGMAZQBEAGEAdABhAF8ARABhAGkAcgB5AC4AUwBvAHUAcgBjAGUARABhAHQAYQBfAEQAYQBpAHIAeQBfAEYAcgBhAGMAdABpAG8AbgBPAGYATgBpAHQAcgBvAGcAZQBuAEwAbwBzAHQAVABoAHIAbwB1AGcAaABMAGUAYQBjAGgAaQBuAGcAQQBuAGQAUgB1AG4AbwBmAGYAUwBvAGwAaQBkAFMAdABvAHIAYQBnAGUAXwBVAG4AaQB0ACIALAAiAFMAbwB1AHIAYwBlAEQAYQB0AGEAXwBEAGEAaQByAHkALgBTAG8AdQByAGMAZQBEAGEAdABhAF8ARABhAGkAcgB5AF8ARgByAGEAYwB0AGkAbwBuAE8AZgBOAGkAdAByAG8AZwBlAG4ATABvAHMAdABUAGgAcgBvAHUAZwBoAEwAZQBhAGMAaABpAG4AZwBBAG4AZABSAHUAbgBvAGYAZgBTAG8AbABpAGQAUwB0AG8AcgBhAGcAZQBfAFMAbwB1AHIAYwBlACIALAAiAFMAbwB1AHIAYwBlAEQAYQB0AGEAXwBEAGEAaQByAHkALgBTAG8AdQByAGMAZQBEAGEAdABhAF8ARABhAGkAcgB5AF8ARgByAGEAYwB0AGkAbwBuAE8AZgBOAGkAdAByAG8AZwBlAG4ATABvAHMAdABUAGgAcgBvAHUAZwBoAEwAZQBhAGMAaABpAG4AZwBBAG4AZABSAHUAbgBvAGYAZgBTAG8AbABpAGQAUwB0AG8AcgBhAGcAZQBfAFYAYQByAGkAYQB0AGkAbwBuACIALAAiAFMAbwB1AHIAYwBlAEQAYQB0AGEAXwBEAGEAaQByAHkALgBTAG8AdQByAGMAZQBEAGEAdABhAF8ARABhAGkAcgB5AF8ARgByAGEAYwB0AGkAbwBuAE8AZgBOAGkAdAByAG8AZwBlAG4ATABvAHMAdABUAGgAcgBvAHUAZwBoAEwAZQBhAGMAaABpAG4AZwBBAG4AZABSAHUAbgBvAGYAZgBTAG8AbABpAGQAUwB0AG8AcgBhAGcAZQ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yAF8ATQBlAHQAaABhAG4AZQBGAHIAbwBtAE0AYQBuAHUAcgBlAFAAcgBvAGQAdQBjAHQAaQBvAG4AXwBBAHIAZwB1AG0AZQBuAHQAcwBfAE0AZQB0AGgAbwBkADI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2AF8ATgBpAHQAcgBvAGcAZQBuAFIAZQB0AGEAaQBuAGUAZABCAHkAQgBvAGQAeQBfAFYAYQByAGkAYQB0AGkAbwBuACIALAAiAE0ATQBTAF8ARABhAGkAcgB5AF8ATgAyAE8ARABpAHIAZQBjAHQAXwBFAHEAdQBhAHQAaQBvAG4AcwAuAFYARQBFAFIARwBfADQAXwAzAF8AMQBfADMAXwBfADcAXwBJAG4AdABhAGsAZQBSAGUAbABhAHQAaQB2AGUAVABvAE0AYQBpAG4AdABlAG4AYQBuAGMAZQAiACwAIgBNAE0AUwBfAEQAYQBpAHIAeQBfAE4AMgBPAEQAaQByAGUAYwB0AF8ARQBxAHUAYQB0AGkAbwBuAHMALgBWAEUARQBSAEcAXwA0AF8AMwBfADEAXwAzAF8AXwA3AF8ASQBuAHQAYQBrAGUAUgBlAGwAYQB0AGkAdgBlAFQAbwBNAGEAaQBuAHQAZQBuAGEAbgBjAGUAXwBUAGkAdABsAGUAIgAsACIATQBNAFMAXwBEAGEAaQByAHkAXwBOADIATwBEAGkAcgBlAGMAdABfAEUAcQB1AGEAdABpAG8AbgBzAC4AVgBFAEUAUgBHAF8ANABfADMAXwAxAF8AMwBfAF8ANwBfAEkAbgB0AGEAawBlAFIAZQBsAGEAdABpAHYAZQBUAG8ATQBhAGkAbgB0AGUAbgBhAG4AYwBlAF8AVgBhAHIAaQBhAGIAbABlACIALAAiAE0ATQBTAF8ARABhAGkAcgB5AF8ATgAyAE8ARABpAHIAZQBjAHQAXwBFAHEAdQBhAHQAaQBvAG4AcwAuAFYARQBFAFIARwBfADQAXwAzAF8AMQBfADMAXwBfADcAXwBJAG4AdABhAGsAZQBSAGUAbABhAHQAaQB2AGUAVABvAE0AYQBpAG4AdABlAG4AYQBuAGMAZQBfAFUAbgBpAHQAIgAsACIATQBNAFMAXwBEAGEAaQByAHkAXwBOADIATwBEAGkAcgBlAGMAdABfAEUAcQB1AGEAdABpAG8AbgBzAC4AVgBFAEUAUgBHAF8ANABfADMAXwAxAF8AMwBfAF8ANwBfAEkAbgB0AGEAawBlAFIAZQBsAGEAdABpAHYAZQBUAG8ATQBhAGkAbgB0AGUAbgBhAG4AYwBlAF8AUwBvAHUAcgBjAGUAIgAsACIATQBNAFMAXwBEAGEAaQByAHkAXwBOADIATwBEAGkAcgBlAGMAdABfAEUAcQB1AGEAdABpAG8AbgBzAC4AVgBFAEUAUgBHAF8ANABfADMAXwAxAF8AMwBfAF8ANwBfAEkAbgB0AGEAawBlAFIAZQBsAGEAdABpAHYAZQBUAG8ATQBhAGkAbgB0AGUAbgBhAG4AYwBlAF8ATgBJAFIAUgBlAGYAZQByAGUAbgBjAGUAIgAsACIATQBNAFMAXwBEAGEAaQByAHkAXwBOADIATwBEAGkAcgBlAGMAdABfAEUAcQB1AGEAdABpAG8AbgBzAC4AVgBFAEUAUgBHAF8ANABfADMAXwAxAF8AMwBfAF8ANwBfAEkAbgB0AGEAawBlAFIAZQBsAGEAdABpAHYAZQBUAG8ATQBhAGkAbgB0AGUAbgBhAG4AYwBlAF8ATABhAHQAZQB4AEUAcQB1AGEAdABpAG8AbgAiACwAIgBNAE0AUwBfAEQAYQBpAHIAeQBfAE4AMgBPAEQAaQByAGUAYwB0AF8ARQBxAHUAYQB0AGkAbwBuAHMALgBWAEUARQBSAEcAXwA0AF8AMwBfADEAXwAzAF8AXwA3AF8ASQBuAHQAYQBrAGUAUgBlAGwAYQB0AGkAdgBlAFQAbwBNAGEAaQBuAHQAZQBuAGEAbgBjAGUAXwBBAHIAZwB1AG0AZQBuAHQAcwAiACwAIgBNAE0AUwBfAEQAYQBpAHIAeQBfAE4AMgBPAEQAaQByAGUAYwB0AF8ARQBxAHUAYQB0AGkAbwBuAHMALgBWAEUARQBSAEcAXwA0AF8AMwBfADEAXwAzAF8AXwA4AF8AUgBlAGwAYQB0AGkAdgBlAFMAaQB6AGUAIgAsACIATQBNAFMAXwBEAGEAaQByAHkAXwBOADIATwBEAGkAcgBlAGMAdABfAEUAcQB1AGEAdABpAG8AbgBzAC4AVgBFAEUAUgBHAF8ANABfADMAXwAxAF8AMwBfAF8AOABfAFIAZQBsAGEAdABpAHYAZQBTAGkAegBlAF8AVABpAHQAbABlACIALAAiAE0ATQBTAF8ARABhAGkAcgB5AF8ATgAyAE8ARABpAHIAZQBjAHQAXwBFAHEAdQBhAHQAaQBvAG4AcwAuAFYARQBFAFIARwBfADQAXwAzAF8AMQBfADMAXwBfADgAXwBSAGUAbABhAHQAaQB2AGUAUwBpAHoAZQBfAFYAYQByAGkAYQBiAGwAZQAiACwAIgBNAE0AUwBfAEQAYQBpAHIAeQBfAE4AMgBPAEQAaQByAGUAYwB0AF8ARQBxAHUAYQB0AGkAbwBuAHMALgBWAEUARQBSAEcAXwA0AF8AMwBfADEAXwAzAF8AXwA4AF8AUgBlAGwAYQB0AGkAdgBlAFMAaQB6AGUAXwBVAG4AaQB0ACIALAAiAE0ATQBTAF8ARABhAGkAcgB5AF8ATgAyAE8ARABpAHIAZQBjAHQAXwBFAHEAdQBhAHQAaQBvAG4AcwAuAFYARQBFAFIARwBfADQAXwAzAF8AMQBfADMAXwBfADgAXwBSAGUAbABhAHQAaQB2AGUAUwBpAHoAZQBfAFMAbwB1AHIAYwBlACIALAAiAE0ATQBTAF8ARABhAGkAcgB5AF8ATgAyAE8ARABpAHIAZQBjAHQAXwBFAHEAdQBhAHQAaQBvAG4AcwAuAFYARQBFAFIARwBfADQAXwAzAF8AMQBfADMAXwBfADgAXwBSAGUAbABhAHQAaQB2AGUAUwBpAHoAZQBfAE4ASQBSAFIAZQBmAGUAcgBlAG4AYwBlACIALAAiAE0ATQBTAF8ARABhAGkAcgB5AF8ATgAyAE8ARABpAHIAZQBjAHQAXwBFAHEAdQBhAHQAaQBvAG4AcwAuAFYARQBFAFIARwBfADQAXwAzAF8AMQBfADMAXwBfADgAXwBSAGUAbABhAHQAaQB2AGUAUwBpAHoAZQBfAEwAYQB0AGUAeABFAHEAdQBhAHQAaQBvAG4AIgAsACIATQBNAFMAXwBEAGEAaQByAHkAXwBOADIATwBEAGkAcgBlAGMAdABfAEUAcQB1AGEAdABpAG8AbgBzAC4AVgBFAEUAUgBHAF8ANABfADMAXwAxAF8AMwBfAF8AOABfAFIAZQBsAGEAdABpAHYAZQBTAGkAegBlAF8AQQByAGcAdQBtAGUAbgB0AHM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226</vt:i4>
      </vt:variant>
    </vt:vector>
  </HeadingPairs>
  <TitlesOfParts>
    <vt:vector size="244"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Common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2026-08-04T06:04:13Z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