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2AF9A79-1746-4E69-8483-A676F5BEA411}" xr6:coauthVersionLast="47" xr6:coauthVersionMax="47" xr10:uidLastSave="{00000000-0000-0000-0000-000000000000}"/>
  <bookViews>
    <workbookView xWindow="1485" yWindow="1530" windowWidth="36255" windowHeight="19140" firstSheet="7" activeTab="11"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M1_Table_E_CO2">'5.1.1.3-4 Inorganic fert CO2'!$D$57:$E$76</definedName>
    <definedName name="M1_Table_E_N2O">'5.1.1.1-2 Inorganic fert N2O'!$D$59:$E$78</definedName>
    <definedName name="M2_Table_FertApplications">'5.1.1.1-2 Inorganic fert N2O'!$M$44:$W$54</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1_OrganicFertiliserApplicationN2OEmissions_Result_Method1">'5.2.1.1-2 Organic Fert N2O'!$E$50</definedName>
    <definedName name="VEERG_5_2_1_1__2_MassOfNitrogenInOrganicFertiliser_Result_Method1">'5.2.1.1-2 Organic Fert N2O'!$E$32</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16" l="1"/>
  <c r="I56" i="116"/>
  <c r="F32" i="70" l="1"/>
  <c r="F33" i="70"/>
  <c r="J91" i="116"/>
  <c r="I57" i="116"/>
  <c r="I15" i="116"/>
  <c r="I97" i="115"/>
  <c r="I50" i="74"/>
  <c r="E33" i="15"/>
  <c r="E31" i="15"/>
  <c r="E32" i="15" s="1"/>
  <c r="E30" i="15"/>
  <c r="E29" i="15"/>
  <c r="E13" i="15"/>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H4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W54" i="69"/>
  <c r="W53" i="69"/>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9" i="116"/>
  <c r="I58" i="116"/>
  <c r="I18" i="116"/>
  <c r="I17" i="116"/>
  <c r="I16" i="116"/>
  <c r="J53" i="115"/>
  <c r="J52" i="115"/>
  <c r="I128" i="115"/>
  <c r="I127" i="115"/>
  <c r="K47" i="113"/>
  <c r="I52" i="74"/>
  <c r="S73" i="69"/>
  <c r="S71" i="69"/>
  <c r="S70" i="69"/>
  <c r="I54" i="69"/>
  <c r="I52" i="69"/>
  <c r="E38" i="113" a="1"/>
  <c r="E83" i="116"/>
  <c r="E38" i="113" l="1"/>
  <c r="V15" i="70"/>
  <c r="H54" i="121"/>
  <c r="H53" i="121"/>
  <c r="H49" i="121"/>
  <c r="H52" i="121"/>
  <c r="H48" i="121"/>
  <c r="H50" i="121"/>
  <c r="H51" i="121"/>
  <c r="G33" i="70"/>
  <c r="K33" i="70"/>
  <c r="G22" i="70"/>
  <c r="G44" i="70"/>
  <c r="I44" i="70"/>
  <c r="I129" i="115" l="1"/>
  <c r="I125" i="115" s="1"/>
  <c r="K48" i="113"/>
  <c r="K45" i="113" s="1"/>
  <c r="I55" i="69"/>
  <c r="I50" i="69" s="1"/>
  <c r="J54" i="115"/>
  <c r="J50" i="115" s="1"/>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D83" i="110" a="1"/>
  <c r="D83" i="110" s="1"/>
  <c r="D82" i="110" a="1"/>
  <c r="D82" i="110" s="1"/>
  <c r="D81" i="110" a="1"/>
  <c r="D81" i="110" s="1"/>
  <c r="F78" i="110" a="1"/>
  <c r="F78" i="110" s="1"/>
  <c r="E78" i="110" a="1"/>
  <c r="E78" i="110" s="1"/>
  <c r="D78" i="110" a="1"/>
  <c r="D78" i="110" s="1"/>
  <c r="D77" i="110" a="1"/>
  <c r="D77" i="110" s="1"/>
  <c r="D76" i="110" a="1"/>
  <c r="D76" i="110" s="1"/>
  <c r="E7" i="116" a="1"/>
  <c r="E49" i="116" a="1"/>
  <c r="E49" i="116" l="1"/>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3" a="1"/>
  <c r="E118" i="115" a="1"/>
  <c r="E7" i="115" a="1"/>
  <c r="E7" i="114" a="1"/>
  <c r="E43" i="115" a="1"/>
  <c r="E90" i="115"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N60" i="69" a="1"/>
  <c r="E7" i="74" a="1"/>
  <c r="E42" i="69"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E31" i="114"/>
  <c r="P45" i="69"/>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0" i="13"/>
  <c r="F10" i="13" s="1"/>
  <c r="H10" i="13"/>
  <c r="I10" i="13" s="1"/>
  <c r="V48" i="69" a="1"/>
  <c r="V48" i="69" s="1"/>
  <c r="V49" i="69" a="1"/>
  <c r="V49" i="69" s="1"/>
  <c r="S45" i="69" a="1"/>
  <c r="S45" i="69" s="1"/>
  <c r="V50" i="69" a="1"/>
  <c r="V50" i="69" s="1"/>
  <c r="E79" i="115"/>
  <c r="G81" i="115" s="1"/>
  <c r="T45" i="69"/>
  <c r="U45" i="69" s="1"/>
  <c r="Q45" i="69"/>
  <c r="R45" i="69" a="1"/>
  <c r="R45" i="69" s="1"/>
  <c r="V46" i="69" a="1"/>
  <c r="V46" i="69" s="1"/>
  <c r="V47" i="69" a="1"/>
  <c r="V47" i="69" s="1"/>
  <c r="E78" i="69" a="1"/>
  <c r="E78" i="69" s="1"/>
  <c r="E14" i="13" l="1"/>
  <c r="F14" i="13" s="1"/>
  <c r="G96" i="116"/>
  <c r="E99" i="116" s="1" a="1"/>
  <c r="E99" i="116" s="1"/>
  <c r="H14" i="13" s="1"/>
  <c r="I14" i="13" s="1"/>
  <c r="E13" i="13"/>
  <c r="F13"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50" i="113" a="1"/>
  <c r="E50" i="113" s="1"/>
  <c r="E11" i="13" l="1"/>
  <c r="G52" i="113"/>
  <c r="E80" i="69"/>
  <c r="E55" i="113"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9" i="13" l="1"/>
  <c r="G82" i="69"/>
  <c r="E85" i="69" a="1"/>
  <c r="E85" i="69" s="1"/>
  <c r="H9" i="13" s="1"/>
  <c r="H15" i="13" s="1"/>
  <c r="N88" i="69"/>
  <c r="F9" i="13" l="1"/>
  <c r="P90" i="69"/>
  <c r="N93" i="69"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<sst xmlns="http://schemas.openxmlformats.org/spreadsheetml/2006/main" count="548" uniqueCount="324">
  <si>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</si>
  <si>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</si>
  <si>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</si>
  <si>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</si>
  <si>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</si>
  <si>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</si>
  <si>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</si>
  <si>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</si>
  <si>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</si>
  <si>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</si>
  <si>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</si>
  <si>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</si>
  <si>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</si>
  <si>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</si>
  <si>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</si>
  <si>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</si>
  <si>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</si>
  <si>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</si>
  <si>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</si>
  <si>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</si>
  <si>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</si>
  <si>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</si>
  <si>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</si>
  <si>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</si>
  <si>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</si>
  <si>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</si>
  <si>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</si>
  <si>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</si>
  <si>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</si>
  <si>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</si>
  <si>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</si>
  <si>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</si>
  <si>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</si>
  <si>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</si>
  <si>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</si>
  <si>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</si>
  <si>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</si>
  <si>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</si>
  <si>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</si>
  <si>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</si>
  <si>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</si>
  <si>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</si>
  <si>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</si>
  <si>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</si>
  <si>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</si>
  <si>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</si>
  <si>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</si>
  <si>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</si>
  <si>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</si>
  <si>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</si>
  <si>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</si>
  <si>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</si>
  <si>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</si>
  <si>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</si>
  <si>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</si>
  <si>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</si>
  <si>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</si>
  <si>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</si>
  <si>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</si>
  <si>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</si>
  <si>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</si>
  <si>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</si>
  <si>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</si>
  <si>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</si>
  <si>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</si>
  <si>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</si>
  <si>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</si>
  <si>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</si>
  <si>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</si>
  <si>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</si>
  <si>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</si>
  <si>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</si>
  <si>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</si>
  <si>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</si>
  <si>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</si>
  <si>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</si>
  <si>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</si>
  <si>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</si>
  <si>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</si>
  <si>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</si>
  <si>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</si>
  <si>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</si>
  <si>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</si>
  <si>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</si>
  <si>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</si>
  <si>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</si>
  <si>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</si>
  <si>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</si>
  <si>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</si>
  <si>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</si>
  <si>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</si>
  <si>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</si>
  <si>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</si>
  <si>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</si>
  <si>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</si>
  <si>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</si>
  <si>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</si>
  <si>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</si>
  <si>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</si>
  <si>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</si>
  <si>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</si>
  <si>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</si>
  <si>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</si>
  <si>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</si>
  <si>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</si>
  <si>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</si>
  <si>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</si>
  <si>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</si>
  <si>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</si>
  <si>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</si>
  <si>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</si>
  <si>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</si>
  <si>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</si>
  <si>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</si>
  <si>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</si>
  <si>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</si>
  <si>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</si>
  <si>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</si>
  <si>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</si>
  <si>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</si>
  <si>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</si>
  <si>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</si>
  <si>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</si>
  <si>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</si>
  <si>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</si>
  <si>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</si>
  <si>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</si>
  <si>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</si>
  <si>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</si>
  <si>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</si>
  <si>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</si>
  <si>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</si>
  <si>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</si>
  <si>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</si>
  <si>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</si>
  <si>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</si>
  <si>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</si>
  <si>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</si>
  <si>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</si>
  <si>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</si>
  <si>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</si>
  <si>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</si>
  <si>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</si>
  <si>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</si>
  <si>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</si>
  <si>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</si>
  <si>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</si>
  <si>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</si>
  <si>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</si>
  <si>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</si>
  <si>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</si>
  <si>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</si>
  <si>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</si>
  <si>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</si>
  <si>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</si>
  <si>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</si>
  <si>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</si>
  <si>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</si>
  <si>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</si>
  <si>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</si>
  <si>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</si>
  <si>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</si>
  <si>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</si>
  <si>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</si>
  <si>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</si>
  <si>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</si>
  <si>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</si>
  <si>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</si>
  <si>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</si>
  <si>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</si>
  <si>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</si>
  <si>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</si>
  <si>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</si>
  <si>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</si>
  <si>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</si>
  <si>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</si>
  <si>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</si>
  <si>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</si>
  <si>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</si>
  <si>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</si>
  <si>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</si>
  <si>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</si>
  <si>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</si>
  <si>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</si>
  <si>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</si>
  <si>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</si>
  <si>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</si>
  <si>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</si>
  <si>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</si>
  <si>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</si>
  <si>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</si>
  <si>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</si>
  <si>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</si>
  <si>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</si>
  <si>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</si>
  <si>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</si>
  <si>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</si>
  <si>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</si>
  <si>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</si>
  <si>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</si>
  <si>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</si>
  <si>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</si>
  <si>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</si>
  <si>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</si>
  <si>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</si>
  <si>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</si>
  <si>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</si>
  <si>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</si>
  <si>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</si>
  <si>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</si>
  <si>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</si>
  <si>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</si>
  <si>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</si>
  <si>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</si>
  <si>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</si>
  <si>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</si>
  <si>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</si>
  <si>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</si>
  <si>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</si>
  <si>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</si>
  <si>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</si>
  <si>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</si>
  <si>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</si>
  <si>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</si>
  <si>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</si>
  <si>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</si>
  <si>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</si>
  <si>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</si>
  <si>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</si>
  <si>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</si>
  <si>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</si>
  <si>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</si>
  <si>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</si>
  <si>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</si>
  <si>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</si>
  <si>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</si>
  <si>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</si>
  <si>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</si>
  <si>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</si>
  <si>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</si>
  <si>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</si>
  <si>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</si>
  <si>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</si>
  <si>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</si>
  <si>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</si>
  <si>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</si>
  <si>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</si>
  <si>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</si>
  <si>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</si>
  <si>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</si>
  <si>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</si>
  <si>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</si>
  <si>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</si>
  <si>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</si>
  <si>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</si>
  <si>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</si>
  <si>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</si>
  <si>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</si>
  <si>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</si>
  <si>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</si>
  <si>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</si>
  <si>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</si>
  <si>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</si>
  <si>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</si>
  <si>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</si>
  <si>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</si>
  <si>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</si>
  <si>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</si>
  <si>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</si>
  <si>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</si>
  <si>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</si>
  <si>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</si>
  <si>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</si>
  <si>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</si>
  <si>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</si>
  <si>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</si>
  <si>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</si>
  <si>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</si>
  <si>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</si>
  <si>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</si>
  <si>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</si>
  <si>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</si>
  <si>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</si>
  <si>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</si>
  <si>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</si>
  <si>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</si>
  <si>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</si>
  <si>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</si>
  <si>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</si>
  <si>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</si>
  <si>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</si>
  <si>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</si>
  <si>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</si>
  <si>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</si>
  <si>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</si>
  <si>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</si>
  <si>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</si>
  <si>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</si>
  <si>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</si>
  <si>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</si>
  <si>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</si>
  <si>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</si>
  <si>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</si>
  <si>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</si>
  <si>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</si>
  <si>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</si>
  <si>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Soil ameliorants (lime)</t>
  </si>
  <si>
    <t>Urea</t>
  </si>
  <si>
    <r>
      <t xml:space="preserve">Amount applied </t>
    </r>
    <r>
      <rPr>
        <sz val="11"/>
        <color theme="1"/>
        <rFont val="Times New Roman"/>
        <family val="1"/>
      </rPr>
      <t>per hectare</t>
    </r>
  </si>
  <si>
    <t>CalPhos</t>
  </si>
  <si>
    <t>Aqua NitroCal</t>
  </si>
  <si>
    <t>Aqua Grow</t>
  </si>
  <si>
    <t xml:space="preserve">Nitrogen - Generic </t>
  </si>
  <si>
    <t>Input - Fertiliser Production System</t>
  </si>
  <si>
    <t>Nitrogen - Ammoniacal</t>
  </si>
  <si>
    <t>Nitrogen ammoniacal</t>
  </si>
  <si>
    <t>New South Wales</t>
  </si>
  <si>
    <t>FNorganicf</t>
  </si>
  <si>
    <t>VEERG_5_2_1_1__2_MassOfNitrogenInOrganicFertiliser_Result_Method1</t>
  </si>
  <si>
    <t>VEERG_5_2_1_1__1_OrganicFertiliserApplicationN2OEmissions_Result_Method1</t>
  </si>
  <si>
    <t>VEERG_5_1_1_1__2_MassOfNitrogenInInorganicFertiliser_Method1</t>
  </si>
  <si>
    <t>VEERG_5_1_1_1__1_InorganicFertiliserApplicationN2OEmissions_Result_Method1</t>
  </si>
  <si>
    <t>VEERG_5_1_1_1__1_InorganicFertiliserApplicationN2OEmissions_Result_Method2</t>
  </si>
  <si>
    <t>YES - In leaching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</si>
</sst>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67</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297</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299</v>
      </c>
      <c r="E5" s="83"/>
      <c r="F5" s="83"/>
      <c r="G5" s="83"/>
      <c r="H5" s="83"/>
      <c r="I5" s="83"/>
      <c r="J5" s="83"/>
      <c r="K5" s="83"/>
      <c r="L5" s="83"/>
      <c r="M5" s="83"/>
      <c r="N5" s="83"/>
      <c r="O5" s="79"/>
    </row>
    <row r="6" spans="1:42" ht="20.100000000000001" customHeight="1" x14ac:dyDescent="0.25">
      <c r="D6" s="171" t="s">
        <v>300</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67</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294</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295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298</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293</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79</v>
      </c>
      <c r="E8" s="102" t="s">
        <v>92</v>
      </c>
      <c r="F8" s="102" t="s">
        <v>93</v>
      </c>
      <c r="G8" s="102" t="s">
        <v>86</v>
      </c>
      <c r="H8" s="102" t="s">
        <v>94</v>
      </c>
      <c r="I8" s="102" t="s">
        <v>95</v>
      </c>
      <c r="J8" s="102" t="s">
        <v>87</v>
      </c>
      <c r="K8" s="21"/>
    </row>
    <row r="9" spans="1:11" ht="20.100000000000001" customHeight="1" x14ac:dyDescent="0.25">
      <c r="A9" s="17" t="str">
        <f>HYPERLINK("#'Input - Site'!A1", "Site")</f>
        <v>Site</v>
      </c>
      <c r="C9" s="21"/>
      <c r="D9" s="1" t="s">
        <v>286</v>
      </c>
      <c r="E9" s="166">
        <f>VEERG_5_1_1_1__1_InorganicFertiliserApplicationN2OEmissions_Result_Method1</f>
        <v>0.18354285714285717</v>
      </c>
      <c r="F9" s="166">
        <f>VEERG_5_1_1_1__1_InorganicFertiliserApplicationN2OEmissions_Result_Method2</f>
        <v>0.16071408571428569</v>
      </c>
      <c r="G9" s="51" t="s">
        <v>97</v>
      </c>
      <c r="H9" s="100">
        <f>'5.1.1.1-2 Inorganic fert N2O'!E85</f>
        <v>48.638857142857148</v>
      </c>
      <c r="I9" s="100">
        <f>'5.1.1.1-2 Inorganic fert N2O'!N93</f>
        <v>42.589232714285707</v>
      </c>
      <c r="J9" s="51" t="s">
        <v>90</v>
      </c>
      <c r="K9" s="21"/>
    </row>
    <row r="10" spans="1:11" ht="20.100000000000001" customHeight="1" x14ac:dyDescent="0.25">
      <c r="A10" s="17" t="str">
        <f>HYPERLINK("#'Input - Fertiliser'!A1", "Fertiliser")</f>
        <v>Fertiliser</v>
      </c>
      <c r="C10" s="21"/>
      <c r="D10" s="1" t="s">
        <v>287</v>
      </c>
      <c r="E10" s="166">
        <f>VEERG_5_1_1_3__1_InorganicFertiliserApplicationCO2Emissions_Result_Method1</f>
        <v>7.333333333333333</v>
      </c>
      <c r="F10" s="166">
        <f>E10</f>
        <v>7.333333333333333</v>
      </c>
      <c r="G10" s="51" t="s">
        <v>252</v>
      </c>
      <c r="H10" s="100">
        <f>VEERG_5_1_1_3__1_InorganicFertiliserApplicationCO2Emissions_Result_Method1</f>
        <v>7.333333333333333</v>
      </c>
      <c r="I10" s="100">
        <f>H10</f>
        <v>7.333333333333333</v>
      </c>
      <c r="J10" s="51" t="s">
        <v>90</v>
      </c>
      <c r="K10" s="21"/>
    </row>
    <row r="11" spans="1:11" ht="20.100000000000001" customHeight="1" x14ac:dyDescent="0.25">
      <c r="C11" s="21"/>
      <c r="D11" s="1" t="s">
        <v>288</v>
      </c>
      <c r="E11" s="166">
        <f>VEERG_5_2_1_1__2_MassOfNitrogenInOrganicFertiliser_Result_Method1</f>
        <v>5000</v>
      </c>
      <c r="F11" s="166">
        <f>E11</f>
        <v>5000</v>
      </c>
      <c r="G11" s="51" t="s">
        <v>97</v>
      </c>
      <c r="H11" s="100">
        <f>'5.2.1.1-2 Organic Fert N2O'!$E$55</f>
        <v>1325000</v>
      </c>
      <c r="I11" s="100">
        <f>H11</f>
        <v>1325000</v>
      </c>
      <c r="J11" s="51" t="s">
        <v>90</v>
      </c>
      <c r="K11" s="21"/>
    </row>
    <row r="12" spans="1:11" ht="20.100000000000001" customHeight="1" x14ac:dyDescent="0.25">
      <c r="C12" s="21"/>
      <c r="D12" s="1" t="s">
        <v>289</v>
      </c>
      <c r="E12" s="166">
        <f>VEERG_5_3_1_1__1_LimeApplicationCO2Emissions_Result_Method1</f>
        <v>42.441666666666663</v>
      </c>
      <c r="F12" s="166">
        <f>E12</f>
        <v>42.441666666666663</v>
      </c>
      <c r="G12" s="51" t="s">
        <v>252</v>
      </c>
      <c r="H12" s="100">
        <f>VEERG_5_3_1_1__1_LimeApplicationCO2Emissions_Result_Method1</f>
        <v>42.441666666666663</v>
      </c>
      <c r="I12" s="100">
        <f>H12</f>
        <v>42.441666666666663</v>
      </c>
      <c r="J12" s="51" t="s">
        <v>90</v>
      </c>
      <c r="K12" s="21"/>
    </row>
    <row r="13" spans="1:11" ht="20.100000000000001" customHeight="1" x14ac:dyDescent="0.25">
      <c r="A13" s="18" t="s">
        <v>67</v>
      </c>
      <c r="C13" s="21"/>
      <c r="D13" s="1" t="s">
        <v>290</v>
      </c>
      <c r="E13" s="166">
        <f>VEERG_5_4_1_1__1_InorganicFertiliserAtmosphericDepositionN2OEmissions_Result_Method1 + VEERG_5_4_1_3__1_OrganicFertiliserAtmosphericDepositionN2OEmissions_Result_Method1</f>
        <v>3.1931428571428576E-2</v>
      </c>
      <c r="F13" s="166">
        <f>E13</f>
        <v>3.1931428571428576E-2</v>
      </c>
      <c r="G13" s="51" t="s">
        <v>97</v>
      </c>
      <c r="H13" s="100">
        <f>'5.4.1.1-4 Atmos deposition'!E84 + '5.4.1.1-4 Atmos deposition'!$E$151</f>
        <v>8.4618285714285726</v>
      </c>
      <c r="I13" s="100">
        <f>H13</f>
        <v>8.4618285714285726</v>
      </c>
      <c r="J13" s="51" t="s">
        <v>90</v>
      </c>
      <c r="K13" s="21"/>
    </row>
    <row r="14" spans="1:11" ht="20.100000000000001" customHeight="1" x14ac:dyDescent="0.25">
      <c r="A14" s="17" t="str">
        <f>HYPERLINK("#'5.1.1.1-2 Inorganic fert N2O'!A1", "5.1.1.1-2 Inorganic fert N2O")</f>
        <v>5.1.1.1-2 Inorganic fert N2O</v>
      </c>
      <c r="C14" s="21"/>
      <c r="D14" s="1" t="s">
        <v>291</v>
      </c>
      <c r="E14" s="166">
        <f>VEERG_5_5_1_1__1_FertiliserLeachingAndRunoffN2OEmissions_Result_Method1</f>
        <v>8.1311999999999995E-2</v>
      </c>
      <c r="F14" s="166">
        <f>E14</f>
        <v>8.1311999999999995E-2</v>
      </c>
      <c r="G14" s="51" t="s">
        <v>97</v>
      </c>
      <c r="H14" s="100">
        <f>'5.5.1.1-2 Leaching and runoff'!$E$99</f>
        <v>21.54768</v>
      </c>
      <c r="I14" s="100">
        <f>H14</f>
        <v>21.54768</v>
      </c>
      <c r="J14" s="51" t="s">
        <v>90</v>
      </c>
      <c r="K14" s="21"/>
    </row>
    <row r="15" spans="1:11" ht="20.100000000000001" customHeight="1" x14ac:dyDescent="0.3">
      <c r="A15" s="17" t="str">
        <f>HYPERLINK("#'5.1.1.3-4 Inorganic fert CO2'!A1", "5.1.1.3-4 Inorganic fert CO2")</f>
        <v>5.1.1.3-4 Inorganic fert CO2</v>
      </c>
      <c r="C15" s="21"/>
      <c r="D15" s="28" t="s">
        <v>85</v>
      </c>
      <c r="E15" s="22"/>
      <c r="F15" s="22"/>
      <c r="G15" s="28"/>
      <c r="H15" s="101">
        <f>SUM(H9:H14)</f>
        <v>1325128.4233657145</v>
      </c>
      <c r="I15" s="101">
        <f>SUM(I9:I14)</f>
        <v>1325122.3737412859</v>
      </c>
      <c r="J15" s="96" t="s">
        <v>90</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E23" sqref="E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70</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65</v>
      </c>
      <c r="E8" s="32" t="s">
        <v>66</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69</v>
      </c>
      <c r="E10" s="84"/>
      <c r="F10" s="87"/>
      <c r="G10" s="81"/>
      <c r="N10" s="41"/>
    </row>
    <row r="11" spans="1:24" ht="20.100000000000001" customHeight="1" x14ac:dyDescent="0.25">
      <c r="A11"/>
      <c r="N11" s="42"/>
    </row>
    <row r="12" spans="1:24" ht="20.100000000000001" customHeight="1" x14ac:dyDescent="0.25">
      <c r="A12"/>
      <c r="D12" s="10" t="s">
        <v>74</v>
      </c>
      <c r="E12" s="59">
        <v>45292</v>
      </c>
      <c r="F12" s="2" t="s">
        <v>63</v>
      </c>
    </row>
    <row r="13" spans="1:24" ht="20.100000000000001" customHeight="1" x14ac:dyDescent="0.25">
      <c r="A13" s="18" t="s">
        <v>67</v>
      </c>
      <c r="D13" s="10" t="s">
        <v>75</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64</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316</v>
      </c>
      <c r="F21" s="2" t="s">
        <v>8</v>
      </c>
    </row>
    <row r="22" spans="1:25" ht="20.100000000000001" customHeight="1" x14ac:dyDescent="0.25">
      <c r="A22" s="176" t="s">
        <v>1</v>
      </c>
      <c r="D22" s="1" t="s">
        <v>20</v>
      </c>
      <c r="E22" s="38"/>
      <c r="F22" s="2" t="s">
        <v>8</v>
      </c>
      <c r="G22" s="1"/>
    </row>
    <row r="23" spans="1:25" ht="20.100000000000001" customHeight="1" x14ac:dyDescent="0.25">
      <c r="A23" s="17" t="str">
        <f>HYPERLINK("#'Constants - Fertiliser'!A1", "Constants - Fertiliser")</f>
        <v>Constants - Fertiliser</v>
      </c>
      <c r="D23" s="1" t="s">
        <v>6</v>
      </c>
      <c r="E23" s="38" t="s">
        <v>323</v>
      </c>
      <c r="F23" s="2" t="s">
        <v>8</v>
      </c>
    </row>
    <row r="24" spans="1:25" ht="20.100000000000001" customHeight="1" x14ac:dyDescent="0.25">
      <c r="A24" s="17" t="str">
        <f>HYPERLINK("#'Constants - Common'!A1", "Constants - Common")</f>
        <v>Constants - Common</v>
      </c>
      <c r="D24" s="1" t="s">
        <v>33</v>
      </c>
      <c r="E24" s="32">
        <v>307.7</v>
      </c>
      <c r="F24" s="2" t="s">
        <v>47</v>
      </c>
    </row>
    <row r="25" spans="1:25" ht="20.100000000000001" customHeight="1" x14ac:dyDescent="0.25">
      <c r="A25"/>
      <c r="D25" s="1" t="s">
        <v>55</v>
      </c>
      <c r="E25" s="32">
        <v>18</v>
      </c>
      <c r="F25" s="2" t="s">
        <v>9</v>
      </c>
      <c r="N25" s="40"/>
    </row>
    <row r="26" spans="1:25" ht="20.100000000000001" customHeight="1" x14ac:dyDescent="0.25">
      <c r="A26"/>
      <c r="D26" s="1" t="s">
        <v>56</v>
      </c>
      <c r="E26" s="32">
        <v>601</v>
      </c>
      <c r="F26" s="2" t="s">
        <v>10</v>
      </c>
    </row>
    <row r="27" spans="1:25" ht="20.100000000000001" customHeight="1" x14ac:dyDescent="0.25">
      <c r="A27"/>
      <c r="D27" s="10" t="s">
        <v>57</v>
      </c>
      <c r="E27" s="32">
        <v>1326</v>
      </c>
      <c r="F27" s="2" t="s">
        <v>10</v>
      </c>
    </row>
    <row r="28" spans="1:25" ht="20.100000000000001" customHeight="1" x14ac:dyDescent="0.25">
      <c r="A28"/>
      <c r="D28" s="1" t="s">
        <v>58</v>
      </c>
      <c r="E28" s="32">
        <v>7</v>
      </c>
      <c r="F28" s="2" t="s">
        <v>48</v>
      </c>
    </row>
    <row r="29" spans="1:25" ht="20.100000000000001" customHeight="1" x14ac:dyDescent="0.25">
      <c r="A29"/>
      <c r="D29" s="10" t="s">
        <v>54</v>
      </c>
      <c r="E29" s="49">
        <f>X_Cell_Site_TotalRainfall/X_Cell_Site_PotentialEvapotranspiration</f>
        <v>0.45324283559577677</v>
      </c>
      <c r="F29" s="2"/>
    </row>
    <row r="30" spans="1:25" ht="20.100000000000001" customHeight="1" x14ac:dyDescent="0.25">
      <c r="A30"/>
      <c r="D30" s="10" t="s">
        <v>29</v>
      </c>
      <c r="E30" s="49" t="str">
        <f>Common_InputFunctions.Utility_LookupItemFromMinMax(X_Cell_Site_TotalRainfall,Table_SourceData_RainfallZones[Min rainfall],Table_SourceData_RainfallZones[Max rainfall],Table_SourceData_RainfallZones[Rainfall Zone])</f>
        <v>High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71</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46</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7" sqref="E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313</v>
      </c>
    </row>
    <row r="2" spans="1:11" s="9" customFormat="1" x14ac:dyDescent="0.25"/>
    <row r="3" spans="1:11" ht="20.25" x14ac:dyDescent="0.25">
      <c r="C3" s="15"/>
      <c r="D3" s="15"/>
      <c r="E3" s="15"/>
      <c r="F3" s="15"/>
      <c r="G3" s="15"/>
      <c r="H3" s="15"/>
      <c r="I3" s="15"/>
      <c r="J3" s="15"/>
      <c r="K3" s="15"/>
    </row>
    <row r="5" spans="1:11" x14ac:dyDescent="0.25">
      <c r="D5" s="1" t="s">
        <v>84</v>
      </c>
      <c r="E5" s="38" t="s">
        <v>127</v>
      </c>
      <c r="F5" s="2" t="s">
        <v>8</v>
      </c>
    </row>
    <row r="6" spans="1:11" x14ac:dyDescent="0.25">
      <c r="D6" s="1" t="s">
        <v>157</v>
      </c>
      <c r="E6" s="38" t="s">
        <v>137</v>
      </c>
      <c r="F6" s="2" t="s">
        <v>8</v>
      </c>
    </row>
    <row r="7" spans="1:11" x14ac:dyDescent="0.25">
      <c r="D7" s="1" t="s">
        <v>83</v>
      </c>
      <c r="E7" s="38" t="s">
        <v>131</v>
      </c>
      <c r="F7" s="2" t="s">
        <v>8</v>
      </c>
    </row>
    <row r="8" spans="1:11" x14ac:dyDescent="0.25">
      <c r="D8" s="1" t="s">
        <v>179</v>
      </c>
      <c r="E8" s="134">
        <v>100</v>
      </c>
      <c r="F8" s="2" t="s">
        <v>171</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opLeftCell="A5" zoomScaleNormal="100" workbookViewId="0">
      <selection activeCell="J24" sqref="J24"/>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296</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142</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143</v>
      </c>
      <c r="E7" s="83"/>
      <c r="F7" s="83"/>
      <c r="G7" s="83"/>
      <c r="H7" s="79"/>
      <c r="I7" s="111"/>
      <c r="J7" s="112"/>
      <c r="K7" s="113"/>
      <c r="L7" s="113"/>
      <c r="M7" s="113"/>
    </row>
    <row r="8" spans="1:25" ht="20.100000000000001" customHeight="1" x14ac:dyDescent="0.25">
      <c r="A8" s="19" t="s">
        <v>0</v>
      </c>
      <c r="D8" s="85" t="s">
        <v>144</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145</v>
      </c>
      <c r="E10" s="21"/>
      <c r="F10" s="21"/>
      <c r="G10" s="21"/>
      <c r="H10" s="21"/>
      <c r="I10" s="21"/>
      <c r="J10" s="21"/>
      <c r="K10" s="21"/>
      <c r="L10" s="21"/>
      <c r="M10" s="21"/>
    </row>
    <row r="11" spans="1:25" ht="20.100000000000001" customHeight="1" x14ac:dyDescent="0.25">
      <c r="D11" s="114" t="s">
        <v>146</v>
      </c>
      <c r="E11" s="115" t="s">
        <v>308</v>
      </c>
      <c r="F11" s="175" t="s">
        <v>302</v>
      </c>
      <c r="G11" s="175" t="s">
        <v>303</v>
      </c>
      <c r="H11" s="115" t="s">
        <v>147</v>
      </c>
      <c r="I11" s="115" t="s">
        <v>148</v>
      </c>
      <c r="J11" s="114" t="s">
        <v>111</v>
      </c>
      <c r="K11" s="114" t="s">
        <v>112</v>
      </c>
      <c r="L11" s="114" t="s">
        <v>113</v>
      </c>
      <c r="M11" s="114" t="s">
        <v>114</v>
      </c>
      <c r="N11" s="114" t="s">
        <v>115</v>
      </c>
      <c r="O11" s="114" t="s">
        <v>116</v>
      </c>
      <c r="P11" s="114" t="s">
        <v>117</v>
      </c>
      <c r="Q11" s="114" t="s">
        <v>118</v>
      </c>
      <c r="R11" s="114" t="s">
        <v>119</v>
      </c>
      <c r="S11" s="114" t="s">
        <v>120</v>
      </c>
      <c r="T11" s="114" t="s">
        <v>121</v>
      </c>
      <c r="U11" s="114" t="s">
        <v>122</v>
      </c>
      <c r="V11" s="114" t="s">
        <v>158</v>
      </c>
      <c r="W11" s="174" t="s">
        <v>224</v>
      </c>
      <c r="X11" s="174" t="s">
        <v>225</v>
      </c>
    </row>
    <row r="12" spans="1:25" ht="20.100000000000001" customHeight="1" x14ac:dyDescent="0.25">
      <c r="D12" s="120" t="s">
        <v>292</v>
      </c>
      <c r="E12" s="121">
        <v>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67</v>
      </c>
      <c r="D13" s="177" t="s">
        <v>309</v>
      </c>
      <c r="E13" s="178">
        <v>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309</v>
      </c>
      <c r="E14" s="178">
        <v>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311</v>
      </c>
      <c r="E15" s="178">
        <v>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310</v>
      </c>
      <c r="E16" s="178">
        <v>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149</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150</v>
      </c>
      <c r="E19" s="115" t="s">
        <v>152</v>
      </c>
      <c r="F19" s="115" t="s">
        <v>147</v>
      </c>
      <c r="G19" s="115" t="s">
        <v>148</v>
      </c>
      <c r="H19" s="115" t="s">
        <v>151</v>
      </c>
      <c r="I19" s="115" t="s">
        <v>112</v>
      </c>
      <c r="J19" s="115" t="s">
        <v>113</v>
      </c>
      <c r="K19" s="115" t="s">
        <v>114</v>
      </c>
      <c r="L19" s="115" t="s">
        <v>115</v>
      </c>
      <c r="M19" s="115" t="s">
        <v>116</v>
      </c>
      <c r="N19" s="115" t="s">
        <v>117</v>
      </c>
      <c r="O19" s="115" t="s">
        <v>118</v>
      </c>
      <c r="P19" s="115" t="s">
        <v>158</v>
      </c>
      <c r="Q19" s="174" t="s">
        <v>304</v>
      </c>
      <c r="R19" s="174" t="s">
        <v>305</v>
      </c>
      <c r="S19" s="128"/>
      <c r="T19" s="128"/>
      <c r="V19" s="128"/>
      <c r="W19" s="128"/>
      <c r="X19" s="128"/>
    </row>
    <row r="20" spans="1:24" ht="36" customHeight="1" x14ac:dyDescent="0.25">
      <c r="D20" s="32" t="s">
        <v>315</v>
      </c>
      <c r="E20" s="115">
        <v>100</v>
      </c>
      <c r="F20" s="121">
        <f>X_Cell_Fertiliser_AreaUnderCropping</f>
        <v>100</v>
      </c>
      <c r="G20" s="122">
        <f>Table_Input_InorganicFertiliser_Custom[[#This Row],[Amount applied (kg / ha)]]*Table_Input_InorganicFertiliser_Custom[[#This Row],[Application area (ha)]]</f>
        <v>10000</v>
      </c>
      <c r="H20" s="132" t="s">
        <v>314</v>
      </c>
      <c r="I20" s="135">
        <v>1</v>
      </c>
      <c r="J20" s="132"/>
      <c r="K20" s="135"/>
      <c r="L20" s="132"/>
      <c r="M20" s="135"/>
      <c r="N20" s="133"/>
      <c r="O20" s="164"/>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100</v>
      </c>
      <c r="Q20" s="38"/>
      <c r="R20" s="38"/>
      <c r="T20" s="50"/>
    </row>
    <row r="21" spans="1:24" ht="36" customHeight="1" x14ac:dyDescent="0.25">
      <c r="D21" s="32" t="s">
        <v>307</v>
      </c>
      <c r="E21" s="115">
        <v>100</v>
      </c>
      <c r="F21" s="121">
        <f>X_Cell_Fertiliser_AreaUnderCropping</f>
        <v>100</v>
      </c>
      <c r="G21" s="122">
        <f>Table_Input_InorganicFertiliser_Custom[[#This Row],[Amount applied (kg / ha)]]*Table_Input_InorganicFertiliser_Custom[[#This Row],[Application area (ha)]]</f>
        <v>10000</v>
      </c>
      <c r="H21" s="132" t="s">
        <v>307</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38"/>
      <c r="R21" s="38"/>
      <c r="W21" s="50"/>
    </row>
    <row r="22" spans="1:24" ht="36" customHeight="1" x14ac:dyDescent="0.25">
      <c r="A22" s="176" t="s">
        <v>1</v>
      </c>
      <c r="D22" s="32"/>
      <c r="E22" s="115"/>
      <c r="F22" s="121">
        <f>X_Cell_Fertiliser_AreaUnderCropping</f>
        <v>100</v>
      </c>
      <c r="G22" s="122">
        <f>Table_Input_InorganicFertiliser_Custom[[#This Row],[Amount applied (kg / ha)]]*Table_Input_InorganicFertiliser_Custom[[#This Row],[Application area (ha)]]</f>
        <v>0</v>
      </c>
      <c r="H22" s="132"/>
      <c r="I22" s="165"/>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306</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180</v>
      </c>
      <c r="E26" s="83"/>
      <c r="F26" s="79"/>
      <c r="G26" s="104"/>
      <c r="H26" s="79"/>
      <c r="I26" s="3"/>
      <c r="J26" s="3"/>
      <c r="K26" s="21"/>
      <c r="L26" s="21"/>
      <c r="M26" s="21"/>
    </row>
    <row r="27" spans="1:24" ht="20.100000000000001" customHeight="1" x14ac:dyDescent="0.25">
      <c r="D27" s="157" t="s">
        <v>181</v>
      </c>
      <c r="E27" s="158"/>
      <c r="F27" s="159"/>
      <c r="G27" s="157"/>
      <c r="H27" s="159"/>
      <c r="I27" s="21"/>
      <c r="J27" s="21"/>
      <c r="K27" s="21"/>
      <c r="L27" s="21"/>
      <c r="M27" s="3"/>
    </row>
    <row r="28" spans="1:24" ht="20.100000000000001" customHeight="1" x14ac:dyDescent="0.25">
      <c r="D28" s="85" t="s">
        <v>144</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110</v>
      </c>
      <c r="E30" s="138" t="s">
        <v>182</v>
      </c>
      <c r="F30" s="138" t="s">
        <v>147</v>
      </c>
      <c r="G30" s="138" t="s">
        <v>183</v>
      </c>
      <c r="H30" s="138" t="s">
        <v>184</v>
      </c>
      <c r="I30" s="138" t="s">
        <v>185</v>
      </c>
      <c r="J30" s="138" t="s">
        <v>186</v>
      </c>
      <c r="K30" s="138" t="s">
        <v>85</v>
      </c>
    </row>
    <row r="31" spans="1:24" ht="20.100000000000001" customHeight="1" x14ac:dyDescent="0.25">
      <c r="D31" s="139" t="s">
        <v>256</v>
      </c>
      <c r="E31" s="121">
        <v>1</v>
      </c>
      <c r="F31" s="121">
        <f>X_Cell_Fertiliser_AreaUnderCropping</f>
        <v>100</v>
      </c>
      <c r="G31" s="122">
        <f>IFERROR(Table_Input_Lime[[#This Row],[Amount applied (t/hectare)]]*Table_Input_Lime[[#This Row],[Application area (ha)]], 0)</f>
        <v>100</v>
      </c>
      <c r="H31" s="140">
        <v>0.5</v>
      </c>
      <c r="I31" s="140">
        <v>0.5</v>
      </c>
      <c r="J31" s="140">
        <v>0</v>
      </c>
      <c r="K31" s="160">
        <f>SUM(Table_Input_Lime[[#This Row],[Percent Lime CaCO3]:[Percent Gypsum]])</f>
        <v>1</v>
      </c>
    </row>
    <row r="32" spans="1:24" ht="30" customHeight="1" x14ac:dyDescent="0.25">
      <c r="D32" s="139"/>
      <c r="E32" s="121"/>
      <c r="F32" s="121">
        <f>X_Cell_Fertiliser_AreaUnderCropping</f>
        <v>100</v>
      </c>
      <c r="G32" s="122">
        <f>IFERROR(Table_Input_Lime[[#This Row],[Amount applied (t/hectare)]]*Table_Input_Lime[[#This Row],[Application area (ha)]], 0)</f>
        <v>0</v>
      </c>
      <c r="H32" s="140"/>
      <c r="I32" s="140"/>
      <c r="J32" s="140"/>
      <c r="K32" s="160">
        <f>SUM(Table_Input_Lime[[#This Row],[Percent Lime CaCO3]:[Percent Gypsum]])</f>
        <v>0</v>
      </c>
      <c r="L32" s="3"/>
    </row>
    <row r="33" spans="1:25" ht="36" customHeight="1" x14ac:dyDescent="0.25">
      <c r="D33" s="139"/>
      <c r="E33" s="121"/>
      <c r="F33" s="121">
        <f>X_Cell_Fertiliser_AreaUnderCropping</f>
        <v>100</v>
      </c>
      <c r="G33" s="122">
        <f>IFERROR(Table_Input_Lime[[#This Row],[Amount applied (t/hectare)]]*Table_Input_Lime[[#This Row],[Application area (ha)]], 0)</f>
        <v>0</v>
      </c>
      <c r="H33" s="140"/>
      <c r="I33" s="140"/>
      <c r="J33" s="140"/>
      <c r="K33" s="160">
        <f>SUM(Table_Input_Lime[[#This Row],[Percent Lime CaCO3]:[Percent Gypsum]])</f>
        <v>0</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187</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180</v>
      </c>
      <c r="E38" s="83"/>
      <c r="F38" s="83"/>
      <c r="G38" s="83"/>
      <c r="H38" s="79"/>
      <c r="I38" s="21"/>
      <c r="J38" s="21"/>
      <c r="K38" s="21"/>
      <c r="L38" s="21"/>
      <c r="M38" s="21"/>
      <c r="O38" s="128"/>
      <c r="P38" s="128"/>
      <c r="Q38" s="128"/>
      <c r="R38" s="128"/>
    </row>
    <row r="39" spans="1:25" ht="20.100000000000001" customHeight="1" x14ac:dyDescent="0.25">
      <c r="C39" s="128"/>
      <c r="D39" s="85" t="s">
        <v>144</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188</v>
      </c>
      <c r="E41" s="138" t="s">
        <v>189</v>
      </c>
      <c r="F41" s="138" t="s">
        <v>190</v>
      </c>
      <c r="G41" s="138" t="s">
        <v>191</v>
      </c>
      <c r="H41" s="138" t="s">
        <v>147</v>
      </c>
      <c r="I41" s="138" t="s">
        <v>192</v>
      </c>
      <c r="J41" s="138" t="s">
        <v>193</v>
      </c>
      <c r="K41" s="130"/>
      <c r="L41" s="1"/>
      <c r="M41" s="1"/>
      <c r="N41" s="1"/>
      <c r="O41" s="1"/>
      <c r="P41" s="1"/>
      <c r="Q41" s="1"/>
      <c r="R41" s="1"/>
      <c r="S41" s="1"/>
      <c r="T41" s="1"/>
      <c r="U41" s="1"/>
      <c r="V41" s="1"/>
      <c r="W41" s="1"/>
      <c r="X41" s="1"/>
      <c r="Y41" s="1"/>
    </row>
    <row r="42" spans="1:25" ht="30" customHeight="1" x14ac:dyDescent="0.25">
      <c r="D42" s="120" t="s">
        <v>234</v>
      </c>
      <c r="E42" s="140">
        <v>0.5</v>
      </c>
      <c r="F42" s="121">
        <v>100</v>
      </c>
      <c r="G42" s="122">
        <f>Table_Input_OrganicFertiliser[[#This Row],[Amount applied (kg/hectare)]]*Table_Input_OrganicFertiliser[[#This Row],[Percentage of N in fertiliser]]</f>
        <v>50</v>
      </c>
      <c r="H42" s="121">
        <f>X_Cell_Fertiliser_AreaUnderCropping</f>
        <v>100</v>
      </c>
      <c r="I42" s="122">
        <f>Table_Input_OrganicFertiliser[[#This Row],[Amount applied (kg/hectare)]]*Table_Input_OrganicFertiliser[[#This Row],[Application area (ha)]]</f>
        <v>10000</v>
      </c>
      <c r="J42" s="122">
        <f>IFERROR(Table_Input_OrganicFertiliser[[#This Row],[Amount N applied (kg/hectare)]]*Table_Input_OrganicFertiliser[[#This Row],[Application area (ha)]], 0)</f>
        <v>5000</v>
      </c>
      <c r="K42" s="130"/>
    </row>
    <row r="43" spans="1:25" ht="36" customHeight="1" x14ac:dyDescent="0.25">
      <c r="D43" s="120"/>
      <c r="E43" s="140"/>
      <c r="F43" s="121"/>
      <c r="G43" s="122">
        <f>Table_Input_OrganicFertiliser[[#This Row],[Amount applied (kg/hectare)]]*Table_Input_OrganicFertiliser[[#This Row],[Percentage of N in fertiliser]]</f>
        <v>0</v>
      </c>
      <c r="H43" s="121">
        <f>X_Cell_Fertiliser_AreaUnderCropping</f>
        <v>100</v>
      </c>
      <c r="I43" s="122">
        <f>Table_Input_OrganicFertiliser[[#This Row],[Amount applied (kg/hectare)]]*Table_Input_OrganicFertiliser[[#This Row],[Application area (ha)]]</f>
        <v>0</v>
      </c>
      <c r="J43" s="122">
        <f>IFERROR(Table_Input_OrganicFertiliser[[#This Row],[Amount N applied (kg/hectare)]]*Table_Input_OrganicFertiliser[[#This Row],[Application area (ha)]], 0)</f>
        <v>0</v>
      </c>
    </row>
    <row r="44" spans="1:25" ht="36" customHeight="1" x14ac:dyDescent="0.25">
      <c r="D44" s="120"/>
      <c r="E44" s="140"/>
      <c r="F44" s="121"/>
      <c r="G44" s="122">
        <f>Table_Input_OrganicFertiliser[[#This Row],[Amount applied (kg/hectare)]]*Table_Input_OrganicFertiliser[[#This Row],[Percentage of N in fertiliser]]</f>
        <v>0</v>
      </c>
      <c r="H44" s="121">
        <f>X_Cell_Fertiliser_AreaUnderCropping</f>
        <v>100</v>
      </c>
      <c r="I44" s="122">
        <f>Table_Input_OrganicFertiliser[[#This Row],[Amount applied (kg/hectare)]]*Table_Input_OrganicFertiliser[[#This Row],[Application area (ha)]]</f>
        <v>0</v>
      </c>
      <c r="J44" s="122">
        <f>IFERROR(Table_Input_OrganicFertiliser[[#This Row],[Amount N applied (kg/hectare)]]*Table_Input_OrganicFertiliser[[#This Row],[Application area (ha)]], 0)</f>
        <v>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41" zoomScaleNormal="100" workbookViewId="0">
      <selection activeCell="E80" sqref="E8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195</v>
      </c>
      <c r="K1"/>
    </row>
    <row r="2" spans="1:24" s="9" customFormat="1" ht="20.100000000000001" customHeight="1" x14ac:dyDescent="0.25">
      <c r="A2"/>
      <c r="K2"/>
    </row>
    <row r="3" spans="1:24" ht="20.100000000000001" customHeight="1" x14ac:dyDescent="0.25">
      <c r="A3" s="17" t="str">
        <f>HYPERLINK("#'Home'!A1", "Home")</f>
        <v>Home</v>
      </c>
      <c r="C3" s="4"/>
      <c r="D3" s="4" t="s">
        <v>77</v>
      </c>
      <c r="E3" s="4"/>
      <c r="F3" s="4"/>
      <c r="G3" s="4"/>
      <c r="H3" s="4"/>
      <c r="I3" s="4"/>
      <c r="J3" s="4"/>
      <c r="L3" s="4"/>
      <c r="M3" s="4" t="s">
        <v>78</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G10" s="1" t="s">
        <v>320</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67</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166</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141</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154</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108</v>
      </c>
      <c r="E18" s="110" t="s">
        <v>140</v>
      </c>
      <c r="F18" s="48" t="s">
        <v>139</v>
      </c>
      <c r="G18" s="48" t="s">
        <v>153</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4600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166</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10000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0</v>
      </c>
      <c r="I36" s="2"/>
      <c r="M36" s="53" t="str">
        <v>f</v>
      </c>
      <c r="N36" s="54" t="str">
        <v>Inorganic fertiliser type</v>
      </c>
      <c r="O36" s="91"/>
      <c r="P36" s="54" t="str">
        <v/>
      </c>
      <c r="Q36" s="117" t="str">
        <v>Constant</v>
      </c>
      <c r="R36" s="54" t="s">
        <v>166</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0</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175</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167</v>
      </c>
      <c r="T41" s="98" t="s">
        <v>194</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165</v>
      </c>
    </row>
    <row r="43" spans="3:23" ht="20.100000000000001" customHeight="1" x14ac:dyDescent="0.25">
      <c r="F43" s="2"/>
      <c r="O43" s="116" t="s">
        <v>172</v>
      </c>
      <c r="P43" s="116" t="s">
        <v>171</v>
      </c>
      <c r="Q43" s="116" t="s">
        <v>138</v>
      </c>
      <c r="R43" s="116" t="str">
        <f>$N$10</f>
        <v>kg N2O-N/kg N applied</v>
      </c>
      <c r="S43" s="116" t="str">
        <f>$N$21</f>
        <v>kg N2O-N/kg N applied</v>
      </c>
      <c r="T43" s="116" t="s">
        <v>172</v>
      </c>
      <c r="U43" s="116" t="s">
        <v>138</v>
      </c>
      <c r="V43" s="116" t="str">
        <f>$N$33</f>
        <v>kg N2O-N/kg N applied</v>
      </c>
      <c r="W43" s="116" t="s">
        <v>173</v>
      </c>
    </row>
    <row r="44" spans="3:23" ht="20.100000000000001" customHeight="1" x14ac:dyDescent="0.25">
      <c r="F44" s="2"/>
      <c r="M44" s="48" t="s">
        <v>164</v>
      </c>
      <c r="N44" s="110" t="s">
        <v>164</v>
      </c>
      <c r="O44" s="110" t="s">
        <v>159</v>
      </c>
      <c r="P44" s="110" t="s">
        <v>160</v>
      </c>
      <c r="Q44" s="48" t="s">
        <v>161</v>
      </c>
      <c r="R44" s="48" t="str">
        <f>N9</f>
        <v>EF_fjIrrigatedMaizeN2O</v>
      </c>
      <c r="S44" s="48" t="str">
        <f>N20</f>
        <v>EF_fjNonIrrigatedGrainsN2O</v>
      </c>
      <c r="T44" s="48" t="s">
        <v>174</v>
      </c>
      <c r="U44" s="48" t="s">
        <v>170</v>
      </c>
      <c r="V44" s="48" t="str">
        <f>N32</f>
        <v>EF_fjCottonN2O</v>
      </c>
      <c r="W44" s="48" t="s">
        <v>226</v>
      </c>
    </row>
    <row r="45" spans="3:23" ht="20.100000000000001" customHeight="1" x14ac:dyDescent="0.25">
      <c r="F45" s="2"/>
      <c r="M45" s="49" t="s">
        <v>169</v>
      </c>
      <c r="N45" s="49" t="str" cm="1">
        <f t="array" ref="N45:N49">Table_Input_InorganicFertiliser_Brands[Product (select)]</f>
        <v>Aqua Finish</v>
      </c>
      <c r="O45" s="49" cm="1">
        <f t="array" ref="O45:O49">Table_Input_InorganicFertiliser_Brands[N application rate (kg/ha)]</f>
        <v>0</v>
      </c>
      <c r="P45" s="49" cm="1">
        <f t="array" ref="P45:P49">Table_Input_InorganicFertiliser_Brands[Application area (ha)]</f>
        <v>100</v>
      </c>
      <c r="Q45" s="49">
        <f>O45*P45</f>
        <v>0</v>
      </c>
      <c r="R45" s="49" cm="1">
        <f t="array" ref="R45">IF(O45&gt;0, Fertiliser_Equations_InorganicN2O.VEERG_5_1_1_2__1_EmissionFactorIrrigatedMaize(O45), 0)</f>
        <v>0</v>
      </c>
      <c r="S45" s="49" cm="1">
        <f t="array" ref="S45">IF(O45&gt;0, Fertiliser_Equations_InorganicN2O.VEERG_5_1_1_2__2_EmissionFactorNonIrrigatedGrainsHighRainfall(O45), 0)</f>
        <v>0</v>
      </c>
      <c r="T45" s="49">
        <f>IF(O45&gt;0, MIN(300, O45), 0)</f>
        <v>0</v>
      </c>
      <c r="U45" s="49">
        <f>P45*T45</f>
        <v>0</v>
      </c>
      <c r="V45" s="49" cm="1">
        <f t="array" ref="V45">IF(O45&gt;0, Fertiliser_Equations_InorganicN2O.VEERG_5_1_1_2__3_EmissionFactorCotton(T45), 0)</f>
        <v>0</v>
      </c>
      <c r="W45" s="49">
        <f>IF(O45&gt;0,Common_InputFunctions.Utility_LookupN2OEFFromProdIrrigationRainfall($S$70,$S$73,$S$74,Table_SourceData_Common_EFN2O[Production system only],Table_SourceData_Common_EFN2O[Irrigation method],Table_SourceData_Common_EFN2O[Rainfall zone],Table_SourceData_Common_EFN2O[EFN2O]), 0)</f>
        <v>0</v>
      </c>
    </row>
    <row r="46" spans="3:23" ht="20.100000000000001" customHeight="1" x14ac:dyDescent="0.25">
      <c r="D46" s="50" t="s">
        <v>24</v>
      </c>
      <c r="E46" s="1" t="str" cm="1">
        <f t="array" ref="E46">Fertiliser_Equations_InorganicN2O.VEERG_5_1_1_1__1_InorganicFertiliserApplicationN2OEmissions_Variable()</f>
        <v>E_N2O</v>
      </c>
      <c r="F46" s="2"/>
      <c r="M46" s="49" t="s">
        <v>169</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169</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169</v>
      </c>
      <c r="N48" s="49" t="str">
        <v>Aqua Grow</v>
      </c>
      <c r="O48" s="49">
        <v>0</v>
      </c>
      <c r="P48" s="49">
        <v>100</v>
      </c>
      <c r="Q48" s="49">
        <f t="shared" si="2"/>
        <v>0</v>
      </c>
      <c r="R48" s="49" cm="1">
        <f t="array" ref="R48">IF(O48&gt;0, Fertiliser_Equations_InorganicN2O.VEERG_5_1_1_2__1_EmissionFactorIrrigatedMaize(O48), 0)</f>
        <v>0</v>
      </c>
      <c r="S48" s="49" cm="1">
        <f t="array" ref="S48">IF(O48&gt;0, Fertiliser_Equations_InorganicN2O.VEERG_5_1_1_2__2_EmissionFactorNonIrrigatedGrainsHighRainfall(O48), 0)</f>
        <v>0</v>
      </c>
      <c r="T48" s="49">
        <f t="shared" si="0"/>
        <v>0</v>
      </c>
      <c r="U48" s="49">
        <f t="shared" si="1"/>
        <v>0</v>
      </c>
      <c r="V48" s="49" cm="1">
        <f t="array" ref="V48">IF(O48&gt;0, Fertiliser_Equations_InorganicN2O.VEERG_5_1_1_2__3_EmissionFactorCotton(T48), 0)</f>
        <v>0</v>
      </c>
      <c r="W48" s="49">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169</v>
      </c>
      <c r="N49" s="49" t="str">
        <v>Aqua NitroCal</v>
      </c>
      <c r="O49" s="49">
        <v>0</v>
      </c>
      <c r="P49" s="49">
        <v>100</v>
      </c>
      <c r="Q49" s="49">
        <f t="shared" si="2"/>
        <v>0</v>
      </c>
      <c r="R49" s="49" cm="1">
        <f t="array" ref="R49">IF(O49&gt;0, Fertiliser_Equations_InorganicN2O.VEERG_5_1_1_2__1_EmissionFactorIrrigatedMaize(O49), 0)</f>
        <v>0</v>
      </c>
      <c r="S49" s="49" cm="1">
        <f t="array" ref="S49">IF(O49&gt;0, Fertiliser_Equations_InorganicN2O.VEERG_5_1_1_2__2_EmissionFactorNonIrrigatedGrainsHighRainfall(O49), 0)</f>
        <v>0</v>
      </c>
      <c r="T49" s="49">
        <f t="shared" si="0"/>
        <v>0</v>
      </c>
      <c r="U49" s="49">
        <f t="shared" si="1"/>
        <v>0</v>
      </c>
      <c r="V49" s="49" cm="1">
        <f t="array" ref="V49">IF(O49&gt;0, Fertiliser_Equations_InorganicN2O.VEERG_5_1_1_2__3_EmissionFactorCotton(T49), 0)</f>
        <v>0</v>
      </c>
      <c r="W49" s="49">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8.0000000000000002E-3</v>
      </c>
      <c r="M50" s="49" t="s">
        <v>168</v>
      </c>
      <c r="N50" s="49" t="str" cm="1">
        <f t="array" ref="N50:N52">Table_Input_InorganicFertiliser_Custom[Custom blend name]</f>
        <v>Nitrogen ammoniacal</v>
      </c>
      <c r="O50" s="49" cm="1">
        <f t="array" ref="O50:O52">Table_Input_InorganicFertiliser_Custom[N application rate (kg/ha)]</f>
        <v>100</v>
      </c>
      <c r="P50" s="49" cm="1">
        <f t="array" ref="P50:P52">Table_Input_InorganicFertiliser_Custom[Application area (ha)]</f>
        <v>100</v>
      </c>
      <c r="Q50" s="49">
        <f t="shared" si="2"/>
        <v>10000</v>
      </c>
      <c r="R50" s="49" cm="1">
        <f t="array" ref="R50">IF(O50&gt;0, Fertiliser_Equations_InorganicN2O.VEERG_5_1_1_2__1_EmissionFactorIrrigatedMaize(O50), 0)</f>
        <v>4.6259999999999999E-3</v>
      </c>
      <c r="S50" s="49" cm="1">
        <f t="array" ref="S50">IF(O50&gt;0, Fertiliser_Equations_InorganicN2O.VEERG_5_1_1_2__2_EmissionFactorNonIrrigatedGrainsHighRainfall(O50), 0)</f>
        <v>8.2810000000000002E-3</v>
      </c>
      <c r="T50" s="49">
        <f t="shared" si="0"/>
        <v>100</v>
      </c>
      <c r="U50" s="49">
        <f t="shared" si="1"/>
        <v>10000</v>
      </c>
      <c r="V50" s="49" cm="1">
        <f t="array" ref="V50">IF(O50&gt;0, Fertiliser_Equations_InorganicN2O.VEERG_5_1_1_2__3_EmissionFactorCotton(T50), 0)</f>
        <v>2.9276131130520473E-5</v>
      </c>
      <c r="W50" s="49">
        <f>IF(O50&gt;0,Common_InputFunctions.Utility_LookupN2OEFFromProdIrrigationRainfall($S$70,$S$73,$S$74,Table_SourceData_Common_EFN2O[Production system only],Table_SourceData_Common_EFN2O[Irrigation method],Table_SourceData_Common_EFN2O[Rainfall zone],Table_SourceData_Common_EFN2O[EFN2O]), 0)</f>
        <v>8.0000000000000002E-3</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168</v>
      </c>
      <c r="N51" s="49" t="str">
        <v>Urea</v>
      </c>
      <c r="O51" s="49">
        <v>46</v>
      </c>
      <c r="P51" s="49">
        <v>100</v>
      </c>
      <c r="Q51" s="49">
        <f t="shared" si="2"/>
        <v>4600</v>
      </c>
      <c r="R51" s="49" cm="1">
        <f t="array" ref="R51">IF(O51&gt;0, Fertiliser_Equations_InorganicN2O.VEERG_5_1_1_2__1_EmissionFactorIrrigatedMaize(O51), 0)</f>
        <v>1.3320000000000001E-3</v>
      </c>
      <c r="S51" s="49" cm="1">
        <f t="array" ref="S51">IF(O51&gt;0, Fertiliser_Equations_InorganicN2O.VEERG_5_1_1_2__2_EmissionFactorNonIrrigatedGrainsHighRainfall(O51), 0)</f>
        <v>4.2309999999999995E-3</v>
      </c>
      <c r="T51" s="49">
        <f t="shared" si="0"/>
        <v>46</v>
      </c>
      <c r="U51" s="49">
        <f t="shared" si="1"/>
        <v>4600</v>
      </c>
      <c r="V51" s="49" cm="1">
        <f t="array" ref="V51">IF(O51&gt;0, Fertiliser_Equations_InorganicN2O.VEERG_5_1_1_2__3_EmissionFactorCotton(T51), 0)</f>
        <v>2.9068248573243379E-5</v>
      </c>
      <c r="W51" s="49">
        <f>IF(O51&gt;0,Common_InputFunctions.Utility_LookupN2OEFFromProdIrrigationRainfall($S$70,$S$73,$S$74,Table_SourceData_Common_EFN2O[Production system only],Table_SourceData_Common_EFN2O[Irrigation method],Table_SourceData_Common_EFN2O[Rainfall zone],Table_SourceData_Common_EFN2O[EFN2O]), 0)</f>
        <v>8.0000000000000002E-3</v>
      </c>
    </row>
    <row r="52" spans="4:24" ht="20.100000000000001" customHeight="1" x14ac:dyDescent="0.25">
      <c r="D52" s="53" t="str">
        <v>j</v>
      </c>
      <c r="E52" s="54" t="str">
        <v>Production system</v>
      </c>
      <c r="F52" s="91"/>
      <c r="G52" s="53" t="str">
        <v/>
      </c>
      <c r="H52" s="118" t="str">
        <v>Input</v>
      </c>
      <c r="I52" s="53" t="str">
        <f>X_Cell_Fertiliser_ProductionSystem</f>
        <v>Crop</v>
      </c>
      <c r="M52" s="49" t="s">
        <v>168</v>
      </c>
      <c r="N52" s="49">
        <v>0</v>
      </c>
      <c r="O52" s="49">
        <v>0</v>
      </c>
      <c r="P52" s="49">
        <v>100</v>
      </c>
      <c r="Q52" s="49">
        <f t="shared" si="2"/>
        <v>0</v>
      </c>
      <c r="R52" s="49" cm="1">
        <f t="array" ref="R52">IF(O52&gt;0, Fertiliser_Equations_InorganicN2O.VEERG_5_1_1_2__1_EmissionFactorIrrigatedMaize(O52), 0)</f>
        <v>0</v>
      </c>
      <c r="S52" s="49" cm="1">
        <f t="array" ref="S52">IF(O52&gt;0, Fertiliser_Equations_InorganicN2O.VEERG_5_1_1_2__2_EmissionFactorNonIrrigatedGrainsHighRainfall(O52), 0)</f>
        <v>0</v>
      </c>
      <c r="T52" s="49">
        <f t="shared" si="0"/>
        <v>0</v>
      </c>
      <c r="U52" s="49">
        <f t="shared" si="1"/>
        <v>0</v>
      </c>
      <c r="V52" s="49" cm="1">
        <f t="array" ref="V52">IF(O52&gt;0, Fertiliser_Equations_InorganicN2O.VEERG_5_1_1_2__3_EmissionFactorCotton(T52), 0)</f>
        <v>0</v>
      </c>
      <c r="W52" s="49">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3" t="str">
        <v>f</v>
      </c>
      <c r="E53" s="54" t="str">
        <v>Inorganic fertiliser type</v>
      </c>
      <c r="F53" s="91"/>
      <c r="G53" s="53" t="str">
        <v/>
      </c>
      <c r="H53" s="117" t="str">
        <v>Constant</v>
      </c>
      <c r="I53" s="53" t="str">
        <f>"See " &amp; D57</f>
        <v>See M1_Table_E_N2O</v>
      </c>
      <c r="M53" s="49" t="s">
        <v>168</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Not irrigated</v>
      </c>
      <c r="M54" s="49" t="s">
        <v>168</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High rainfall</v>
      </c>
    </row>
    <row r="56" spans="4:24" ht="20.100000000000001" customHeight="1" x14ac:dyDescent="0.25">
      <c r="F56" s="2"/>
    </row>
    <row r="57" spans="4:24" ht="20.100000000000001" customHeight="1" x14ac:dyDescent="0.25">
      <c r="D57" s="90" t="s">
        <v>162</v>
      </c>
      <c r="F57" s="2"/>
      <c r="L57" s="43"/>
      <c r="M57" s="43"/>
      <c r="N57" s="43"/>
      <c r="O57" s="43"/>
      <c r="P57" s="43"/>
      <c r="Q57" s="43"/>
      <c r="R57" s="43"/>
      <c r="S57" s="43"/>
      <c r="T57" s="43"/>
      <c r="U57" s="43"/>
      <c r="V57" s="43"/>
      <c r="W57" s="43"/>
      <c r="X57" s="43"/>
    </row>
    <row r="58" spans="4:24" ht="20.100000000000001" customHeight="1" x14ac:dyDescent="0.25">
      <c r="D58" s="89" t="s">
        <v>163</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108</v>
      </c>
      <c r="E59" s="48" t="s">
        <v>176</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5.7828571428571438E-2</v>
      </c>
      <c r="G62" s="1" t="s">
        <v>321</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c r="P64" s="1" t="s">
        <v>322</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0.12571428571428572</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0</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EF_fjNonIrrigatedGrainsN2O</v>
      </c>
    </row>
    <row r="69" spans="4:19" ht="20.100000000000001" customHeight="1" x14ac:dyDescent="0.25">
      <c r="D69" s="49" t="str">
        <v>Nitrogen - Generic</v>
      </c>
      <c r="E69" s="49" cm="1">
        <f t="array" ref="E69">Fertiliser_Equations_InorganicN2O.VEERG_5_1_1_1__1_InorganicFertiliserApplicationN2OEmissions(G28,$I$50,$I$51)</f>
        <v>0</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Crop</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Grains</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178</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Not irrigated</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High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164</v>
      </c>
      <c r="N76" s="48" t="s">
        <v>164</v>
      </c>
      <c r="O76" s="48" t="s">
        <v>177</v>
      </c>
      <c r="P76" s="48" t="s">
        <v>176</v>
      </c>
    </row>
    <row r="77" spans="4:19" ht="20.100000000000001" customHeight="1" x14ac:dyDescent="0.25">
      <c r="D77" s="49" t="str">
        <v>Ammonia</v>
      </c>
      <c r="E77" s="49" cm="1">
        <f t="array" ref="E77">Fertiliser_Equations_InorganicN2O.VEERG_5_1_1_1__1_InorganicFertiliserApplicationN2OEmissions(G36,$I$50,$I$51)</f>
        <v>0</v>
      </c>
      <c r="M77" s="49" t="s">
        <v>169</v>
      </c>
      <c r="N77" s="49" t="str" cm="1">
        <f t="array" ref="N77:N81">Table_Input_InorganicFertiliser_Brands[Product (select)]</f>
        <v>Aqua Finish</v>
      </c>
      <c r="O77" s="49" cm="1">
        <f t="array" ref="O77">_xlfn.XLOOKUP(N77,$N$45:$N$54,_xlfn.XLOOKUP($S$68,$R$44:$W$44,$R$45:$W$54), "")</f>
        <v>0</v>
      </c>
      <c r="P77" s="49" cm="1">
        <f t="array" ref="P77">Fertiliser_Equations_InorganicN2O.VEERG_5_1_1_1__1_InorganicFertiliserApplicationN2OEmissions(Q45,O77,$S$69)</f>
        <v>0</v>
      </c>
    </row>
    <row r="78" spans="4:19" ht="20.100000000000001" customHeight="1" x14ac:dyDescent="0.25">
      <c r="D78" s="49" t="str">
        <v>Calcium nitrate</v>
      </c>
      <c r="E78" s="49" cm="1">
        <f t="array" ref="E78">Fertiliser_Equations_InorganicN2O.VEERG_5_1_1_1__1_InorganicFertiliserApplicationN2OEmissions(G37,$I$50,$I$51)</f>
        <v>0</v>
      </c>
      <c r="M78" s="49" t="s">
        <v>169</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169</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155</v>
      </c>
      <c r="E80" s="93">
        <f>SUM(E60:E78)</f>
        <v>0.18354285714285717</v>
      </c>
      <c r="F80" s="94" t="str">
        <f>$E$47</f>
        <v>t N2O</v>
      </c>
      <c r="M80" s="49" t="s">
        <v>169</v>
      </c>
      <c r="N80" s="49" t="str">
        <v>Aqua Grow</v>
      </c>
      <c r="O80" s="49" cm="1">
        <f t="array" ref="O80">_xlfn.XLOOKUP(N80,$N$45:$N$54,_xlfn.XLOOKUP($S$68,$R$44:$W$44,$R$45:$W$54))</f>
        <v>0</v>
      </c>
      <c r="P80" s="49" cm="1">
        <f t="array" ref="P80">Fertiliser_Equations_InorganicN2O.VEERG_5_1_1_1__1_InorganicFertiliserApplicationN2OEmissions(Q48,O80,$S$69)</f>
        <v>0</v>
      </c>
    </row>
    <row r="81" spans="4:16" ht="20.100000000000001" customHeight="1" x14ac:dyDescent="0.25">
      <c r="M81" s="49" t="s">
        <v>169</v>
      </c>
      <c r="N81" s="49" t="str">
        <v>Aqua NitroCal</v>
      </c>
      <c r="O81" s="49" cm="1">
        <f t="array" ref="O81">_xlfn.XLOOKUP(N81,$N$45:$N$54,_xlfn.XLOOKUP($S$68,$R$44:$W$44,$R$45:$W$54))</f>
        <v>0</v>
      </c>
      <c r="P81" s="49" cm="1">
        <f t="array" ref="P81">Fertiliser_Equations_InorganicN2O.VEERG_5_1_1_1__1_InorganicFertiliserApplicationN2OEmissions(Q49,O81,$S$69)</f>
        <v>0</v>
      </c>
    </row>
    <row r="82" spans="4:16"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0.18354285714285717</v>
      </c>
      <c r="M82" s="49" t="s">
        <v>168</v>
      </c>
      <c r="N82" s="49" t="str" cm="1">
        <f t="array" ref="N82:N84">Table_Input_InorganicFertiliser_Custom[Custom blend name]</f>
        <v>Nitrogen ammoniacal</v>
      </c>
      <c r="O82" s="49" cm="1">
        <f t="array" ref="O82">_xlfn.XLOOKUP(N82,$N$45:$N$54,_xlfn.XLOOKUP($S$68,$R$44:$W$44,$R$45:$W$54))</f>
        <v>8.2810000000000002E-3</v>
      </c>
      <c r="P82" s="49" cm="1">
        <f t="array" ref="P82">Fertiliser_Equations_InorganicN2O.VEERG_5_1_1_1__1_InorganicFertiliserApplicationN2OEmissions(Q50,O82,$S$69)</f>
        <v>0.13013</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168</v>
      </c>
      <c r="N83" s="49" t="str">
        <v>Urea</v>
      </c>
      <c r="O83" s="49" cm="1">
        <f t="array" ref="O83">_xlfn.XLOOKUP(N83,$N$45:$N$54,_xlfn.XLOOKUP($S$68,$R$44:$W$44,$R$45:$W$54))</f>
        <v>4.2309999999999995E-3</v>
      </c>
      <c r="P83" s="49" cm="1">
        <f t="array" ref="P83">Fertiliser_Equations_InorganicN2O.VEERG_5_1_1_1__1_InorganicFertiliserApplicationN2OEmissions(Q51,O83,$S$69)</f>
        <v>3.0584085714285711E-2</v>
      </c>
    </row>
    <row r="84" spans="4:16" ht="20.100000000000001" customHeight="1" x14ac:dyDescent="0.25">
      <c r="M84" s="49" t="s">
        <v>168</v>
      </c>
      <c r="N84" s="49">
        <v>0</v>
      </c>
      <c r="O84" s="49" cm="1">
        <f t="array" ref="O84">_xlfn.XLOOKUP(N84,$N$45:$N$54,_xlfn.XLOOKUP($S$68,$R$44:$W$44,$R$45:$W$54))</f>
        <v>0</v>
      </c>
      <c r="P84" s="49" cm="1">
        <f t="array" ref="P84">Fertiliser_Equations_InorganicN2O.VEERG_5_1_1_1__1_InorganicFertiliserApplicationN2OEmissions(Q52,O84,$S$69)</f>
        <v>0</v>
      </c>
    </row>
    <row r="85" spans="4:16" ht="20.100000000000001" customHeight="1" x14ac:dyDescent="0.25">
      <c r="D85" s="43" t="s">
        <v>76</v>
      </c>
      <c r="E85" s="43" cm="1">
        <f t="array" ref="E85">Common_Equations.Common_ConvertN2OToCO2e(G82,G83)</f>
        <v>48.638857142857148</v>
      </c>
      <c r="F85" s="96" t="str" cm="1">
        <f t="array" ref="F85">Common_Equations.Common_ConvertN2OToCO2e_Unit()</f>
        <v>t CO2e</v>
      </c>
      <c r="M85" s="49" t="s">
        <v>168</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168</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155</v>
      </c>
      <c r="N88" s="93">
        <f>SUM(P77:P86)</f>
        <v>0.16071408571428569</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VEERG_5_1_1_1__1_InorganicFertiliserApplicationN2OEmissions_Result_Method2</f>
        <v>0.16071408571428569</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76</v>
      </c>
      <c r="N93" s="43" cm="1">
        <f t="array" ref="N93">Common_Equations.Common_ConvertN2OToCO2e(P90,P91)</f>
        <v>42.589232714285707</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44" zoomScaleNormal="100" workbookViewId="0">
      <selection activeCell="E60" sqref="E6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196</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67</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197</v>
      </c>
    </row>
    <row r="17" spans="1:7" ht="20.100000000000001" customHeight="1" x14ac:dyDescent="0.25">
      <c r="A17" s="17" t="str">
        <f>HYPERLINK("#'5.3.1.1-2 Lime CO2'!A1", "5.3.1.1-2 Lime CO2")</f>
        <v>5.3.1.1-2 Lime CO2</v>
      </c>
      <c r="D17" s="89" t="s">
        <v>198</v>
      </c>
    </row>
    <row r="18" spans="1:7" ht="20.100000000000001" customHeight="1" x14ac:dyDescent="0.25">
      <c r="A18" s="17" t="str">
        <f>HYPERLINK("#'5.4.1.1-4 Atmos deposition'!A1", "5.4.1.1-4 Atmos deposition")</f>
        <v>5.4.1.1-4 Atmos deposition</v>
      </c>
      <c r="D18" s="48" t="s">
        <v>108</v>
      </c>
      <c r="E18" s="110" t="s">
        <v>140</v>
      </c>
      <c r="F18" s="48" t="s">
        <v>199</v>
      </c>
      <c r="G18" s="48" t="s">
        <v>202</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10000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200</v>
      </c>
    </row>
    <row r="56" spans="4:9" ht="20.100000000000001" customHeight="1" x14ac:dyDescent="0.25">
      <c r="D56" s="89" t="s">
        <v>201</v>
      </c>
    </row>
    <row r="57" spans="4:9" ht="20.100000000000001" customHeight="1" x14ac:dyDescent="0.25">
      <c r="D57" s="48" t="s">
        <v>108</v>
      </c>
      <c r="E57" s="48" t="s">
        <v>176</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7.333333333333333</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227</v>
      </c>
      <c r="E78" s="93">
        <f>SUM(E58:E76)</f>
        <v>7.333333333333333</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12" zoomScaleNormal="100" workbookViewId="0">
      <selection activeCell="E50" sqref="E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228</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c r="G10" s="1" t="s">
        <v>318</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67</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236</v>
      </c>
    </row>
    <row r="18" spans="1:10" ht="20.100000000000001" customHeight="1" x14ac:dyDescent="0.25">
      <c r="A18" s="17" t="str">
        <f>HYPERLINK("#'5.4.1.1-4 Atmos deposition'!A1", "5.4.1.1-4 Atmos deposition")</f>
        <v>5.4.1.1-4 Atmos deposition</v>
      </c>
      <c r="D18" s="89" t="s">
        <v>242</v>
      </c>
    </row>
    <row r="19" spans="1:10" ht="20.100000000000001" customHeight="1" x14ac:dyDescent="0.25">
      <c r="A19" s="17" t="str">
        <f>HYPERLINK("#'5.5.1.1-2 Leaching and runoff'!A1", "5.5.1.1-2 Leaching and runoff")</f>
        <v>5.5.1.1-2 Leaching and runoff</v>
      </c>
      <c r="D19" s="110" t="s">
        <v>237</v>
      </c>
      <c r="E19" s="110" t="s">
        <v>238</v>
      </c>
      <c r="F19" s="110" t="s">
        <v>147</v>
      </c>
      <c r="G19" s="145" t="s">
        <v>239</v>
      </c>
      <c r="H19" s="110" t="s">
        <v>317</v>
      </c>
      <c r="I19" s="145" t="s">
        <v>240</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100</v>
      </c>
      <c r="F20" s="148" cm="1">
        <f t="array" ref="F20:F22">Table_Input_OrganicFertiliser[Application area (ha)]</f>
        <v>100</v>
      </c>
      <c r="G20" s="49" cm="1">
        <f t="array" ref="G20:G22">Table_Input_OrganicFertiliser[Amount applied (kg/hectare)]*Table_Input_OrganicFertiliser[Application area (ha)]</f>
        <v>10000</v>
      </c>
      <c r="H20" s="149" cm="1">
        <f t="array" ref="H20:H22">Table_Input_OrganicFertiliser[Percentage of N in fertiliser]</f>
        <v>0.5</v>
      </c>
      <c r="I20" s="49" cm="1">
        <f t="array" ref="I20">Fertiliser_Equations_OrganicN2O.VEERG_5_2_1_1__2_MassOfNitrogenInOrganicFertiliser(G20,H20)</f>
        <v>5000</v>
      </c>
    </row>
    <row r="21" spans="1:10" ht="20.100000000000001" customHeight="1" x14ac:dyDescent="0.25">
      <c r="D21" s="49">
        <v>0</v>
      </c>
      <c r="E21" s="49">
        <v>0</v>
      </c>
      <c r="F21" s="49">
        <v>100</v>
      </c>
      <c r="G21" s="49">
        <v>0</v>
      </c>
      <c r="H21" s="49">
        <v>0</v>
      </c>
      <c r="I21" s="49" cm="1">
        <f t="array" ref="I21">Fertiliser_Equations_Organic.VEERG_5_2_1_1__2_MassOfNitrogenInOrganicFertiliser(G21,H21)</f>
        <v>0</v>
      </c>
    </row>
    <row r="22" spans="1:10" ht="20.100000000000001" customHeight="1" x14ac:dyDescent="0.25">
      <c r="A22" s="176" t="s">
        <v>1</v>
      </c>
      <c r="D22" s="49">
        <v>0</v>
      </c>
      <c r="E22" s="49">
        <v>0</v>
      </c>
      <c r="F22" s="49">
        <v>100</v>
      </c>
      <c r="G22" s="49">
        <v>0</v>
      </c>
      <c r="H22" s="49">
        <v>0</v>
      </c>
      <c r="I22" s="49" cm="1">
        <f t="array" ref="I22">Fertiliser_Equations_Organic.VEERG_5_2_1_1__2_MassOfNitrogenInOrganicFertiliser(G22,H22)</f>
        <v>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241</v>
      </c>
      <c r="E32" s="146">
        <f>SUM(I20:I30)</f>
        <v>5000</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Common_InputFunctions.Utility_DisplayFunctionName(VEERG_5_2_1_1__2_MassOfNitrogenInOrganicFertiliser_Result_Method1)</f>
        <v>=SUM</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c r="G41" s="1" t="s">
        <v>319</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5000</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44">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Crop</v>
      </c>
    </row>
    <row r="48" spans="3:12" ht="20.100000000000001" customHeight="1" x14ac:dyDescent="0.25">
      <c r="D48" s="144" t="str">
        <v>i</v>
      </c>
      <c r="E48" s="151" t="str">
        <v>Wet or dry climate zone</v>
      </c>
      <c r="F48" s="152"/>
      <c r="G48" s="152"/>
      <c r="H48" s="150"/>
      <c r="I48" s="144" t="str">
        <v/>
      </c>
      <c r="J48" s="118" t="str">
        <v>Input</v>
      </c>
      <c r="K48" s="144" t="str">
        <f>X_Cell_Site_WetOrDryClimateZone</f>
        <v>Dry climate zone</v>
      </c>
    </row>
    <row r="49" spans="4:7" ht="20.100000000000001" customHeight="1" x14ac:dyDescent="0.25"/>
    <row r="50" spans="4:7" ht="20.100000000000001" customHeight="1" x14ac:dyDescent="0.25">
      <c r="D50" s="92" t="s">
        <v>155</v>
      </c>
      <c r="E50" s="93" cm="1">
        <f t="array" ref="E50">Fertiliser_Equations_OrganicN2O.VEERG_5_2_1_1__1_OrganicFertiliserApplicationN2OEmissions(K44,K45,K46)</f>
        <v>3.9285714285714285E-2</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5000</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76</v>
      </c>
      <c r="E55" s="43" cm="1">
        <f t="array" ref="E55">Common_Equations.Common_ConvertN2OToCO2e(G52,G53)</f>
        <v>1325000</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zoomScaleNormal="100" workbookViewId="0">
      <selection activeCell="H25" sqref="H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245</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67</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253</v>
      </c>
    </row>
    <row r="23" spans="1:9" ht="20.100000000000001" customHeight="1" x14ac:dyDescent="0.25">
      <c r="A23" s="17" t="str">
        <f>HYPERLINK("#'Constants - Fertiliser'!A1", "Constants - Fertiliser")</f>
        <v>Constants - Fertiliser</v>
      </c>
      <c r="D23" s="89" t="s">
        <v>257</v>
      </c>
    </row>
    <row r="24" spans="1:9" ht="20.100000000000001" customHeight="1" x14ac:dyDescent="0.25">
      <c r="A24" s="17" t="str">
        <f>HYPERLINK("#'Constants - Common'!A1", "Constants - Common")</f>
        <v>Constants - Common</v>
      </c>
      <c r="D24" s="110" t="s">
        <v>246</v>
      </c>
      <c r="E24" s="110" t="s">
        <v>247</v>
      </c>
      <c r="F24" s="110" t="s">
        <v>248</v>
      </c>
      <c r="G24" s="110" t="s">
        <v>249</v>
      </c>
      <c r="H24" s="48" t="s">
        <v>250</v>
      </c>
    </row>
    <row r="25" spans="1:9" ht="20.100000000000001" customHeight="1" x14ac:dyDescent="0.25">
      <c r="D25" s="49" t="str" cm="1">
        <f t="array" ref="D25:D27">Table_Input_Lime[Product]</f>
        <v>Lime product 1</v>
      </c>
      <c r="E25" s="154" cm="1">
        <f t="array" ref="E25:E27">Table_Input_Lime[Total amount applied (t)]*10^3</f>
        <v>100000</v>
      </c>
      <c r="F25" s="155" cm="1">
        <f t="array" ref="F25:F27">Table_Input_Lime[Percent Lime CaCO3]</f>
        <v>0.5</v>
      </c>
      <c r="G25" s="155" cm="1">
        <f t="array" ref="G25:G27">Table_Input_Lime[Percent Dolomite CaMg(CO3)2]</f>
        <v>0.5</v>
      </c>
      <c r="H25" s="49" cm="1">
        <f t="array" ref="H25">Fertiliser_Equations_Lime.VEERG_5_3_1_1__1_LimeApplicationCO2Emissions(E25,F25,$I$15,$I$16,G25,$I$18,$I$19,$I$20)</f>
        <v>42.441666666666663</v>
      </c>
    </row>
    <row r="26" spans="1:9" ht="20.100000000000001" customHeight="1" x14ac:dyDescent="0.25">
      <c r="D26" s="49">
        <v>0</v>
      </c>
      <c r="E26" s="49">
        <v>0</v>
      </c>
      <c r="F26" s="49">
        <v>0</v>
      </c>
      <c r="G26" s="49">
        <v>0</v>
      </c>
      <c r="H26" s="49" cm="1">
        <f t="array" ref="H26">Fertiliser_Equations_Lime.VEERG_5_3_1_1__1_LimeApplicationCO2Emissions(E26,F26,$I$15,$I$16,G26,$I$18,$I$19,$I$20)</f>
        <v>0</v>
      </c>
    </row>
    <row r="27" spans="1:9" ht="20.100000000000001" customHeight="1" x14ac:dyDescent="0.25">
      <c r="D27" s="49">
        <v>0</v>
      </c>
      <c r="E27" s="49">
        <v>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251</v>
      </c>
      <c r="E31" s="93">
        <f>SUM(H25:H29)</f>
        <v>42.441666666666663</v>
      </c>
      <c r="F31" s="156" t="s">
        <v>252</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51" zoomScaleNormal="100" workbookViewId="0">
      <selection activeCell="J50" sqref="J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275</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67</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262</v>
      </c>
    </row>
    <row r="17" spans="1:8" ht="20.100000000000001" customHeight="1" x14ac:dyDescent="0.25">
      <c r="A17" s="17" t="str">
        <f>HYPERLINK("#'5.3.1.1-2 Lime CO2'!A1", "5.3.1.1-2 Lime CO2")</f>
        <v>5.3.1.1-2 Lime CO2</v>
      </c>
      <c r="D17" s="89" t="s">
        <v>263</v>
      </c>
    </row>
    <row r="18" spans="1:8" ht="20.100000000000001" customHeight="1" x14ac:dyDescent="0.25">
      <c r="A18" s="172" t="str">
        <f>HYPERLINK("#'5.4.1.1-4 Atmos deposition'!A1", "5.4.1.1-4 Atmos deposition")</f>
        <v>5.4.1.1-4 Atmos deposition</v>
      </c>
      <c r="D18" s="48" t="s">
        <v>258</v>
      </c>
      <c r="E18" s="48" t="s">
        <v>259</v>
      </c>
      <c r="F18" s="48" t="s">
        <v>106</v>
      </c>
      <c r="G18" s="161" t="s">
        <v>260</v>
      </c>
      <c r="H18" s="161" t="s">
        <v>261</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4600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690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10000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800</v>
      </c>
    </row>
    <row r="27" spans="1:8" ht="20.100000000000001" customHeight="1" x14ac:dyDescent="0.25">
      <c r="D27" s="49" t="str">
        <v>Nitrogen - Nitrate</v>
      </c>
      <c r="E27" s="49">
        <f>INDEX(Table_MN_j_f,10,4)</f>
        <v>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0</v>
      </c>
    </row>
    <row r="28" spans="1:8" ht="20.100000000000001"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0</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0</v>
      </c>
    </row>
    <row r="37" spans="3:12" ht="20.100000000000001" customHeight="1" x14ac:dyDescent="0.25">
      <c r="D37" s="49" t="str">
        <v>Calcium nitrate</v>
      </c>
      <c r="E37" s="49">
        <f>INDEX(Table_MN_j_f,20,4)</f>
        <v>0</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0</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8.0000000000000002E-3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Crop</v>
      </c>
    </row>
    <row r="53" spans="4:10" ht="20.100000000000001" customHeight="1" x14ac:dyDescent="0.25">
      <c r="D53" s="144" t="str">
        <v>ir</v>
      </c>
      <c r="E53" s="151" t="str">
        <v>irrigation method</v>
      </c>
      <c r="F53" s="152"/>
      <c r="G53" s="150"/>
      <c r="H53" s="144" t="str">
        <v/>
      </c>
      <c r="I53" s="118" t="str">
        <v>Input</v>
      </c>
      <c r="J53" s="144" t="str">
        <f>X_Cell_Fertiliser_IrrigationMethod</f>
        <v>Not irrigated</v>
      </c>
    </row>
    <row r="54" spans="4:10" ht="20.100000000000001" customHeight="1" x14ac:dyDescent="0.25">
      <c r="D54" s="144" t="str">
        <v>r</v>
      </c>
      <c r="E54" s="151" t="str">
        <v>rainfall region</v>
      </c>
      <c r="F54" s="152"/>
      <c r="G54" s="150"/>
      <c r="H54" s="144" t="str">
        <v/>
      </c>
      <c r="I54" s="118" t="str">
        <v>Input</v>
      </c>
      <c r="J54" s="144" t="str">
        <f>X_Cell_Site_RainfallZone</f>
        <v>High rainfall</v>
      </c>
    </row>
    <row r="55" spans="4:10" ht="20.100000000000001" customHeight="1" x14ac:dyDescent="0.25"/>
    <row r="56" spans="4:10" ht="20.100000000000001" customHeight="1" x14ac:dyDescent="0.25">
      <c r="D56" s="90" t="s">
        <v>271</v>
      </c>
    </row>
    <row r="57" spans="4:10" ht="20.100000000000001" customHeight="1" x14ac:dyDescent="0.25">
      <c r="D57" s="89" t="s">
        <v>272</v>
      </c>
    </row>
    <row r="58" spans="4:10" ht="20.100000000000001" customHeight="1" x14ac:dyDescent="0.25">
      <c r="D58" s="48" t="s">
        <v>258</v>
      </c>
      <c r="E58" s="161" t="s">
        <v>261</v>
      </c>
      <c r="F58" s="161" t="s">
        <v>264</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690</v>
      </c>
      <c r="F61" s="49" cm="1">
        <f t="array" ref="F61">Fertiliser_Equations_AtmosphericDeposition.VEERG_5_4_1_1__1_InorganicFertiliserAtmosphericDepositionN2OEmissions(E61,$J$50,$J$51)</f>
        <v>8.6742857142857142E-3</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800</v>
      </c>
      <c r="F66" s="49" cm="1">
        <f t="array" ref="F66">Fertiliser_Equations_AtmosphericDeposition.VEERG_5_4_1_1__1_InorganicFertiliserAtmosphericDepositionN2OEmissions(E66,$J$50,$J$51)</f>
        <v>1.0057142857142857E-2</v>
      </c>
    </row>
    <row r="67" spans="4:6" ht="20.100000000000001" customHeight="1" x14ac:dyDescent="0.25">
      <c r="D67" s="49" t="str">
        <v>Nitrogen - Nitrate</v>
      </c>
      <c r="E67" s="49">
        <f t="shared" si="0"/>
        <v>0</v>
      </c>
      <c r="F67" s="49" cm="1">
        <f t="array" ref="F67">Fertiliser_Equations_AtmosphericDeposition.VEERG_5_4_1_1__1_InorganicFertiliserAtmosphericDepositionN2OEmissions(E67,$J$50,$J$51)</f>
        <v>0</v>
      </c>
    </row>
    <row r="68" spans="4:6" ht="20.100000000000001"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0</v>
      </c>
      <c r="F76" s="49" cm="1">
        <f t="array" ref="F76">Fertiliser_Equations_AtmosphericDeposition.VEERG_5_4_1_1__1_InorganicFertiliserAtmosphericDepositionN2OEmissions(E76,$J$50,$J$51)</f>
        <v>0</v>
      </c>
    </row>
    <row r="77" spans="4:6" ht="20.100000000000001" customHeight="1" x14ac:dyDescent="0.25">
      <c r="D77" s="49" t="str">
        <v>Calcium nitrate</v>
      </c>
      <c r="E77" s="49">
        <f t="shared" si="0"/>
        <v>0</v>
      </c>
      <c r="F77" s="49" cm="1">
        <f t="array" ref="F77">Fertiliser_Equations_AtmosphericDeposition.VEERG_5_4_1_1__1_InorganicFertiliserAtmosphericDepositionN2OEmissions(E77,$J$50,$J$51)</f>
        <v>0</v>
      </c>
    </row>
    <row r="78" spans="4:6" ht="20.100000000000001" customHeight="1" x14ac:dyDescent="0.25"/>
    <row r="79" spans="4:6" ht="20.100000000000001" customHeight="1" x14ac:dyDescent="0.25">
      <c r="D79" s="92" t="s">
        <v>269</v>
      </c>
      <c r="E79" s="93">
        <f>SUM(F59:F77)</f>
        <v>1.8731428571428572E-2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1.8731428571428572E-2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76</v>
      </c>
      <c r="E84" s="43" cm="1">
        <f t="array" ref="E84">Common_Equations.Common_ConvertN2OToCO2e(G81,G82)</f>
        <v>4.9638285714285715</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Fertiliser_FracGASMSoil_Data</f>
        <v>0.21</v>
      </c>
    </row>
    <row r="98" spans="4:9" ht="20.100000000000001" customHeight="1" x14ac:dyDescent="0.25"/>
    <row r="99" spans="4:9" ht="20.100000000000001" customHeight="1" x14ac:dyDescent="0.25">
      <c r="D99" s="90" t="s">
        <v>265</v>
      </c>
    </row>
    <row r="100" spans="4:9" ht="20.100000000000001" customHeight="1" x14ac:dyDescent="0.25">
      <c r="D100" s="89" t="s">
        <v>266</v>
      </c>
    </row>
    <row r="101" spans="4:9" ht="20.100000000000001" customHeight="1" x14ac:dyDescent="0.25">
      <c r="D101" s="110" t="s">
        <v>237</v>
      </c>
      <c r="E101" s="145" t="s">
        <v>240</v>
      </c>
      <c r="F101" s="145" t="s">
        <v>268</v>
      </c>
    </row>
    <row r="102" spans="4:9" ht="20.100000000000001" customHeight="1" x14ac:dyDescent="0.25">
      <c r="D102" s="49" t="str" cm="1">
        <f t="array" ref="D102:D104">Table_Input_OrganicFertiliser[Organic fertiliser type (select)]</f>
        <v>Manure - Other</v>
      </c>
      <c r="E102" s="49">
        <f>INDEX(Table_MNSoil_j_f,2,6)</f>
        <v>5000</v>
      </c>
      <c r="F102" s="49" cm="1">
        <f t="array" ref="F102">Fertiliser_Equations_AtmosphericDeposition.VEERG_5_4_1_3__2_MassOfNitrogenVolatilisedFromOrganicFertiliser(E102,$I$97)</f>
        <v>1050</v>
      </c>
      <c r="G102" s="2" t="str">
        <f>$E$94</f>
        <v>kg N</v>
      </c>
    </row>
    <row r="103" spans="4:9" ht="20.100000000000001" customHeight="1" x14ac:dyDescent="0.25">
      <c r="D103" s="49">
        <v>0</v>
      </c>
      <c r="E103" s="49">
        <f>INDEX(Table_MNSoil_j_f,3,6)</f>
        <v>0</v>
      </c>
      <c r="F103" s="49" cm="1">
        <f t="array" ref="F103">Fertiliser_Equations_AtmosphericDeposition.VEERG_5_4_1_3__2_MassOfNitrogenVolatilisedFromOrganicFertiliser(E103,$I$97)</f>
        <v>0</v>
      </c>
    </row>
    <row r="104" spans="4:9" ht="20.100000000000001" customHeight="1" x14ac:dyDescent="0.25">
      <c r="D104" s="49">
        <v>0</v>
      </c>
      <c r="E104" s="49">
        <f>INDEX(Table_MNSoil_j_f,4,6)</f>
        <v>0</v>
      </c>
      <c r="F104" s="49" cm="1">
        <f t="array" ref="F104">Fertiliser_Equations_AtmosphericDeposition.VEERG_5_4_1_3__2_MassOfNitrogenVolatilisedFromOrganicFertiliser(E104,$I$97)</f>
        <v>0</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8.0000000000000002E-3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Crop</v>
      </c>
    </row>
    <row r="128" spans="3:12" ht="20.100000000000001" customHeight="1" x14ac:dyDescent="0.25">
      <c r="D128" s="144" t="str">
        <v>ir</v>
      </c>
      <c r="E128" s="151" t="str">
        <v>irrigation method</v>
      </c>
      <c r="F128" s="150"/>
      <c r="G128" s="144" t="str">
        <v/>
      </c>
      <c r="H128" s="118" t="str">
        <v>Input</v>
      </c>
      <c r="I128" s="144" t="str">
        <f>X_Cell_Fertiliser_IrrigationMethod</f>
        <v>Not irrigated</v>
      </c>
    </row>
    <row r="129" spans="4:9" ht="20.100000000000001" customHeight="1" x14ac:dyDescent="0.25">
      <c r="D129" s="144" t="str">
        <v>r</v>
      </c>
      <c r="E129" s="151" t="str">
        <v>rainfall region</v>
      </c>
      <c r="F129" s="150"/>
      <c r="G129" s="144" t="str">
        <v/>
      </c>
      <c r="H129" s="118" t="str">
        <v>Input</v>
      </c>
      <c r="I129" s="144" t="str">
        <f>X_Cell_Site_RainfallZone</f>
        <v>High rainfall</v>
      </c>
    </row>
    <row r="130" spans="4:9" ht="20.100000000000001" customHeight="1" x14ac:dyDescent="0.25"/>
    <row r="131" spans="4:9" ht="20.100000000000001" customHeight="1" x14ac:dyDescent="0.25">
      <c r="D131" s="90" t="s">
        <v>273</v>
      </c>
    </row>
    <row r="132" spans="4:9" ht="20.100000000000001" customHeight="1" x14ac:dyDescent="0.25">
      <c r="D132" s="89" t="s">
        <v>274</v>
      </c>
    </row>
    <row r="133" spans="4:9" ht="20.100000000000001" customHeight="1" x14ac:dyDescent="0.25">
      <c r="D133" s="110" t="s">
        <v>237</v>
      </c>
      <c r="E133" s="145" t="s">
        <v>268</v>
      </c>
      <c r="F133" s="145" t="s">
        <v>267</v>
      </c>
    </row>
    <row r="134" spans="4:9" ht="20.100000000000001" customHeight="1" x14ac:dyDescent="0.25">
      <c r="D134" s="49" t="str" cm="1">
        <f t="array" ref="D134:D136">Table_Input_OrganicFertiliser[Organic fertiliser type (select)]</f>
        <v>Manure - Other</v>
      </c>
      <c r="E134" s="49">
        <f>F102</f>
        <v>1050</v>
      </c>
      <c r="F134" s="49" cm="1">
        <f t="array" ref="F134">Fertiliser_Equations_AtmosphericDeposition.VEERG_5_4_1_3__1_OrganicFertiliserAtmosphericDepositionN2OEmissions(E134,$I$125,$I$126)</f>
        <v>1.3200000000000002E-2</v>
      </c>
    </row>
    <row r="135" spans="4:9" ht="20.100000000000001" customHeight="1" x14ac:dyDescent="0.25">
      <c r="D135" s="49">
        <v>0</v>
      </c>
      <c r="E135" s="49">
        <f t="shared" ref="E135:E144" si="1">F103</f>
        <v>0</v>
      </c>
      <c r="F135" s="49" cm="1">
        <f t="array" ref="F135">Fertiliser_Equations_AtmosphericDeposition.VEERG_5_4_1_3__1_OrganicFertiliserAtmosphericDepositionN2OEmissions(E135,$I$125,$I$126)</f>
        <v>0</v>
      </c>
    </row>
    <row r="136" spans="4:9" ht="20.100000000000001" customHeight="1" x14ac:dyDescent="0.25">
      <c r="D136" s="49">
        <v>0</v>
      </c>
      <c r="E136" s="49">
        <f t="shared" si="1"/>
        <v>0</v>
      </c>
      <c r="F136" s="49" cm="1">
        <f t="array" ref="F136">Fertiliser_Equations_AtmosphericDeposition.VEERG_5_4_1_3__1_OrganicFertiliserAtmosphericDepositionN2OEmissions(E136,$I$125,$I$126)</f>
        <v>0</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270</v>
      </c>
      <c r="E146" s="93">
        <f>SUM(F134:F144)</f>
        <v>1.3200000000000002E-2</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1.3200000000000002E-2</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76</v>
      </c>
      <c r="E151" s="43" cm="1">
        <f t="array" ref="E151">Common_Equations.Common_ConvertN2OToCO2e(G148,G149)</f>
        <v>3.4980000000000002</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abSelected="1" topLeftCell="A75" zoomScaleNormal="100" workbookViewId="0">
      <selection activeCell="E94" sqref="E9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276</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67</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Fertiliser_FracLEACH_Data</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YES -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Crop</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Not irrigated</v>
      </c>
    </row>
    <row r="19" spans="1:9" ht="20.100000000000001" customHeight="1" x14ac:dyDescent="0.25">
      <c r="A19" s="172" t="str">
        <f>HYPERLINK("#'5.5.1.1-2 Leaching and runoff'!A1", "5.5.1.1-2 Leaching and runoff")</f>
        <v>5.5.1.1-2 Leaching and runoff</v>
      </c>
    </row>
    <row r="20" spans="1:9" ht="20.100000000000001" customHeight="1" x14ac:dyDescent="0.25">
      <c r="D20" s="90" t="s">
        <v>278</v>
      </c>
    </row>
    <row r="21" spans="1:9" ht="20.100000000000001" customHeight="1" x14ac:dyDescent="0.25">
      <c r="D21" s="89" t="s">
        <v>281</v>
      </c>
    </row>
    <row r="22" spans="1:9" ht="20.100000000000001" customHeight="1" x14ac:dyDescent="0.25">
      <c r="A22" s="176" t="s">
        <v>1</v>
      </c>
      <c r="D22" s="48" t="s">
        <v>108</v>
      </c>
      <c r="E22" s="48" t="s">
        <v>259</v>
      </c>
      <c r="F22" s="48" t="s">
        <v>277</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4600</v>
      </c>
      <c r="F25" s="49" cm="1">
        <f t="array" ref="F25">Fertiliser_Equations_LeachingAndRunoff.VEERG_5_5_1_1__2_MassOfNitrogenLeachedFromInorganicFertiliser(E25, $I$14, $I$15)</f>
        <v>1104</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10000</v>
      </c>
      <c r="F30" s="49" cm="1">
        <f t="array" ref="F30">Fertiliser_Equations_LeachingAndRunoff.VEERG_5_5_1_1__2_MassOfNitrogenLeachedFromInorganicFertiliser(E30, $I$14, $I$15)</f>
        <v>2400</v>
      </c>
    </row>
    <row r="31" spans="1:9" ht="20.100000000000001" customHeight="1" x14ac:dyDescent="0.25">
      <c r="D31" s="49" t="str">
        <v>Nitrogen - Nitrate</v>
      </c>
      <c r="E31" s="49">
        <f>INDEX(Table_MN_j_f,10,4)</f>
        <v>0</v>
      </c>
      <c r="F31" s="49" cm="1">
        <f t="array" ref="F31">Fertiliser_Equations_LeachingAndRunoff.VEERG_5_5_1_1__2_MassOfNitrogenLeachedFromInorganicFertiliser(E31, $I$14, $I$15)</f>
        <v>0</v>
      </c>
    </row>
    <row r="32" spans="1:9" ht="20.100000000000001"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0</v>
      </c>
      <c r="F40" s="49" cm="1">
        <f t="array" ref="F40">Fertiliser_Equations_LeachingAndRunoff.VEERG_5_5_1_1__2_MassOfNitrogenLeachedFromInorganicFertiliser(E40, $I$14, $I$15)</f>
        <v>0</v>
      </c>
    </row>
    <row r="41" spans="3:11" ht="20.100000000000001" customHeight="1" x14ac:dyDescent="0.25">
      <c r="D41" s="49" t="str">
        <v>Calcium nitrate</v>
      </c>
      <c r="E41" s="49">
        <f>INDEX(Table_MN_j_f,20,4)</f>
        <v>0</v>
      </c>
      <c r="F41" s="49" cm="1">
        <f t="array" ref="F41">Fertiliser_Equations_LeachingAndRunoff.VEERG_5_5_1_1__2_MassOfNitrogenLeachedFromInorganicFertiliser(E41, $I$14, $I$15)</f>
        <v>0</v>
      </c>
    </row>
    <row r="42" spans="3:11" ht="20.100000000000001" customHeight="1" x14ac:dyDescent="0.25"/>
    <row r="43" spans="3:11" ht="20.100000000000001" customHeight="1" x14ac:dyDescent="0.25">
      <c r="D43" s="146" t="s">
        <v>279</v>
      </c>
      <c r="E43" s="43">
        <f>SUM(F23:F41)</f>
        <v>3504</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Common_InputFunctions.CommonCropping_GetFracWET(I58,I60,Table_SourceData_FracWET[Is in leaching zone],Table_SourceData_FracWET[FracWET],Table_SourceData_FracWETIrrigation[Irrigation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Fertiliser_FracLEACH_Data</f>
        <v>0.24</v>
      </c>
    </row>
    <row r="58" spans="4:9" ht="20.100000000000001" customHeight="1" x14ac:dyDescent="0.25">
      <c r="D58" s="144" t="str">
        <v>z</v>
      </c>
      <c r="E58" s="151" t="str">
        <v>location in leaching zone</v>
      </c>
      <c r="F58" s="150"/>
      <c r="G58" s="144" t="str">
        <v/>
      </c>
      <c r="H58" s="118" t="str">
        <v>Input</v>
      </c>
      <c r="I58" s="144" t="str">
        <f>X_Cell_Site_LeachingZone</f>
        <v>YES - In leaching zone</v>
      </c>
    </row>
    <row r="59" spans="4:9" ht="20.100000000000001" customHeight="1" x14ac:dyDescent="0.25">
      <c r="D59" s="144" t="str">
        <v>j</v>
      </c>
      <c r="E59" s="151" t="str">
        <v>production system</v>
      </c>
      <c r="F59" s="150"/>
      <c r="G59" s="144" t="str">
        <v/>
      </c>
      <c r="H59" s="118" t="str">
        <v>Input</v>
      </c>
      <c r="I59" s="144" t="str">
        <f>X_Cell_Fertiliser_ProductionSystem</f>
        <v>Crop</v>
      </c>
    </row>
    <row r="60" spans="4:9" ht="20.100000000000001" customHeight="1" x14ac:dyDescent="0.25">
      <c r="D60" s="144" t="str">
        <v>ir</v>
      </c>
      <c r="E60" s="151" t="str">
        <v>irrigation method</v>
      </c>
      <c r="F60" s="150"/>
      <c r="G60" s="144" t="str">
        <v/>
      </c>
      <c r="H60" s="118" t="str">
        <v>Input</v>
      </c>
      <c r="I60" s="144" t="str">
        <f>X_Cell_Fertiliser_IrrigationMethod</f>
        <v>Not irrigated</v>
      </c>
    </row>
    <row r="61" spans="4:9" ht="20.100000000000001" customHeight="1" x14ac:dyDescent="0.25"/>
    <row r="62" spans="4:9" ht="20.100000000000001" customHeight="1" x14ac:dyDescent="0.25">
      <c r="D62" s="90" t="s">
        <v>280</v>
      </c>
    </row>
    <row r="63" spans="4:9" ht="20.100000000000001" customHeight="1" x14ac:dyDescent="0.25">
      <c r="D63" s="89" t="s">
        <v>282</v>
      </c>
    </row>
    <row r="64" spans="4:9" ht="20.100000000000001" customHeight="1" x14ac:dyDescent="0.25">
      <c r="D64" s="110" t="s">
        <v>237</v>
      </c>
      <c r="E64" s="163" t="s">
        <v>240</v>
      </c>
      <c r="F64" s="48" t="s">
        <v>283</v>
      </c>
    </row>
    <row r="65" spans="3:11" ht="20.100000000000001" customHeight="1" x14ac:dyDescent="0.25">
      <c r="D65" s="49" t="str">
        <f>INDEX(Table_MNSoil_j_f,2,1)</f>
        <v>Manure - Other</v>
      </c>
      <c r="E65" s="49">
        <f>INDEX(Table_MNSoil_j_f,2,6)</f>
        <v>5000</v>
      </c>
      <c r="F65" s="49" cm="1">
        <f t="array" ref="F65">Fertiliser_Equations_LeachingAndRunoff.VEERG_5_5_1_1__3_MassOfNitrogenLeachedFromOrganicFertiliser(E65,$I$56, $I$57)</f>
        <v>1200</v>
      </c>
    </row>
    <row r="66" spans="3:11" ht="20.100000000000001" customHeight="1" x14ac:dyDescent="0.25">
      <c r="D66" s="49">
        <f>INDEX(Table_MNSoil_j_f,3,1)</f>
        <v>0</v>
      </c>
      <c r="E66" s="49">
        <f>INDEX(Table_MNSoil_j_f,3,6)</f>
        <v>0</v>
      </c>
      <c r="F66" s="49" cm="1">
        <f t="array" ref="F66">Fertiliser_Equations_LeachingAndRunoff.VEERG_5_5_1_1__3_MassOfNitrogenLeachedFromOrganicFertiliser(E66,$I$56, $I$57)</f>
        <v>0</v>
      </c>
    </row>
    <row r="67" spans="3:11" ht="20.100000000000001" customHeight="1" x14ac:dyDescent="0.25">
      <c r="D67" s="49">
        <f>INDEX(Table_MNSoil_j_f,4,1)</f>
        <v>0</v>
      </c>
      <c r="E67" s="49">
        <f>INDEX(Table_MNSoil_j_f,4,6)</f>
        <v>0</v>
      </c>
      <c r="F67" s="49" cm="1">
        <f t="array" ref="F67">Fertiliser_Equations_LeachingAndRunoff.VEERG_5_5_1_1__3_MassOfNitrogenLeachedFromOrganicFertiliser(E67,$I$56, $I$57)</f>
        <v>0</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284</v>
      </c>
      <c r="E77" s="43">
        <f>SUM(F65:F75)</f>
        <v>1200</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3504</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1200</v>
      </c>
    </row>
    <row r="91" spans="4:10" ht="20.100000000000001" customHeight="1" x14ac:dyDescent="0.25">
      <c r="D91" s="144" t="str">
        <v>EF_leach</v>
      </c>
      <c r="E91" s="151" t="str">
        <v>emission factor for nitrogen leaching and runoff</v>
      </c>
      <c r="F91" s="152"/>
      <c r="G91" s="150"/>
      <c r="H91" s="144" t="str">
        <v>kg N2O-N/kg N</v>
      </c>
      <c r="I91" s="117" t="str">
        <v>Constant</v>
      </c>
      <c r="J91" s="144">
        <f>Fertiliser_EFLeach_Data</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285</v>
      </c>
      <c r="E94" s="93" cm="1">
        <f t="array" ref="E94">Fertiliser_Equations_LeachingAndRunoff.VEERG_5_5_1_1__1_FertiliserLeachingAndRunoffN2OEmissions(J89,J90,J91,J92)</f>
        <v>8.1311999999999995E-2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8.1311999999999995E-2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76</v>
      </c>
      <c r="E99" s="43" cm="1">
        <f t="array" ref="E99">Common_Equations.Common_ConvertN2OToCO2e(G96,G97)</f>
        <v>21.54768</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7"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105</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67</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108</v>
      </c>
      <c r="E19" t="s">
        <v>124</v>
      </c>
      <c r="F19" t="s">
        <v>123</v>
      </c>
      <c r="G19" t="s">
        <v>106</v>
      </c>
      <c r="H19" t="s">
        <v>125</v>
      </c>
      <c r="I19" t="s">
        <v>107</v>
      </c>
      <c r="K19" s="36" t="s">
        <v>108</v>
      </c>
      <c r="L19" s="36" t="s">
        <v>124</v>
      </c>
      <c r="Q19" s="36" t="s">
        <v>108</v>
      </c>
      <c r="R19" s="36" t="s">
        <v>124</v>
      </c>
      <c r="V19" s="36" t="s">
        <v>107</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301</v>
      </c>
      <c r="F40" s="6" t="s">
        <v>156</v>
      </c>
      <c r="H40" s="6" t="s">
        <v>129</v>
      </c>
      <c r="J40" s="6" t="s">
        <v>229</v>
      </c>
    </row>
    <row r="41" spans="4:10" ht="20.100000000000001" customHeight="1" x14ac:dyDescent="0.25">
      <c r="D41" s="36" t="s">
        <v>84</v>
      </c>
      <c r="F41" s="36" t="s">
        <v>84</v>
      </c>
      <c r="H41" s="36" t="s">
        <v>83</v>
      </c>
      <c r="J41" s="36" t="s">
        <v>230</v>
      </c>
    </row>
    <row r="42" spans="4:10" ht="20.100000000000001" customHeight="1" x14ac:dyDescent="0.25">
      <c r="D42" s="36" t="s">
        <v>130</v>
      </c>
      <c r="F42" s="36" t="s">
        <v>130</v>
      </c>
      <c r="H42" s="36" t="s">
        <v>131</v>
      </c>
      <c r="J42" s="36" t="s">
        <v>231</v>
      </c>
    </row>
    <row r="43" spans="4:10" ht="20.100000000000001" customHeight="1" x14ac:dyDescent="0.25">
      <c r="D43" s="1" t="s">
        <v>127</v>
      </c>
      <c r="F43" s="1" t="s">
        <v>137</v>
      </c>
      <c r="H43" s="36" t="s">
        <v>132</v>
      </c>
      <c r="J43" s="1" t="s">
        <v>232</v>
      </c>
    </row>
    <row r="44" spans="4:10" ht="20.100000000000001" customHeight="1" x14ac:dyDescent="0.25">
      <c r="F44" s="1" t="s">
        <v>135</v>
      </c>
      <c r="H44" s="1" t="s">
        <v>128</v>
      </c>
      <c r="J44" s="1" t="s">
        <v>233</v>
      </c>
    </row>
    <row r="45" spans="4:10" ht="20.100000000000001" customHeight="1" x14ac:dyDescent="0.25">
      <c r="F45" s="1" t="s">
        <v>136</v>
      </c>
      <c r="H45" s="1" t="s">
        <v>133</v>
      </c>
      <c r="J45" s="1" t="s">
        <v>234</v>
      </c>
    </row>
    <row r="46" spans="4:10" ht="20.100000000000001" customHeight="1" x14ac:dyDescent="0.25">
      <c r="H46" s="1" t="s">
        <v>134</v>
      </c>
      <c r="J46" s="1" t="s">
        <v>235</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108</v>
      </c>
      <c r="E50" s="36" t="s">
        <v>126</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246</v>
      </c>
      <c r="E65" s="36" t="s">
        <v>254</v>
      </c>
      <c r="F65" s="36" t="s">
        <v>255</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312</v>
      </c>
    </row>
    <row r="87" spans="4:31" ht="20.100000000000001" customHeight="1" x14ac:dyDescent="0.25">
      <c r="D87" s="6" t="s">
        <v>109</v>
      </c>
      <c r="E87" s="108"/>
      <c r="F87" s="108"/>
      <c r="G87" s="108"/>
      <c r="H87" s="108"/>
      <c r="I87" s="108"/>
      <c r="J87" s="108"/>
      <c r="K87" s="108"/>
      <c r="L87" s="108"/>
      <c r="N87" s="108" t="s">
        <v>312</v>
      </c>
      <c r="O87" s="108"/>
      <c r="P87" s="108"/>
      <c r="Q87" s="108"/>
      <c r="R87" s="108"/>
      <c r="S87" s="108"/>
      <c r="T87" s="108"/>
      <c r="U87" s="108"/>
    </row>
    <row r="88" spans="4:31" ht="20.100000000000001" customHeight="1" x14ac:dyDescent="0.25">
      <c r="D88" s="108"/>
    </row>
    <row r="89" spans="4:31" ht="20.100000000000001" customHeight="1" x14ac:dyDescent="0.25">
      <c r="D89" s="141" t="s">
        <v>219</v>
      </c>
      <c r="E89" s="36" t="s">
        <v>220</v>
      </c>
      <c r="F89" s="36" t="s">
        <v>221</v>
      </c>
      <c r="G89" s="115" t="s">
        <v>222</v>
      </c>
      <c r="H89" s="115" t="s">
        <v>15</v>
      </c>
      <c r="I89" s="115" t="s">
        <v>223</v>
      </c>
      <c r="J89" s="115" t="s">
        <v>224</v>
      </c>
      <c r="K89" s="115" t="s">
        <v>225</v>
      </c>
      <c r="L89" s="115" t="s">
        <v>111</v>
      </c>
      <c r="M89" s="115" t="s">
        <v>112</v>
      </c>
      <c r="N89" s="115" t="s">
        <v>113</v>
      </c>
      <c r="O89" s="36" t="s">
        <v>114</v>
      </c>
      <c r="P89" s="36" t="s">
        <v>115</v>
      </c>
      <c r="Q89" s="36" t="s">
        <v>116</v>
      </c>
      <c r="R89" s="115" t="s">
        <v>117</v>
      </c>
      <c r="S89" s="115" t="s">
        <v>118</v>
      </c>
      <c r="T89" s="36" t="s">
        <v>119</v>
      </c>
      <c r="U89" s="115" t="s">
        <v>120</v>
      </c>
      <c r="V89" s="115" t="s">
        <v>121</v>
      </c>
      <c r="W89" s="115" t="s">
        <v>122</v>
      </c>
      <c r="X89" s="115" t="s">
        <v>211</v>
      </c>
      <c r="Y89" s="115" t="s">
        <v>212</v>
      </c>
      <c r="Z89" s="36" t="s">
        <v>213</v>
      </c>
      <c r="AA89" s="36" t="s">
        <v>214</v>
      </c>
      <c r="AB89" s="36" t="s">
        <v>215</v>
      </c>
      <c r="AC89" s="36" t="s">
        <v>216</v>
      </c>
      <c r="AD89" s="36" t="s">
        <v>217</v>
      </c>
      <c r="AE89" s="36" t="s">
        <v>218</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topLeftCell="A114"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68</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67</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42</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49</v>
      </c>
      <c r="E109" s="36" t="s">
        <v>30</v>
      </c>
      <c r="F109" s="36" t="s">
        <v>50</v>
      </c>
      <c r="G109" s="36" t="s">
        <v>51</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52</v>
      </c>
      <c r="E119" s="36" t="s">
        <v>53</v>
      </c>
      <c r="F119" s="36" t="s">
        <v>37</v>
      </c>
      <c r="G119" s="36" t="s">
        <v>38</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59</v>
      </c>
      <c r="E127" s="36" t="s">
        <v>60</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72</v>
      </c>
      <c r="E134" t="s">
        <v>73</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89</v>
      </c>
      <c r="E142" s="36" t="s">
        <v>73</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61</v>
      </c>
      <c r="E153" s="36" t="s">
        <v>62</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80</v>
      </c>
      <c r="E186" s="36" t="s">
        <v>81</v>
      </c>
      <c r="F186" s="36" t="s">
        <v>82</v>
      </c>
      <c r="G186" s="36" t="s">
        <v>83</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88</v>
      </c>
      <c r="E212" s="36" t="s">
        <v>96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203</v>
      </c>
      <c r="F231" s="35" t="s">
        <v>204</v>
      </c>
      <c r="G231" s="36" t="s">
        <v>101</v>
      </c>
      <c r="H231" s="36" t="s">
        <v>205</v>
      </c>
      <c r="I231" s="36" t="s">
        <v>206</v>
      </c>
      <c r="J231" s="36" t="s">
        <v>100</v>
      </c>
      <c r="K231" s="36" t="s">
        <v>99</v>
      </c>
      <c r="L231" s="36" t="s">
        <v>207</v>
      </c>
      <c r="M231" s="36" t="s">
        <v>208</v>
      </c>
      <c r="N231" s="36" t="s">
        <v>98</v>
      </c>
      <c r="O231" s="36" t="s">
        <v>209</v>
      </c>
      <c r="P231" s="36" t="s">
        <v>103</v>
      </c>
      <c r="Q231" s="36" t="s">
        <v>104</v>
      </c>
      <c r="R231" s="36" t="s">
        <v>102</v>
      </c>
      <c r="S231" s="36" t="s">
        <v>210</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243</v>
      </c>
      <c r="E257" s="36" t="s">
        <v>244</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50</vt:i4>
      </vt:variant>
    </vt:vector>
  </HeadingPairs>
  <TitlesOfParts>
    <vt:vector size="64"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2026-08-03T11:49:04Z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