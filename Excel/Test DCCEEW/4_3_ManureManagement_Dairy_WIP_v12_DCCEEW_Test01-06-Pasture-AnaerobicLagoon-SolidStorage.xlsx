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E22B781-DEAA-43D1-B2C3-7211351116AE}" xr6:coauthVersionLast="47" xr6:coauthVersionMax="47" xr10:uidLastSave="{00000000-0000-0000-0000-000000000000}"/>
  <bookViews>
    <workbookView xWindow="390" yWindow="195" windowWidth="28410" windowHeight="16890" firstSheet="8" activeTab="11"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0"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97" l="1"/>
  <c r="E50" i="70" l="1"/>
  <c r="H120" i="70"/>
  <c r="E106" i="70"/>
  <c r="G120" i="70" s="1"/>
  <c r="E105" i="70"/>
  <c r="I119" i="70" s="1"/>
  <c r="I96" i="70"/>
  <c r="H96" i="70"/>
  <c r="G96" i="70"/>
  <c r="F96" i="70"/>
  <c r="E96" i="70"/>
  <c r="I95" i="70"/>
  <c r="F50" i="70"/>
  <c r="D29" i="70"/>
  <c r="D28" i="70"/>
  <c r="D25" i="70"/>
  <c r="D24" i="70"/>
  <c r="E18" i="70"/>
  <c r="E14" i="70"/>
  <c r="D10" i="70"/>
  <c r="E33" i="15"/>
  <c r="E32" i="15"/>
  <c r="E31" i="15"/>
  <c r="E30" i="15"/>
  <c r="E29" i="15"/>
  <c r="E13" i="15"/>
  <c r="I223" i="69"/>
  <c r="H39" i="95" a="1"/>
  <c r="H39" i="95" s="1"/>
  <c r="A29" i="74"/>
  <c r="A28" i="74"/>
  <c r="A27" i="74"/>
  <c r="A26" i="74"/>
  <c r="A25" i="74"/>
  <c r="A21" i="74"/>
  <c r="A20" i="74"/>
  <c r="A19" i="74"/>
  <c r="A18" i="74"/>
  <c r="A17" i="74"/>
  <c r="A16" i="74"/>
  <c r="A15" i="74"/>
  <c r="A14" i="74"/>
  <c r="A10" i="74"/>
  <c r="A9" i="74"/>
  <c r="A5" i="74"/>
  <c r="A4" i="74"/>
  <c r="A3" i="74"/>
  <c r="A29" i="72"/>
  <c r="A28" i="72"/>
  <c r="A27" i="72"/>
  <c r="A26" i="72"/>
  <c r="A25" i="72"/>
  <c r="A21" i="72"/>
  <c r="A20" i="72"/>
  <c r="A19" i="72"/>
  <c r="A18" i="72"/>
  <c r="A17" i="72"/>
  <c r="A16" i="72"/>
  <c r="A15" i="72"/>
  <c r="A14" i="72"/>
  <c r="A10" i="72"/>
  <c r="A9" i="72"/>
  <c r="A5" i="72"/>
  <c r="A4" i="72"/>
  <c r="A3" i="72"/>
  <c r="A29" i="43"/>
  <c r="A28" i="43"/>
  <c r="A27" i="43"/>
  <c r="A26" i="43"/>
  <c r="A25" i="43"/>
  <c r="A21" i="43"/>
  <c r="A20" i="43"/>
  <c r="A19" i="43"/>
  <c r="A18" i="43"/>
  <c r="A17" i="43"/>
  <c r="A16" i="43"/>
  <c r="A15" i="43"/>
  <c r="A14" i="43"/>
  <c r="A10" i="43"/>
  <c r="A9" i="43"/>
  <c r="A5" i="43"/>
  <c r="A4" i="43"/>
  <c r="A3" i="43"/>
  <c r="A29" i="110"/>
  <c r="A28" i="110"/>
  <c r="A27" i="110"/>
  <c r="A26" i="110"/>
  <c r="A25" i="110"/>
  <c r="A21" i="110"/>
  <c r="A20" i="110"/>
  <c r="A19" i="110"/>
  <c r="A18" i="110"/>
  <c r="A17" i="110"/>
  <c r="A16" i="110"/>
  <c r="A15" i="110"/>
  <c r="A14" i="110"/>
  <c r="A10" i="110"/>
  <c r="A9" i="110"/>
  <c r="A5" i="110"/>
  <c r="A4" i="110"/>
  <c r="A3" i="110"/>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A29" i="71"/>
  <c r="A28" i="71"/>
  <c r="A27" i="71"/>
  <c r="A26" i="71"/>
  <c r="A25" i="71"/>
  <c r="A21" i="71"/>
  <c r="A20" i="71"/>
  <c r="A19" i="71"/>
  <c r="A18" i="71"/>
  <c r="A17" i="71"/>
  <c r="A16" i="71"/>
  <c r="A15" i="71"/>
  <c r="A14" i="71"/>
  <c r="A10" i="71"/>
  <c r="A9" i="71"/>
  <c r="A5" i="71"/>
  <c r="A4" i="71"/>
  <c r="A3" i="71"/>
  <c r="G9" i="79"/>
  <c r="G8" i="79"/>
  <c r="P231" i="69"/>
  <c r="P230" i="69"/>
  <c r="J45" i="98"/>
  <c r="I40" i="97"/>
  <c r="J45" i="96"/>
  <c r="I44" i="95"/>
  <c r="I63" i="82"/>
  <c r="I264" i="76"/>
  <c r="R50" i="98"/>
  <c r="G50" i="98"/>
  <c r="R48" i="97"/>
  <c r="G48" i="97"/>
  <c r="R56" i="96"/>
  <c r="G56" i="96"/>
  <c r="R55" i="95"/>
  <c r="G55" i="95"/>
  <c r="R71" i="82"/>
  <c r="G71" i="82"/>
  <c r="Q290" i="76"/>
  <c r="G290" i="76"/>
  <c r="R303" i="69"/>
  <c r="G303" i="69"/>
  <c r="E259" i="110" a="1"/>
  <c r="E259" i="110" s="1"/>
  <c r="D259" i="110" a="1"/>
  <c r="D259" i="110" s="1"/>
  <c r="E258" i="110" a="1"/>
  <c r="E258" i="110" s="1"/>
  <c r="D258" i="110" a="1"/>
  <c r="D258" i="110" s="1"/>
  <c r="D256" i="110" a="1"/>
  <c r="D256" i="110" s="1"/>
  <c r="D255" i="110" a="1"/>
  <c r="D255" i="110" s="1"/>
  <c r="D254" i="110" a="1"/>
  <c r="D254" i="110" s="1"/>
  <c r="D253" i="110" a="1"/>
  <c r="D253" i="110" s="1"/>
  <c r="S250" i="110" a="1"/>
  <c r="S250" i="110" s="1"/>
  <c r="R250" i="110" a="1"/>
  <c r="R250" i="110" s="1"/>
  <c r="Q250" i="110" a="1"/>
  <c r="Q250" i="110" s="1"/>
  <c r="P250" i="110" a="1"/>
  <c r="P250" i="110" s="1"/>
  <c r="O250" i="110" a="1"/>
  <c r="O250" i="110" s="1"/>
  <c r="N250" i="110" a="1"/>
  <c r="N250" i="110" s="1"/>
  <c r="M250" i="110" a="1"/>
  <c r="M250" i="110" s="1"/>
  <c r="L250" i="110" a="1"/>
  <c r="L250" i="110" s="1"/>
  <c r="K250" i="110" a="1"/>
  <c r="K250" i="110" s="1"/>
  <c r="J250" i="110" a="1"/>
  <c r="J250" i="110" s="1"/>
  <c r="I250" i="110" a="1"/>
  <c r="I250" i="110" s="1"/>
  <c r="H250" i="110" a="1"/>
  <c r="H250" i="110" s="1"/>
  <c r="G250" i="110" a="1"/>
  <c r="G250" i="110" s="1"/>
  <c r="F250" i="110" a="1"/>
  <c r="F250" i="110" s="1"/>
  <c r="E250" i="110" a="1"/>
  <c r="E250" i="110" s="1"/>
  <c r="D250" i="110" a="1"/>
  <c r="D250" i="110" s="1"/>
  <c r="S249" i="110" a="1"/>
  <c r="S249" i="110" s="1"/>
  <c r="R249" i="110" a="1"/>
  <c r="R249" i="110" s="1"/>
  <c r="Q249" i="110" a="1"/>
  <c r="Q249" i="110" s="1"/>
  <c r="P249" i="110" a="1"/>
  <c r="P249" i="110" s="1"/>
  <c r="O249" i="110" a="1"/>
  <c r="O249" i="110" s="1"/>
  <c r="N249" i="110" a="1"/>
  <c r="N249" i="110" s="1"/>
  <c r="M249" i="110" a="1"/>
  <c r="M249" i="110" s="1"/>
  <c r="L249" i="110" a="1"/>
  <c r="L249" i="110" s="1"/>
  <c r="K249" i="110" a="1"/>
  <c r="K249" i="110" s="1"/>
  <c r="J249" i="110" a="1"/>
  <c r="J249" i="110" s="1"/>
  <c r="I249" i="110" a="1"/>
  <c r="I249" i="110" s="1"/>
  <c r="H249" i="110" a="1"/>
  <c r="H249" i="110" s="1"/>
  <c r="G249" i="110" a="1"/>
  <c r="G249" i="110" s="1"/>
  <c r="F249" i="110" a="1"/>
  <c r="F249" i="110" s="1"/>
  <c r="E249" i="110" a="1"/>
  <c r="E249" i="110" s="1"/>
  <c r="D249" i="110" a="1"/>
  <c r="D249" i="110" s="1"/>
  <c r="S248" i="110" a="1"/>
  <c r="S248" i="110" s="1"/>
  <c r="R248" i="110" a="1"/>
  <c r="R248" i="110" s="1"/>
  <c r="Q248" i="110" a="1"/>
  <c r="Q248" i="110" s="1"/>
  <c r="P248" i="110" a="1"/>
  <c r="P248" i="110" s="1"/>
  <c r="O248" i="110" a="1"/>
  <c r="O248" i="110" s="1"/>
  <c r="N248" i="110" a="1"/>
  <c r="N248" i="110" s="1"/>
  <c r="M248" i="110" a="1"/>
  <c r="M248" i="110" s="1"/>
  <c r="L248" i="110" a="1"/>
  <c r="L248" i="110" s="1"/>
  <c r="K248" i="110" a="1"/>
  <c r="K248" i="110" s="1"/>
  <c r="J248" i="110" a="1"/>
  <c r="J248" i="110" s="1"/>
  <c r="I248" i="110" a="1"/>
  <c r="I248" i="110" s="1"/>
  <c r="H248" i="110" a="1"/>
  <c r="H248" i="110" s="1"/>
  <c r="G248" i="110" a="1"/>
  <c r="G248" i="110" s="1"/>
  <c r="F248" i="110" a="1"/>
  <c r="F248" i="110" s="1"/>
  <c r="E248" i="110" a="1"/>
  <c r="E248" i="110" s="1"/>
  <c r="D248" i="110" a="1"/>
  <c r="D248" i="110" s="1"/>
  <c r="S247" i="110" a="1"/>
  <c r="S247" i="110" s="1"/>
  <c r="R247" i="110" a="1"/>
  <c r="R247" i="110" s="1"/>
  <c r="Q247" i="110" a="1"/>
  <c r="Q247" i="110" s="1"/>
  <c r="P247" i="110" a="1"/>
  <c r="P247" i="110" s="1"/>
  <c r="O247" i="110" a="1"/>
  <c r="O247" i="110" s="1"/>
  <c r="N247" i="110" a="1"/>
  <c r="N247" i="110" s="1"/>
  <c r="M247" i="110" a="1"/>
  <c r="M247" i="110" s="1"/>
  <c r="L247" i="110" a="1"/>
  <c r="L247" i="110" s="1"/>
  <c r="K247" i="110" a="1"/>
  <c r="K247" i="110" s="1"/>
  <c r="J247" i="110" a="1"/>
  <c r="J247" i="110" s="1"/>
  <c r="I247" i="110" a="1"/>
  <c r="I247" i="110" s="1"/>
  <c r="H247" i="110" a="1"/>
  <c r="H247" i="110" s="1"/>
  <c r="G247" i="110" a="1"/>
  <c r="G247" i="110" s="1"/>
  <c r="F247" i="110" a="1"/>
  <c r="F247" i="110" s="1"/>
  <c r="E247" i="110" a="1"/>
  <c r="E247" i="110" s="1"/>
  <c r="D247" i="110" a="1"/>
  <c r="D247" i="110" s="1"/>
  <c r="S246" i="110" a="1"/>
  <c r="S246" i="110" s="1"/>
  <c r="R246" i="110" a="1"/>
  <c r="R246" i="110" s="1"/>
  <c r="Q246" i="110" a="1"/>
  <c r="Q246" i="110" s="1"/>
  <c r="P246" i="110" a="1"/>
  <c r="P246" i="110" s="1"/>
  <c r="O246" i="110" a="1"/>
  <c r="O246" i="110" s="1"/>
  <c r="N246" i="110" a="1"/>
  <c r="N246" i="110" s="1"/>
  <c r="M246" i="110" a="1"/>
  <c r="M246" i="110" s="1"/>
  <c r="L246" i="110" a="1"/>
  <c r="L246" i="110" s="1"/>
  <c r="K246" i="110" a="1"/>
  <c r="K246" i="110" s="1"/>
  <c r="J246" i="110" a="1"/>
  <c r="J246" i="110" s="1"/>
  <c r="I246" i="110" a="1"/>
  <c r="I246" i="110" s="1"/>
  <c r="H246" i="110" a="1"/>
  <c r="H246" i="110" s="1"/>
  <c r="G246" i="110" a="1"/>
  <c r="G246" i="110" s="1"/>
  <c r="F246" i="110" a="1"/>
  <c r="F246" i="110" s="1"/>
  <c r="E246" i="110" a="1"/>
  <c r="E246" i="110" s="1"/>
  <c r="D246" i="110" a="1"/>
  <c r="D246" i="110" s="1"/>
  <c r="S245" i="110" a="1"/>
  <c r="S245" i="110" s="1"/>
  <c r="R245" i="110" a="1"/>
  <c r="R245" i="110" s="1"/>
  <c r="Q245" i="110" a="1"/>
  <c r="Q245" i="110" s="1"/>
  <c r="P245" i="110" a="1"/>
  <c r="P245" i="110" s="1"/>
  <c r="O245" i="110" a="1"/>
  <c r="O245" i="110" s="1"/>
  <c r="N245" i="110" a="1"/>
  <c r="N245" i="110" s="1"/>
  <c r="M245" i="110" a="1"/>
  <c r="M245" i="110" s="1"/>
  <c r="L245" i="110" a="1"/>
  <c r="L245" i="110" s="1"/>
  <c r="K245" i="110" a="1"/>
  <c r="K245" i="110" s="1"/>
  <c r="J245" i="110" a="1"/>
  <c r="J245" i="110" s="1"/>
  <c r="I245" i="110" a="1"/>
  <c r="I245" i="110" s="1"/>
  <c r="H245" i="110" a="1"/>
  <c r="H245" i="110" s="1"/>
  <c r="G245" i="110" a="1"/>
  <c r="G245" i="110" s="1"/>
  <c r="F245" i="110" a="1"/>
  <c r="F245" i="110" s="1"/>
  <c r="E245" i="110" a="1"/>
  <c r="E245" i="110" s="1"/>
  <c r="D245" i="110" a="1"/>
  <c r="D245" i="110" s="1"/>
  <c r="S244" i="110" a="1"/>
  <c r="S244" i="110" s="1"/>
  <c r="R244" i="110" a="1"/>
  <c r="R244" i="110" s="1"/>
  <c r="Q244" i="110" a="1"/>
  <c r="Q244" i="110" s="1"/>
  <c r="P244" i="110" a="1"/>
  <c r="P244" i="110" s="1"/>
  <c r="O244" i="110" a="1"/>
  <c r="O244" i="110" s="1"/>
  <c r="N244" i="110" a="1"/>
  <c r="N244" i="110" s="1"/>
  <c r="M244" i="110" a="1"/>
  <c r="M244" i="110" s="1"/>
  <c r="L244" i="110" a="1"/>
  <c r="L244" i="110" s="1"/>
  <c r="K244" i="110" a="1"/>
  <c r="K244" i="110" s="1"/>
  <c r="J244" i="110" a="1"/>
  <c r="J244" i="110" s="1"/>
  <c r="I244" i="110" a="1"/>
  <c r="I244" i="110" s="1"/>
  <c r="H244" i="110" a="1"/>
  <c r="H244" i="110" s="1"/>
  <c r="G244" i="110" a="1"/>
  <c r="G244" i="110" s="1"/>
  <c r="F244" i="110" a="1"/>
  <c r="F244" i="110" s="1"/>
  <c r="E244" i="110" a="1"/>
  <c r="E244" i="110" s="1"/>
  <c r="D244" i="110" a="1"/>
  <c r="D244" i="110" s="1"/>
  <c r="S243" i="110" a="1"/>
  <c r="S243" i="110" s="1"/>
  <c r="R243" i="110" a="1"/>
  <c r="R243" i="110" s="1"/>
  <c r="Q243" i="110" a="1"/>
  <c r="Q243" i="110" s="1"/>
  <c r="P243" i="110" a="1"/>
  <c r="P243" i="110" s="1"/>
  <c r="O243" i="110" a="1"/>
  <c r="O243" i="110" s="1"/>
  <c r="N243" i="110" a="1"/>
  <c r="N243" i="110" s="1"/>
  <c r="M243" i="110" a="1"/>
  <c r="M243" i="110" s="1"/>
  <c r="L243" i="110" a="1"/>
  <c r="L243" i="110" s="1"/>
  <c r="K243" i="110" a="1"/>
  <c r="K243" i="110" s="1"/>
  <c r="J243" i="110" a="1"/>
  <c r="J243" i="110" s="1"/>
  <c r="I243" i="110" a="1"/>
  <c r="I243" i="110" s="1"/>
  <c r="H243" i="110" a="1"/>
  <c r="H243" i="110" s="1"/>
  <c r="G243" i="110" a="1"/>
  <c r="G243" i="110" s="1"/>
  <c r="F243" i="110" a="1"/>
  <c r="F243" i="110" s="1"/>
  <c r="E243" i="110" a="1"/>
  <c r="E243" i="110" s="1"/>
  <c r="D243" i="110" a="1"/>
  <c r="D243" i="110" s="1"/>
  <c r="S242" i="110" a="1"/>
  <c r="S242" i="110" s="1"/>
  <c r="R242" i="110" a="1"/>
  <c r="R242" i="110" s="1"/>
  <c r="Q242" i="110" a="1"/>
  <c r="Q242" i="110" s="1"/>
  <c r="P242" i="110" a="1"/>
  <c r="P242" i="110" s="1"/>
  <c r="O242" i="110" a="1"/>
  <c r="O242" i="110" s="1"/>
  <c r="N242" i="110" a="1"/>
  <c r="N242" i="110" s="1"/>
  <c r="M242" i="110" a="1"/>
  <c r="M242" i="110" s="1"/>
  <c r="L242" i="110" a="1"/>
  <c r="L242" i="110" s="1"/>
  <c r="K242" i="110" a="1"/>
  <c r="K242" i="110" s="1"/>
  <c r="J242" i="110" a="1"/>
  <c r="J242" i="110" s="1"/>
  <c r="I242" i="110" a="1"/>
  <c r="I242" i="110" s="1"/>
  <c r="H242" i="110" a="1"/>
  <c r="H242" i="110" s="1"/>
  <c r="G242" i="110" a="1"/>
  <c r="G242" i="110" s="1"/>
  <c r="F242" i="110" a="1"/>
  <c r="F242" i="110" s="1"/>
  <c r="E242" i="110" a="1"/>
  <c r="E242" i="110" s="1"/>
  <c r="D242" i="110" a="1"/>
  <c r="D242" i="110" s="1"/>
  <c r="S241" i="110" a="1"/>
  <c r="S241" i="110" s="1"/>
  <c r="R241" i="110" a="1"/>
  <c r="R241" i="110" s="1"/>
  <c r="Q241" i="110" a="1"/>
  <c r="Q241" i="110" s="1"/>
  <c r="P241" i="110" a="1"/>
  <c r="P241" i="110" s="1"/>
  <c r="O241" i="110" a="1"/>
  <c r="O241" i="110" s="1"/>
  <c r="N241" i="110" a="1"/>
  <c r="N241" i="110" s="1"/>
  <c r="M241" i="110" a="1"/>
  <c r="M241" i="110" s="1"/>
  <c r="L241" i="110" a="1"/>
  <c r="L241" i="110" s="1"/>
  <c r="K241" i="110" a="1"/>
  <c r="K241" i="110" s="1"/>
  <c r="J241" i="110" a="1"/>
  <c r="J241" i="110" s="1"/>
  <c r="I241" i="110" a="1"/>
  <c r="I241" i="110" s="1"/>
  <c r="H241" i="110" a="1"/>
  <c r="H241" i="110" s="1"/>
  <c r="G241" i="110" a="1"/>
  <c r="G241" i="110" s="1"/>
  <c r="F241" i="110" a="1"/>
  <c r="F241" i="110" s="1"/>
  <c r="E241" i="110" a="1"/>
  <c r="E241" i="110" s="1"/>
  <c r="D241" i="110" a="1"/>
  <c r="D241" i="110" s="1"/>
  <c r="S240" i="110" a="1"/>
  <c r="S240" i="110" s="1"/>
  <c r="R240" i="110" a="1"/>
  <c r="R240" i="110" s="1"/>
  <c r="Q240" i="110" a="1"/>
  <c r="Q240" i="110" s="1"/>
  <c r="P240" i="110" a="1"/>
  <c r="P240" i="110" s="1"/>
  <c r="O240" i="110" a="1"/>
  <c r="O240" i="110" s="1"/>
  <c r="N240" i="110" a="1"/>
  <c r="N240" i="110" s="1"/>
  <c r="M240" i="110" a="1"/>
  <c r="M240" i="110" s="1"/>
  <c r="L240" i="110" a="1"/>
  <c r="L240" i="110" s="1"/>
  <c r="K240" i="110" a="1"/>
  <c r="K240" i="110" s="1"/>
  <c r="J240" i="110" a="1"/>
  <c r="J240" i="110" s="1"/>
  <c r="I240" i="110" a="1"/>
  <c r="I240" i="110" s="1"/>
  <c r="H240" i="110" a="1"/>
  <c r="H240" i="110" s="1"/>
  <c r="G240" i="110" a="1"/>
  <c r="G240" i="110" s="1"/>
  <c r="F240" i="110" a="1"/>
  <c r="F240" i="110" s="1"/>
  <c r="E240" i="110" a="1"/>
  <c r="E240" i="110" s="1"/>
  <c r="D240" i="110" a="1"/>
  <c r="D240" i="110" s="1"/>
  <c r="S239" i="110" a="1"/>
  <c r="S239" i="110" s="1"/>
  <c r="R239" i="110" a="1"/>
  <c r="R239" i="110" s="1"/>
  <c r="Q239" i="110" a="1"/>
  <c r="Q239" i="110" s="1"/>
  <c r="P239" i="110" a="1"/>
  <c r="P239" i="110" s="1"/>
  <c r="O239" i="110" a="1"/>
  <c r="O239" i="110" s="1"/>
  <c r="N239" i="110" a="1"/>
  <c r="N239" i="110" s="1"/>
  <c r="M239" i="110" a="1"/>
  <c r="M239" i="110" s="1"/>
  <c r="L239" i="110" a="1"/>
  <c r="L239" i="110" s="1"/>
  <c r="K239" i="110" a="1"/>
  <c r="K239" i="110" s="1"/>
  <c r="J239" i="110" a="1"/>
  <c r="J239" i="110" s="1"/>
  <c r="I239" i="110" a="1"/>
  <c r="I239" i="110" s="1"/>
  <c r="H239" i="110" a="1"/>
  <c r="H239" i="110" s="1"/>
  <c r="G239" i="110" a="1"/>
  <c r="G239" i="110" s="1"/>
  <c r="F239" i="110" a="1"/>
  <c r="F239" i="110" s="1"/>
  <c r="E239" i="110" a="1"/>
  <c r="E239" i="110" s="1"/>
  <c r="D239" i="110" a="1"/>
  <c r="D239" i="110" s="1"/>
  <c r="S238" i="110" a="1"/>
  <c r="S238" i="110" s="1"/>
  <c r="R238" i="110" a="1"/>
  <c r="R238" i="110" s="1"/>
  <c r="Q238" i="110" a="1"/>
  <c r="Q238" i="110" s="1"/>
  <c r="P238" i="110" a="1"/>
  <c r="P238" i="110" s="1"/>
  <c r="O238" i="110" a="1"/>
  <c r="O238" i="110" s="1"/>
  <c r="N238" i="110" a="1"/>
  <c r="N238" i="110" s="1"/>
  <c r="M238" i="110" a="1"/>
  <c r="M238" i="110" s="1"/>
  <c r="L238" i="110" a="1"/>
  <c r="L238" i="110" s="1"/>
  <c r="K238" i="110" a="1"/>
  <c r="K238" i="110" s="1"/>
  <c r="J238" i="110" a="1"/>
  <c r="J238" i="110" s="1"/>
  <c r="I238" i="110" a="1"/>
  <c r="I238" i="110" s="1"/>
  <c r="H238" i="110" a="1"/>
  <c r="H238" i="110" s="1"/>
  <c r="G238" i="110" a="1"/>
  <c r="G238" i="110" s="1"/>
  <c r="F238" i="110" a="1"/>
  <c r="F238" i="110" s="1"/>
  <c r="E238" i="110" a="1"/>
  <c r="E238" i="110" s="1"/>
  <c r="D238" i="110" a="1"/>
  <c r="D238" i="110" s="1"/>
  <c r="S237" i="110" a="1"/>
  <c r="S237" i="110" s="1"/>
  <c r="R237" i="110" a="1"/>
  <c r="R237" i="110" s="1"/>
  <c r="Q237" i="110" a="1"/>
  <c r="Q237" i="110" s="1"/>
  <c r="P237" i="110" a="1"/>
  <c r="P237" i="110" s="1"/>
  <c r="O237" i="110" a="1"/>
  <c r="O237" i="110" s="1"/>
  <c r="N237" i="110" a="1"/>
  <c r="N237" i="110" s="1"/>
  <c r="M237" i="110" a="1"/>
  <c r="M237" i="110" s="1"/>
  <c r="L237" i="110" a="1"/>
  <c r="L237" i="110" s="1"/>
  <c r="K237" i="110" a="1"/>
  <c r="K237" i="110" s="1"/>
  <c r="J237" i="110" a="1"/>
  <c r="J237" i="110" s="1"/>
  <c r="I237" i="110" a="1"/>
  <c r="I237" i="110" s="1"/>
  <c r="H237" i="110" a="1"/>
  <c r="H237" i="110" s="1"/>
  <c r="G237" i="110" a="1"/>
  <c r="G237" i="110" s="1"/>
  <c r="F237" i="110" a="1"/>
  <c r="F237" i="110" s="1"/>
  <c r="E237" i="110" a="1"/>
  <c r="E237" i="110" s="1"/>
  <c r="D237" i="110" a="1"/>
  <c r="D237" i="110" s="1"/>
  <c r="S236" i="110" a="1"/>
  <c r="S236" i="110" s="1"/>
  <c r="R236" i="110" a="1"/>
  <c r="R236" i="110" s="1"/>
  <c r="Q236" i="110" a="1"/>
  <c r="Q236" i="110" s="1"/>
  <c r="P236" i="110" a="1"/>
  <c r="P236" i="110" s="1"/>
  <c r="O236" i="110" a="1"/>
  <c r="O236" i="110" s="1"/>
  <c r="N236" i="110" a="1"/>
  <c r="N236" i="110" s="1"/>
  <c r="M236" i="110" a="1"/>
  <c r="M236" i="110" s="1"/>
  <c r="L236" i="110" a="1"/>
  <c r="L236" i="110" s="1"/>
  <c r="K236" i="110" a="1"/>
  <c r="K236" i="110" s="1"/>
  <c r="J236" i="110" a="1"/>
  <c r="J236" i="110" s="1"/>
  <c r="I236" i="110" a="1"/>
  <c r="I236" i="110" s="1"/>
  <c r="H236" i="110" a="1"/>
  <c r="H236" i="110" s="1"/>
  <c r="G236" i="110" a="1"/>
  <c r="G236" i="110" s="1"/>
  <c r="F236" i="110" a="1"/>
  <c r="F236" i="110" s="1"/>
  <c r="E236" i="110" a="1"/>
  <c r="E236" i="110" s="1"/>
  <c r="D236" i="110" a="1"/>
  <c r="D236" i="110" s="1"/>
  <c r="S235" i="110" a="1"/>
  <c r="S235" i="110" s="1"/>
  <c r="R235" i="110" a="1"/>
  <c r="R235" i="110" s="1"/>
  <c r="Q235" i="110" a="1"/>
  <c r="Q235" i="110" s="1"/>
  <c r="P235" i="110" a="1"/>
  <c r="P235" i="110" s="1"/>
  <c r="O235" i="110" a="1"/>
  <c r="O235" i="110" s="1"/>
  <c r="N235" i="110" a="1"/>
  <c r="N235" i="110" s="1"/>
  <c r="M235" i="110" a="1"/>
  <c r="M235" i="110" s="1"/>
  <c r="L235" i="110" a="1"/>
  <c r="L235" i="110" s="1"/>
  <c r="K235" i="110" a="1"/>
  <c r="K235" i="110" s="1"/>
  <c r="J235" i="110" a="1"/>
  <c r="J235" i="110" s="1"/>
  <c r="I235" i="110" a="1"/>
  <c r="I235" i="110" s="1"/>
  <c r="H235" i="110" a="1"/>
  <c r="H235" i="110" s="1"/>
  <c r="G235" i="110" a="1"/>
  <c r="G235" i="110" s="1"/>
  <c r="F235" i="110" a="1"/>
  <c r="F235" i="110" s="1"/>
  <c r="E235" i="110" a="1"/>
  <c r="E235" i="110" s="1"/>
  <c r="D235" i="110" a="1"/>
  <c r="D235" i="110" s="1"/>
  <c r="S234" i="110" a="1"/>
  <c r="S234" i="110" s="1"/>
  <c r="R234" i="110" a="1"/>
  <c r="R234" i="110" s="1"/>
  <c r="Q234" i="110" a="1"/>
  <c r="Q234" i="110" s="1"/>
  <c r="P234" i="110" a="1"/>
  <c r="P234" i="110" s="1"/>
  <c r="O234" i="110" a="1"/>
  <c r="O234" i="110" s="1"/>
  <c r="N234" i="110" a="1"/>
  <c r="N234" i="110" s="1"/>
  <c r="M234" i="110" a="1"/>
  <c r="M234" i="110" s="1"/>
  <c r="L234" i="110" a="1"/>
  <c r="L234" i="110" s="1"/>
  <c r="K234" i="110" a="1"/>
  <c r="K234" i="110" s="1"/>
  <c r="J234" i="110" a="1"/>
  <c r="J234" i="110" s="1"/>
  <c r="I234" i="110" a="1"/>
  <c r="I234" i="110" s="1"/>
  <c r="H234" i="110" a="1"/>
  <c r="H234" i="110" s="1"/>
  <c r="G234" i="110" a="1"/>
  <c r="G234" i="110" s="1"/>
  <c r="F234" i="110" a="1"/>
  <c r="F234" i="110" s="1"/>
  <c r="E234" i="110" a="1"/>
  <c r="E234" i="110" s="1"/>
  <c r="D234" i="110" a="1"/>
  <c r="D234" i="110" s="1"/>
  <c r="S233" i="110" a="1"/>
  <c r="S233" i="110" s="1"/>
  <c r="R233" i="110" a="1"/>
  <c r="R233" i="110" s="1"/>
  <c r="Q233" i="110" a="1"/>
  <c r="Q233" i="110" s="1"/>
  <c r="P233" i="110" a="1"/>
  <c r="P233" i="110" s="1"/>
  <c r="O233" i="110" a="1"/>
  <c r="O233" i="110" s="1"/>
  <c r="N233" i="110" a="1"/>
  <c r="N233" i="110" s="1"/>
  <c r="M233" i="110" a="1"/>
  <c r="M233" i="110" s="1"/>
  <c r="L233" i="110" a="1"/>
  <c r="L233" i="110" s="1"/>
  <c r="K233" i="110" a="1"/>
  <c r="K233" i="110" s="1"/>
  <c r="J233" i="110" a="1"/>
  <c r="J233" i="110" s="1"/>
  <c r="I233" i="110" a="1"/>
  <c r="I233" i="110" s="1"/>
  <c r="H233" i="110" a="1"/>
  <c r="H233" i="110" s="1"/>
  <c r="G233" i="110" a="1"/>
  <c r="G233" i="110" s="1"/>
  <c r="F233" i="110" a="1"/>
  <c r="F233" i="110" s="1"/>
  <c r="E233" i="110" a="1"/>
  <c r="E233" i="110" s="1"/>
  <c r="D233" i="110" a="1"/>
  <c r="D233" i="110" s="1"/>
  <c r="S232" i="110" a="1"/>
  <c r="S232" i="110" s="1"/>
  <c r="R232" i="110" a="1"/>
  <c r="R232" i="110" s="1"/>
  <c r="Q232" i="110" a="1"/>
  <c r="Q232" i="110" s="1"/>
  <c r="P232" i="110" a="1"/>
  <c r="P232" i="110" s="1"/>
  <c r="O232" i="110" a="1"/>
  <c r="O232" i="110" s="1"/>
  <c r="N232" i="110" a="1"/>
  <c r="N232" i="110" s="1"/>
  <c r="M232" i="110" a="1"/>
  <c r="M232" i="110" s="1"/>
  <c r="L232" i="110" a="1"/>
  <c r="L232" i="110" s="1"/>
  <c r="K232" i="110" a="1"/>
  <c r="K232" i="110" s="1"/>
  <c r="J232" i="110" a="1"/>
  <c r="J232" i="110" s="1"/>
  <c r="I232" i="110" a="1"/>
  <c r="I232" i="110" s="1"/>
  <c r="H232" i="110" a="1"/>
  <c r="H232" i="110" s="1"/>
  <c r="G232" i="110" a="1"/>
  <c r="G232" i="110" s="1"/>
  <c r="F232" i="110" a="1"/>
  <c r="F232" i="110" s="1"/>
  <c r="E232" i="110" a="1"/>
  <c r="E232" i="110" s="1"/>
  <c r="D232" i="110" a="1"/>
  <c r="D232" i="110" s="1"/>
  <c r="D229" i="110" a="1"/>
  <c r="D229" i="110" s="1"/>
  <c r="D228" i="110" a="1"/>
  <c r="D228" i="110" s="1"/>
  <c r="D227" i="110" a="1"/>
  <c r="D227" i="110" s="1"/>
  <c r="E224" i="110" a="1"/>
  <c r="E224" i="110" s="1"/>
  <c r="D224" i="110" a="1"/>
  <c r="D224" i="110" s="1"/>
  <c r="E223" i="110" a="1"/>
  <c r="E223" i="110" s="1"/>
  <c r="D223" i="110" a="1"/>
  <c r="D223" i="110" s="1"/>
  <c r="E222" i="110" a="1"/>
  <c r="E222" i="110" s="1"/>
  <c r="D222" i="110" a="1"/>
  <c r="D222" i="110" s="1"/>
  <c r="E221" i="110" a="1"/>
  <c r="E221" i="110" s="1"/>
  <c r="D221" i="110" a="1"/>
  <c r="D221" i="110" s="1"/>
  <c r="E220" i="110" a="1"/>
  <c r="E220" i="110" s="1"/>
  <c r="D220" i="110" a="1"/>
  <c r="D220" i="110" s="1"/>
  <c r="E219" i="110" a="1"/>
  <c r="E219" i="110" s="1"/>
  <c r="D219" i="110" a="1"/>
  <c r="D219" i="110" s="1"/>
  <c r="E218" i="110" a="1"/>
  <c r="E218" i="110" s="1"/>
  <c r="D218" i="110" a="1"/>
  <c r="D218" i="110" s="1"/>
  <c r="E217" i="110" a="1"/>
  <c r="E217" i="110" s="1"/>
  <c r="D217" i="110" a="1"/>
  <c r="D217" i="110" s="1"/>
  <c r="E216" i="110" a="1"/>
  <c r="E216" i="110" s="1"/>
  <c r="D216" i="110" a="1"/>
  <c r="D216" i="110" s="1"/>
  <c r="E215" i="110" a="1"/>
  <c r="E215" i="110" s="1"/>
  <c r="D215" i="110" a="1"/>
  <c r="D215" i="110" s="1"/>
  <c r="E214" i="110" a="1"/>
  <c r="E214" i="110" s="1"/>
  <c r="D214" i="110" a="1"/>
  <c r="D214" i="110" s="1"/>
  <c r="E213" i="110" a="1"/>
  <c r="E213" i="110" s="1"/>
  <c r="D213" i="110" a="1"/>
  <c r="D213" i="110" s="1"/>
  <c r="D211" i="110" a="1"/>
  <c r="D211" i="110" s="1"/>
  <c r="E208" i="110" a="1"/>
  <c r="E208" i="110" s="1"/>
  <c r="D208" i="110" a="1"/>
  <c r="D208" i="110" s="1"/>
  <c r="E207" i="110" a="1"/>
  <c r="E207" i="110" s="1"/>
  <c r="D207" i="110" a="1"/>
  <c r="D207" i="110" s="1"/>
  <c r="D205" i="110" a="1"/>
  <c r="D205" i="110" s="1"/>
  <c r="D204" i="110" a="1"/>
  <c r="D204" i="110" s="1"/>
  <c r="D203" i="110" a="1"/>
  <c r="D203" i="110" s="1"/>
  <c r="D202" i="110" a="1"/>
  <c r="D202" i="110" s="1"/>
  <c r="H199" i="110" a="1"/>
  <c r="H199" i="110" s="1"/>
  <c r="G199" i="110" a="1"/>
  <c r="G199" i="110" s="1"/>
  <c r="F199" i="110" a="1"/>
  <c r="F199" i="110" s="1"/>
  <c r="E199" i="110" a="1"/>
  <c r="E199" i="110" s="1"/>
  <c r="D199" i="110" a="1"/>
  <c r="D199" i="110" s="1"/>
  <c r="H198" i="110" a="1"/>
  <c r="H198" i="110" s="1"/>
  <c r="G198" i="110" a="1"/>
  <c r="G198" i="110" s="1"/>
  <c r="F198" i="110" a="1"/>
  <c r="F198" i="110" s="1"/>
  <c r="E198" i="110" a="1"/>
  <c r="E198" i="110" s="1"/>
  <c r="D198" i="110" a="1"/>
  <c r="D198" i="110" s="1"/>
  <c r="H197" i="110" a="1"/>
  <c r="H197" i="110" s="1"/>
  <c r="G197" i="110" a="1"/>
  <c r="G197" i="110" s="1"/>
  <c r="F197" i="110" a="1"/>
  <c r="F197" i="110" s="1"/>
  <c r="E197" i="110" a="1"/>
  <c r="E197" i="110" s="1"/>
  <c r="D197" i="110" a="1"/>
  <c r="D197" i="110" s="1"/>
  <c r="H196" i="110" a="1"/>
  <c r="H196" i="110" s="1"/>
  <c r="G196" i="110" a="1"/>
  <c r="G196" i="110" s="1"/>
  <c r="F196" i="110" a="1"/>
  <c r="F196" i="110" s="1"/>
  <c r="E196" i="110" a="1"/>
  <c r="E196" i="110" s="1"/>
  <c r="D196" i="110" a="1"/>
  <c r="D196" i="110" s="1"/>
  <c r="H195" i="110" a="1"/>
  <c r="H195" i="110" s="1"/>
  <c r="G195" i="110" a="1"/>
  <c r="G195" i="110" s="1"/>
  <c r="F195" i="110" a="1"/>
  <c r="F195" i="110" s="1"/>
  <c r="E195" i="110" a="1"/>
  <c r="E195" i="110" s="1"/>
  <c r="D195" i="110" a="1"/>
  <c r="D195" i="110" s="1"/>
  <c r="H194" i="110" a="1"/>
  <c r="H194" i="110" s="1"/>
  <c r="G194" i="110" a="1"/>
  <c r="G194" i="110" s="1"/>
  <c r="F194" i="110" a="1"/>
  <c r="F194" i="110" s="1"/>
  <c r="E194" i="110" a="1"/>
  <c r="E194" i="110" s="1"/>
  <c r="D194" i="110" a="1"/>
  <c r="D194" i="110" s="1"/>
  <c r="H193" i="110" a="1"/>
  <c r="H193" i="110" s="1"/>
  <c r="G193" i="110" a="1"/>
  <c r="G193" i="110" s="1"/>
  <c r="F193" i="110" a="1"/>
  <c r="F193" i="110" s="1"/>
  <c r="E193" i="110" a="1"/>
  <c r="E193" i="110" s="1"/>
  <c r="D193" i="110" a="1"/>
  <c r="D193" i="110" s="1"/>
  <c r="H192" i="110" a="1"/>
  <c r="H192" i="110" s="1"/>
  <c r="G192" i="110" a="1"/>
  <c r="G192" i="110" s="1"/>
  <c r="F192" i="110" a="1"/>
  <c r="F192" i="110" s="1"/>
  <c r="E192" i="110" a="1"/>
  <c r="E192" i="110" s="1"/>
  <c r="D192" i="110" a="1"/>
  <c r="D192" i="110" s="1"/>
  <c r="H191" i="110" a="1"/>
  <c r="H191" i="110" s="1"/>
  <c r="G191" i="110" a="1"/>
  <c r="G191" i="110" s="1"/>
  <c r="F191" i="110" a="1"/>
  <c r="F191" i="110" s="1"/>
  <c r="E191" i="110" a="1"/>
  <c r="E191" i="110" s="1"/>
  <c r="D191" i="110" a="1"/>
  <c r="D191" i="110" s="1"/>
  <c r="H190" i="110" a="1"/>
  <c r="H190" i="110" s="1"/>
  <c r="G190" i="110" a="1"/>
  <c r="G190" i="110" s="1"/>
  <c r="F190" i="110" a="1"/>
  <c r="F190" i="110" s="1"/>
  <c r="E190" i="110" a="1"/>
  <c r="E190" i="110" s="1"/>
  <c r="D190" i="110" a="1"/>
  <c r="D190" i="110" s="1"/>
  <c r="H189" i="110" a="1"/>
  <c r="H189" i="110" s="1"/>
  <c r="G189" i="110" a="1"/>
  <c r="G189" i="110" s="1"/>
  <c r="F189" i="110" a="1"/>
  <c r="F189" i="110" s="1"/>
  <c r="E189" i="110" a="1"/>
  <c r="E189" i="110" s="1"/>
  <c r="D189" i="110" a="1"/>
  <c r="D189" i="110" s="1"/>
  <c r="H188" i="110" a="1"/>
  <c r="H188" i="110" s="1"/>
  <c r="G188" i="110" a="1"/>
  <c r="G188" i="110" s="1"/>
  <c r="F188" i="110" a="1"/>
  <c r="F188" i="110" s="1"/>
  <c r="E188" i="110" a="1"/>
  <c r="E188" i="110" s="1"/>
  <c r="D188" i="110" a="1"/>
  <c r="D188" i="110" s="1"/>
  <c r="H187" i="110" a="1"/>
  <c r="H187" i="110" s="1"/>
  <c r="G187" i="110" a="1"/>
  <c r="G187" i="110" s="1"/>
  <c r="F187" i="110" a="1"/>
  <c r="F187" i="110" s="1"/>
  <c r="E187" i="110" a="1"/>
  <c r="E187" i="110" s="1"/>
  <c r="D187" i="110" a="1"/>
  <c r="D187" i="110" s="1"/>
  <c r="D181" i="110" a="1"/>
  <c r="D181" i="110" s="1"/>
  <c r="D180" i="110" a="1"/>
  <c r="D180" i="110" s="1"/>
  <c r="D179" i="110" a="1"/>
  <c r="D179" i="110" s="1"/>
  <c r="D178" i="110" a="1"/>
  <c r="D178" i="110" s="1"/>
  <c r="E175" i="110" a="1"/>
  <c r="E175" i="110" s="1"/>
  <c r="D175" i="110" a="1"/>
  <c r="D175" i="110" s="1"/>
  <c r="D174" i="110" a="1"/>
  <c r="D174" i="110" s="1"/>
  <c r="D173" i="110" a="1"/>
  <c r="D173" i="110" s="1"/>
  <c r="D170" i="110" a="1"/>
  <c r="D170" i="110" s="1"/>
  <c r="D169" i="110" a="1"/>
  <c r="D169" i="110" s="1"/>
  <c r="D168" i="110" a="1"/>
  <c r="D168" i="110" s="1"/>
  <c r="D167" i="110" a="1"/>
  <c r="D167" i="110" s="1"/>
  <c r="D164" i="110" a="1"/>
  <c r="D164" i="110" s="1"/>
  <c r="D163" i="110" a="1"/>
  <c r="D163" i="110" s="1"/>
  <c r="D162" i="110" a="1"/>
  <c r="D162" i="110" s="1"/>
  <c r="D161" i="110" a="1"/>
  <c r="D161" i="110" s="1"/>
  <c r="E158" i="110" a="1"/>
  <c r="E158" i="110" s="1"/>
  <c r="D158" i="110" a="1"/>
  <c r="D158" i="110" s="1"/>
  <c r="E157" i="110" a="1"/>
  <c r="E157" i="110" s="1"/>
  <c r="D157" i="110" a="1"/>
  <c r="D157" i="110" s="1"/>
  <c r="E156" i="110" a="1"/>
  <c r="E156" i="110" s="1"/>
  <c r="D156" i="110" a="1"/>
  <c r="D156" i="110" s="1"/>
  <c r="E155" i="110" a="1"/>
  <c r="E155" i="110" s="1"/>
  <c r="D155" i="110" a="1"/>
  <c r="D155" i="110" s="1"/>
  <c r="E154" i="110" a="1"/>
  <c r="E154" i="110" s="1"/>
  <c r="D154" i="110" a="1"/>
  <c r="D154" i="110" s="1"/>
  <c r="D151" i="110" a="1"/>
  <c r="D151" i="110" s="1"/>
  <c r="D150" i="110" a="1"/>
  <c r="D150" i="110" s="1"/>
  <c r="E147" i="110" a="1"/>
  <c r="E147" i="110" s="1"/>
  <c r="D147" i="110" a="1"/>
  <c r="D147" i="110" s="1"/>
  <c r="E146" i="110" a="1"/>
  <c r="E146" i="110" s="1"/>
  <c r="D146" i="110" a="1"/>
  <c r="D146" i="110" s="1"/>
  <c r="E145" i="110" a="1"/>
  <c r="E145" i="110" s="1"/>
  <c r="D145" i="110" a="1"/>
  <c r="D145" i="110" s="1"/>
  <c r="E144" i="110" a="1"/>
  <c r="E144" i="110" s="1"/>
  <c r="D144" i="110" a="1"/>
  <c r="D144" i="110" s="1"/>
  <c r="E143" i="110" a="1"/>
  <c r="E143" i="110" s="1"/>
  <c r="D143" i="110" a="1"/>
  <c r="D143" i="110" s="1"/>
  <c r="D141" i="110" a="1"/>
  <c r="D141" i="110" s="1"/>
  <c r="D140" i="110" a="1"/>
  <c r="D140" i="110" s="1"/>
  <c r="D139" i="110" a="1"/>
  <c r="D139" i="110" s="1"/>
  <c r="E136" i="110" a="1"/>
  <c r="E136" i="110" s="1"/>
  <c r="D136" i="110" a="1"/>
  <c r="D136" i="110" s="1"/>
  <c r="E135" i="110" a="1"/>
  <c r="E135" i="110" s="1"/>
  <c r="D135" i="110" a="1"/>
  <c r="D135" i="110" s="1"/>
  <c r="D133" i="110" a="1"/>
  <c r="D133" i="110" s="1"/>
  <c r="D132" i="110" a="1"/>
  <c r="D132" i="110" s="1"/>
  <c r="E129" i="110" a="1"/>
  <c r="E129" i="110" s="1"/>
  <c r="D129" i="110" a="1"/>
  <c r="D129" i="110" s="1"/>
  <c r="E128" i="110" a="1"/>
  <c r="E128" i="110" s="1"/>
  <c r="D128" i="110" a="1"/>
  <c r="D128" i="110" s="1"/>
  <c r="D125" i="110" a="1"/>
  <c r="D125" i="110" s="1"/>
  <c r="D124" i="110" a="1"/>
  <c r="D124" i="110" s="1"/>
  <c r="G121" i="110" a="1"/>
  <c r="G121" i="110" s="1"/>
  <c r="F121" i="110" a="1"/>
  <c r="F121" i="110" s="1"/>
  <c r="E121" i="110" a="1"/>
  <c r="E121" i="110" s="1"/>
  <c r="D121" i="110" a="1"/>
  <c r="D121" i="110" s="1"/>
  <c r="G120" i="110" a="1"/>
  <c r="G120" i="110" s="1"/>
  <c r="F120" i="110" a="1"/>
  <c r="F120" i="110" s="1"/>
  <c r="E120" i="110" a="1"/>
  <c r="E120" i="110" s="1"/>
  <c r="D120" i="110" a="1"/>
  <c r="D120" i="110" s="1"/>
  <c r="D117" i="110" a="1"/>
  <c r="D117" i="110" s="1"/>
  <c r="D116" i="110" a="1"/>
  <c r="D116" i="110" s="1"/>
  <c r="D115" i="110" a="1"/>
  <c r="D115" i="110" s="1"/>
  <c r="G112" i="110" a="1"/>
  <c r="G112" i="110" s="1"/>
  <c r="F112" i="110" a="1"/>
  <c r="F112" i="110" s="1"/>
  <c r="E112" i="110" a="1"/>
  <c r="E112" i="110" s="1"/>
  <c r="D112" i="110" a="1"/>
  <c r="D112" i="110" s="1"/>
  <c r="G111" i="110" a="1"/>
  <c r="G111" i="110" s="1"/>
  <c r="F111" i="110" a="1"/>
  <c r="F111" i="110" s="1"/>
  <c r="E111" i="110" a="1"/>
  <c r="E111" i="110" s="1"/>
  <c r="D111" i="110" a="1"/>
  <c r="D111" i="110" s="1"/>
  <c r="G110" i="110" a="1"/>
  <c r="G110" i="110" s="1"/>
  <c r="F110" i="110" a="1"/>
  <c r="F110" i="110" s="1"/>
  <c r="E110" i="110" a="1"/>
  <c r="E110" i="110" s="1"/>
  <c r="D110" i="110" a="1"/>
  <c r="D110" i="110" s="1"/>
  <c r="D107" i="110" a="1"/>
  <c r="D107" i="110" s="1"/>
  <c r="D106" i="110" a="1"/>
  <c r="D106" i="110" s="1"/>
  <c r="D105" i="110" a="1"/>
  <c r="D105" i="110" s="1"/>
  <c r="D99" i="110" a="1"/>
  <c r="D99"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J97" i="110" a="1"/>
  <c r="J97" i="110" s="1"/>
  <c r="I97" i="110" a="1"/>
  <c r="I97" i="110" s="1"/>
  <c r="H97" i="110" a="1"/>
  <c r="H97" i="110" s="1"/>
  <c r="G97" i="110" a="1"/>
  <c r="G97" i="110" s="1"/>
  <c r="F97" i="110" a="1"/>
  <c r="F97" i="110" s="1"/>
  <c r="E97" i="110" a="1"/>
  <c r="E97" i="110" s="1"/>
  <c r="D97" i="110" a="1"/>
  <c r="D97"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J96" i="110" a="1"/>
  <c r="J96" i="110" s="1"/>
  <c r="I96" i="110" a="1"/>
  <c r="I96" i="110" s="1"/>
  <c r="H96" i="110" a="1"/>
  <c r="H96" i="110" s="1"/>
  <c r="G96" i="110" a="1"/>
  <c r="G96" i="110" s="1"/>
  <c r="F96" i="110" a="1"/>
  <c r="F96" i="110" s="1"/>
  <c r="E96" i="110" a="1"/>
  <c r="E96" i="110" s="1"/>
  <c r="D96" i="110" a="1"/>
  <c r="D96"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J95" i="110" a="1"/>
  <c r="J95" i="110" s="1"/>
  <c r="I95" i="110" a="1"/>
  <c r="I95" i="110" s="1"/>
  <c r="H95" i="110" a="1"/>
  <c r="H95" i="110" s="1"/>
  <c r="G95" i="110" a="1"/>
  <c r="G95" i="110" s="1"/>
  <c r="F95" i="110" a="1"/>
  <c r="F95" i="110" s="1"/>
  <c r="E95" i="110" a="1"/>
  <c r="E95" i="110" s="1"/>
  <c r="D95" i="110" a="1"/>
  <c r="D95"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J94" i="110" a="1"/>
  <c r="J94" i="110" s="1"/>
  <c r="I94" i="110" a="1"/>
  <c r="I94" i="110" s="1"/>
  <c r="H94" i="110" a="1"/>
  <c r="H94" i="110" s="1"/>
  <c r="G94" i="110" a="1"/>
  <c r="G94" i="110" s="1"/>
  <c r="F94" i="110" a="1"/>
  <c r="F94" i="110" s="1"/>
  <c r="E94" i="110" a="1"/>
  <c r="E94" i="110" s="1"/>
  <c r="D94" i="110" a="1"/>
  <c r="D94"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J93" i="110" a="1"/>
  <c r="J93" i="110" s="1"/>
  <c r="I93" i="110" a="1"/>
  <c r="I93" i="110" s="1"/>
  <c r="H93" i="110" a="1"/>
  <c r="H93" i="110" s="1"/>
  <c r="G93" i="110" a="1"/>
  <c r="G93" i="110" s="1"/>
  <c r="F93" i="110" a="1"/>
  <c r="F93" i="110" s="1"/>
  <c r="E93" i="110" a="1"/>
  <c r="E93" i="110" s="1"/>
  <c r="D93" i="110" a="1"/>
  <c r="D93"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J92" i="110" a="1"/>
  <c r="J92" i="110" s="1"/>
  <c r="I92" i="110" a="1"/>
  <c r="I92" i="110" s="1"/>
  <c r="H92" i="110" a="1"/>
  <c r="H92" i="110" s="1"/>
  <c r="G92" i="110" a="1"/>
  <c r="G92" i="110" s="1"/>
  <c r="F92" i="110" a="1"/>
  <c r="F92" i="110" s="1"/>
  <c r="E92" i="110" a="1"/>
  <c r="E92" i="110" s="1"/>
  <c r="D92" i="110" a="1"/>
  <c r="D92"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J91" i="110" a="1"/>
  <c r="J91" i="110" s="1"/>
  <c r="I91" i="110" a="1"/>
  <c r="I91" i="110" s="1"/>
  <c r="H91" i="110" a="1"/>
  <c r="H91" i="110" s="1"/>
  <c r="G91" i="110" a="1"/>
  <c r="G91" i="110" s="1"/>
  <c r="F91" i="110" a="1"/>
  <c r="F91" i="110" s="1"/>
  <c r="E91" i="110" a="1"/>
  <c r="E91" i="110" s="1"/>
  <c r="D91" i="110" a="1"/>
  <c r="D91"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90" i="110" a="1"/>
  <c r="J90" i="110" s="1"/>
  <c r="I90" i="110" a="1"/>
  <c r="I90" i="110" s="1"/>
  <c r="H90" i="110" a="1"/>
  <c r="H90" i="110" s="1"/>
  <c r="G90" i="110" a="1"/>
  <c r="G90" i="110" s="1"/>
  <c r="F90" i="110" a="1"/>
  <c r="F90" i="110" s="1"/>
  <c r="E90" i="110" a="1"/>
  <c r="E90" i="110" s="1"/>
  <c r="D90" i="110" a="1"/>
  <c r="D90" i="110" s="1"/>
  <c r="D83" i="110" a="1"/>
  <c r="D83" i="110" s="1"/>
  <c r="D82" i="110" a="1"/>
  <c r="D82" i="110" s="1"/>
  <c r="D81" i="110" a="1"/>
  <c r="D81" i="110" s="1"/>
  <c r="E77" i="110" a="1"/>
  <c r="E77" i="110" s="1"/>
  <c r="D77" i="110" a="1"/>
  <c r="D77" i="110" s="1"/>
  <c r="E76" i="110" a="1"/>
  <c r="E76" i="110" s="1"/>
  <c r="D76" i="110" a="1"/>
  <c r="D76" i="110" s="1"/>
  <c r="E75" i="110" a="1"/>
  <c r="E75" i="110" s="1"/>
  <c r="D75" i="110" a="1"/>
  <c r="D75" i="110" s="1"/>
  <c r="E74" i="110" a="1"/>
  <c r="E74" i="110" s="1"/>
  <c r="D74" i="110" a="1"/>
  <c r="D74" i="110" s="1"/>
  <c r="E73" i="110" a="1"/>
  <c r="E73" i="110" s="1"/>
  <c r="D73" i="110" a="1"/>
  <c r="D73" i="110" s="1"/>
  <c r="E72" i="110" a="1"/>
  <c r="E72" i="110" s="1"/>
  <c r="D72" i="110" a="1"/>
  <c r="D72" i="110" s="1"/>
  <c r="E71" i="110" a="1"/>
  <c r="E71" i="110" s="1"/>
  <c r="D71" i="110" a="1"/>
  <c r="D71" i="110" s="1"/>
  <c r="E70" i="110" a="1"/>
  <c r="E70" i="110" s="1"/>
  <c r="D70" i="110" a="1"/>
  <c r="D70" i="110" s="1"/>
  <c r="E69" i="110" a="1"/>
  <c r="E69" i="110" s="1"/>
  <c r="D69" i="110" a="1"/>
  <c r="D69" i="110" s="1"/>
  <c r="E68" i="110" a="1"/>
  <c r="E68" i="110" s="1"/>
  <c r="D68" i="110" a="1"/>
  <c r="D68" i="110" s="1"/>
  <c r="E67" i="110" a="1"/>
  <c r="E67" i="110" s="1"/>
  <c r="D67" i="110" a="1"/>
  <c r="D67" i="110" s="1"/>
  <c r="E66" i="110" a="1"/>
  <c r="E66" i="110" s="1"/>
  <c r="D66" i="110" a="1"/>
  <c r="D66" i="110" s="1"/>
  <c r="E65" i="110" a="1"/>
  <c r="E65" i="110" s="1"/>
  <c r="D65" i="110" a="1"/>
  <c r="D65" i="110" s="1"/>
  <c r="E64" i="110" a="1"/>
  <c r="E64" i="110" s="1"/>
  <c r="D64" i="110" a="1"/>
  <c r="D64" i="110" s="1"/>
  <c r="D59" i="110" a="1"/>
  <c r="D59" i="110" s="1"/>
  <c r="D58" i="110" a="1"/>
  <c r="D58" i="110" s="1"/>
  <c r="D57" i="110" a="1"/>
  <c r="D57" i="110" s="1"/>
  <c r="G54" i="110" a="1"/>
  <c r="G54" i="110" s="1"/>
  <c r="F54" i="110" a="1"/>
  <c r="F54" i="110" s="1"/>
  <c r="E54" i="110" a="1"/>
  <c r="E54" i="110" s="1"/>
  <c r="D54" i="110" a="1"/>
  <c r="D54" i="110" s="1"/>
  <c r="G53" i="110" a="1"/>
  <c r="G53" i="110" s="1"/>
  <c r="F53" i="110" a="1"/>
  <c r="F53" i="110" s="1"/>
  <c r="E53" i="110" a="1"/>
  <c r="E53" i="110" s="1"/>
  <c r="D53" i="110" a="1"/>
  <c r="D53" i="110" s="1"/>
  <c r="G52" i="110" a="1"/>
  <c r="G52" i="110" s="1"/>
  <c r="F52" i="110" a="1"/>
  <c r="F52" i="110" s="1"/>
  <c r="E52" i="110" a="1"/>
  <c r="E52" i="110" s="1"/>
  <c r="D52" i="110" a="1"/>
  <c r="D52" i="110" s="1"/>
  <c r="G51" i="110" a="1"/>
  <c r="G51" i="110" s="1"/>
  <c r="F51" i="110" a="1"/>
  <c r="F51" i="110" s="1"/>
  <c r="E51" i="110" a="1"/>
  <c r="E51" i="110" s="1"/>
  <c r="D51" i="110" a="1"/>
  <c r="D51" i="110" s="1"/>
  <c r="G50" i="110" a="1"/>
  <c r="G50" i="110" s="1"/>
  <c r="F50" i="110" a="1"/>
  <c r="F50" i="110" s="1"/>
  <c r="E50" i="110" a="1"/>
  <c r="E50" i="110" s="1"/>
  <c r="D50" i="110" a="1"/>
  <c r="D50" i="110" s="1"/>
  <c r="G49" i="110" a="1"/>
  <c r="G49" i="110" s="1"/>
  <c r="F49" i="110" a="1"/>
  <c r="F49" i="110" s="1"/>
  <c r="E49" i="110" a="1"/>
  <c r="E49" i="110" s="1"/>
  <c r="D49" i="110" a="1"/>
  <c r="D49" i="110" s="1"/>
  <c r="G48" i="110" a="1"/>
  <c r="G48" i="110" s="1"/>
  <c r="F48" i="110" a="1"/>
  <c r="F48" i="110" s="1"/>
  <c r="E48" i="110" a="1"/>
  <c r="E48" i="110" s="1"/>
  <c r="D48" i="110" a="1"/>
  <c r="D48" i="110" s="1"/>
  <c r="D46" i="110" a="1"/>
  <c r="D46" i="110" s="1"/>
  <c r="D45" i="110"/>
  <c r="D45" i="110" a="1"/>
  <c r="E43" i="110" a="1"/>
  <c r="E43" i="110" s="1"/>
  <c r="D43" i="110" a="1"/>
  <c r="D43" i="110" s="1"/>
  <c r="E42" i="110" a="1"/>
  <c r="E42" i="110" s="1"/>
  <c r="D42" i="110" a="1"/>
  <c r="D42" i="110" s="1"/>
  <c r="E41" i="110" a="1"/>
  <c r="E41" i="110" s="1"/>
  <c r="D41" i="110" a="1"/>
  <c r="D41" i="110" s="1"/>
  <c r="E40" i="110" a="1"/>
  <c r="E40" i="110" s="1"/>
  <c r="D40" i="110" a="1"/>
  <c r="D40" i="110" s="1"/>
  <c r="E39" i="110" a="1"/>
  <c r="E39" i="110" s="1"/>
  <c r="D39" i="110" a="1"/>
  <c r="D39" i="110" s="1"/>
  <c r="E38" i="110" a="1"/>
  <c r="E38" i="110" s="1"/>
  <c r="D38" i="110" a="1"/>
  <c r="D38" i="110" s="1"/>
  <c r="E37" i="110" a="1"/>
  <c r="E37" i="110" s="1"/>
  <c r="D37" i="110" a="1"/>
  <c r="D37" i="110" s="1"/>
  <c r="D35" i="110"/>
  <c r="D35" i="110" a="1"/>
  <c r="D34" i="110"/>
  <c r="D34" i="110" a="1"/>
  <c r="D30" i="110" a="1"/>
  <c r="D30" i="110" s="1"/>
  <c r="D29" i="110" a="1"/>
  <c r="D29" i="110" s="1"/>
  <c r="D28" i="110" a="1"/>
  <c r="D28" i="110" s="1"/>
  <c r="D27" i="110" a="1"/>
  <c r="D27" i="110" s="1"/>
  <c r="D26" i="110" a="1"/>
  <c r="D26" i="110" s="1"/>
  <c r="D25" i="110" a="1"/>
  <c r="D25" i="110" s="1"/>
  <c r="D24" i="110" a="1"/>
  <c r="D24" i="110" s="1"/>
  <c r="D23" i="110" a="1"/>
  <c r="D23" i="110" s="1"/>
  <c r="D22" i="110" a="1"/>
  <c r="D22" i="110" s="1"/>
  <c r="D21" i="110" a="1"/>
  <c r="D21" i="110" s="1"/>
  <c r="D19" i="110" a="1"/>
  <c r="D19" i="110" s="1"/>
  <c r="D18" i="110" a="1"/>
  <c r="D18" i="110" s="1"/>
  <c r="F14" i="110" a="1"/>
  <c r="F14" i="110" s="1"/>
  <c r="E14" i="110" a="1"/>
  <c r="E14" i="110" s="1"/>
  <c r="D14" i="110" a="1"/>
  <c r="D14" i="110" s="1"/>
  <c r="F13" i="110" a="1"/>
  <c r="F13" i="110" s="1"/>
  <c r="E13" i="110" a="1"/>
  <c r="E13" i="110" s="1"/>
  <c r="D13" i="110" a="1"/>
  <c r="D13" i="110" s="1"/>
  <c r="F12" i="110" a="1"/>
  <c r="F12" i="110" s="1"/>
  <c r="E12" i="110" a="1"/>
  <c r="E12" i="110" s="1"/>
  <c r="D12" i="110" a="1"/>
  <c r="D12" i="110" s="1"/>
  <c r="F11" i="110" a="1"/>
  <c r="F11" i="110" s="1"/>
  <c r="E11" i="110" a="1"/>
  <c r="E11" i="110" s="1"/>
  <c r="D11" i="110" a="1"/>
  <c r="D11" i="110" s="1"/>
  <c r="F10" i="110" a="1"/>
  <c r="F10" i="110" s="1"/>
  <c r="E10" i="110" a="1"/>
  <c r="E10" i="110" s="1"/>
  <c r="D10" i="110" a="1"/>
  <c r="D10" i="110" s="1"/>
  <c r="F9" i="110" a="1"/>
  <c r="F9" i="110" s="1"/>
  <c r="E9" i="110" a="1"/>
  <c r="E9" i="110" s="1"/>
  <c r="D9" i="110" a="1"/>
  <c r="D9" i="110" s="1"/>
  <c r="F8" i="110" a="1"/>
  <c r="F8" i="110" s="1"/>
  <c r="E8" i="110" a="1"/>
  <c r="E8" i="110" s="1"/>
  <c r="D8" i="110" a="1"/>
  <c r="D8" i="110" s="1"/>
  <c r="F7" i="110" a="1"/>
  <c r="F7" i="110" s="1"/>
  <c r="E7" i="110" a="1"/>
  <c r="E7" i="110" s="1"/>
  <c r="D7" i="110" a="1"/>
  <c r="D7" i="110" s="1"/>
  <c r="D5" i="110"/>
  <c r="D5" i="110" a="1"/>
  <c r="O37" i="69" a="1"/>
  <c r="O37" i="69" s="1"/>
  <c r="R37" i="69" a="1"/>
  <c r="R37" i="69" s="1"/>
  <c r="E55" i="82"/>
  <c r="E32" i="97"/>
  <c r="E36" i="95" a="1"/>
  <c r="E37" i="98"/>
  <c r="E95" i="70" l="1"/>
  <c r="F95" i="70"/>
  <c r="G95" i="70"/>
  <c r="E119" i="70"/>
  <c r="H95" i="70"/>
  <c r="F119" i="70"/>
  <c r="I120" i="70"/>
  <c r="G119" i="70"/>
  <c r="H119" i="70"/>
  <c r="E120" i="70"/>
  <c r="F120" i="70"/>
  <c r="E36" i="95"/>
  <c r="H50" i="110"/>
  <c r="H54" i="110"/>
  <c r="H53" i="110"/>
  <c r="H48" i="110"/>
  <c r="H52" i="110"/>
  <c r="H51" i="110"/>
  <c r="H49" i="110"/>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2" i="82" s="1"/>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J15" i="95" s="1"/>
  <c r="D214" i="79" a="1"/>
  <c r="D214" i="79" s="1"/>
  <c r="D213" i="79" a="1"/>
  <c r="D213" i="79" s="1"/>
  <c r="D212" i="79" a="1"/>
  <c r="D212" i="79" s="1"/>
  <c r="D211" i="79" a="1"/>
  <c r="D211" i="79" s="1"/>
  <c r="F163" i="69"/>
  <c r="F165" i="69"/>
  <c r="F164" i="69"/>
  <c r="J14" i="95" l="1"/>
  <c r="I14" i="98"/>
  <c r="I39" i="97"/>
  <c r="J46" i="96"/>
  <c r="J44" i="96" s="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91" i="81" a="1"/>
  <c r="E7" i="95" a="1"/>
  <c r="E7" i="98" a="1"/>
  <c r="E7" i="81" a="1"/>
  <c r="E37" i="96" a="1"/>
  <c r="E7" i="96" a="1"/>
  <c r="E7" i="97"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120" i="69" a="1"/>
  <c r="E7" i="76" a="1"/>
  <c r="E8" i="69" a="1"/>
  <c r="E7" i="82" a="1"/>
  <c r="E72" i="76" a="1"/>
  <c r="E183" i="76" a="1"/>
  <c r="E56" i="69" a="1"/>
  <c r="E132" i="76" a="1"/>
  <c r="E153" i="76" a="1"/>
  <c r="E256" i="76" a="1"/>
  <c r="E252" i="69" a="1"/>
  <c r="E219" i="76" a="1"/>
  <c r="E85" i="69" a="1"/>
  <c r="E186" i="69" a="1"/>
  <c r="E139" i="69" a="1"/>
  <c r="E109" i="76" a="1"/>
  <c r="E212" i="69" a="1"/>
  <c r="E35" i="76" a="1"/>
  <c r="R121" i="76" l="1"/>
  <c r="E37" i="70"/>
  <c r="D121" i="76" s="1"/>
  <c r="Q121" i="76"/>
  <c r="G121" i="76"/>
  <c r="P121" i="76"/>
  <c r="O121" i="76"/>
  <c r="H121" i="76"/>
  <c r="E41" i="70"/>
  <c r="N121" i="76" s="1"/>
  <c r="F121" i="76"/>
  <c r="E121" i="76"/>
  <c r="H19" i="69"/>
  <c r="E19" i="69"/>
  <c r="S19" i="69"/>
  <c r="S24" i="69" s="1" a="1"/>
  <c r="S24" i="69" s="1"/>
  <c r="S79" i="69" s="1" a="1"/>
  <c r="S79" i="69" s="1"/>
  <c r="E36" i="70"/>
  <c r="D19" i="69" s="1"/>
  <c r="D24" i="69" s="1" a="1"/>
  <c r="D24" i="69" s="1"/>
  <c r="D79" i="69" s="1" a="1"/>
  <c r="D79" i="69" s="1"/>
  <c r="D60" i="76" s="1"/>
  <c r="P19" i="69"/>
  <c r="P24" i="69" s="1" a="1"/>
  <c r="P24" i="69" s="1"/>
  <c r="P79" i="69" s="1" a="1"/>
  <c r="P79" i="69" s="1"/>
  <c r="G19" i="69"/>
  <c r="F19" i="69"/>
  <c r="E40" i="70"/>
  <c r="O19" i="69" s="1"/>
  <c r="O24" i="69" s="1" a="1"/>
  <c r="O24" i="69" s="1"/>
  <c r="O79" i="69" s="1" a="1"/>
  <c r="O79" i="69" s="1"/>
  <c r="R19" i="69"/>
  <c r="R24" i="69" s="1" a="1"/>
  <c r="R24" i="69" s="1"/>
  <c r="R79" i="69" s="1" a="1"/>
  <c r="R79" i="69" s="1"/>
  <c r="Q19" i="69"/>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E24" i="70" a="1"/>
  <c r="E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P285" i="69"/>
  <c r="R285" i="69"/>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F35" i="81" l="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5" i="70" a="1"/>
  <c r="E15" i="70" s="1"/>
  <c r="E19" i="70" a="1"/>
  <c r="E19" i="70" s="1"/>
  <c r="S25" i="96"/>
  <c r="T25" i="96"/>
  <c r="U25" i="96"/>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R114" i="69" l="1" a="1"/>
  <c r="R114" i="69" s="1"/>
  <c r="Q50" i="76" s="1"/>
  <c r="U173" i="69"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T206" i="69" a="1"/>
  <c r="T206" i="69" s="1"/>
  <c r="S206" i="69" a="1"/>
  <c r="S206" i="69" s="1"/>
  <c r="U205" i="69" a="1"/>
  <c r="U205" i="69" s="1"/>
  <c r="Q205" i="69" a="1"/>
  <c r="Q205" i="69" s="1"/>
  <c r="R205" i="69" a="1"/>
  <c r="R205" i="69" s="1"/>
  <c r="H206" i="69" a="1"/>
  <c r="H206" i="69" s="1"/>
  <c r="T205" i="69" a="1"/>
  <c r="T205" i="69" s="1"/>
  <c r="R133" i="69" l="1" a="1"/>
  <c r="R133" i="69" s="1"/>
  <c r="F205" i="69"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P229" i="69" s="1"/>
  <c r="D229" i="69"/>
  <c r="E229" i="69" s="1" a="1"/>
  <c r="E229" i="69" s="1"/>
  <c r="D94" i="70"/>
  <c r="D118" i="70"/>
  <c r="O232" i="69"/>
  <c r="P232" i="69" s="1"/>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F51" i="96" a="1"/>
  <c r="F51" i="96" s="1"/>
  <c r="E53" i="96" s="1"/>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F12" i="13"/>
  <c r="R47" i="97"/>
  <c r="P50" i="97" s="1" a="1"/>
  <c r="P50" i="97" s="1"/>
  <c r="I12" i="13" s="1"/>
  <c r="F13" i="13"/>
  <c r="R49" i="98"/>
  <c r="P52" i="98" s="1" a="1"/>
  <c r="P52" i="98" s="1"/>
  <c r="I13" i="13" s="1"/>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H238" i="69" s="1" a="1"/>
  <c r="H238" i="69" s="1"/>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E50" i="97" a="1"/>
  <c r="E50" i="97" s="1"/>
  <c r="H12" i="13" s="1"/>
  <c r="F242" i="69" a="1"/>
  <c r="F242" i="69" s="1"/>
  <c r="J245" i="69" a="1"/>
  <c r="J245" i="69" s="1"/>
  <c r="H241" i="69" a="1"/>
  <c r="H241" i="69" s="1"/>
  <c r="E9" i="13" l="1"/>
  <c r="G70" i="82"/>
  <c r="E8" i="13"/>
  <c r="G289" i="76"/>
  <c r="F9" i="13"/>
  <c r="R70" i="82"/>
  <c r="P73" i="82" s="1" a="1"/>
  <c r="P73" i="82" s="1"/>
  <c r="I9" i="13" s="1"/>
  <c r="P52" i="95"/>
  <c r="R54" i="95" s="1"/>
  <c r="F8" i="13"/>
  <c r="E52" i="95"/>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73" i="82" a="1"/>
  <c r="E73" i="82" s="1"/>
  <c r="H9" i="13"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<sst xmlns="http://schemas.openxmlformats.org/spreadsheetml/2006/main" count="1643" uniqueCount="471">
  <si>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</si>
  <si>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</si>
  <si>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</si>
  <si>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</si>
  <si>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</si>
  <si>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</si>
  <si>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</si>
  <si>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</si>
  <si>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</si>
  <si>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</si>
  <si>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</si>
  <si>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</si>
  <si>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</si>
  <si>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</si>
  <si>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</si>
  <si>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</si>
  <si>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</si>
  <si>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</si>
  <si>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</si>
  <si>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</si>
  <si>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</si>
  <si>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</si>
  <si>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</si>
  <si>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</si>
  <si>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</si>
  <si>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</si>
  <si>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</si>
  <si>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</si>
  <si>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</si>
  <si>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</si>
  <si>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</si>
  <si>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</si>
  <si>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</si>
  <si>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</si>
  <si>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</si>
  <si>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</si>
  <si>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</si>
  <si>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</si>
  <si>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</si>
  <si>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</si>
  <si>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</si>
  <si>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</si>
  <si>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</si>
  <si>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</si>
  <si>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</si>
  <si>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</si>
  <si>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</si>
  <si>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</si>
  <si>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</si>
  <si>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</si>
  <si>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</si>
  <si>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</si>
  <si>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</si>
  <si>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</si>
  <si>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</si>
  <si>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</si>
  <si>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</si>
  <si>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</si>
  <si>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</si>
  <si>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</si>
  <si>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</si>
  <si>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</si>
  <si>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</si>
  <si>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</si>
  <si>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</si>
  <si>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</si>
  <si>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</si>
  <si>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</si>
  <si>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</si>
  <si>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</si>
  <si>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</si>
  <si>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</si>
  <si>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</si>
  <si>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</si>
  <si>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</si>
  <si>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</si>
  <si>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</si>
  <si>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</si>
  <si>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</si>
  <si>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</si>
  <si>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</si>
  <si>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</si>
  <si>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</si>
  <si>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</si>
  <si>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</si>
  <si>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</si>
  <si>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</si>
  <si>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</si>
  <si>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</si>
  <si>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</si>
  <si>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</si>
  <si>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</si>
  <si>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</si>
  <si>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</si>
  <si>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</si>
  <si>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</si>
  <si>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</si>
  <si>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</si>
  <si>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</si>
  <si>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</si>
  <si>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</si>
  <si>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</si>
  <si>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</si>
  <si>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</si>
  <si>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</si>
  <si>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</si>
  <si>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</si>
  <si>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</si>
  <si>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</si>
  <si>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</si>
  <si>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</si>
  <si>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</si>
  <si>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</si>
  <si>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</si>
  <si>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</si>
  <si>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</si>
  <si>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</si>
  <si>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</si>
  <si>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</si>
  <si>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</si>
  <si>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</si>
  <si>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</si>
  <si>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</si>
  <si>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</si>
  <si>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</si>
  <si>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</si>
  <si>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</si>
  <si>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</si>
  <si>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</si>
  <si>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</si>
  <si>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</si>
  <si>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</si>
  <si>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</si>
  <si>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</si>
  <si>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</si>
  <si>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</si>
  <si>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</si>
  <si>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</si>
  <si>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</si>
  <si>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</si>
  <si>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</si>
  <si>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</si>
  <si>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</si>
  <si>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</si>
  <si>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</si>
  <si>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</si>
  <si>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</si>
  <si>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</si>
  <si>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</si>
  <si>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</si>
  <si>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</si>
  <si>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</si>
  <si>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</si>
  <si>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</si>
  <si>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</si>
  <si>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</si>
  <si>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</si>
  <si>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</si>
  <si>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</si>
  <si>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</si>
  <si>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</si>
  <si>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</si>
  <si>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</si>
  <si>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</si>
  <si>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</si>
  <si>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</si>
  <si>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</si>
  <si>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</si>
  <si>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</si>
  <si>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</si>
  <si>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</si>
  <si>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</si>
  <si>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</si>
  <si>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</si>
  <si>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</si>
  <si>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</si>
  <si>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</si>
  <si>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</si>
  <si>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</si>
  <si>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</si>
  <si>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</si>
  <si>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</si>
  <si>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</si>
  <si>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</si>
  <si>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</si>
  <si>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</si>
  <si>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</si>
  <si>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</si>
  <si>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</si>
  <si>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</si>
  <si>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</si>
  <si>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</si>
  <si>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</si>
  <si>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</si>
  <si>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</si>
  <si>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</si>
  <si>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</si>
  <si>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</si>
  <si>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</si>
  <si>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</si>
  <si>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</si>
  <si>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</si>
  <si>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</si>
  <si>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</si>
  <si>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</si>
  <si>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</si>
  <si>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</si>
  <si>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</si>
  <si>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</si>
  <si>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</si>
  <si>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</si>
  <si>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</si>
  <si>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</si>
  <si>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</si>
  <si>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</si>
  <si>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</si>
  <si>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</si>
  <si>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</si>
  <si>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</si>
  <si>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</si>
  <si>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</si>
  <si>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</si>
  <si>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</si>
  <si>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</si>
  <si>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</si>
  <si>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</si>
  <si>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</si>
  <si>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</si>
  <si>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</si>
  <si>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</si>
  <si>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</si>
  <si>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</si>
  <si>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</si>
  <si>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</si>
  <si>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</si>
  <si>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</si>
  <si>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</si>
  <si>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</si>
  <si>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</si>
  <si>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</si>
  <si>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</si>
  <si>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</si>
  <si>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</si>
  <si>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</si>
  <si>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</si>
  <si>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</si>
  <si>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</si>
  <si>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</si>
  <si>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</si>
  <si>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</si>
  <si>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</si>
  <si>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</si>
  <si>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</si>
  <si>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</si>
  <si>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</si>
  <si>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</si>
  <si>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</si>
  <si>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</si>
  <si>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</si>
  <si>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</si>
  <si>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</si>
  <si>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</si>
  <si>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</si>
  <si>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</si>
  <si>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</si>
  <si>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</si>
  <si>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</si>
  <si>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</si>
  <si>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</si>
  <si>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</si>
  <si>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</si>
  <si>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</si>
  <si>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</si>
  <si>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</si>
  <si>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</si>
  <si>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</si>
  <si>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</si>
  <si>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</si>
  <si>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</si>
  <si>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</si>
  <si>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</si>
  <si>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</si>
  <si>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</si>
  <si>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</si>
  <si>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</si>
  <si>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</si>
  <si>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</si>
  <si>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</si>
  <si>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</si>
  <si>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</si>
  <si>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</si>
  <si>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</si>
  <si>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</si>
  <si>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</si>
  <si>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</si>
  <si>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</si>
  <si>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</si>
  <si>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</si>
  <si>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</si>
  <si>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</si>
  <si>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</si>
  <si>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</si>
  <si>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</si>
  <si>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</si>
  <si>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</si>
  <si>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</si>
  <si>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</si>
  <si>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</si>
  <si>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</si>
  <si>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</si>
  <si>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</si>
  <si>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</si>
  <si>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</si>
  <si>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</si>
  <si>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</si>
  <si>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</si>
  <si>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</si>
  <si>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</si>
  <si>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</si>
  <si>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</si>
  <si>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</si>
  <si>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</si>
  <si>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</si>
  <si>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</si>
  <si>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</si>
  <si>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</si>
  <si>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</si>
  <si>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</si>
  <si>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</si>
  <si>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</si>
  <si>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</si>
  <si>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</si>
  <si>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</si>
  <si>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</si>
  <si>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</si>
  <si>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</si>
  <si>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</si>
  <si>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</si>
  <si>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</si>
  <si>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</si>
  <si>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</si>
  <si>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</si>
  <si>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</si>
  <si>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</si>
  <si>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</si>
  <si>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</si>
  <si>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</si>
  <si>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</si>
  <si>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</si>
  <si>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</si>
  <si>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</si>
  <si>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</si>
  <si>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</si>
  <si>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</si>
  <si>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</si>
  <si>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</si>
  <si>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</si>
  <si>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</si>
  <si>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</si>
  <si>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</si>
  <si>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</si>
  <si>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</si>
  <si>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</si>
  <si>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</si>
  <si>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</si>
  <si>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</si>
  <si>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</si>
  <si>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</si>
  <si>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</si>
  <si>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</si>
  <si>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</si>
  <si>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</si>
  <si>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</si>
  <si>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</si>
  <si>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</si>
  <si>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</si>
  <si>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</si>
  <si>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</si>
  <si>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</si>
  <si>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</si>
  <si>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</si>
  <si>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</si>
  <si>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</si>
  <si>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</si>
  <si>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</si>
  <si>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</si>
  <si>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</si>
  <si>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</si>
  <si>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</si>
  <si>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</si>
  <si>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</si>
  <si>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</si>
  <si>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</si>
  <si>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</si>
  <si>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</si>
  <si>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</si>
  <si>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</si>
  <si>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</si>
  <si>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</si>
  <si>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</si>
  <si>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</si>
  <si>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</si>
  <si>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</si>
  <si>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</si>
  <si>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</si>
  <si>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</si>
  <si>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</si>
  <si>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</si>
  <si>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</si>
  <si>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</si>
  <si>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</si>
  <si>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</si>
  <si>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</si>
  <si>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</si>
  <si>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</si>
  <si>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</si>
  <si>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</si>
  <si>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</si>
  <si>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</si>
  <si>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</si>
  <si>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</si>
  <si>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</si>
  <si>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</si>
  <si>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</si>
  <si>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</si>
  <si>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</si>
  <si>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</si>
  <si>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</si>
  <si>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</si>
  <si>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</si>
  <si>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</si>
  <si>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</si>
  <si>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</si>
  <si>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</si>
  <si>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</si>
  <si>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</si>
  <si>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</si>
  <si>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</si>
  <si>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</si>
  <si>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</si>
  <si>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</si>
  <si>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</si>
  <si>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</si>
  <si>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</si>
  <si>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</si>
  <si>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</si>
  <si>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</si>
  <si>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</si>
  <si>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</si>
  <si>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</si>
  <si>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</si>
  <si>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</si>
  <si>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</si>
  <si>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</si>
  <si>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</si>
  <si>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</si>
  <si>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</si>
  <si>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</si>
  <si>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</si>
  <si>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</si>
  <si>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</si>
  <si>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</si>
  <si>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</si>
  <si>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</si>
  <si>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</si>
  <si>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Livestock classes</t>
  </si>
  <si>
    <t>Livestock class</t>
  </si>
  <si>
    <t>Table_LivestockClasses_Dairy</t>
  </si>
  <si>
    <t>Victoria</t>
  </si>
  <si>
    <t>YES - In leaching zone</t>
  </si>
  <si>
    <t>Edited in 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</si>
</sst>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9">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92D050"/>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58">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39" fillId="17" borderId="1" xfId="8" applyFill="1" applyBorder="1">
      <alignment horizontal="left" vertical="center"/>
    </xf>
    <xf numFmtId="0" fontId="35" fillId="14" borderId="2" xfId="55" applyFill="1">
      <alignment horizontal="center" vertical="center"/>
    </xf>
    <xf numFmtId="0" fontId="39" fillId="18" borderId="1" xfId="8" applyFill="1" applyBorder="1">
      <alignment horizontal="left"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1">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0"/>
      <tableStyleElement type="headerRow" dxfId="89"/>
      <tableStyleElement type="totalRow" dxfId="88"/>
      <tableStyleElement type="firstColumn" dxfId="87"/>
      <tableStyleElement type="firstRowStripe" dxfId="86"/>
      <tableStyleElement type="secondRowStripe" dxfId="85"/>
    </tableStyle>
    <tableStyle name="Equation table" pivot="0" count="6" xr9:uid="{B247698E-E41D-4CCD-AA0A-C14817E9DE65}">
      <tableStyleElement type="wholeTable" dxfId="84"/>
      <tableStyleElement type="headerRow" dxfId="83"/>
      <tableStyleElement type="totalRow" dxfId="82"/>
      <tableStyleElement type="firstColumn" dxfId="81"/>
      <tableStyleElement type="firstRowStripe" dxfId="80"/>
      <tableStyleElement type="secondRowStripe" dxfId="79"/>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1">
    <v>13</v>
    <v>24</v>
  </rv>
</rvData>
</file>

<file path=xl/richData/rdrichvaluestructure.xml><?xml version="1.0" encoding="utf-8"?>
<rvStructures xmlns="http://schemas.microsoft.com/office/spreadsheetml/2017/richdata" count="2">
  <s t="_localImage">
    <k n="_rvRel:LocalImageIdentifier" t="i"/>
    <k n="CalcOrigin" t="i"/>
  </s>
  <s t="_error">
    <k n="errorType" t="i"/>
    <k n="subType"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8"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6"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5"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4"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3"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2"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0"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69"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8"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7"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3"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2"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1"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0"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59"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8"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7"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6"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5"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4"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2"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1"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0"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49"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6"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5"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4"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3"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2"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943328F-89F6-40A3-8B08-6D6B0190A6F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0D2AC9FE-FDCB-44C6-A7A2-5A9EE40882FC}" name="State/Territory">
      <calculatedColumnFormula array="1">Common_InputFunctions.Utility_DisplayArrayInTable(Common_SourceData.Common_SourceData_AustralianStatesTerritories_Data(),Table_AustralianStates[[#Headers],[State/Territory]],0)</calculatedColumnFormula>
    </tableColumn>
    <tableColumn id="2" xr3:uid="{34ED062C-0D40-495E-91CF-239E7C8049C2}" name="Common Name">
      <calculatedColumnFormula array="1">Common_InputFunctions.Utility_DisplayArrayInTable(Common_SourceData.Common_SourceData_AustralianStatesTerritories_Data(),Table_AustralianStates[[#Headers],[State/Territory]],0)</calculatedColumnFormula>
    </tableColumn>
    <tableColumn id="3" xr3:uid="{86BA58F9-1EE2-41CF-B0AF-DD283A046E2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C07B2F0-D45A-4B5F-9365-D0D39F74FC4A}" name="Table_WASA4Areas" displayName="Table_WASA4Areas" ref="D20:D30" totalsRowShown="0">
  <autoFilter ref="D20:D30" xr:uid="{5FA81339-C6C8-4D36-BEEA-6C4AEDD9E676}">
    <filterColumn colId="0" hiddenButton="1"/>
  </autoFilter>
  <tableColumns count="1">
    <tableColumn id="1" xr3:uid="{EF4CA605-4830-4990-A153-33DBCB4EB090}"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B8994B-B843-4CC1-9C18-3905A7DFAFB3}" name="Table_GWPData" displayName="Table_GWPData" ref="D36:E43" totalsRowShown="0">
  <autoFilter ref="D36:E43" xr:uid="{B8E87A66-3E41-4AD3-925D-01EE21B43D7A}">
    <filterColumn colId="0" hiddenButton="1"/>
    <filterColumn colId="1" hiddenButton="1"/>
  </autoFilter>
  <tableColumns count="2">
    <tableColumn id="1" xr3:uid="{92859857-E37B-4834-BCAD-F2AD4753C955}" name="Gas">
      <calculatedColumnFormula array="1">Common_InputFunctions.Utility_DisplayArrayInTable(Common_SourceData.Common_SourceData_GWP_Data(), Table_GWPData[[#Headers],[Gas]], 0)</calculatedColumnFormula>
    </tableColumn>
    <tableColumn id="2" xr3:uid="{252BDD8D-4E3C-419C-BCE9-F976EE9B169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3629775-F60E-413E-B1B0-D820DBF917B6}"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30BCDB0-7AAA-4239-B278-1090DD89AF92}" name="Gas">
      <calculatedColumnFormula array="1">Common_InputFunctions.Utility_DisplayArrayInTable(Common_SourceData.Common_SourceData_ConvertGasElementalToMolecular_Data(),Table_GasToMolecularConversionFactor[[#Headers],[Gas]], 0)</calculatedColumnFormula>
    </tableColumn>
    <tableColumn id="5" xr3:uid="{22E3A412-E46D-4E41-86CA-91CE7EAA0B18}" name="Conversion factor">
      <calculatedColumnFormula array="1">Common_InputFunctions.Utility_DisplayArrayInTable(Common_SourceData.Common_SourceData_ConvertGasElementalToMolecular_Data(),Table_GasToMolecularConversionFactor[[#Headers],[Gas]], 0)</calculatedColumnFormula>
    </tableColumn>
    <tableColumn id="2" xr3:uid="{27916ED3-937D-4C71-BEDF-41BCA085167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8FA37ED5-B78B-4A56-B4A1-82F4D9A1D0E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650194D2-0FD9-4B20-820D-66C414F85BC5}"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5181BF1-0B4D-49F6-90CA-861D34B8AEB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D208451-2A02-4AEC-A97E-3282AB44D042}"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B31C220-C478-4FB6-9032-415C36443658}"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27A52EAE-5CAE-4519-BC51-F73F591E9327}"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97B6E421-2E3B-4879-9840-60249B49CAAD}"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E3E7BF59-B555-4BA4-9F41-570D8764BC26}"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B8E97CF3-CF29-4293-8BB8-57AF7A7B46C8}"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57FBBF1D-96A7-4539-B80C-8CAEF7E58EC9}"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91228659-2453-404B-A3EC-675B965654F2}"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A42C51A7-410D-40D2-B3FD-268B75DD6A69}"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6928653B-E238-4C03-8B2E-1DD530B292EA}"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E244F4BA-A3D5-4FF0-8510-6B5D07C9AE54}"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4FF92AB3-A57B-4EDF-AB45-AD5F9C3C18C9}"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B09EF523-2FBE-453C-A084-D5094BBCC173}"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25CB5178-4D52-4140-A525-FCF50469D0F4}"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39CB1131-367B-4DE2-84D6-DCA507D2AA21}"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9A71E8E6-EF76-4C61-A864-97E7D0B485B5}"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E59A177-155A-4954-9800-069E781F0F3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5D8328E5-72AE-48E8-A08C-622E4C26103F}"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0780DED5-E685-4D8F-9A59-FC748C6D6B2D}"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A9FE58B5-04E9-4C75-B111-C4543E895D6C}"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42A436E9-1864-4B9E-8E06-64C5B6818ABA}" name="Temperature Zone">
      <calculatedColumnFormula array="1">Common_InputFunctions.Utility_DisplayArrayInTable(Common_SourceData.Common_SourceData_TemperatureZones_Data(),Table_SourceData_TemperatureZones[[#Headers],[Temperature Zone]],0)</calculatedColumnFormula>
    </tableColumn>
    <tableColumn id="2" xr3:uid="{14652FBB-8CF2-4C32-B5DB-4B9319B94678}" name="MAT">
      <calculatedColumnFormula array="1">Common_InputFunctions.Utility_DisplayArrayInTable(Common_SourceData.Common_SourceData_TemperatureZones_Data(),Table_SourceData_TemperatureZones[[#Headers],[Temperature Zone]],0)</calculatedColumnFormula>
    </tableColumn>
    <tableColumn id="3" xr3:uid="{D9265CE7-4B91-49F0-B8A4-255A33C6FA85}" name="Min MAT">
      <calculatedColumnFormula array="1">Common_InputFunctions.Utility_DisplayArrayInTable(Common_SourceData.Common_SourceData_TemperatureZones_Data(),Table_SourceData_TemperatureZones[[#Headers],[Temperature Zone]],0)</calculatedColumnFormula>
    </tableColumn>
    <tableColumn id="4" xr3:uid="{52DC5FA6-562A-4619-808A-AB04A170508C}"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53E00E7-D0CA-41B3-B83B-03932F4F2253}"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94CBE0B-78C7-46B4-B1FA-B174EA7E2CEE}" name="Rainfall Zone">
      <calculatedColumnFormula array="1">Common_InputFunctions.Utility_DisplayArrayInTable(Common_SourceData.Common_SourceData_RainfallZones_Data(),Table_SourceData_RainfallZones[[#Headers],[Rainfall Zone]],0)</calculatedColumnFormula>
    </tableColumn>
    <tableColumn id="2" xr3:uid="{DB43A04D-848E-42CF-9FC6-41E1AA98C7CE}" name="Annual rainfall">
      <calculatedColumnFormula array="1">Common_InputFunctions.Utility_DisplayArrayInTable(Common_SourceData.Common_SourceData_RainfallZones_Data(),Table_SourceData_RainfallZones[[#Headers],[Rainfall Zone]],0)</calculatedColumnFormula>
    </tableColumn>
    <tableColumn id="3" xr3:uid="{FECF2476-1093-45C5-B8BC-10E40617CEB2}" name="Min rainfall">
      <calculatedColumnFormula array="1">Common_InputFunctions.Utility_DisplayArrayInTable(Common_SourceData.Common_SourceData_RainfallZones_Data(),Table_SourceData_RainfallZones[[#Headers],[Rainfall Zone]],0)</calculatedColumnFormula>
    </tableColumn>
    <tableColumn id="4" xr3:uid="{6C2BF44B-AB8F-43F0-A3CC-2724C731A38A}"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593D77D-B8CF-422B-9970-1E4281805105}"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1F366C8B-46C9-4048-9CF5-A2DFCF15238D}" name="Leaching Zone">
      <calculatedColumnFormula array="1">Common_InputFunctions.Utility_DisplayArrayInTable(Common_SourceData.Common_SourceData_LeachingZones_Data(), Table_SourceData_LeachingZones[[#Headers],[Leaching Zone]], 0)</calculatedColumnFormula>
    </tableColumn>
    <tableColumn id="2" xr3:uid="{CDCAD202-A77D-44DC-BE5E-E6C3238B421B}"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B7DA101-8FD7-4254-92AC-A339F871198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11A1115-68A3-4200-9618-07F2525D24D4}" name="Data source">
      <calculatedColumnFormula array="1">Common_InputFunctions.Utility_DisplayArrayInTable(Common_SourceData.Common_SourceData_DataScores_Scope3_Data(), Table_SourceData_DataScores_Scope3[[#Headers],[Data source]], 0)</calculatedColumnFormula>
    </tableColumn>
    <tableColumn id="2" xr3:uid="{0E947C80-3BBD-4D3E-BE0A-97B0DA8A60D0}"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B8C267E-CA70-43F0-A9D7-58DE190630DE}" name="Table_SourceData_FracWET" displayName="Table_SourceData_FracWET" ref="D134:E136" totalsRowShown="0">
  <autoFilter ref="D134:E136" xr:uid="{308E99BE-FE1F-47A4-B2CA-97217277C4E9}">
    <filterColumn colId="0" hiddenButton="1"/>
    <filterColumn colId="1" hiddenButton="1"/>
  </autoFilter>
  <tableColumns count="2">
    <tableColumn id="1" xr3:uid="{212E479D-4D6F-4422-8D80-14FAEEE5040C}" name="Is in leaching zone">
      <calculatedColumnFormula array="1">Common_InputFunctions.Utility_DisplayArrayInTable(Common_SourceData.Common_SourceData_FracWET_Data(),Table_SourceData_FracWET[[#Headers],[Is in leaching zone]],0)</calculatedColumnFormula>
    </tableColumn>
    <tableColumn id="2" xr3:uid="{427AABAD-0AA4-4528-9E8C-86CA6A44408F}"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657269D-072D-4265-AEA5-850507292A1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140BB269-B826-4DB6-9DE7-C4105B644678}" name="Production system j">
      <calculatedColumnFormula array="1">Common_InputFunctions.Utility_DisplayArrayInTable(Common_SourceData.Common_SourceData_EFN2O_Data(), Table_SourceData_Common_EFN2O[[#Headers],[Production system j]], 0)</calculatedColumnFormula>
    </tableColumn>
    <tableColumn id="2" xr3:uid="{63C5BBDC-C908-4506-BCBB-4CEC6365B783}" name="EFN2O">
      <calculatedColumnFormula array="1">Common_InputFunctions.Utility_DisplayArrayInTable(Common_SourceData.Common_SourceData_EFN2O_Data(), Table_SourceData_Common_EFN2O[[#Headers],[Production system j]], 0)</calculatedColumnFormula>
    </tableColumn>
    <tableColumn id="3" xr3:uid="{4D3263E6-BF4C-4311-9F81-76A999D1D45F}" name="Production system only">
      <calculatedColumnFormula array="1">Common_InputFunctions.Utility_DisplayArrayInTable(Common_SourceData.Common_SourceData_EFN2O_Data(), Table_SourceData_Common_EFN2O[[#Headers],[Production system j]], 0)</calculatedColumnFormula>
    </tableColumn>
    <tableColumn id="4" xr3:uid="{E7F9C24B-8B74-4C71-ABA4-5BDD85AED4E6}" name="Irrigation method">
      <calculatedColumnFormula array="1">Common_InputFunctions.Utility_DisplayArrayInTable(Common_SourceData.Common_SourceData_EFN2O_Data(), Table_SourceData_Common_EFN2O[[#Headers],[Production system j]], 0)</calculatedColumnFormula>
    </tableColumn>
    <tableColumn id="5" xr3:uid="{75302D92-EE69-4509-9C30-B08F50874966}"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6EA4A29-F311-4792-9CAA-0AF16ACEF9CF}"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DED6A73-F199-49A7-B070-6D3F05AC4F3A}" name="Irrigation type i">
      <calculatedColumnFormula array="1">Common_InputFunctions.Utility_DisplayArrayInTable(Common_SourceData.Common_SourceData_FracWETIrrigation_Data(), Table_SourceData_FracWETIrrigation[[#Headers],[Irrigation type i]], 0)</calculatedColumnFormula>
    </tableColumn>
    <tableColumn id="2" xr3:uid="{083AB535-118A-4078-B2CA-8F1E0359D524}"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AEFA1AD-68D3-457E-891C-891980B7F6C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DE6BE192-53FF-47C2-BF89-2DDB4B2A9614}"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6C0D436-5324-493A-8310-BA81E76CED16}"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47AC7120-B2AB-45C6-8A23-E4AF8DA463D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4A1048CF-429D-4231-BDD7-6338596E7895}" name="Month">
      <calculatedColumnFormula array="1">Common_InputFunctions.Utility_DisplayArrayInTable(Common_SourceData.Common_SourceData_MonthsToSeasons_Data(), Table_SourceData_Common_MonthToSeason[[#Headers],[Month]], 0)</calculatedColumnFormula>
    </tableColumn>
    <tableColumn id="2" xr3:uid="{27B49675-3329-41DB-9596-F02B5A767BCD}"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2DC1E38-D851-408E-987E-A027329476E1}"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993E9EAE-7E83-4F68-8FA0-5FCD9894AB3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861C5F54-69A0-4463-8340-E134A1D93C24}"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AE7BF5BE-F247-442E-ABD8-AB2C00F77922}"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FEE3766-2C01-43B6-A036-3FBC24F46A24}"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E099EED-B3BC-4AA3-8B36-B45D911AE875}"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D45B4B9-2125-4CAC-A6EE-4AD62E784551}"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4F7125D1-D5B7-4ABD-BE38-D6037EB0C7E8}"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6F3F7ED9-DE9F-4414-871B-282E82D31E55}"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7DB74DE-4B71-4A06-81B7-4C9B57474A69}"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9FA4515F-3589-4EF9-B5D6-47D9939862B6}"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CC383582-EF1D-4381-826F-10702DCF7F72}"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F4F99F52-0078-4D65-A99E-B69BC7138280}"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ABE73CF0-9C6F-4BA9-8FF7-859E093A911C}"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EF6E118-8302-4505-9165-508B2529398C}"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86F612AF-4732-4752-90B8-D2E836C6D7CC}"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7448C8F9-F66A-4F65-A9CF-0AB34980166F}"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2D711B36-FAB5-4D81-A9CA-D5554B8443F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8AAB1132-CFAF-47F3-9325-DEF1E40F4F81}"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DCBDD51-9A82-4BB1-99A6-285A00BE777E}"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7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19"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17"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418</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428</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417</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72</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309</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133</v>
      </c>
      <c r="E6" s="118" t="s">
        <v>374</v>
      </c>
      <c r="F6" s="118" t="s">
        <v>375</v>
      </c>
      <c r="G6" s="118" t="s">
        <v>150</v>
      </c>
      <c r="H6" s="118" t="s">
        <v>380</v>
      </c>
      <c r="I6" s="118" t="s">
        <v>381</v>
      </c>
      <c r="J6" s="118" t="s">
        <v>151</v>
      </c>
      <c r="K6" s="23"/>
    </row>
    <row r="7" spans="1:11" ht="20.100000000000001" customHeight="1" x14ac:dyDescent="0.25">
      <c r="C7" s="23"/>
      <c r="D7" s="1" t="s">
        <v>376</v>
      </c>
      <c r="E7" s="113">
        <f ca="1">VEERG_4_3_1_1__1_TotalAnnualMethaneFromManureManagement_Result_Method1</f>
        <v>2.3523414143389085</v>
      </c>
      <c r="F7" s="113">
        <f ca="1">VEERG_4_3_1_1__1_TotalAnnualMethaneFromManureManagement_Result_Method2</f>
        <v>2.46570726563235</v>
      </c>
      <c r="G7" s="55" t="str">
        <f>'4.3.1.1-2 Methane'!$F$300</f>
        <v>t CH4</v>
      </c>
      <c r="H7" s="113">
        <f ca="1">'4.3.1.1-2 Methane'!$E$305</f>
        <v>65.865559601489437</v>
      </c>
      <c r="I7" s="113">
        <f ca="1">'4.3.1.1-2 Methane'!$P$305</f>
        <v>69.0398034377058</v>
      </c>
      <c r="J7" s="55" t="str">
        <f>'4.3.1.1-2 Methane'!$F$305</f>
        <v>t CO2e</v>
      </c>
      <c r="K7" s="23"/>
    </row>
    <row r="8" spans="1:11" ht="20.100000000000001" customHeight="1" x14ac:dyDescent="0.25">
      <c r="A8" s="19" t="s">
        <v>0</v>
      </c>
      <c r="C8" s="23"/>
      <c r="D8" s="1" t="s">
        <v>377</v>
      </c>
      <c r="E8" s="113">
        <f>VEERG_4_3_1_3__1_TotalAnnualDirectNitrousOxideEmissionsFromMMS_Result_Method1</f>
        <v>1.3675146048003468E-2</v>
      </c>
      <c r="F8" s="113">
        <f>VEERG_4_3_1_3__1_TotalAnnualDirectNitrousOxideEmissionsFromMMS_Result_Method2</f>
        <v>1.3675146048003468E-2</v>
      </c>
      <c r="G8" s="55" t="str">
        <f>'4.3.1.3-4 Direct N20'!$F$287</f>
        <v>t N2O</v>
      </c>
      <c r="H8" s="113">
        <f>'4.3.1.3-4 Direct N20'!$E$292</f>
        <v>3.6239137027209192</v>
      </c>
      <c r="I8" s="113">
        <f>'4.3.1.3-4 Direct N20'!$O$292</f>
        <v>3.6239137027209192</v>
      </c>
      <c r="J8" s="55" t="str">
        <f>'4.3.1.3-4 Direct N20'!$F$292</f>
        <v>t CO2e</v>
      </c>
      <c r="K8" s="23"/>
    </row>
    <row r="9" spans="1:11" ht="20.100000000000001" customHeight="1" x14ac:dyDescent="0.25">
      <c r="A9" s="17" t="str">
        <f>HYPERLINK("#'Input - Site'!A1", "Site")</f>
        <v>Site</v>
      </c>
      <c r="C9" s="23"/>
      <c r="D9" s="1" t="s">
        <v>378</v>
      </c>
      <c r="E9" s="113">
        <f>VEERG_4_3_1_5__1_AnnualAtmosphericDepositionEmissionsFromMMS_Result_Method1</f>
        <v>1.0488837018818658E-2</v>
      </c>
      <c r="F9" s="113">
        <f>VEERG_4_3_1_5__1_AnnualAtmosphericDepositionEmissionsFromMMS_Result_Method2</f>
        <v>1.0488837018818658E-2</v>
      </c>
      <c r="G9" s="55" t="str">
        <f>'4.3.1.5 Atmos deposition'!$F$68</f>
        <v>t N2O</v>
      </c>
      <c r="H9" s="113">
        <f>'4.3.1.5 Atmos deposition'!$E$73</f>
        <v>2.7795418099869442</v>
      </c>
      <c r="I9" s="113">
        <f>'4.3.1.5 Atmos deposition'!$P$73</f>
        <v>2.7795418099869442</v>
      </c>
      <c r="J9" s="55" t="str">
        <f>'4.3.1.5 Atmos deposition'!$F$73</f>
        <v>t CO2e</v>
      </c>
      <c r="K9" s="23"/>
    </row>
    <row r="10" spans="1:11" ht="20.100000000000001" customHeight="1" x14ac:dyDescent="0.25">
      <c r="A10" s="17" t="str">
        <f>HYPERLINK("#'Input - Dairy'!A1", "Dairy")</f>
        <v>Dairy</v>
      </c>
      <c r="C10" s="23"/>
      <c r="D10" s="1" t="s">
        <v>379</v>
      </c>
      <c r="E10" s="113">
        <f>VEERG_4_3_1_6__1_AnnualEmissionsFromLeachingAndRunoffFromMMS_Result_Method1</f>
        <v>6.0170642611215254E-4</v>
      </c>
      <c r="F10" s="113">
        <f>VEERG_4_3_1_6__1_AnnualEmissionsFromLeachingAndRunoffFromMMS_Result_Method2</f>
        <v>6.0170642611215254E-4</v>
      </c>
      <c r="G10" s="55" t="str">
        <f>'4.3.1.6-7 Leaching and runoff'!$F$52</f>
        <v>t N2O</v>
      </c>
      <c r="H10" s="113">
        <f>'4.3.1.6-7 Leaching and runoff'!$E$57</f>
        <v>0.15945220291972043</v>
      </c>
      <c r="I10" s="113">
        <f>'4.3.1.6-7 Leaching and runoff'!$P$57</f>
        <v>0.15945220291972043</v>
      </c>
      <c r="J10" s="55" t="str">
        <f>'4.3.1.6-7 Leaching and runoff'!$F$57</f>
        <v>t CO2e</v>
      </c>
      <c r="K10" s="23"/>
    </row>
    <row r="11" spans="1:11" ht="20.100000000000001" customHeight="1" x14ac:dyDescent="0.25">
      <c r="C11" s="23"/>
      <c r="D11" s="1" t="s">
        <v>346</v>
      </c>
      <c r="E11" s="113">
        <f>VEERG_4_3_1_9__1_DirectNitrousOxideEmissionsOnPasture_Result_Method1</f>
        <v>4.3760467353611089E-2</v>
      </c>
      <c r="F11" s="113">
        <f>VEERG_4_3_1_9__1_DirectNitrousOxideEmissionsOnPasture_Result_Method2</f>
        <v>4.3760467353611089E-2</v>
      </c>
      <c r="G11" s="55" t="str">
        <f>'4.3.1.9 Soil direct N2O'!$F$53</f>
        <v>t N2O</v>
      </c>
      <c r="H11" s="113">
        <f>'4.3.1.9 Soil direct N2O'!$E$58</f>
        <v>11.596523848706939</v>
      </c>
      <c r="I11" s="113">
        <f>'4.3.1.9 Soil direct N2O'!$P$58</f>
        <v>11.596523848706939</v>
      </c>
      <c r="J11" s="55" t="str">
        <f>'4.3.1.9 Soil direct N2O'!$F$58</f>
        <v>t CO2e</v>
      </c>
      <c r="K11" s="23"/>
    </row>
    <row r="12" spans="1:11" ht="20.100000000000001" customHeight="1" x14ac:dyDescent="0.25">
      <c r="C12" s="23"/>
      <c r="D12" s="1" t="s">
        <v>362</v>
      </c>
      <c r="E12" s="113">
        <f>VEERG_4_3_1_10__1_AtmosphericDepositionEmissionsFromUrineAndDungOnPasture_Result_Method1</f>
        <v>2.7109609525562069E-2</v>
      </c>
      <c r="F12" s="113">
        <f>VEERG_4_3_1_10__1_AtmosphericDepositionEmissionsFromUrineAndDungOnPasture_Result_Method2</f>
        <v>2.7109609525562069E-2</v>
      </c>
      <c r="G12" s="55" t="str">
        <f>'4.3.1.10-11 Soil Atmos Dep'!$F$45</f>
        <v>t N2O</v>
      </c>
      <c r="H12" s="113">
        <f>'4.3.1.10-11 Soil Atmos Dep'!$E$50</f>
        <v>7.1840465242739482</v>
      </c>
      <c r="I12" s="113">
        <f>'4.3.1.10-11 Soil Atmos Dep'!$P$50</f>
        <v>7.1840465242739482</v>
      </c>
      <c r="J12" s="55" t="str">
        <f>'4.3.1.10-11 Soil Atmos Dep'!$F$50</f>
        <v>t CO2e</v>
      </c>
      <c r="K12" s="23"/>
    </row>
    <row r="13" spans="1:11" ht="20.100000000000001" customHeight="1" x14ac:dyDescent="0.25">
      <c r="A13" s="18" t="s">
        <v>72</v>
      </c>
      <c r="C13" s="23"/>
      <c r="D13" s="1" t="s">
        <v>363</v>
      </c>
      <c r="E13" s="113">
        <f>VEERG_4_3_1_12__1_LeachingAndRunoffEmissionsFromUrineAndDungOnPasture_Result_Method1</f>
        <v>5.7763816906766643E-2</v>
      </c>
      <c r="F13" s="113">
        <f>VEERG_4_3_1_12__1_LeachingAndRunoffEmissionsFromUrineAndDungOnPasture_Result_Method2</f>
        <v>5.7763816906766643E-2</v>
      </c>
      <c r="G13" s="55" t="str">
        <f>'4.3.1.12-13 Soil leach runoff'!$F$47</f>
        <v>t N2O</v>
      </c>
      <c r="H13" s="113">
        <f>'4.3.1.12-13 Soil leach runoff'!$E$52</f>
        <v>15.30741148029316</v>
      </c>
      <c r="I13" s="113">
        <f>'4.3.1.12-13 Soil leach runoff'!$P$52</f>
        <v>15.30741148029316</v>
      </c>
      <c r="J13" s="55" t="str">
        <f>'4.3.1.12-13 Soil leach runoff'!$F$52</f>
        <v>t CO2e</v>
      </c>
      <c r="K13" s="23"/>
    </row>
    <row r="14" spans="1:11" ht="20.100000000000001" customHeight="1" x14ac:dyDescent="0.3">
      <c r="A14" s="17" t="str">
        <f>HYPERLINK("#'4.3.1.1-2 Methane'!A1", "4.3.1.1-2 Methane")</f>
        <v>4.3.1.1-2 Methane</v>
      </c>
      <c r="C14" s="23"/>
      <c r="D14" s="30" t="s">
        <v>148</v>
      </c>
      <c r="E14" s="24"/>
      <c r="F14" s="24"/>
      <c r="G14" s="30"/>
      <c r="H14" s="115">
        <f ca="1">SUM(H7:H13)</f>
        <v>106.51644917039106</v>
      </c>
      <c r="I14" s="115">
        <f ca="1">SUM(I7:I13)</f>
        <v>109.69069300660742</v>
      </c>
      <c r="J14" s="108" t="s">
        <v>344</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332</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155</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161</v>
      </c>
      <c r="E18" s="1"/>
      <c r="F18" s="1"/>
      <c r="G18" s="1"/>
      <c r="H18" s="1"/>
      <c r="I18" s="1"/>
      <c r="J18" s="1"/>
      <c r="K18" s="23"/>
    </row>
    <row r="19" spans="1:11" ht="20.100000000000001" customHeight="1" x14ac:dyDescent="0.25">
      <c r="A19" s="17" t="str">
        <f>HYPERLINK("#'4.3.1.9 Soil direct N2O'!A1", "4.3.1.9 Soil direct N2O")</f>
        <v>4.3.1.9 Soil direct N2O</v>
      </c>
      <c r="C19" s="23"/>
      <c r="D19" s="118" t="s">
        <v>156</v>
      </c>
      <c r="E19" s="118" t="s">
        <v>463</v>
      </c>
      <c r="F19" s="118" t="s">
        <v>464</v>
      </c>
      <c r="G19" s="118" t="s">
        <v>154</v>
      </c>
      <c r="H19" s="118" t="s">
        <v>149</v>
      </c>
      <c r="I19" s="118" t="s">
        <v>160</v>
      </c>
      <c r="J19" s="1"/>
      <c r="K19" s="23"/>
    </row>
    <row r="20" spans="1:11" ht="20.100000000000001" customHeight="1" x14ac:dyDescent="0.25">
      <c r="A20" s="17" t="str">
        <f>HYPERLINK("#'4.3.1.10-11 Soil Atmos Dep'!A1", "4.3.1.10-11 Soil Atmos Dep")</f>
        <v>4.3.1.10-11 Soil Atmos Dep</v>
      </c>
      <c r="C20" s="23"/>
      <c r="D20" s="1" t="s">
        <v>387</v>
      </c>
      <c r="E20" s="117">
        <f ca="1">VEERG_4_3_1_8__1_MassOfNitrogenAppliedToSoilsScope1_Result_Method1</f>
        <v>2306.1269017314939</v>
      </c>
      <c r="F20" s="117">
        <f ca="1">VEERG_4_3_1_8__1_MassOfNitrogenAppliedToSoilsScope1_Result_Method2</f>
        <v>2306.1269017314939</v>
      </c>
      <c r="G20" s="55" t="s">
        <v>124</v>
      </c>
      <c r="H20" s="1" t="s">
        <v>382</v>
      </c>
      <c r="I20" s="1" t="s">
        <v>159</v>
      </c>
      <c r="J20" s="1"/>
      <c r="K20" s="23"/>
    </row>
    <row r="21" spans="1:11" ht="20.100000000000001" customHeight="1" x14ac:dyDescent="0.25">
      <c r="A21" s="17" t="str">
        <f>HYPERLINK("#'4.3.1.12-13 Soil leach runoff'!A1", "4.3.1.12-13 Soil leach runoff")</f>
        <v>4.3.1.12-13 Soil leach runoff</v>
      </c>
      <c r="C21" s="23"/>
      <c r="D21" s="1" t="s">
        <v>157</v>
      </c>
      <c r="E21" s="117">
        <f>'4.3.1.8 Manure applied to soils'!$E$148</f>
        <v>0</v>
      </c>
      <c r="F21" s="117">
        <f>'4.3.1.8 Manure applied to soils'!$P$148</f>
        <v>0</v>
      </c>
      <c r="G21" s="55" t="s">
        <v>124</v>
      </c>
      <c r="H21" s="1" t="s">
        <v>382</v>
      </c>
      <c r="I21" s="1" t="s">
        <v>159</v>
      </c>
      <c r="J21" s="1"/>
      <c r="K21" s="23"/>
    </row>
    <row r="22" spans="1:11" ht="20.100000000000001" customHeight="1" x14ac:dyDescent="0.25">
      <c r="C22" s="23"/>
      <c r="D22" s="1" t="s">
        <v>152</v>
      </c>
      <c r="E22" s="117">
        <f ca="1">VEERG_4_3_1_8__2_MassOfNitrogenAppliedToSoilsScope3_Result_Method1</f>
        <v>0</v>
      </c>
      <c r="F22" s="117">
        <f ca="1">VEERG_4_3_1_8__2_MassOfNitrogenAppliedToSoilsScope3_Result_Method2</f>
        <v>0</v>
      </c>
      <c r="G22" s="55" t="s">
        <v>124</v>
      </c>
      <c r="H22" s="1" t="s">
        <v>153</v>
      </c>
      <c r="I22" s="1" t="s">
        <v>158</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3" zoomScaleNormal="100" workbookViewId="0">
      <selection activeCell="A20" sqref="A20"/>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70</v>
      </c>
      <c r="E8" s="34" t="s">
        <v>71</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85</v>
      </c>
      <c r="E10" s="92"/>
      <c r="F10" s="95"/>
      <c r="G10" s="89"/>
      <c r="N10" s="44"/>
    </row>
    <row r="11" spans="1:24" ht="20.100000000000001" customHeight="1" x14ac:dyDescent="0.25">
      <c r="A11"/>
      <c r="N11" s="45"/>
    </row>
    <row r="12" spans="1:24" ht="20.100000000000001" customHeight="1" x14ac:dyDescent="0.25">
      <c r="A12"/>
      <c r="D12" s="10" t="s">
        <v>90</v>
      </c>
      <c r="E12" s="65">
        <v>45292</v>
      </c>
      <c r="F12" s="2" t="s">
        <v>68</v>
      </c>
    </row>
    <row r="13" spans="1:24" ht="20.100000000000001" customHeight="1" x14ac:dyDescent="0.25">
      <c r="A13" s="18" t="s">
        <v>72</v>
      </c>
      <c r="D13" s="10" t="s">
        <v>91</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69</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468</v>
      </c>
      <c r="F21" s="2" t="s">
        <v>8</v>
      </c>
    </row>
    <row r="22" spans="1:25" ht="20.100000000000001" customHeight="1" x14ac:dyDescent="0.25">
      <c r="A22"/>
      <c r="D22" s="1" t="s">
        <v>24</v>
      </c>
      <c r="E22" s="41"/>
      <c r="F22" s="2" t="s">
        <v>8</v>
      </c>
      <c r="G22" s="1"/>
    </row>
    <row r="23" spans="1:25" ht="20.100000000000001" customHeight="1" x14ac:dyDescent="0.25">
      <c r="A23"/>
      <c r="D23" s="1" t="s">
        <v>6</v>
      </c>
      <c r="E23" s="41" t="s">
        <v>469</v>
      </c>
      <c r="F23" s="2" t="s">
        <v>8</v>
      </c>
    </row>
    <row r="24" spans="1:25" ht="20.100000000000001" customHeight="1" x14ac:dyDescent="0.25">
      <c r="A24" s="154" t="s">
        <v>1</v>
      </c>
      <c r="D24" s="1" t="s">
        <v>37</v>
      </c>
      <c r="E24" s="34">
        <v>307.7</v>
      </c>
      <c r="F24" s="2" t="s">
        <v>51</v>
      </c>
    </row>
    <row r="25" spans="1:25" ht="20.100000000000001" customHeight="1" x14ac:dyDescent="0.25">
      <c r="A25" s="17" t="str">
        <f>HYPERLINK("#'Constants - Dairy'!A1", "Constants - Dairy")</f>
        <v>Constants - Dairy</v>
      </c>
      <c r="D25" s="1" t="s">
        <v>59</v>
      </c>
      <c r="E25" s="34">
        <v>18</v>
      </c>
      <c r="F25" s="2" t="s">
        <v>9</v>
      </c>
      <c r="N25" s="43"/>
    </row>
    <row r="26" spans="1:25" ht="20.100000000000001" customHeight="1" x14ac:dyDescent="0.25">
      <c r="A26" s="17" t="str">
        <f>HYPERLINK("#'Constants - Common'!A1", "Constants - Common")</f>
        <v>Constants - Common</v>
      </c>
      <c r="D26" s="1" t="s">
        <v>60</v>
      </c>
      <c r="E26" s="34">
        <v>601</v>
      </c>
      <c r="F26" s="2" t="s">
        <v>10</v>
      </c>
    </row>
    <row r="27" spans="1:25" ht="20.100000000000001" customHeight="1" x14ac:dyDescent="0.25">
      <c r="A27" s="17" t="str">
        <f>HYPERLINK("#'Constants - Livestock'!A1", "Constants - Livestock")</f>
        <v>Constants - Livestock</v>
      </c>
      <c r="D27" s="10" t="s">
        <v>61</v>
      </c>
      <c r="E27" s="34">
        <v>1326</v>
      </c>
      <c r="F27" s="2" t="s">
        <v>10</v>
      </c>
    </row>
    <row r="28" spans="1:25" ht="20.100000000000001" customHeight="1" x14ac:dyDescent="0.25">
      <c r="A28" s="17" t="str">
        <f>HYPERLINK("#'Acknowledgements'!A1", "Acknowledgements")</f>
        <v>Acknowledgements</v>
      </c>
      <c r="D28" s="1" t="s">
        <v>62</v>
      </c>
      <c r="E28" s="34">
        <v>7</v>
      </c>
      <c r="F28" s="2" t="s">
        <v>52</v>
      </c>
    </row>
    <row r="29" spans="1:25" ht="20.100000000000001" customHeight="1" x14ac:dyDescent="0.25">
      <c r="A29" s="17" t="str">
        <f>HYPERLINK("#'Tab template'!A1", "Tab template")</f>
        <v>Tab template</v>
      </c>
      <c r="D29" s="10" t="s">
        <v>58</v>
      </c>
      <c r="E29" s="53">
        <f>X_Cell_Site_TotalRainfall/X_Cell_Site_PotentialEvapotranspiration</f>
        <v>0.45324283559577677</v>
      </c>
      <c r="F29" s="2"/>
    </row>
    <row r="30" spans="1:25" ht="20.100000000000001" customHeight="1" x14ac:dyDescent="0.25">
      <c r="A30"/>
      <c r="D30" s="10" t="s">
        <v>33</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87</v>
      </c>
      <c r="E32" s="53" t="str">
        <f>Common_InputFunctions.Utility_LookupValueInTable(X_Cell_Site_ClimateZone,Table_SourceData_WetDryZones[Climate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50</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X178"/>
  <sheetViews>
    <sheetView showGridLines="0" topLeftCell="B69" zoomScaleNormal="100" workbookViewId="0">
      <selection activeCell="E95" sqref="E95"/>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186</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97</v>
      </c>
      <c r="O5" s="3"/>
      <c r="S5" s="7"/>
    </row>
    <row r="6" spans="1:24" ht="20.100000000000001" customHeight="1" x14ac:dyDescent="0.25">
      <c r="O6" s="3"/>
      <c r="S6" s="7"/>
    </row>
    <row r="7" spans="1:24" ht="20.100000000000001" customHeight="1" x14ac:dyDescent="0.25">
      <c r="D7" s="1" t="s">
        <v>164</v>
      </c>
      <c r="E7" s="41" t="s">
        <v>207</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165</v>
      </c>
      <c r="F9" s="40" t="s">
        <v>182</v>
      </c>
      <c r="G9" s="40" t="s">
        <v>183</v>
      </c>
      <c r="H9" s="40" t="s">
        <v>184</v>
      </c>
      <c r="I9" s="40" t="s">
        <v>185</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0</v>
      </c>
      <c r="G10" s="102">
        <v>0</v>
      </c>
      <c r="H10" s="102">
        <v>0</v>
      </c>
      <c r="I10" s="102">
        <v>0</v>
      </c>
      <c r="J10" s="2" t="s">
        <v>99</v>
      </c>
      <c r="K10" s="2"/>
      <c r="L10" s="2"/>
      <c r="M10" s="2"/>
      <c r="N10" s="2"/>
      <c r="S10" s="7"/>
    </row>
    <row r="11" spans="1:24" ht="20.100000000000001" customHeight="1" x14ac:dyDescent="0.25">
      <c r="S11" s="7"/>
    </row>
    <row r="12" spans="1:24" ht="20.100000000000001" customHeight="1" x14ac:dyDescent="0.25">
      <c r="D12" s="49" t="s">
        <v>204</v>
      </c>
      <c r="S12" s="7"/>
    </row>
    <row r="13" spans="1:24" ht="20.100000000000001" customHeight="1" x14ac:dyDescent="0.25">
      <c r="A13" s="18" t="s">
        <v>72</v>
      </c>
      <c r="D13" s="64" t="s">
        <v>198</v>
      </c>
      <c r="E13" s="40" t="s">
        <v>165</v>
      </c>
      <c r="F13" s="40" t="s">
        <v>182</v>
      </c>
      <c r="G13" s="40" t="s">
        <v>183</v>
      </c>
      <c r="H13" s="40" t="s">
        <v>184</v>
      </c>
      <c r="I13" s="40" t="s">
        <v>185</v>
      </c>
      <c r="S13" s="39"/>
    </row>
    <row r="14" spans="1:24" ht="20.100000000000001" customHeight="1" x14ac:dyDescent="0.25">
      <c r="A14" s="17" t="str">
        <f>HYPERLINK("#'4.3.1.1-2 Methane'!A1", "4.3.1.1-2 Methane")</f>
        <v>4.3.1.1-2 Methane</v>
      </c>
      <c r="D14" s="1" t="s">
        <v>205</v>
      </c>
      <c r="E14" s="53">
        <f>Common_InputFunctions.Utility_LookupValueInTableNumber(X_Cell_Dairy_Breed, Table_SourceData_Dairy_WjCowsHeifers[Breed],Table_SourceData_Dairy_WjCowsHeifers[Milking cows])</f>
        <v>550</v>
      </c>
      <c r="F14" s="53">
        <v>0</v>
      </c>
      <c r="G14" s="53">
        <v>0</v>
      </c>
      <c r="H14" s="53">
        <v>0</v>
      </c>
      <c r="I14" s="53">
        <v>0</v>
      </c>
      <c r="J14" s="2" t="s">
        <v>187</v>
      </c>
      <c r="K14" s="2"/>
      <c r="L14" s="2"/>
      <c r="M14" s="2"/>
      <c r="N14" s="2"/>
      <c r="S14" s="39"/>
    </row>
    <row r="15" spans="1:24" ht="20.100000000000001" customHeight="1" x14ac:dyDescent="0.25">
      <c r="A15" s="17" t="str">
        <f>HYPERLINK("#'4.3.1.3-4 Direct N20'!A1", "4.3.1.3-4 Direct N20")</f>
        <v>4.3.1.3-4 Direct N20</v>
      </c>
      <c r="D15" s="1" t="s">
        <v>206</v>
      </c>
      <c r="E15" s="53" cm="1">
        <f t="array" ref="E15">Table_SourceData_Dairy_LWGj[Milking cows]</f>
        <v>1.6E-2</v>
      </c>
      <c r="F15" s="53">
        <v>0</v>
      </c>
      <c r="G15" s="53">
        <v>0</v>
      </c>
      <c r="H15" s="53">
        <v>0</v>
      </c>
      <c r="I15" s="53">
        <v>0</v>
      </c>
      <c r="J15" s="2" t="s">
        <v>188</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197</v>
      </c>
      <c r="E17" s="40" t="s">
        <v>165</v>
      </c>
      <c r="F17" s="40" t="s">
        <v>182</v>
      </c>
      <c r="G17" s="40" t="s">
        <v>183</v>
      </c>
      <c r="H17" s="40" t="s">
        <v>184</v>
      </c>
      <c r="I17" s="40" t="s">
        <v>185</v>
      </c>
      <c r="S17" s="7"/>
    </row>
    <row r="18" spans="1:19" ht="20.100000000000001" customHeight="1" x14ac:dyDescent="0.25">
      <c r="A18" s="17" t="str">
        <f>HYPERLINK("#'4.3.1.8 Manure applied to soils'!A1", "4.3.1.8 Manure applied to soils")</f>
        <v>4.3.1.8 Manure applied to soils</v>
      </c>
      <c r="D18" s="1" t="s">
        <v>205</v>
      </c>
      <c r="E18" s="66">
        <f>Common_InputFunctions.Utility_LookupValueInTableNumber(X_Cell_Dairy_Breed, Table_SourceData_Dairy_WjCowsHeifers[Breed],Table_SourceData_Dairy_WjCowsHeifers[Milking cows])</f>
        <v>550</v>
      </c>
      <c r="F18" s="66">
        <v>0</v>
      </c>
      <c r="G18" s="66">
        <v>0</v>
      </c>
      <c r="H18" s="66">
        <v>0</v>
      </c>
      <c r="I18" s="66">
        <v>0</v>
      </c>
      <c r="J18" s="2" t="s">
        <v>187</v>
      </c>
      <c r="K18" s="2"/>
      <c r="L18" s="2"/>
      <c r="M18" s="2"/>
      <c r="N18" s="2"/>
      <c r="S18" s="7"/>
    </row>
    <row r="19" spans="1:19" ht="20.100000000000001" customHeight="1" x14ac:dyDescent="0.25">
      <c r="A19" s="17" t="str">
        <f>HYPERLINK("#'4.3.1.9 Soil direct N2O'!A1", "4.3.1.9 Soil direct N2O")</f>
        <v>4.3.1.9 Soil direct N2O</v>
      </c>
      <c r="D19" s="1" t="s">
        <v>206</v>
      </c>
      <c r="E19" s="66" cm="1">
        <f t="array" ref="E19">Table_SourceData_Dairy_LWGj[Milking cows]</f>
        <v>1.6E-2</v>
      </c>
      <c r="F19" s="66">
        <v>0</v>
      </c>
      <c r="G19" s="66">
        <v>0</v>
      </c>
      <c r="H19" s="66">
        <v>0</v>
      </c>
      <c r="I19" s="66">
        <v>0</v>
      </c>
      <c r="J19" s="2" t="s">
        <v>188</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98</v>
      </c>
      <c r="S21" s="7"/>
    </row>
    <row r="22" spans="1:19" ht="20.100000000000001" customHeight="1" x14ac:dyDescent="0.25">
      <c r="S22" s="7"/>
    </row>
    <row r="23" spans="1:19" ht="20.100000000000001" customHeight="1" x14ac:dyDescent="0.25">
      <c r="D23" s="64" t="s">
        <v>198</v>
      </c>
      <c r="E23" s="40" t="s">
        <v>165</v>
      </c>
      <c r="F23" s="40" t="s">
        <v>182</v>
      </c>
      <c r="G23" s="40" t="s">
        <v>183</v>
      </c>
      <c r="H23" s="40" t="s">
        <v>184</v>
      </c>
      <c r="I23" s="40" t="s">
        <v>185</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v>0</v>
      </c>
      <c r="G24" s="53">
        <v>0</v>
      </c>
      <c r="H24" s="53">
        <v>0</v>
      </c>
      <c r="I24" s="53">
        <v>0</v>
      </c>
      <c r="J24" s="2" t="s">
        <v>52</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v>0</v>
      </c>
      <c r="G25" s="53">
        <v>0</v>
      </c>
      <c r="H25" s="53">
        <v>0</v>
      </c>
      <c r="I25" s="53">
        <v>0</v>
      </c>
      <c r="J25" s="2" t="s">
        <v>52</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197</v>
      </c>
      <c r="E27" s="40" t="s">
        <v>165</v>
      </c>
      <c r="F27" s="40" t="s">
        <v>182</v>
      </c>
      <c r="G27" s="40" t="s">
        <v>183</v>
      </c>
      <c r="H27" s="40" t="s">
        <v>184</v>
      </c>
      <c r="I27" s="40" t="s">
        <v>185</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v>0</v>
      </c>
      <c r="G28" s="66">
        <v>0</v>
      </c>
      <c r="H28" s="66">
        <v>0</v>
      </c>
      <c r="I28" s="66">
        <v>0</v>
      </c>
      <c r="J28" s="2" t="s">
        <v>52</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v>0</v>
      </c>
      <c r="G29" s="53">
        <v>0</v>
      </c>
      <c r="H29" s="53">
        <v>0</v>
      </c>
      <c r="I29" s="53">
        <v>0</v>
      </c>
      <c r="J29" s="2" t="s">
        <v>52</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203</v>
      </c>
      <c r="S33" s="7"/>
    </row>
    <row r="34" spans="3:19" ht="20.100000000000001" customHeight="1" x14ac:dyDescent="0.25">
      <c r="D34" s="49"/>
      <c r="S34" s="7"/>
    </row>
    <row r="35" spans="3:19" ht="20.100000000000001" customHeight="1" x14ac:dyDescent="0.25">
      <c r="D35" s="64" t="s">
        <v>198</v>
      </c>
      <c r="E35" s="40" t="s">
        <v>165</v>
      </c>
      <c r="F35" s="40" t="s">
        <v>182</v>
      </c>
      <c r="G35" s="40" t="s">
        <v>183</v>
      </c>
      <c r="H35" s="40" t="s">
        <v>184</v>
      </c>
      <c r="I35" s="40" t="s">
        <v>185</v>
      </c>
      <c r="S35" s="7"/>
    </row>
    <row r="36" spans="3:19" ht="20.100000000000001" customHeight="1" x14ac:dyDescent="0.25">
      <c r="D36" s="1" t="s">
        <v>16</v>
      </c>
      <c r="E36" s="53">
        <f>SourceData_Dairy_DryMatterDigestibility_Data</f>
        <v>0.75</v>
      </c>
      <c r="F36" s="53">
        <v>0</v>
      </c>
      <c r="G36" s="53">
        <v>0</v>
      </c>
      <c r="H36" s="53">
        <v>0</v>
      </c>
      <c r="I36" s="53">
        <v>0</v>
      </c>
      <c r="J36" s="2" t="s">
        <v>93</v>
      </c>
      <c r="K36" s="2"/>
      <c r="L36" s="2"/>
      <c r="M36" s="2"/>
      <c r="N36" s="2"/>
      <c r="S36" s="7"/>
    </row>
    <row r="37" spans="3:19" ht="20.100000000000001" customHeight="1" x14ac:dyDescent="0.25">
      <c r="D37" s="1" t="s">
        <v>104</v>
      </c>
      <c r="E37" s="53">
        <f>SourceData_Dairy_CrudeProtein_Data</f>
        <v>0.2</v>
      </c>
      <c r="F37" s="53">
        <v>0</v>
      </c>
      <c r="G37" s="53">
        <v>0</v>
      </c>
      <c r="H37" s="53">
        <v>0</v>
      </c>
      <c r="I37" s="53">
        <v>0</v>
      </c>
      <c r="J37" s="2" t="s">
        <v>93</v>
      </c>
      <c r="L37" s="2"/>
      <c r="M37" s="2"/>
      <c r="N37" s="2"/>
      <c r="S37" s="7"/>
    </row>
    <row r="38" spans="3:19" ht="20.100000000000001" customHeight="1" x14ac:dyDescent="0.25">
      <c r="M38" s="2"/>
      <c r="N38" s="2"/>
      <c r="S38" s="7"/>
    </row>
    <row r="39" spans="3:19" ht="20.100000000000001" customHeight="1" x14ac:dyDescent="0.25">
      <c r="D39" s="64" t="s">
        <v>197</v>
      </c>
      <c r="E39" s="40" t="s">
        <v>165</v>
      </c>
      <c r="F39" s="40" t="s">
        <v>182</v>
      </c>
      <c r="G39" s="40" t="s">
        <v>183</v>
      </c>
      <c r="H39" s="40" t="s">
        <v>184</v>
      </c>
      <c r="I39" s="40" t="s">
        <v>185</v>
      </c>
      <c r="S39" s="7"/>
    </row>
    <row r="40" spans="3:19" ht="20.100000000000001" customHeight="1" x14ac:dyDescent="0.25">
      <c r="D40" s="1" t="s">
        <v>16</v>
      </c>
      <c r="E40" s="66">
        <f>SourceData_Dairy_DryMatterDigestibility_Data</f>
        <v>0.75</v>
      </c>
      <c r="F40" s="66">
        <v>0</v>
      </c>
      <c r="G40" s="66">
        <v>0</v>
      </c>
      <c r="H40" s="66">
        <v>0</v>
      </c>
      <c r="I40" s="66">
        <v>0</v>
      </c>
      <c r="J40" s="2" t="s">
        <v>93</v>
      </c>
      <c r="K40" s="2"/>
      <c r="S40" s="7"/>
    </row>
    <row r="41" spans="3:19" ht="20.100000000000001" customHeight="1" x14ac:dyDescent="0.25">
      <c r="D41" s="1" t="s">
        <v>104</v>
      </c>
      <c r="E41" s="66">
        <f>SourceData_Dairy_CrudeProtein_Data</f>
        <v>0.2</v>
      </c>
      <c r="F41" s="66">
        <v>0</v>
      </c>
      <c r="G41" s="66">
        <v>0</v>
      </c>
      <c r="H41" s="66">
        <v>0</v>
      </c>
      <c r="I41" s="66">
        <v>0</v>
      </c>
      <c r="J41" s="2" t="s">
        <v>93</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189</v>
      </c>
      <c r="E45" s="3"/>
      <c r="F45" s="3"/>
      <c r="G45" s="3"/>
      <c r="H45" s="3"/>
      <c r="I45" s="3"/>
      <c r="J45" s="3"/>
      <c r="K45" s="3"/>
      <c r="L45" s="3"/>
      <c r="M45" s="3"/>
      <c r="N45" s="3"/>
      <c r="S45" s="7"/>
    </row>
    <row r="46" spans="3:19" ht="20.100000000000001" customHeight="1" x14ac:dyDescent="0.25">
      <c r="D46" s="22" t="s">
        <v>445</v>
      </c>
      <c r="G46" s="6"/>
      <c r="H46" s="6"/>
      <c r="I46" s="6"/>
      <c r="J46" s="122"/>
      <c r="K46" s="122"/>
      <c r="L46" s="122"/>
      <c r="M46" s="122"/>
      <c r="N46" s="122"/>
      <c r="S46" s="7"/>
    </row>
    <row r="47" spans="3:19" ht="20.100000000000001" customHeight="1" x14ac:dyDescent="0.25">
      <c r="D47" s="1" t="s">
        <v>430</v>
      </c>
      <c r="E47" s="41" t="s">
        <v>443</v>
      </c>
      <c r="F47" s="2" t="s">
        <v>8</v>
      </c>
      <c r="S47" s="7"/>
    </row>
    <row r="48" spans="3:19" ht="20.100000000000001" customHeight="1" x14ac:dyDescent="0.25">
      <c r="S48" s="7"/>
    </row>
    <row r="49" spans="3:19" ht="20.100000000000001" customHeight="1" x14ac:dyDescent="0.25">
      <c r="E49" s="40" t="s">
        <v>165</v>
      </c>
      <c r="S49" s="7"/>
    </row>
    <row r="50" spans="3:19" ht="20.100000000000001" customHeight="1" x14ac:dyDescent="0.25">
      <c r="D50" s="1" t="s">
        <v>190</v>
      </c>
      <c r="E50" s="66">
        <f>6569/365</f>
        <v>17.997260273972604</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431</v>
      </c>
      <c r="E52" s="40" t="s">
        <v>432</v>
      </c>
      <c r="F52" s="40" t="s">
        <v>433</v>
      </c>
      <c r="S52" s="7"/>
    </row>
    <row r="53" spans="3:19" ht="20.100000000000001" customHeight="1" x14ac:dyDescent="0.25">
      <c r="D53" s="1" t="s">
        <v>434</v>
      </c>
      <c r="E53" s="136">
        <f>SourceData_Dairy_FatContentInMilk_Data/100</f>
        <v>0.04</v>
      </c>
      <c r="F53" s="150">
        <f>SourceData_Dairy_FatContentInMilk_Data/100</f>
        <v>0.04</v>
      </c>
      <c r="G53" s="2" t="s">
        <v>435</v>
      </c>
      <c r="S53" s="7"/>
    </row>
    <row r="54" spans="3:19" ht="20.100000000000001" customHeight="1" x14ac:dyDescent="0.25">
      <c r="D54" s="1" t="s">
        <v>436</v>
      </c>
      <c r="E54" s="136">
        <f>SourceData_Dairy_ProteinContentInMilk_Data/100</f>
        <v>3.3000000000000002E-2</v>
      </c>
      <c r="F54" s="150">
        <f>SourceData_Dairy_ProteinContentInMilk_Data/100</f>
        <v>3.3000000000000002E-2</v>
      </c>
      <c r="G54" s="2" t="s">
        <v>435</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200</v>
      </c>
      <c r="S58" s="7"/>
    </row>
    <row r="59" spans="3:19" ht="20.100000000000001" customHeight="1" x14ac:dyDescent="0.25">
      <c r="D59" s="49" t="s">
        <v>193</v>
      </c>
      <c r="S59" s="7"/>
    </row>
    <row r="60" spans="3:19" ht="20.100000000000001" customHeight="1" x14ac:dyDescent="0.25">
      <c r="D60" s="1" t="s">
        <v>195</v>
      </c>
      <c r="E60" s="41" t="s">
        <v>202</v>
      </c>
      <c r="F60" s="2" t="s">
        <v>8</v>
      </c>
      <c r="O60" s="3"/>
      <c r="S60" s="7"/>
    </row>
    <row r="61" spans="3:19" ht="20.100000000000001" customHeight="1" x14ac:dyDescent="0.25">
      <c r="O61" s="3"/>
      <c r="S61" s="7"/>
    </row>
    <row r="62" spans="3:19" ht="20.100000000000001" customHeight="1" x14ac:dyDescent="0.25">
      <c r="D62" s="64" t="s">
        <v>198</v>
      </c>
      <c r="E62" s="40" t="s">
        <v>165</v>
      </c>
      <c r="F62" s="40" t="s">
        <v>182</v>
      </c>
      <c r="G62" s="40" t="s">
        <v>183</v>
      </c>
      <c r="H62" s="40" t="s">
        <v>184</v>
      </c>
      <c r="I62" s="40" t="s">
        <v>185</v>
      </c>
      <c r="O62" s="3"/>
      <c r="S62" s="7"/>
    </row>
    <row r="63" spans="3:19" ht="20.100000000000001" customHeight="1" x14ac:dyDescent="0.25">
      <c r="D63" s="1" t="s">
        <v>139</v>
      </c>
      <c r="E63" s="136">
        <v>0.8</v>
      </c>
      <c r="F63" s="136">
        <v>0</v>
      </c>
      <c r="G63" s="136">
        <v>0</v>
      </c>
      <c r="H63" s="136">
        <v>0</v>
      </c>
      <c r="I63" s="136">
        <v>0</v>
      </c>
      <c r="J63" s="2" t="s">
        <v>17</v>
      </c>
      <c r="K63" s="2"/>
      <c r="L63" s="2"/>
      <c r="M63" s="2"/>
      <c r="N63" s="2"/>
      <c r="O63" s="3"/>
      <c r="S63" s="7"/>
    </row>
    <row r="64" spans="3:19" ht="20.100000000000001" customHeight="1" x14ac:dyDescent="0.25">
      <c r="D64" s="1" t="s">
        <v>179</v>
      </c>
      <c r="E64" s="136">
        <v>0.2</v>
      </c>
      <c r="F64" s="136">
        <v>0</v>
      </c>
      <c r="G64" s="136">
        <v>0</v>
      </c>
      <c r="H64" s="136">
        <v>0</v>
      </c>
      <c r="I64" s="136">
        <v>0</v>
      </c>
      <c r="J64" s="2" t="s">
        <v>17</v>
      </c>
      <c r="K64" s="2"/>
      <c r="L64" s="2"/>
      <c r="M64" s="2"/>
      <c r="N64" s="2"/>
      <c r="O64" s="3"/>
      <c r="S64" s="7"/>
    </row>
    <row r="65" spans="3:19" ht="20.100000000000001" customHeight="1" x14ac:dyDescent="0.25">
      <c r="D65" s="1" t="s">
        <v>194</v>
      </c>
      <c r="E65" s="136">
        <v>0</v>
      </c>
      <c r="F65" s="136">
        <v>0</v>
      </c>
      <c r="G65" s="136">
        <v>0</v>
      </c>
      <c r="H65" s="136">
        <v>0</v>
      </c>
      <c r="I65" s="136">
        <v>0</v>
      </c>
      <c r="J65" s="2" t="s">
        <v>17</v>
      </c>
      <c r="K65" s="2"/>
      <c r="L65" s="2"/>
      <c r="M65" s="2"/>
      <c r="N65" s="2"/>
      <c r="O65" s="3"/>
    </row>
    <row r="66" spans="3:19" ht="20.100000000000001" customHeight="1" x14ac:dyDescent="0.25">
      <c r="O66" s="3"/>
    </row>
    <row r="67" spans="3:19" ht="20.100000000000001" customHeight="1" x14ac:dyDescent="0.25">
      <c r="D67" s="64" t="s">
        <v>197</v>
      </c>
      <c r="E67" s="40" t="s">
        <v>165</v>
      </c>
      <c r="F67" s="40" t="s">
        <v>182</v>
      </c>
      <c r="G67" s="40" t="s">
        <v>183</v>
      </c>
      <c r="H67" s="40" t="s">
        <v>184</v>
      </c>
      <c r="I67" s="40" t="s">
        <v>185</v>
      </c>
      <c r="O67" s="3"/>
    </row>
    <row r="68" spans="3:19" ht="20.100000000000001" customHeight="1" x14ac:dyDescent="0.25">
      <c r="D68" s="1" t="s">
        <v>139</v>
      </c>
      <c r="E68" s="135">
        <v>0.8</v>
      </c>
      <c r="F68" s="135">
        <v>0</v>
      </c>
      <c r="G68" s="135">
        <v>0</v>
      </c>
      <c r="H68" s="135">
        <v>0</v>
      </c>
      <c r="I68" s="135">
        <v>0</v>
      </c>
      <c r="J68" s="2" t="s">
        <v>17</v>
      </c>
      <c r="K68" s="2"/>
      <c r="L68" s="2"/>
      <c r="M68" s="2"/>
      <c r="N68" s="2"/>
      <c r="O68" s="3"/>
    </row>
    <row r="69" spans="3:19" ht="20.100000000000001" customHeight="1" x14ac:dyDescent="0.25">
      <c r="D69" s="1" t="s">
        <v>179</v>
      </c>
      <c r="E69" s="135">
        <v>0.2</v>
      </c>
      <c r="F69" s="135">
        <v>0</v>
      </c>
      <c r="G69" s="135">
        <v>0</v>
      </c>
      <c r="H69" s="135">
        <v>0</v>
      </c>
      <c r="I69" s="135">
        <v>0</v>
      </c>
      <c r="J69" s="2" t="s">
        <v>17</v>
      </c>
      <c r="K69" s="2"/>
      <c r="L69" s="2"/>
      <c r="M69" s="2"/>
      <c r="N69" s="2"/>
      <c r="O69" s="3"/>
    </row>
    <row r="70" spans="3:19" ht="20.100000000000001" customHeight="1" x14ac:dyDescent="0.25">
      <c r="D70" s="1" t="s">
        <v>194</v>
      </c>
      <c r="E70" s="135">
        <v>0</v>
      </c>
      <c r="F70" s="135">
        <v>0</v>
      </c>
      <c r="G70" s="135">
        <v>0</v>
      </c>
      <c r="H70" s="135">
        <v>0</v>
      </c>
      <c r="I70" s="135">
        <v>0</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96</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95</v>
      </c>
      <c r="E77" s="40" t="s">
        <v>165</v>
      </c>
      <c r="F77" s="40" t="s">
        <v>182</v>
      </c>
      <c r="G77" s="40" t="s">
        <v>183</v>
      </c>
      <c r="H77" s="40" t="s">
        <v>184</v>
      </c>
      <c r="I77" s="40" t="s">
        <v>185</v>
      </c>
      <c r="J77" s="142" t="s">
        <v>420</v>
      </c>
      <c r="K77" s="142"/>
      <c r="L77" s="64" t="s">
        <v>419</v>
      </c>
      <c r="M77" s="64"/>
      <c r="N77" s="40"/>
      <c r="O77" s="3"/>
    </row>
    <row r="78" spans="3:19" ht="20.100000000000001" customHeight="1" x14ac:dyDescent="0.25">
      <c r="L78" s="117" t="s">
        <v>421</v>
      </c>
      <c r="M78" s="117" t="s">
        <v>422</v>
      </c>
      <c r="N78" s="117" t="s">
        <v>423</v>
      </c>
      <c r="O78" s="3"/>
    </row>
    <row r="79" spans="3:19" ht="20.100000000000001" customHeight="1" x14ac:dyDescent="0.25">
      <c r="D79" s="54" t="str">
        <f>'Constants - Dairy'!$D$8</f>
        <v>Anaerobic lagoon</v>
      </c>
      <c r="E79" s="47">
        <v>0.5</v>
      </c>
      <c r="F79" s="47">
        <v>0</v>
      </c>
      <c r="G79" s="47">
        <v>0</v>
      </c>
      <c r="H79" s="47">
        <v>0</v>
      </c>
      <c r="I79" s="47">
        <v>0</v>
      </c>
      <c r="J79" s="2" t="s">
        <v>17</v>
      </c>
      <c r="K79" s="2"/>
      <c r="L79" s="47">
        <v>0</v>
      </c>
      <c r="M79" s="47">
        <v>0</v>
      </c>
      <c r="N79" s="97">
        <f>1-SUM(L79:M79)</f>
        <v>1</v>
      </c>
      <c r="O79" s="3"/>
    </row>
    <row r="80" spans="3:19" ht="20.100000000000001" customHeight="1" x14ac:dyDescent="0.25">
      <c r="D80" s="152" t="str">
        <f>"Were solids separated from " &amp; D79 &amp; "?"</f>
        <v>Were solids separated from Anaerobic lagoon?</v>
      </c>
      <c r="E80" s="41" t="s">
        <v>201</v>
      </c>
      <c r="O80" s="3"/>
      <c r="S80" s="7"/>
    </row>
    <row r="81" spans="4:19" ht="20.100000000000001" customHeight="1" x14ac:dyDescent="0.25">
      <c r="D81" s="152" t="str">
        <f>"Percent solids separated from " &amp; D79 &amp; " (Method 1)"</f>
        <v>Percent solids separated from Anaerobic lagoon (Method 1)</v>
      </c>
      <c r="E81" s="97">
        <v>0</v>
      </c>
      <c r="O81" s="3"/>
      <c r="S81" s="7"/>
    </row>
    <row r="82" spans="4:19" ht="20.100000000000001" customHeight="1" x14ac:dyDescent="0.25">
      <c r="D82" s="152" t="str">
        <f>"Percent solids separated from " &amp; D79 &amp; " (Method 2)"</f>
        <v>Percent solids separated from Anaerobic lagoon (Method 2)</v>
      </c>
      <c r="E82" s="47">
        <v>0</v>
      </c>
      <c r="O82" s="3"/>
      <c r="S82" s="7"/>
    </row>
    <row r="83" spans="4:19" ht="20.100000000000001" customHeight="1" x14ac:dyDescent="0.25">
      <c r="S83" s="7"/>
    </row>
    <row r="84" spans="4:19" ht="20.100000000000001" customHeight="1" x14ac:dyDescent="0.25">
      <c r="D84" s="54" t="str">
        <f>'Constants - Dairy'!$D$9</f>
        <v>Sump and dispersal system</v>
      </c>
      <c r="E84" s="47">
        <v>0</v>
      </c>
      <c r="F84" s="47">
        <v>0</v>
      </c>
      <c r="G84" s="47">
        <v>0</v>
      </c>
      <c r="H84" s="47">
        <v>0</v>
      </c>
      <c r="I84" s="47">
        <v>0</v>
      </c>
      <c r="J84" s="2" t="s">
        <v>17</v>
      </c>
      <c r="K84" s="2"/>
      <c r="L84" s="47">
        <v>0</v>
      </c>
      <c r="M84" s="47">
        <v>0</v>
      </c>
      <c r="N84" s="97">
        <f t="shared" ref="N84" si="0">1-SUM(L84:M84)</f>
        <v>1</v>
      </c>
      <c r="S84" s="7"/>
    </row>
    <row r="85" spans="4:19" ht="20.100000000000001" customHeight="1" x14ac:dyDescent="0.25">
      <c r="D85" s="152" t="str">
        <f>"Were solids separated from " &amp; D84 &amp; "?"</f>
        <v>Were solids separated from Sump and dispersal system?</v>
      </c>
      <c r="E85" s="41" t="s">
        <v>199</v>
      </c>
      <c r="S85" s="7"/>
    </row>
    <row r="86" spans="4:19" ht="20.100000000000001" customHeight="1" x14ac:dyDescent="0.25">
      <c r="D86" s="152" t="str">
        <f>"Percent solids separated from " &amp; D84 &amp; " (Method 1)"</f>
        <v>Percent solids separated from Sump and dispersal system (Method 1)</v>
      </c>
      <c r="E86" s="97">
        <v>0</v>
      </c>
      <c r="S86" s="7"/>
    </row>
    <row r="87" spans="4:19" ht="20.100000000000001" customHeight="1" x14ac:dyDescent="0.25">
      <c r="D87" s="152" t="str">
        <f>"Percent solids separated from " &amp; D84 &amp; " (Method 2)"</f>
        <v>Percent solids separated from Sump and dispersal system (Method 2)</v>
      </c>
      <c r="E87" s="47">
        <v>0</v>
      </c>
      <c r="S87" s="7"/>
    </row>
    <row r="88" spans="4:19" ht="20.100000000000001" customHeight="1" x14ac:dyDescent="0.25">
      <c r="S88" s="7"/>
    </row>
    <row r="89" spans="4:19" ht="20.100000000000001" customHeight="1" x14ac:dyDescent="0.25">
      <c r="D89" s="54" t="str">
        <f>'Constants - Dairy'!$D$10</f>
        <v>Drains to paddock</v>
      </c>
      <c r="E89" s="47">
        <v>0</v>
      </c>
      <c r="F89" s="47">
        <v>0</v>
      </c>
      <c r="G89" s="47">
        <v>0</v>
      </c>
      <c r="H89" s="47">
        <v>0</v>
      </c>
      <c r="I89" s="47">
        <v>0</v>
      </c>
      <c r="J89" s="2" t="s">
        <v>17</v>
      </c>
      <c r="K89" s="2"/>
      <c r="L89" s="47">
        <v>0</v>
      </c>
      <c r="M89" s="47">
        <v>0</v>
      </c>
      <c r="N89" s="97">
        <f>1-SUM(L89:M89)</f>
        <v>1</v>
      </c>
      <c r="S89" s="7"/>
    </row>
    <row r="90" spans="4:19" ht="20.100000000000001" customHeight="1" x14ac:dyDescent="0.25">
      <c r="D90" s="152" t="str">
        <f>"Were solids separated from " &amp; D89 &amp; "?"</f>
        <v>Were solids separated from Drains to paddock?</v>
      </c>
      <c r="E90" s="41" t="s">
        <v>201</v>
      </c>
      <c r="S90" s="7"/>
    </row>
    <row r="91" spans="4:19" ht="20.100000000000001" customHeight="1" x14ac:dyDescent="0.25">
      <c r="D91" s="152" t="str">
        <f>"Percent solids separated from " &amp; D89 &amp; " (Method 1)"</f>
        <v>Percent solids separated from Drains to paddock (Method 1)</v>
      </c>
      <c r="E91" s="97">
        <v>0</v>
      </c>
      <c r="S91" s="7"/>
    </row>
    <row r="92" spans="4:19" ht="20.100000000000001" customHeight="1" x14ac:dyDescent="0.25">
      <c r="D92" s="152" t="str">
        <f>"Percent solids separated from " &amp; D89 &amp; " (Method 2)"</f>
        <v>Percent solids separated from Drains to paddock (Method 2)</v>
      </c>
      <c r="E92" s="47">
        <v>0</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0.5</v>
      </c>
      <c r="F94" s="47">
        <v>0</v>
      </c>
      <c r="G94" s="47">
        <v>0</v>
      </c>
      <c r="H94" s="47">
        <v>0</v>
      </c>
      <c r="I94" s="47">
        <v>0</v>
      </c>
      <c r="J94" s="2" t="s">
        <v>17</v>
      </c>
      <c r="K94" s="2"/>
      <c r="L94" s="47">
        <v>0</v>
      </c>
      <c r="M94" s="47">
        <v>0</v>
      </c>
      <c r="N94" s="97">
        <f t="shared" ref="N94" si="1">1-SUM(L94:M94)</f>
        <v>1</v>
      </c>
      <c r="S94" s="7"/>
    </row>
    <row r="95" spans="4:19" ht="20.100000000000001" customHeight="1" x14ac:dyDescent="0.25">
      <c r="D95" s="1" t="s">
        <v>426</v>
      </c>
      <c r="E95" s="97">
        <f>E94+(E79*X_Cell_Dairy_Stage1MMS_1_AnaerobicLagoon_AmountSeparated_Method1)+(E84*X_Cell_Dairy_Stage1MMS_1_SumpAndDispersal_AmountSeparated_Method1)+(E89*X_Cell_Dairy_Stage1MMS_1_DrainsToPaddock_AmountSeparated_Method1)</f>
        <v>0.5</v>
      </c>
      <c r="F95" s="97">
        <f>F94+(F79*X_Cell_Dairy_Stage1MMS_1_AnaerobicLagoon_AmountSeparated_Method1)+(F84*X_Cell_Dairy_Stage1MMS_1_SumpAndDispersal_AmountSeparated_Method1)+(F89*X_Cell_Dairy_Stage1MMS_1_DrainsToPaddock_AmountSeparated_Method1)</f>
        <v>0</v>
      </c>
      <c r="G95" s="97">
        <f>G94+(G79*X_Cell_Dairy_Stage1MMS_1_AnaerobicLagoon_AmountSeparated_Method1)+(G84*X_Cell_Dairy_Stage1MMS_1_SumpAndDispersal_AmountSeparated_Method1)+(G89*X_Cell_Dairy_Stage1MMS_1_DrainsToPaddock_AmountSeparated_Method1)</f>
        <v>0</v>
      </c>
      <c r="H95" s="97">
        <f>H94+(H79*X_Cell_Dairy_Stage1MMS_1_AnaerobicLagoon_AmountSeparated_Method1)+(H84*X_Cell_Dairy_Stage1MMS_1_SumpAndDispersal_AmountSeparated_Method1)+(H89*X_Cell_Dairy_Stage1MMS_1_DrainsToPaddock_AmountSeparated_Method1)</f>
        <v>0</v>
      </c>
      <c r="I95" s="97">
        <f>I94+(I79*X_Cell_Dairy_Stage1MMS_1_AnaerobicLagoon_AmountSeparated_Method1)+(I84*X_Cell_Dairy_Stage1MMS_1_SumpAndDispersal_AmountSeparated_Method1)+(I89*X_Cell_Dairy_Stage1MMS_1_DrainsToPaddock_AmountSeparated_Method1)</f>
        <v>0</v>
      </c>
      <c r="J95" s="2" t="s">
        <v>17</v>
      </c>
      <c r="K95" s="2"/>
      <c r="L95" s="2"/>
      <c r="M95" s="2"/>
      <c r="N95" s="2"/>
      <c r="S95" s="7"/>
    </row>
    <row r="96" spans="4:19" ht="20.100000000000001" customHeight="1" x14ac:dyDescent="0.25">
      <c r="D96" s="1" t="s">
        <v>427</v>
      </c>
      <c r="E96" s="97">
        <f>E94+(E79*X_Cell_Dairy_Stage1MMS_1_AnaerobicLagoon_AmountSeparated_Method2)+(E84*X_Cell_Dairy_Stage1MMS_1_SumpAndDispersal_AmountSeparated_Method2)+(E89*X_Cell_Dairy_Stage1MMS_1_DrainsToPaddock_AmountSeparated_Method2)</f>
        <v>0.5</v>
      </c>
      <c r="F96" s="97">
        <f>F94+(F79*X_Cell_Dairy_Stage1MMS_1_AnaerobicLagoon_AmountSeparated_Method2)+(F84*X_Cell_Dairy_Stage1MMS_1_SumpAndDispersal_AmountSeparated_Method2)+(F89*X_Cell_Dairy_Stage1MMS_1_DrainsToPaddock_AmountSeparated_Method2)</f>
        <v>0</v>
      </c>
      <c r="G96" s="97">
        <f>G94+(G79*X_Cell_Dairy_Stage1MMS_1_AnaerobicLagoon_AmountSeparated_Method2)+(G84*X_Cell_Dairy_Stage1MMS_1_SumpAndDispersal_AmountSeparated_Method2)+(G89*X_Cell_Dairy_Stage1MMS_1_DrainsToPaddock_AmountSeparated_Method2)</f>
        <v>0</v>
      </c>
      <c r="H96" s="97">
        <f>H94+(H79*X_Cell_Dairy_Stage1MMS_1_AnaerobicLagoon_AmountSeparated_Method2)+(H84*X_Cell_Dairy_Stage1MMS_1_SumpAndDispersal_AmountSeparated_Method2)+(H89*X_Cell_Dairy_Stage1MMS_1_DrainsToPaddock_AmountSeparated_Method2)</f>
        <v>0</v>
      </c>
      <c r="I96" s="97">
        <f>I94+(I79*X_Cell_Dairy_Stage1MMS_1_AnaerobicLagoon_AmountSeparated_Method2)+(I84*X_Cell_Dairy_Stage1MMS_1_SumpAndDispersal_AmountSeparated_Method2)+(I89*X_Cell_Dairy_Stage1MMS_1_DrainsToPaddock_AmountSeparated_Method2)</f>
        <v>0</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95</v>
      </c>
      <c r="E101" s="40" t="s">
        <v>165</v>
      </c>
      <c r="F101" s="40" t="s">
        <v>182</v>
      </c>
      <c r="G101" s="40" t="s">
        <v>183</v>
      </c>
      <c r="H101" s="40" t="s">
        <v>184</v>
      </c>
      <c r="I101" s="40" t="s">
        <v>185</v>
      </c>
      <c r="J101" s="142" t="s">
        <v>420</v>
      </c>
      <c r="K101" s="142"/>
      <c r="L101" s="64" t="s">
        <v>419</v>
      </c>
      <c r="M101" s="64"/>
      <c r="N101" s="40"/>
      <c r="S101" s="7"/>
    </row>
    <row r="102" spans="4:19" ht="20.100000000000001" customHeight="1" x14ac:dyDescent="0.25">
      <c r="D102" s="146"/>
      <c r="L102" s="117" t="s">
        <v>421</v>
      </c>
      <c r="M102" s="117" t="s">
        <v>422</v>
      </c>
      <c r="N102" s="117" t="s">
        <v>423</v>
      </c>
      <c r="S102" s="7"/>
    </row>
    <row r="103" spans="4:19" ht="20.100000000000001" customHeight="1" x14ac:dyDescent="0.25">
      <c r="D103" s="145" t="str">
        <f>'Constants - Dairy'!$D$8</f>
        <v>Anaerobic lagoon</v>
      </c>
      <c r="E103" s="47">
        <v>0</v>
      </c>
      <c r="F103" s="47">
        <v>0</v>
      </c>
      <c r="G103" s="47">
        <v>0</v>
      </c>
      <c r="H103" s="47">
        <v>0</v>
      </c>
      <c r="I103" s="47">
        <v>0</v>
      </c>
      <c r="J103" s="2" t="s">
        <v>17</v>
      </c>
      <c r="K103" s="2"/>
      <c r="L103" s="47">
        <v>0</v>
      </c>
      <c r="M103" s="47">
        <v>0</v>
      </c>
      <c r="N103" s="97">
        <f>1-SUM(L103:M103)</f>
        <v>1</v>
      </c>
      <c r="S103" s="7"/>
    </row>
    <row r="104" spans="4:19" ht="20.100000000000001" customHeight="1" x14ac:dyDescent="0.25">
      <c r="D104" s="151" t="str">
        <f>"Were solids separated from " &amp; D103 &amp; "?"</f>
        <v>Were solids separated from Anaerobic lagoon?</v>
      </c>
      <c r="E104" s="41" t="s">
        <v>201</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v>
      </c>
      <c r="F108" s="47">
        <v>0</v>
      </c>
      <c r="G108" s="47">
        <v>0</v>
      </c>
      <c r="H108" s="47">
        <v>0</v>
      </c>
      <c r="I108" s="47">
        <v>0</v>
      </c>
      <c r="J108" s="2" t="s">
        <v>17</v>
      </c>
      <c r="K108" s="2"/>
      <c r="L108" s="47">
        <v>0</v>
      </c>
      <c r="M108" s="47">
        <v>0</v>
      </c>
      <c r="N108" s="97">
        <f t="shared" ref="N108" si="2">1-SUM(L108:M108)</f>
        <v>1</v>
      </c>
    </row>
    <row r="109" spans="4:19" ht="20.100000000000001" customHeight="1" x14ac:dyDescent="0.25">
      <c r="D109" s="151" t="str">
        <f>"Were solids separated from " &amp; D108 &amp; "?"</f>
        <v>Were solids separated from Sump and dispersal system?</v>
      </c>
      <c r="E109" s="41" t="s">
        <v>199</v>
      </c>
    </row>
    <row r="110" spans="4:19" ht="20.100000000000001" customHeight="1" x14ac:dyDescent="0.25">
      <c r="D110" s="151" t="str">
        <f>"Percent solids separated from " &amp; D108 &amp; " (Method 1)"</f>
        <v>Percent solids separated from Sump and dispersal system (Method 1)</v>
      </c>
      <c r="E110" s="97">
        <v>0</v>
      </c>
    </row>
    <row r="111" spans="4:19" ht="20.100000000000001" customHeight="1" x14ac:dyDescent="0.25">
      <c r="D111" s="151" t="str">
        <f>"Percent solids separated from " &amp; D108 &amp; " (Method 2)"</f>
        <v>Percent solids separated from Sump and dispersal system (Method 2)</v>
      </c>
      <c r="E111" s="47">
        <v>0</v>
      </c>
    </row>
    <row r="112" spans="4:19" ht="20.100000000000001" customHeight="1" x14ac:dyDescent="0.25"/>
    <row r="113" spans="4:14" ht="20.100000000000001" customHeight="1" x14ac:dyDescent="0.25">
      <c r="D113" s="145" t="str">
        <f>'Constants - Dairy'!$D$10</f>
        <v>Drains to paddock</v>
      </c>
      <c r="E113" s="47">
        <v>0</v>
      </c>
      <c r="F113" s="47">
        <v>0</v>
      </c>
      <c r="G113" s="47">
        <v>0</v>
      </c>
      <c r="H113" s="47">
        <v>0</v>
      </c>
      <c r="I113" s="47">
        <v>0</v>
      </c>
      <c r="J113" s="2" t="s">
        <v>17</v>
      </c>
      <c r="K113" s="2"/>
      <c r="L113" s="47">
        <v>0</v>
      </c>
      <c r="M113" s="47">
        <v>0</v>
      </c>
      <c r="N113" s="97">
        <f>1-SUM(L113:M113)</f>
        <v>1</v>
      </c>
    </row>
    <row r="114" spans="4:14" ht="20.100000000000001" customHeight="1" x14ac:dyDescent="0.25">
      <c r="D114" s="151" t="str">
        <f>"Were solids separated from " &amp; D113 &amp; "?"</f>
        <v>Were solids separated from Drains to paddock?</v>
      </c>
      <c r="E114" s="41" t="s">
        <v>199</v>
      </c>
    </row>
    <row r="115" spans="4:14" ht="20.100000000000001" customHeight="1" x14ac:dyDescent="0.25">
      <c r="D115" s="151" t="str">
        <f>"Percent solids separated from " &amp; D113 &amp; " (Method 1)"</f>
        <v>Percent solids separated from Drains to paddock (Method 1)</v>
      </c>
      <c r="E115" s="97">
        <v>0</v>
      </c>
    </row>
    <row r="116" spans="4:14" ht="20.100000000000001" customHeight="1" x14ac:dyDescent="0.25">
      <c r="D116" s="151" t="str">
        <f>"Percent solids separated from " &amp; D113 &amp; " (Method 2)"</f>
        <v>Percent solids separated from Drains to paddock (Method 2)</v>
      </c>
      <c r="E116" s="47">
        <v>0</v>
      </c>
    </row>
    <row r="117" spans="4:14" ht="20.100000000000001" customHeight="1" x14ac:dyDescent="0.25"/>
    <row r="118" spans="4:14" ht="20.100000000000001" customHeight="1" x14ac:dyDescent="0.25">
      <c r="D118" s="145" t="str">
        <f>'Constants - Dairy'!$D$11 &amp; " (before solid separation)"</f>
        <v>Solid storage (before solid separation)</v>
      </c>
      <c r="E118" s="47">
        <v>0</v>
      </c>
      <c r="F118" s="47">
        <v>0</v>
      </c>
      <c r="G118" s="47">
        <v>0</v>
      </c>
      <c r="H118" s="47">
        <v>0</v>
      </c>
      <c r="I118" s="47">
        <v>0</v>
      </c>
      <c r="J118" s="2" t="s">
        <v>17</v>
      </c>
      <c r="K118" s="2"/>
      <c r="L118" s="47">
        <v>0</v>
      </c>
      <c r="M118" s="47">
        <v>0</v>
      </c>
      <c r="N118" s="97">
        <f>1-SUM(L118:M118)</f>
        <v>1</v>
      </c>
    </row>
    <row r="119" spans="4:14" ht="20.100000000000001" customHeight="1" x14ac:dyDescent="0.25">
      <c r="D119" s="146" t="s">
        <v>426</v>
      </c>
      <c r="E119" s="97">
        <f>E118+(E103*X_Cell_Dairy_Stage1MMS_2_AnaerobicLagoon_AmountSeparated_Method1)+(E108*X_Cell_Dairy_Stage1MMS_2_SumpAndDispersal_AmountSeparated_Method1)+(E113*X_Cell_Dairy_Stage1MMS_2_DrainsToPaddock_AmountSeparated_Method1)</f>
        <v>0</v>
      </c>
      <c r="F119" s="97">
        <f>F118+(F103*X_Cell_Dairy_Stage1MMS_2_AnaerobicLagoon_AmountSeparated_Method1)+(F108*X_Cell_Dairy_Stage1MMS_2_SumpAndDispersal_AmountSeparated_Method1)+(F113*X_Cell_Dairy_Stage1MMS_2_DrainsToPaddock_AmountSeparated_Method1)</f>
        <v>0</v>
      </c>
      <c r="G119" s="97">
        <f>G118+(G103*X_Cell_Dairy_Stage1MMS_2_AnaerobicLagoon_AmountSeparated_Method1)+(G108*X_Cell_Dairy_Stage1MMS_2_SumpAndDispersal_AmountSeparated_Method1)+(G113*X_Cell_Dairy_Stage1MMS_2_DrainsToPaddock_AmountSeparated_Method1)</f>
        <v>0</v>
      </c>
      <c r="H119" s="97">
        <f>H118+(H103*X_Cell_Dairy_Stage1MMS_2_AnaerobicLagoon_AmountSeparated_Method1)+(H108*X_Cell_Dairy_Stage1MMS_2_SumpAndDispersal_AmountSeparated_Method1)+(H113*X_Cell_Dairy_Stage1MMS_2_DrainsToPaddock_AmountSeparated_Method1)</f>
        <v>0</v>
      </c>
      <c r="I119" s="97">
        <f>I118+(I103*X_Cell_Dairy_Stage1MMS_2_AnaerobicLagoon_AmountSeparated_Method1)+(I108*X_Cell_Dairy_Stage1MMS_2_SumpAndDispersal_AmountSeparated_Method1)+(I113*X_Cell_Dairy_Stage1MMS_2_DrainsToPaddock_AmountSeparated_Method1)</f>
        <v>0</v>
      </c>
      <c r="J119" s="2" t="s">
        <v>17</v>
      </c>
      <c r="K119" s="2"/>
      <c r="L119" s="2"/>
      <c r="M119" s="2"/>
      <c r="N119" s="2"/>
    </row>
    <row r="120" spans="4:14" ht="20.100000000000001" customHeight="1" x14ac:dyDescent="0.25">
      <c r="D120" s="146" t="s">
        <v>427</v>
      </c>
      <c r="E120" s="97">
        <f>E118+(E103*X_Cell_Dairy_Stage1MMS_2_AnaerobicLagoon_AmountSeparated_Method2)+(E108*X_Cell_Dairy_Stage1MMS_2_SumpAndDispersal_AmountSeparated_Method2)+(E113*X_Cell_Dairy_Stage1MMS_2_DrainsToPaddock_AmountSeparated_Method2)</f>
        <v>0</v>
      </c>
      <c r="F120" s="97">
        <f>F118+(F103*X_Cell_Dairy_Stage1MMS_2_AnaerobicLagoon_AmountSeparated_Method2)+(F108*X_Cell_Dairy_Stage1MMS_2_SumpAndDispersal_AmountSeparated_Method2)+(F113*X_Cell_Dairy_Stage1MMS_2_DrainsToPaddock_AmountSeparated_Method2)</f>
        <v>0</v>
      </c>
      <c r="G120" s="97">
        <f>G118+(G103*X_Cell_Dairy_Stage1MMS_2_AnaerobicLagoon_AmountSeparated_Method2)+(G108*X_Cell_Dairy_Stage1MMS_2_SumpAndDispersal_AmountSeparated_Method2)+(G113*X_Cell_Dairy_Stage1MMS_2_DrainsToPaddock_AmountSeparated_Method2)</f>
        <v>0</v>
      </c>
      <c r="H120" s="97">
        <f>H118+(H103*X_Cell_Dairy_Stage1MMS_2_AnaerobicLagoon_AmountSeparated_Method2)+(H108*X_Cell_Dairy_Stage1MMS_2_SumpAndDispersal_AmountSeparated_Method2)+(H113*X_Cell_Dairy_Stage1MMS_2_DrainsToPaddock_AmountSeparated_Method2)</f>
        <v>0</v>
      </c>
      <c r="I120" s="97">
        <f>I118+(I103*X_Cell_Dairy_Stage1MMS_2_AnaerobicLagoon_AmountSeparated_Method2)+(I108*X_Cell_Dairy_Stage1MMS_2_SumpAndDispersal_AmountSeparated_Method2)+(I113*X_Cell_Dairy_Stage1MMS_2_DrainsToPaddock_AmountSeparated_Method2)</f>
        <v>0</v>
      </c>
      <c r="J120" s="2" t="s">
        <v>17</v>
      </c>
      <c r="K120" s="2"/>
    </row>
    <row r="121" spans="4:14" ht="20.100000000000001" customHeight="1" x14ac:dyDescent="0.25"/>
    <row r="122" spans="4:14" ht="20.100000000000001" customHeight="1" x14ac:dyDescent="0.25"/>
    <row r="123" spans="4:14" ht="20.100000000000001" customHeight="1" x14ac:dyDescent="0.25">
      <c r="D123" s="1" t="s">
        <v>134</v>
      </c>
      <c r="E123" s="41" t="s">
        <v>139</v>
      </c>
      <c r="F123" s="2" t="s">
        <v>8</v>
      </c>
    </row>
    <row r="124" spans="4:14" ht="20.100000000000001" customHeight="1" x14ac:dyDescent="0.25">
      <c r="E124" s="41" t="s">
        <v>144</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75" zoomScaleNormal="100" workbookViewId="0">
      <selection activeCell="E305" sqref="E30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273</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72</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117</v>
      </c>
      <c r="O16" s="100" t="s">
        <v>120</v>
      </c>
    </row>
    <row r="17" spans="1:23" ht="20.100000000000001" customHeight="1" x14ac:dyDescent="0.25">
      <c r="A17" s="17" t="str">
        <f>HYPERLINK("#'4.3.1.6-7 Leaching and runoff'!A1", "4.3.1.6-7 Leaching and runoff")</f>
        <v>4.3.1.6-7 Leaching and runoff</v>
      </c>
      <c r="D17" s="99" t="s">
        <v>119</v>
      </c>
      <c r="O17" s="99" t="s">
        <v>229</v>
      </c>
    </row>
    <row r="18" spans="1:23"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O18" s="40" t="s">
        <v>165</v>
      </c>
      <c r="P18" s="40" t="s">
        <v>182</v>
      </c>
      <c r="Q18" s="40" t="s">
        <v>183</v>
      </c>
      <c r="R18" s="40" t="s">
        <v>184</v>
      </c>
      <c r="S18" s="40" t="s">
        <v>185</v>
      </c>
    </row>
    <row r="19" spans="1:23" ht="20.100000000000001" customHeight="1" x14ac:dyDescent="0.25">
      <c r="A19" s="17" t="str">
        <f>HYPERLINK("#'4.3.1.9 Soil direct N2O'!A1", "4.3.1.9 Soil direct N2O")</f>
        <v>4.3.1.9 Soil direct N2O</v>
      </c>
      <c r="D19" s="53">
        <f>INDEX(X_Table_Dairy_Diet_Method1,2,2)</f>
        <v>0.75</v>
      </c>
      <c r="E19" s="53">
        <f>INDEX(X_Table_Dairy_Diet_Method1,2,3)</f>
        <v>0</v>
      </c>
      <c r="F19" s="53">
        <f>INDEX(X_Table_Dairy_Diet_Method1,2,4)</f>
        <v>0</v>
      </c>
      <c r="G19" s="53">
        <f>INDEX(X_Table_Dairy_Diet_Method1,2,5)</f>
        <v>0</v>
      </c>
      <c r="H19" s="53">
        <f>INDEX(X_Table_Dairy_Diet_Method1,2,6)</f>
        <v>0</v>
      </c>
      <c r="I19" s="2" t="s">
        <v>218</v>
      </c>
      <c r="J19" s="2"/>
      <c r="K19" s="2"/>
      <c r="O19" s="53">
        <f>INDEX(X_Table_Dairy_Diet_Method2,2,2)</f>
        <v>0.75</v>
      </c>
      <c r="P19" s="53">
        <f>INDEX(X_Table_Dairy_Diet_Method2,2,3)</f>
        <v>0</v>
      </c>
      <c r="Q19" s="53">
        <f>INDEX(X_Table_Dairy_Diet_Method2,2,4)</f>
        <v>0</v>
      </c>
      <c r="R19" s="53">
        <f>INDEX(X_Table_Dairy_Diet_Method2,2,5)</f>
        <v>0</v>
      </c>
      <c r="S19" s="53">
        <f>INDEX(X_Table_Dairy_Diet_Method2,2,6)</f>
        <v>0</v>
      </c>
      <c r="T19" s="2" t="s">
        <v>218</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219</v>
      </c>
      <c r="O21" s="100" t="s">
        <v>221</v>
      </c>
    </row>
    <row r="22" spans="1:23" ht="20.100000000000001" customHeight="1" x14ac:dyDescent="0.25">
      <c r="D22" s="99" t="s">
        <v>220</v>
      </c>
      <c r="O22" s="99" t="s">
        <v>222</v>
      </c>
    </row>
    <row r="23" spans="1:23" ht="20.100000000000001" customHeight="1" x14ac:dyDescent="0.25">
      <c r="D23" s="52" t="s">
        <v>165</v>
      </c>
      <c r="E23" s="52" t="s">
        <v>182</v>
      </c>
      <c r="F23" s="52" t="s">
        <v>183</v>
      </c>
      <c r="G23" s="52" t="s">
        <v>184</v>
      </c>
      <c r="H23" s="52" t="s">
        <v>185</v>
      </c>
      <c r="O23" s="52" t="s">
        <v>165</v>
      </c>
      <c r="P23" s="52" t="s">
        <v>182</v>
      </c>
      <c r="Q23" s="52" t="s">
        <v>183</v>
      </c>
      <c r="R23" s="52" t="s">
        <v>184</v>
      </c>
      <c r="S23" s="52" t="s">
        <v>185</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-1.4E-3</v>
      </c>
      <c r="F24" s="53" cm="1">
        <f t="array" ref="F24">EntericMethane_Dairy_Equations.VEERG_3_3_1_1__6_MetabolisabilityOfDietVariation(F19)</f>
        <v>-1.4E-3</v>
      </c>
      <c r="G24" s="53" cm="1">
        <f t="array" ref="G24">EntericMethane_Dairy_Equations.VEERG_3_3_1_1__6_MetabolisabilityOfDietVariation(G19)</f>
        <v>-1.4E-3</v>
      </c>
      <c r="H24" s="53" cm="1">
        <f t="array" ref="H24">EntericMethane_Dairy_Equations.VEERG_3_3_1_1__6_MetabolisabilityOfDietVariation(H19)</f>
        <v>-1.4E-3</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-1.4E-3</v>
      </c>
      <c r="Q24" s="53" cm="1">
        <f t="array" ref="Q24">EntericMethane_Dairy_Equations.VEERG_3_3_1_1__6_MetabolisabilityOfDietVariation(Q19)</f>
        <v>-1.4E-3</v>
      </c>
      <c r="R24" s="53" cm="1">
        <f t="array" ref="R24">EntericMethane_Dairy_Equations.VEERG_3_3_1_1__6_MetabolisabilityOfDietVariation(R19)</f>
        <v>-1.4E-3</v>
      </c>
      <c r="S24" s="53" cm="1">
        <f t="array" ref="S24">EntericMethane_Dairy_Equations.VEERG_3_3_1_1__6_MetabolisabilityOfDietVariation(S19)</f>
        <v>-1.4E-3</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437</v>
      </c>
    </row>
    <row r="43" spans="4:20" ht="20.100000000000001" customHeight="1" x14ac:dyDescent="0.25">
      <c r="D43" s="99" t="s">
        <v>438</v>
      </c>
    </row>
    <row r="44" spans="4:20" ht="20.100000000000001" customHeight="1" x14ac:dyDescent="0.25">
      <c r="D44" s="40" t="s">
        <v>165</v>
      </c>
      <c r="E44" s="40" t="s">
        <v>182</v>
      </c>
      <c r="F44" s="40" t="s">
        <v>183</v>
      </c>
      <c r="G44" s="40" t="s">
        <v>184</v>
      </c>
      <c r="H44" s="40" t="s">
        <v>185</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439</v>
      </c>
      <c r="O47" s="100" t="s">
        <v>441</v>
      </c>
    </row>
    <row r="48" spans="4:20" ht="20.100000000000001" customHeight="1" x14ac:dyDescent="0.25">
      <c r="D48" s="99" t="s">
        <v>440</v>
      </c>
      <c r="O48" s="99" t="s">
        <v>442</v>
      </c>
    </row>
    <row r="49" spans="3:23" ht="20.100000000000001" customHeight="1" x14ac:dyDescent="0.25">
      <c r="D49" s="52" t="s">
        <v>165</v>
      </c>
      <c r="E49" s="52" t="s">
        <v>182</v>
      </c>
      <c r="F49" s="52" t="s">
        <v>183</v>
      </c>
      <c r="G49" s="52" t="s">
        <v>184</v>
      </c>
      <c r="H49" s="52" t="s">
        <v>185</v>
      </c>
      <c r="O49" s="52" t="s">
        <v>165</v>
      </c>
      <c r="P49" s="52" t="s">
        <v>182</v>
      </c>
      <c r="Q49" s="52" t="s">
        <v>183</v>
      </c>
      <c r="R49" s="52" t="s">
        <v>184</v>
      </c>
      <c r="S49" s="52" t="s">
        <v>185</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225</v>
      </c>
      <c r="O50" s="53" cm="1">
        <f t="array" ref="O50">EntericMethane_Dairy_Equations.VEERG_3_3_1_1__5_MilkProductionFromMilkSolids(D45,$T$39,$T$40)</f>
        <v>0</v>
      </c>
      <c r="P50" s="53">
        <v>0</v>
      </c>
      <c r="Q50" s="53">
        <v>0</v>
      </c>
      <c r="R50" s="53">
        <v>0</v>
      </c>
      <c r="S50" s="53">
        <v>0</v>
      </c>
      <c r="T50" s="2" t="s">
        <v>225</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228</v>
      </c>
    </row>
    <row r="72" spans="4:22" ht="20.100000000000001" customHeight="1" x14ac:dyDescent="0.25">
      <c r="D72" s="99" t="s">
        <v>189</v>
      </c>
    </row>
    <row r="73" spans="4:22" ht="20.100000000000001" customHeight="1" x14ac:dyDescent="0.25">
      <c r="D73" s="40" t="s">
        <v>165</v>
      </c>
      <c r="E73" s="40" t="s">
        <v>182</v>
      </c>
      <c r="F73" s="40" t="s">
        <v>183</v>
      </c>
      <c r="G73" s="40" t="s">
        <v>184</v>
      </c>
      <c r="H73" s="40" t="s">
        <v>185</v>
      </c>
    </row>
    <row r="74" spans="4:22" ht="20.100000000000001" customHeight="1" x14ac:dyDescent="0.25">
      <c r="D74" s="53">
        <f>IF(I62="Milk solids", 0, X_Cell_Dairy_MilkProductionAmount)</f>
        <v>17.997260273972604</v>
      </c>
      <c r="E74" s="53">
        <v>0</v>
      </c>
      <c r="F74" s="53">
        <v>0</v>
      </c>
      <c r="G74" s="53">
        <v>0</v>
      </c>
      <c r="H74" s="53">
        <v>0</v>
      </c>
      <c r="I74" s="2" t="s">
        <v>225</v>
      </c>
      <c r="J74" s="2"/>
      <c r="K74" s="2"/>
    </row>
    <row r="75" spans="4:22" ht="20.100000000000001" customHeight="1" x14ac:dyDescent="0.25"/>
    <row r="76" spans="4:22" ht="20.100000000000001" customHeight="1" x14ac:dyDescent="0.25">
      <c r="D76" s="100" t="s">
        <v>223</v>
      </c>
      <c r="O76" s="100" t="s">
        <v>226</v>
      </c>
    </row>
    <row r="77" spans="4:22" ht="20.100000000000001" customHeight="1" x14ac:dyDescent="0.25">
      <c r="D77" s="99" t="s">
        <v>224</v>
      </c>
      <c r="O77" s="99" t="s">
        <v>227</v>
      </c>
    </row>
    <row r="78" spans="4:22" ht="20.100000000000001" customHeight="1" x14ac:dyDescent="0.25">
      <c r="D78" s="52" t="s">
        <v>165</v>
      </c>
      <c r="E78" s="52" t="s">
        <v>182</v>
      </c>
      <c r="F78" s="52" t="s">
        <v>183</v>
      </c>
      <c r="G78" s="52" t="s">
        <v>184</v>
      </c>
      <c r="H78" s="52" t="s">
        <v>185</v>
      </c>
      <c r="O78" s="52" t="s">
        <v>165</v>
      </c>
      <c r="P78" s="52" t="s">
        <v>182</v>
      </c>
      <c r="Q78" s="52" t="s">
        <v>183</v>
      </c>
      <c r="R78" s="52" t="s">
        <v>184</v>
      </c>
      <c r="S78" s="52" t="s">
        <v>185</v>
      </c>
    </row>
    <row r="79" spans="4:22" ht="20.100000000000001" customHeight="1" x14ac:dyDescent="0.25">
      <c r="D79" s="53" cm="1">
        <f t="array" ref="D79">EntericMethane_Dairy_Equations.VEERG_3_3_1_1__4_AdditionalIntakeForMilkProduction(IF(I62="Milk solids", D50, D74), $I$65,$I$66,$I$67,D24)</f>
        <v>8.6205726359911861</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8.6205726359911861</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208</v>
      </c>
      <c r="O96" s="100" t="s">
        <v>210</v>
      </c>
    </row>
    <row r="97" spans="4:22" ht="20.100000000000001" customHeight="1" x14ac:dyDescent="0.25">
      <c r="D97" s="99" t="s">
        <v>209</v>
      </c>
      <c r="O97" s="99" t="s">
        <v>211</v>
      </c>
    </row>
    <row r="98" spans="4:22" ht="20.100000000000001" customHeight="1" x14ac:dyDescent="0.25">
      <c r="D98" s="40" t="s">
        <v>165</v>
      </c>
      <c r="E98" s="40" t="s">
        <v>182</v>
      </c>
      <c r="F98" s="40" t="s">
        <v>183</v>
      </c>
      <c r="G98" s="40" t="s">
        <v>184</v>
      </c>
      <c r="H98" s="40" t="s">
        <v>185</v>
      </c>
      <c r="O98" s="40" t="s">
        <v>165</v>
      </c>
      <c r="P98" s="40" t="s">
        <v>182</v>
      </c>
      <c r="Q98" s="40" t="s">
        <v>183</v>
      </c>
      <c r="R98" s="40" t="s">
        <v>184</v>
      </c>
      <c r="S98" s="40" t="s">
        <v>185</v>
      </c>
    </row>
    <row r="99" spans="4:22" ht="20.100000000000001" customHeight="1" x14ac:dyDescent="0.25">
      <c r="D99" s="53">
        <f>INDEX(X_Table_Dairy_Liveweight_Method1,2,2)</f>
        <v>550</v>
      </c>
      <c r="E99" s="53">
        <f>INDEX(X_Table_Dairy_Liveweight_Method1,2,3)</f>
        <v>0</v>
      </c>
      <c r="F99" s="53">
        <f>INDEX(X_Table_Dairy_Liveweight_Method1,2,4)</f>
        <v>0</v>
      </c>
      <c r="G99" s="53">
        <f>INDEX(X_Table_Dairy_Liveweight_Method1,2,5)</f>
        <v>0</v>
      </c>
      <c r="H99" s="53">
        <f>INDEX(X_Table_Dairy_Liveweight_Method1,2,6)</f>
        <v>0</v>
      </c>
      <c r="I99" s="2" t="s">
        <v>187</v>
      </c>
      <c r="J99" s="2"/>
      <c r="K99" s="2"/>
      <c r="O99" s="53">
        <f>INDEX(X_Table_Dairy_Liveweight_Method2,2,2)</f>
        <v>550</v>
      </c>
      <c r="P99" s="53">
        <f>INDEX(X_Table_Dairy_Liveweight_Method2,2,3)</f>
        <v>0</v>
      </c>
      <c r="Q99" s="53">
        <f>INDEX(X_Table_Dairy_Liveweight_Method2,2,4)</f>
        <v>0</v>
      </c>
      <c r="R99" s="53">
        <f>INDEX(X_Table_Dairy_Liveweight_Method2,2,5)</f>
        <v>0</v>
      </c>
      <c r="S99" s="53">
        <f>INDEX(X_Table_Dairy_Liveweight_Method2,2,6)</f>
        <v>0</v>
      </c>
      <c r="T99" s="2" t="s">
        <v>187</v>
      </c>
      <c r="U99" s="2"/>
      <c r="V99" s="2"/>
    </row>
    <row r="100" spans="4:22" ht="20.100000000000001" customHeight="1" x14ac:dyDescent="0.25"/>
    <row r="101" spans="4:22" ht="20.100000000000001" customHeight="1" x14ac:dyDescent="0.25">
      <c r="D101" s="100" t="s">
        <v>212</v>
      </c>
      <c r="O101" s="100" t="s">
        <v>214</v>
      </c>
    </row>
    <row r="102" spans="4:22" ht="20.100000000000001" customHeight="1" x14ac:dyDescent="0.25">
      <c r="D102" s="99" t="s">
        <v>213</v>
      </c>
      <c r="O102" s="99" t="s">
        <v>215</v>
      </c>
    </row>
    <row r="103" spans="4:22" ht="20.100000000000001" customHeight="1" x14ac:dyDescent="0.25">
      <c r="D103" s="40" t="s">
        <v>165</v>
      </c>
      <c r="E103" s="40" t="s">
        <v>182</v>
      </c>
      <c r="F103" s="40" t="s">
        <v>183</v>
      </c>
      <c r="G103" s="40" t="s">
        <v>184</v>
      </c>
      <c r="H103" s="40" t="s">
        <v>185</v>
      </c>
      <c r="O103" s="40" t="s">
        <v>165</v>
      </c>
      <c r="P103" s="40" t="s">
        <v>182</v>
      </c>
      <c r="Q103" s="40" t="s">
        <v>183</v>
      </c>
      <c r="R103" s="40" t="s">
        <v>184</v>
      </c>
      <c r="S103" s="40" t="s">
        <v>185</v>
      </c>
    </row>
    <row r="104" spans="4:22" ht="20.100000000000001" customHeight="1" x14ac:dyDescent="0.25">
      <c r="D104" s="53">
        <f>INDEX(X_Table_Dairy_Liveweight_Method1,3,2)</f>
        <v>1.6E-2</v>
      </c>
      <c r="E104" s="53">
        <f>INDEX(X_Table_Dairy_Liveweight_Method1,3,3)</f>
        <v>0</v>
      </c>
      <c r="F104" s="53">
        <f>INDEX(X_Table_Dairy_Liveweight_Method1,3,4)</f>
        <v>0</v>
      </c>
      <c r="G104" s="53">
        <f>INDEX(X_Table_Dairy_Liveweight_Method1,3,5)</f>
        <v>0</v>
      </c>
      <c r="H104" s="53">
        <f>INDEX(X_Table_Dairy_Liveweight_Method1,3,6)</f>
        <v>0</v>
      </c>
      <c r="I104" s="2" t="s">
        <v>188</v>
      </c>
      <c r="J104" s="2"/>
      <c r="K104" s="2"/>
      <c r="O104" s="53">
        <f>INDEX(X_Table_Dairy_Liveweight_Method2,3,2)</f>
        <v>1.6E-2</v>
      </c>
      <c r="P104" s="53">
        <f>INDEX(X_Table_Dairy_Liveweight_Method2,3,3)</f>
        <v>0</v>
      </c>
      <c r="Q104" s="53">
        <f>INDEX(X_Table_Dairy_Liveweight_Method2,3,4)</f>
        <v>0</v>
      </c>
      <c r="R104" s="53">
        <f>INDEX(X_Table_Dairy_Liveweight_Method2,3,5)</f>
        <v>0</v>
      </c>
      <c r="S104" s="53">
        <f>INDEX(X_Table_Dairy_Liveweight_Method2,3,6)</f>
        <v>0</v>
      </c>
      <c r="T104" s="2" t="s">
        <v>188</v>
      </c>
      <c r="U104" s="2"/>
      <c r="V104" s="2"/>
    </row>
    <row r="105" spans="4:22" ht="20.100000000000001" customHeight="1" x14ac:dyDescent="0.25"/>
    <row r="106" spans="4:22" ht="20.100000000000001" customHeight="1" x14ac:dyDescent="0.25">
      <c r="D106" s="100" t="s">
        <v>216</v>
      </c>
    </row>
    <row r="107" spans="4:22" ht="20.100000000000001" customHeight="1" x14ac:dyDescent="0.25">
      <c r="D107" s="99" t="s">
        <v>217</v>
      </c>
    </row>
    <row r="108" spans="4:22" ht="20.100000000000001" customHeight="1" x14ac:dyDescent="0.25">
      <c r="D108" s="52" t="s">
        <v>165</v>
      </c>
      <c r="E108" s="52" t="s">
        <v>182</v>
      </c>
      <c r="F108" s="52" t="s">
        <v>183</v>
      </c>
      <c r="G108" s="52" t="s">
        <v>184</v>
      </c>
      <c r="H108" s="52" t="s">
        <v>185</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93</v>
      </c>
      <c r="J109" s="2"/>
      <c r="K109" s="2"/>
    </row>
    <row r="110" spans="4:22" ht="20.100000000000001" customHeight="1" x14ac:dyDescent="0.25"/>
    <row r="111" spans="4:22" ht="20.100000000000001" customHeight="1" x14ac:dyDescent="0.25">
      <c r="D111" s="100" t="s">
        <v>105</v>
      </c>
      <c r="O111" s="100" t="s">
        <v>107</v>
      </c>
    </row>
    <row r="112" spans="4:22" ht="20.100000000000001" customHeight="1" x14ac:dyDescent="0.25">
      <c r="D112" s="99" t="s">
        <v>231</v>
      </c>
      <c r="O112" s="99" t="s">
        <v>230</v>
      </c>
    </row>
    <row r="113" spans="3:23" ht="20.100000000000001" customHeight="1" x14ac:dyDescent="0.25">
      <c r="D113" s="52" t="s">
        <v>165</v>
      </c>
      <c r="E113" s="52" t="s">
        <v>182</v>
      </c>
      <c r="F113" s="52" t="s">
        <v>183</v>
      </c>
      <c r="G113" s="52" t="s">
        <v>184</v>
      </c>
      <c r="H113" s="52" t="s">
        <v>185</v>
      </c>
      <c r="O113" s="52" t="s">
        <v>165</v>
      </c>
      <c r="P113" s="52" t="s">
        <v>182</v>
      </c>
      <c r="Q113" s="52" t="s">
        <v>183</v>
      </c>
      <c r="R113" s="52" t="s">
        <v>184</v>
      </c>
      <c r="S113" s="52" t="s">
        <v>185</v>
      </c>
    </row>
    <row r="114" spans="3:23" ht="20.100000000000001" customHeight="1" x14ac:dyDescent="0.25">
      <c r="D114" s="53" cm="1">
        <f t="array" ref="D114">EntericMethane_Dairy_Equations.VEERG_3_3_1_1__3_DryMatterFeedIntake(D99,D104,D109,D79)</f>
        <v>17.875018156751189</v>
      </c>
      <c r="E114" s="53" cm="1">
        <f t="array" ref="E114">EntericMethane_Dairy_Equations.VEERG_3_3_1_1__3_DryMatterFeedIntake(E99,E104,E109,E79)</f>
        <v>1.4042250000000001</v>
      </c>
      <c r="F114" s="53" cm="1">
        <f t="array" ref="F114">EntericMethane_Dairy_Equations.VEERG_3_3_1_1__3_DryMatterFeedIntake(F99,F104,F109,F79)</f>
        <v>1.4042250000000001</v>
      </c>
      <c r="G114" s="53" cm="1">
        <f t="array" ref="G114">EntericMethane_Dairy_Equations.VEERG_3_3_1_1__3_DryMatterFeedIntake(G99,G104,G109,G79)</f>
        <v>1.4042250000000001</v>
      </c>
      <c r="H114" s="53" cm="1">
        <f t="array" ref="H114">EntericMethane_Dairy_Equations.VEERG_3_3_1_1__3_DryMatterFeedIntake(H99,H104,H109,H79)</f>
        <v>1.4042250000000001</v>
      </c>
      <c r="I114" s="2" t="str">
        <f>$E$89</f>
        <v>kg DM/head/day</v>
      </c>
      <c r="J114" s="2"/>
      <c r="K114" s="2"/>
      <c r="O114" s="53" cm="1">
        <f t="array" ref="O114">EntericMethane_Dairy_Equations.VEERG_3_3_1_1__3_DryMatterFeedIntake(O99,O104,D109,O79)</f>
        <v>17.875018156751189</v>
      </c>
      <c r="P114" s="53" cm="1">
        <f t="array" ref="P114">EntericMethane_Dairy_Equations.VEERG_3_3_1_1__3_DryMatterFeedIntake(P99,P104,E109,P79)</f>
        <v>1.4042250000000001</v>
      </c>
      <c r="Q114" s="53" cm="1">
        <f t="array" ref="Q114">EntericMethane_Dairy_Equations.VEERG_3_3_1_1__3_DryMatterFeedIntake(Q99,Q104,F109,Q79)</f>
        <v>1.4042250000000001</v>
      </c>
      <c r="R114" s="53" cm="1">
        <f t="array" ref="R114">EntericMethane_Dairy_Equations.VEERG_3_3_1_1__3_DryMatterFeedIntake(R99,R104,G109,R79)</f>
        <v>1.4042250000000001</v>
      </c>
      <c r="S114" s="53" cm="1">
        <f t="array" ref="S114">EntericMethane_Dairy_Equations.VEERG_3_3_1_1__3_DryMatterFeedIntake(S99,S104,H109,S79)</f>
        <v>1.4042250000000001</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118</v>
      </c>
      <c r="O130" s="100" t="s">
        <v>121</v>
      </c>
    </row>
    <row r="131" spans="3:23" ht="20.100000000000001" customHeight="1" x14ac:dyDescent="0.25">
      <c r="D131" s="99" t="s">
        <v>232</v>
      </c>
      <c r="O131" s="99" t="s">
        <v>233</v>
      </c>
    </row>
    <row r="132" spans="3:23" ht="20.100000000000001" customHeight="1" x14ac:dyDescent="0.25">
      <c r="D132" s="52" t="s">
        <v>165</v>
      </c>
      <c r="E132" s="52" t="s">
        <v>182</v>
      </c>
      <c r="F132" s="52" t="s">
        <v>183</v>
      </c>
      <c r="G132" s="52" t="s">
        <v>184</v>
      </c>
      <c r="H132" s="52" t="s">
        <v>185</v>
      </c>
      <c r="O132" s="52" t="s">
        <v>165</v>
      </c>
      <c r="P132" s="52" t="s">
        <v>182</v>
      </c>
      <c r="Q132" s="52" t="s">
        <v>183</v>
      </c>
      <c r="R132" s="52" t="s">
        <v>184</v>
      </c>
      <c r="S132" s="52" t="s">
        <v>185</v>
      </c>
    </row>
    <row r="133" spans="3:23" ht="20.100000000000001" customHeight="1" x14ac:dyDescent="0.25">
      <c r="D133" s="53" cm="1">
        <f t="array" ref="D133">MMS_Dairy_Methane_Equations.VEERG_4_3_1_1__3_VolatileSolidsForWeanedDairyCattle(D114,D19,$I$128)</f>
        <v>4.7690548442212171</v>
      </c>
      <c r="E133" s="53" cm="1">
        <f t="array" ref="E133">MMS_Dairy_Methane_Equations.VEERG_4_3_1_1__3_VolatileSolidsForWeanedDairyCattle(E114,E19,$I$128)</f>
        <v>1.3435624800000001</v>
      </c>
      <c r="F133" s="53" cm="1">
        <f t="array" ref="F133">MMS_Dairy_Methane_Equations.VEERG_4_3_1_1__3_VolatileSolidsForWeanedDairyCattle(F114,F19,$I$128)</f>
        <v>1.3435624800000001</v>
      </c>
      <c r="G133" s="53" cm="1">
        <f t="array" ref="G133">MMS_Dairy_Methane_Equations.VEERG_4_3_1_1__3_VolatileSolidsForWeanedDairyCattle(G114,G19,$I$128)</f>
        <v>1.3435624800000001</v>
      </c>
      <c r="H133" s="53" cm="1">
        <f t="array" ref="H133">MMS_Dairy_Methane_Equations.VEERG_4_3_1_1__3_VolatileSolidsForWeanedDairyCattle(H114,H19,$I$128)</f>
        <v>1.3435624800000001</v>
      </c>
      <c r="I133" s="2" t="str">
        <f>$E$124</f>
        <v>kg/head/day</v>
      </c>
      <c r="O133" s="53" cm="1">
        <f t="array" ref="O133">MMS_Dairy_Methane_Equations.VEERG_4_3_1_1__3_VolatileSolidsForWeanedDairyCattle(O114,O19,$I$128)</f>
        <v>4.7690548442212171</v>
      </c>
      <c r="P133" s="53" cm="1">
        <f t="array" ref="P133">MMS_Dairy_Methane_Equations.VEERG_4_3_1_1__3_VolatileSolidsForWeanedDairyCattle(P114,P19,$I$128)</f>
        <v>1.3435624800000001</v>
      </c>
      <c r="Q133" s="53" cm="1">
        <f t="array" ref="Q133">MMS_Dairy_Methane_Equations.VEERG_4_3_1_1__3_VolatileSolidsForWeanedDairyCattle(Q114,Q19,$I$128)</f>
        <v>1.3435624800000001</v>
      </c>
      <c r="R133" s="53" cm="1">
        <f t="array" ref="R133">MMS_Dairy_Methane_Equations.VEERG_4_3_1_1__3_VolatileSolidsForWeanedDairyCattle(R114,R19,$I$128)</f>
        <v>1.3435624800000001</v>
      </c>
      <c r="S133" s="53" cm="1">
        <f t="array" ref="S133">MMS_Dairy_Methane_Equations.VEERG_4_3_1_1__3_VolatileSolidsForWeanedDairyCattle(S114,S19,$I$128)</f>
        <v>1.3435624800000001</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238</v>
      </c>
      <c r="O148" s="100" t="s">
        <v>240</v>
      </c>
    </row>
    <row r="149" spans="4:22" ht="20.100000000000001" customHeight="1" x14ac:dyDescent="0.25">
      <c r="D149" s="99" t="s">
        <v>239</v>
      </c>
      <c r="O149" s="99" t="s">
        <v>241</v>
      </c>
    </row>
    <row r="150" spans="4:22" ht="20.100000000000001" customHeight="1" x14ac:dyDescent="0.25">
      <c r="D150" s="40" t="s">
        <v>140</v>
      </c>
      <c r="E150" s="40" t="s">
        <v>65</v>
      </c>
      <c r="F150" s="40" t="s">
        <v>165</v>
      </c>
      <c r="G150" s="40" t="s">
        <v>182</v>
      </c>
      <c r="H150" s="40" t="s">
        <v>183</v>
      </c>
      <c r="I150" s="40" t="s">
        <v>184</v>
      </c>
      <c r="J150" s="40" t="s">
        <v>185</v>
      </c>
      <c r="O150" s="40" t="s">
        <v>140</v>
      </c>
      <c r="P150" s="40" t="s">
        <v>65</v>
      </c>
      <c r="Q150" s="40" t="s">
        <v>165</v>
      </c>
      <c r="R150" s="40" t="s">
        <v>182</v>
      </c>
      <c r="S150" s="40" t="s">
        <v>183</v>
      </c>
      <c r="T150" s="40" t="s">
        <v>184</v>
      </c>
      <c r="U150" s="40" t="s">
        <v>185</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0.8</v>
      </c>
      <c r="G151" s="53">
        <f ca="1"/>
        <v>0</v>
      </c>
      <c r="H151" s="53">
        <f ca="1"/>
        <v>0</v>
      </c>
      <c r="I151" s="53">
        <f ca="1"/>
        <v>0</v>
      </c>
      <c r="J151" s="53">
        <f ca="1"/>
        <v>0</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0.8</v>
      </c>
      <c r="R151" s="53">
        <f ca="1"/>
        <v>0</v>
      </c>
      <c r="S151" s="53">
        <f ca="1"/>
        <v>0</v>
      </c>
      <c r="T151" s="53">
        <f ca="1"/>
        <v>0</v>
      </c>
      <c r="U151" s="53">
        <f ca="1"/>
        <v>0</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0.1</v>
      </c>
      <c r="G152" s="53">
        <f ca="1"/>
        <v>0</v>
      </c>
      <c r="H152" s="53">
        <f ca="1"/>
        <v>0</v>
      </c>
      <c r="I152" s="53">
        <f ca="1"/>
        <v>0</v>
      </c>
      <c r="J152" s="53">
        <f ca="1"/>
        <v>0</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0.1</v>
      </c>
      <c r="R152" s="53">
        <f ca="1"/>
        <v>0</v>
      </c>
      <c r="S152" s="53">
        <f ca="1"/>
        <v>0</v>
      </c>
      <c r="T152" s="53">
        <f ca="1"/>
        <v>0</v>
      </c>
      <c r="U152" s="53">
        <f ca="1"/>
        <v>0</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0</v>
      </c>
      <c r="G153" s="53">
        <f ca="1"/>
        <v>0</v>
      </c>
      <c r="H153" s="53">
        <f ca="1"/>
        <v>0</v>
      </c>
      <c r="I153" s="53">
        <f ca="1"/>
        <v>0</v>
      </c>
      <c r="J153" s="53">
        <f ca="1"/>
        <v>0</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0</v>
      </c>
      <c r="R153" s="53">
        <f ca="1"/>
        <v>0</v>
      </c>
      <c r="S153" s="53">
        <f ca="1"/>
        <v>0</v>
      </c>
      <c r="T153" s="53">
        <f ca="1"/>
        <v>0</v>
      </c>
      <c r="U153" s="53">
        <f ca="1"/>
        <v>0</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0</v>
      </c>
      <c r="G154" s="53">
        <f ca="1"/>
        <v>0</v>
      </c>
      <c r="H154" s="53">
        <f ca="1"/>
        <v>0</v>
      </c>
      <c r="I154" s="53">
        <f ca="1"/>
        <v>0</v>
      </c>
      <c r="J154" s="53">
        <f ca="1"/>
        <v>0</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0</v>
      </c>
      <c r="R154" s="53">
        <f ca="1"/>
        <v>0</v>
      </c>
      <c r="S154" s="53">
        <f ca="1"/>
        <v>0</v>
      </c>
      <c r="T154" s="53">
        <f ca="1"/>
        <v>0</v>
      </c>
      <c r="U154" s="53">
        <f ca="1"/>
        <v>0</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0</v>
      </c>
      <c r="G155" s="53">
        <f ca="1"/>
        <v>0</v>
      </c>
      <c r="H155" s="53">
        <f ca="1"/>
        <v>0</v>
      </c>
      <c r="I155" s="53">
        <f ca="1"/>
        <v>0</v>
      </c>
      <c r="J155" s="53">
        <f ca="1"/>
        <v>0</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0</v>
      </c>
      <c r="R155" s="53">
        <f ca="1"/>
        <v>0</v>
      </c>
      <c r="S155" s="53">
        <f ca="1"/>
        <v>0</v>
      </c>
      <c r="T155" s="53">
        <f ca="1"/>
        <v>0</v>
      </c>
      <c r="U155" s="53">
        <f ca="1"/>
        <v>0</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0</v>
      </c>
      <c r="G156" s="53">
        <f ca="1"/>
        <v>0</v>
      </c>
      <c r="H156" s="53">
        <f ca="1"/>
        <v>0</v>
      </c>
      <c r="I156" s="53">
        <f ca="1"/>
        <v>0</v>
      </c>
      <c r="J156" s="53">
        <f ca="1"/>
        <v>0</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0</v>
      </c>
      <c r="R156" s="53">
        <f ca="1"/>
        <v>0</v>
      </c>
      <c r="S156" s="53">
        <f ca="1"/>
        <v>0</v>
      </c>
      <c r="T156" s="53">
        <f ca="1"/>
        <v>0</v>
      </c>
      <c r="U156" s="53">
        <f ca="1"/>
        <v>0</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0</v>
      </c>
      <c r="G157" s="53">
        <f ca="1"/>
        <v>0</v>
      </c>
      <c r="H157" s="53">
        <f ca="1"/>
        <v>0</v>
      </c>
      <c r="I157" s="53">
        <f ca="1"/>
        <v>0</v>
      </c>
      <c r="J157" s="53">
        <f ca="1"/>
        <v>0</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0</v>
      </c>
      <c r="R157" s="53">
        <f ca="1"/>
        <v>0</v>
      </c>
      <c r="S157" s="53">
        <f ca="1"/>
        <v>0</v>
      </c>
      <c r="T157" s="53">
        <f ca="1"/>
        <v>0</v>
      </c>
      <c r="U157" s="53">
        <f ca="1"/>
        <v>0</v>
      </c>
      <c r="V157" s="2"/>
    </row>
    <row r="158" spans="4:22" ht="20.100000000000001" customHeight="1" x14ac:dyDescent="0.25"/>
    <row r="159" spans="4:22" ht="20.100000000000001" customHeight="1" x14ac:dyDescent="0.25">
      <c r="D159" s="100" t="s">
        <v>236</v>
      </c>
      <c r="O159" s="100" t="s">
        <v>242</v>
      </c>
    </row>
    <row r="160" spans="4:22" ht="20.100000000000001" customHeight="1" x14ac:dyDescent="0.25">
      <c r="D160" s="99" t="s">
        <v>245</v>
      </c>
      <c r="O160" s="99" t="s">
        <v>246</v>
      </c>
    </row>
    <row r="161" spans="4:22" ht="20.100000000000001" customHeight="1" x14ac:dyDescent="0.25">
      <c r="D161" s="40" t="s">
        <v>140</v>
      </c>
      <c r="E161" s="40" t="s">
        <v>65</v>
      </c>
      <c r="F161" s="40" t="s">
        <v>237</v>
      </c>
      <c r="O161" s="40" t="s">
        <v>140</v>
      </c>
      <c r="P161" s="40" t="s">
        <v>65</v>
      </c>
      <c r="Q161" s="40" t="s">
        <v>237</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v>
      </c>
      <c r="O163" s="53" t="str">
        <f>INDEX(X_Table_Dairy_ProductionSystems_Method1,3,1)</f>
        <v>Milking shed</v>
      </c>
      <c r="P163" s="53" t="str">
        <f>INDEX(X_Table_Dairy_Stage1MMS_1_AnaerobicLagoon,2,1)</f>
        <v>Anaerobic lagoon</v>
      </c>
      <c r="Q163" s="53">
        <f>X_Cell_Dairy_Stage1MMS_1_AnaerobicLagoon_AmountSeparated_Method2</f>
        <v>0</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v>
      </c>
      <c r="G164" s="2"/>
      <c r="O164" s="53" t="str">
        <f>INDEX(X_Table_Dairy_ProductionSystems_Method1,3,1)</f>
        <v>Milking shed</v>
      </c>
      <c r="P164" s="53" t="str">
        <f>INDEX(X_Table_Dairy_Stage1MMS_1_SumpAndDispersal,2,1)</f>
        <v>Sump and dispersal system</v>
      </c>
      <c r="Q164" s="53">
        <f>X_Cell_Dairy_Stage1MMS_1_SumpAndDispersal_AmountSeparated_Method2</f>
        <v>0</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v>
      </c>
      <c r="G165" s="2"/>
      <c r="O165" s="53" t="str">
        <f>INDEX(X_Table_Dairy_ProductionSystems_Method1,3,1)</f>
        <v>Milking shed</v>
      </c>
      <c r="P165" s="53" t="str">
        <f>INDEX(X_Table_Dairy_Stage1MMS_1_DrainsToPaddock,2,1)</f>
        <v>Drains to paddock</v>
      </c>
      <c r="Q165" s="53">
        <f>X_Cell_Dairy_Stage1MMS_1_DrainsToPaddock_AmountSeparated_Method2</f>
        <v>0</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v>
      </c>
      <c r="G167" s="2"/>
      <c r="O167" s="53" t="str">
        <f>INDEX(X_Table_Dairy_ProductionSystems_Method1,4,1)</f>
        <v>Feed pad</v>
      </c>
      <c r="P167" s="53" t="str">
        <f>INDEX(X_Table_Dairy_Stage1MMS_2_SumpAndDispersal,2,1)</f>
        <v>Sump and dispersal system</v>
      </c>
      <c r="Q167" s="53">
        <f>X_Cell_Dairy_Stage1MMS_2_SumpAndDispersal_AmountSeparated_Method2</f>
        <v>0</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v>
      </c>
      <c r="G168" s="2"/>
      <c r="O168" s="53" t="str">
        <f>INDEX(X_Table_Dairy_ProductionSystems_Method1,4,1)</f>
        <v>Feed pad</v>
      </c>
      <c r="P168" s="53" t="str">
        <f>INDEX(X_Table_Dairy_Stage1MMS_2_DrainsToPaddock,2,1)</f>
        <v>Drains to paddock</v>
      </c>
      <c r="Q168" s="53">
        <f>X_Cell_Dairy_Stage1MMS_2_DrainsToPaddock_AmountSeparated_Method2</f>
        <v>0</v>
      </c>
      <c r="R168" s="2"/>
    </row>
    <row r="169" spans="4:22" ht="20.100000000000001" customHeight="1" x14ac:dyDescent="0.25"/>
    <row r="170" spans="4:22" ht="20.100000000000001" customHeight="1" x14ac:dyDescent="0.25">
      <c r="D170" s="100" t="s">
        <v>235</v>
      </c>
      <c r="O170" s="100" t="s">
        <v>235</v>
      </c>
    </row>
    <row r="171" spans="4:22" ht="20.100000000000001" customHeight="1" x14ac:dyDescent="0.25">
      <c r="D171" s="99" t="s">
        <v>234</v>
      </c>
      <c r="O171" s="99" t="s">
        <v>446</v>
      </c>
    </row>
    <row r="172" spans="4:22" ht="20.100000000000001" customHeight="1" x14ac:dyDescent="0.25">
      <c r="D172" s="52" t="s">
        <v>140</v>
      </c>
      <c r="E172" s="52" t="s">
        <v>65</v>
      </c>
      <c r="F172" s="52" t="s">
        <v>165</v>
      </c>
      <c r="G172" s="52" t="s">
        <v>182</v>
      </c>
      <c r="H172" s="52" t="s">
        <v>183</v>
      </c>
      <c r="I172" s="52" t="s">
        <v>184</v>
      </c>
      <c r="J172" s="52" t="s">
        <v>185</v>
      </c>
      <c r="O172" s="52" t="s">
        <v>140</v>
      </c>
      <c r="P172" s="52" t="s">
        <v>65</v>
      </c>
      <c r="Q172" s="52" t="s">
        <v>165</v>
      </c>
      <c r="R172" s="52" t="s">
        <v>182</v>
      </c>
      <c r="S172" s="52" t="s">
        <v>183</v>
      </c>
      <c r="T172" s="52" t="s">
        <v>184</v>
      </c>
      <c r="U172" s="52" t="s">
        <v>185</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0.8</v>
      </c>
      <c r="G173" s="53" cm="1">
        <f t="array" aca="1" ref="G173" ca="1">MMS_Dairy_Methane_Equations.VEERG_4_3_1_1__4_FractionVolatileSolidsNotSolidStorage(G151,$F162)</f>
        <v>0</v>
      </c>
      <c r="H173" s="53" cm="1">
        <f t="array" aca="1" ref="H173" ca="1">MMS_Dairy_Methane_Equations.VEERG_4_3_1_1__4_FractionVolatileSolidsNotSolidStorage(H151,$F162)</f>
        <v>0</v>
      </c>
      <c r="I173" s="53" cm="1">
        <f t="array" aca="1" ref="I173" ca="1">MMS_Dairy_Methane_Equations.VEERG_4_3_1_1__4_FractionVolatileSolidsNotSolidStorage(I151,$F162)</f>
        <v>0</v>
      </c>
      <c r="J173" s="53" cm="1">
        <f t="array" aca="1" ref="J173" ca="1">MMS_Dairy_Methane_Equations.VEERG_4_3_1_1__4_FractionVolatileSolidsNotSolidStorage(J151,$F162)</f>
        <v>0</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0.8</v>
      </c>
      <c r="R173" s="53" cm="1">
        <f t="array" aca="1" ref="R173" ca="1">MMS_Dairy_Methane_Equations.VEERG_4_3_1_1__4_FractionVolatileSolidsNotSolidStorage(R151,$Q162)</f>
        <v>0</v>
      </c>
      <c r="S173" s="53" cm="1">
        <f t="array" aca="1" ref="S173" ca="1">MMS_Dairy_Methane_Equations.VEERG_4_3_1_1__4_FractionVolatileSolidsNotSolidStorage(S151,$Q162)</f>
        <v>0</v>
      </c>
      <c r="T173" s="53" cm="1">
        <f t="array" aca="1" ref="T173" ca="1">MMS_Dairy_Methane_Equations.VEERG_4_3_1_1__4_FractionVolatileSolidsNotSolidStorage(T151,$Q162)</f>
        <v>0</v>
      </c>
      <c r="U173" s="53" cm="1">
        <f t="array" aca="1" ref="U173" ca="1">MMS_Dairy_Methane_Equations.VEERG_4_3_1_1__4_FractionVolatileSolidsNotSolidStorage(U151,$Q162)</f>
        <v>0</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0.1</v>
      </c>
      <c r="G174" s="53" cm="1">
        <f t="array" aca="1" ref="G174" ca="1">MMS_Dairy_Methane_Equations.VEERG_4_3_1_1__4_FractionVolatileSolidsNotSolidStorage(G152,$F163)</f>
        <v>0</v>
      </c>
      <c r="H174" s="53" cm="1">
        <f t="array" aca="1" ref="H174" ca="1">MMS_Dairy_Methane_Equations.VEERG_4_3_1_1__4_FractionVolatileSolidsNotSolidStorage(H152,$F163)</f>
        <v>0</v>
      </c>
      <c r="I174" s="53" cm="1">
        <f t="array" aca="1" ref="I174" ca="1">MMS_Dairy_Methane_Equations.VEERG_4_3_1_1__4_FractionVolatileSolidsNotSolidStorage(I152,$F163)</f>
        <v>0</v>
      </c>
      <c r="J174" s="53" cm="1">
        <f t="array" aca="1" ref="J174" ca="1">MMS_Dairy_Methane_Equations.VEERG_4_3_1_1__4_FractionVolatileSolidsNotSolidStorage(J152,$F163)</f>
        <v>0</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0.1</v>
      </c>
      <c r="R174" s="53" cm="1">
        <f t="array" aca="1" ref="R174" ca="1">MMS_Dairy_Methane_Equations.VEERG_4_3_1_1__4_FractionVolatileSolidsNotSolidStorage(R152,$Q163)</f>
        <v>0</v>
      </c>
      <c r="S174" s="53" cm="1">
        <f t="array" aca="1" ref="S174" ca="1">MMS_Dairy_Methane_Equations.VEERG_4_3_1_1__4_FractionVolatileSolidsNotSolidStorage(S152,$Q163)</f>
        <v>0</v>
      </c>
      <c r="T174" s="53" cm="1">
        <f t="array" aca="1" ref="T174" ca="1">MMS_Dairy_Methane_Equations.VEERG_4_3_1_1__4_FractionVolatileSolidsNotSolidStorage(T152,$Q163)</f>
        <v>0</v>
      </c>
      <c r="U174" s="53" cm="1">
        <f t="array" aca="1" ref="U174" ca="1">MMS_Dairy_Methane_Equations.VEERG_4_3_1_1__4_FractionVolatileSolidsNotSolidStorage(U152,$Q163)</f>
        <v>0</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0</v>
      </c>
      <c r="G175" s="53" cm="1">
        <f t="array" aca="1" ref="G175" ca="1">MMS_Dairy_Methane_Equations.VEERG_4_3_1_1__4_FractionVolatileSolidsNotSolidStorage(G153,$F164)</f>
        <v>0</v>
      </c>
      <c r="H175" s="53" cm="1">
        <f t="array" aca="1" ref="H175" ca="1">MMS_Dairy_Methane_Equations.VEERG_4_3_1_1__4_FractionVolatileSolidsNotSolidStorage(H153,$F164)</f>
        <v>0</v>
      </c>
      <c r="I175" s="53" cm="1">
        <f t="array" aca="1" ref="I175" ca="1">MMS_Dairy_Methane_Equations.VEERG_4_3_1_1__4_FractionVolatileSolidsNotSolidStorage(I153,$F164)</f>
        <v>0</v>
      </c>
      <c r="J175" s="53" cm="1">
        <f t="array" aca="1" ref="J175" ca="1">MMS_Dairy_Methane_Equations.VEERG_4_3_1_1__4_FractionVolatileSolidsNotSolidStorage(J153,$F164)</f>
        <v>0</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0</v>
      </c>
      <c r="R175" s="53" cm="1">
        <f t="array" aca="1" ref="R175" ca="1">MMS_Dairy_Methane_Equations.VEERG_4_3_1_1__4_FractionVolatileSolidsNotSolidStorage(R153,$Q164)</f>
        <v>0</v>
      </c>
      <c r="S175" s="53" cm="1">
        <f t="array" aca="1" ref="S175" ca="1">MMS_Dairy_Methane_Equations.VEERG_4_3_1_1__4_FractionVolatileSolidsNotSolidStorage(S153,$Q164)</f>
        <v>0</v>
      </c>
      <c r="T175" s="53" cm="1">
        <f t="array" aca="1" ref="T175" ca="1">MMS_Dairy_Methane_Equations.VEERG_4_3_1_1__4_FractionVolatileSolidsNotSolidStorage(T153,$Q164)</f>
        <v>0</v>
      </c>
      <c r="U175" s="53" cm="1">
        <f t="array" aca="1" ref="U175" ca="1">MMS_Dairy_Methane_Equations.VEERG_4_3_1_1__4_FractionVolatileSolidsNotSolidStorage(U153,$Q164)</f>
        <v>0</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0</v>
      </c>
      <c r="G176" s="53" cm="1">
        <f t="array" aca="1" ref="G176" ca="1">MMS_Dairy_Methane_Equations.VEERG_4_3_1_1__4_FractionVolatileSolidsNotSolidStorage(G154,$F165)</f>
        <v>0</v>
      </c>
      <c r="H176" s="53" cm="1">
        <f t="array" aca="1" ref="H176" ca="1">MMS_Dairy_Methane_Equations.VEERG_4_3_1_1__4_FractionVolatileSolidsNotSolidStorage(H154,$F165)</f>
        <v>0</v>
      </c>
      <c r="I176" s="53" cm="1">
        <f t="array" aca="1" ref="I176" ca="1">MMS_Dairy_Methane_Equations.VEERG_4_3_1_1__4_FractionVolatileSolidsNotSolidStorage(I154,$F165)</f>
        <v>0</v>
      </c>
      <c r="J176" s="53" cm="1">
        <f t="array" aca="1" ref="J176" ca="1">MMS_Dairy_Methane_Equations.VEERG_4_3_1_1__4_FractionVolatileSolidsNotSolidStorage(J154,$F165)</f>
        <v>0</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0</v>
      </c>
      <c r="R176" s="53" cm="1">
        <f t="array" aca="1" ref="R176" ca="1">MMS_Dairy_Methane_Equations.VEERG_4_3_1_1__4_FractionVolatileSolidsNotSolidStorage(R154,$Q165)</f>
        <v>0</v>
      </c>
      <c r="S176" s="53" cm="1">
        <f t="array" aca="1" ref="S176" ca="1">MMS_Dairy_Methane_Equations.VEERG_4_3_1_1__4_FractionVolatileSolidsNotSolidStorage(S154,$Q165)</f>
        <v>0</v>
      </c>
      <c r="T176" s="53" cm="1">
        <f t="array" aca="1" ref="T176" ca="1">MMS_Dairy_Methane_Equations.VEERG_4_3_1_1__4_FractionVolatileSolidsNotSolidStorage(T154,$Q165)</f>
        <v>0</v>
      </c>
      <c r="U176" s="53" cm="1">
        <f t="array" aca="1" ref="U176" ca="1">MMS_Dairy_Methane_Equations.VEERG_4_3_1_1__4_FractionVolatileSolidsNotSolidStorage(U154,$Q165)</f>
        <v>0</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0</v>
      </c>
      <c r="G177" s="53" cm="1">
        <f t="array" aca="1" ref="G177" ca="1">MMS_Dairy_Methane_Equations.VEERG_4_3_1_1__4_FractionVolatileSolidsNotSolidStorage(G155,$F166)</f>
        <v>0</v>
      </c>
      <c r="H177" s="53" cm="1">
        <f t="array" aca="1" ref="H177" ca="1">MMS_Dairy_Methane_Equations.VEERG_4_3_1_1__4_FractionVolatileSolidsNotSolidStorage(H155,$F166)</f>
        <v>0</v>
      </c>
      <c r="I177" s="53" cm="1">
        <f t="array" aca="1" ref="I177" ca="1">MMS_Dairy_Methane_Equations.VEERG_4_3_1_1__4_FractionVolatileSolidsNotSolidStorage(I155,$F166)</f>
        <v>0</v>
      </c>
      <c r="J177" s="53" cm="1">
        <f t="array" aca="1" ref="J177" ca="1">MMS_Dairy_Methane_Equations.VEERG_4_3_1_1__4_FractionVolatileSolidsNotSolidStorage(J155,$F166)</f>
        <v>0</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0</v>
      </c>
      <c r="R177" s="53" cm="1">
        <f t="array" aca="1" ref="R177" ca="1">MMS_Dairy_Methane_Equations.VEERG_4_3_1_1__4_FractionVolatileSolidsNotSolidStorage(R155,$Q166)</f>
        <v>0</v>
      </c>
      <c r="S177" s="53" cm="1">
        <f t="array" aca="1" ref="S177" ca="1">MMS_Dairy_Methane_Equations.VEERG_4_3_1_1__4_FractionVolatileSolidsNotSolidStorage(S155,$Q166)</f>
        <v>0</v>
      </c>
      <c r="T177" s="53" cm="1">
        <f t="array" aca="1" ref="T177" ca="1">MMS_Dairy_Methane_Equations.VEERG_4_3_1_1__4_FractionVolatileSolidsNotSolidStorage(T155,$Q166)</f>
        <v>0</v>
      </c>
      <c r="U177" s="53" cm="1">
        <f t="array" aca="1" ref="U177" ca="1">MMS_Dairy_Methane_Equations.VEERG_4_3_1_1__4_FractionVolatileSolidsNotSolidStorage(U155,$Q166)</f>
        <v>0</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0</v>
      </c>
      <c r="G178" s="53" cm="1">
        <f t="array" aca="1" ref="G178" ca="1">MMS_Dairy_Methane_Equations.VEERG_4_3_1_1__4_FractionVolatileSolidsNotSolidStorage(G156,$F167)</f>
        <v>0</v>
      </c>
      <c r="H178" s="53" cm="1">
        <f t="array" aca="1" ref="H178" ca="1">MMS_Dairy_Methane_Equations.VEERG_4_3_1_1__4_FractionVolatileSolidsNotSolidStorage(H156,$F167)</f>
        <v>0</v>
      </c>
      <c r="I178" s="53" cm="1">
        <f t="array" aca="1" ref="I178" ca="1">MMS_Dairy_Methane_Equations.VEERG_4_3_1_1__4_FractionVolatileSolidsNotSolidStorage(I156,$F167)</f>
        <v>0</v>
      </c>
      <c r="J178" s="53" cm="1">
        <f t="array" aca="1" ref="J178" ca="1">MMS_Dairy_Methane_Equations.VEERG_4_3_1_1__4_FractionVolatileSolidsNotSolidStorage(J156,$F167)</f>
        <v>0</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0</v>
      </c>
      <c r="R178" s="53" cm="1">
        <f t="array" aca="1" ref="R178" ca="1">MMS_Dairy_Methane_Equations.VEERG_4_3_1_1__4_FractionVolatileSolidsNotSolidStorage(R156,$Q167)</f>
        <v>0</v>
      </c>
      <c r="S178" s="53" cm="1">
        <f t="array" aca="1" ref="S178" ca="1">MMS_Dairy_Methane_Equations.VEERG_4_3_1_1__4_FractionVolatileSolidsNotSolidStorage(S156,$Q167)</f>
        <v>0</v>
      </c>
      <c r="T178" s="53" cm="1">
        <f t="array" aca="1" ref="T178" ca="1">MMS_Dairy_Methane_Equations.VEERG_4_3_1_1__4_FractionVolatileSolidsNotSolidStorage(T156,$Q167)</f>
        <v>0</v>
      </c>
      <c r="U178" s="53" cm="1">
        <f t="array" aca="1" ref="U178" ca="1">MMS_Dairy_Methane_Equations.VEERG_4_3_1_1__4_FractionVolatileSolidsNotSolidStorage(U156,$Q167)</f>
        <v>0</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0</v>
      </c>
      <c r="G179" s="53" cm="1">
        <f t="array" aca="1" ref="G179" ca="1">MMS_Dairy_Methane_Equations.VEERG_4_3_1_1__4_FractionVolatileSolidsNotSolidStorage(G157,$F168)</f>
        <v>0</v>
      </c>
      <c r="H179" s="53" cm="1">
        <f t="array" aca="1" ref="H179" ca="1">MMS_Dairy_Methane_Equations.VEERG_4_3_1_1__4_FractionVolatileSolidsNotSolidStorage(H157,$F168)</f>
        <v>0</v>
      </c>
      <c r="I179" s="53" cm="1">
        <f t="array" aca="1" ref="I179" ca="1">MMS_Dairy_Methane_Equations.VEERG_4_3_1_1__4_FractionVolatileSolidsNotSolidStorage(I157,$F168)</f>
        <v>0</v>
      </c>
      <c r="J179" s="53" cm="1">
        <f t="array" aca="1" ref="J179" ca="1">MMS_Dairy_Methane_Equations.VEERG_4_3_1_1__4_FractionVolatileSolidsNotSolidStorage(J157,$F168)</f>
        <v>0</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0</v>
      </c>
      <c r="R179" s="53" cm="1">
        <f t="array" aca="1" ref="R179" ca="1">MMS_Dairy_Methane_Equations.VEERG_4_3_1_1__4_FractionVolatileSolidsNotSolidStorage(R157,$Q168)</f>
        <v>0</v>
      </c>
      <c r="S179" s="53" cm="1">
        <f t="array" aca="1" ref="S179" ca="1">MMS_Dairy_Methane_Equations.VEERG_4_3_1_1__4_FractionVolatileSolidsNotSolidStorage(S157,$Q168)</f>
        <v>0</v>
      </c>
      <c r="T179" s="53" cm="1">
        <f t="array" aca="1" ref="T179" ca="1">MMS_Dairy_Methane_Equations.VEERG_4_3_1_1__4_FractionVolatileSolidsNotSolidStorage(T157,$Q168)</f>
        <v>0</v>
      </c>
      <c r="U179" s="53" cm="1">
        <f t="array" aca="1" ref="U179" ca="1">MMS_Dairy_Methane_Equations.VEERG_4_3_1_1__4_FractionVolatileSolidsNotSolidStorage(U157,$Q168)</f>
        <v>0</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243</v>
      </c>
      <c r="O196" s="100" t="s">
        <v>249</v>
      </c>
    </row>
    <row r="197" spans="4:22" ht="20.100000000000001" customHeight="1" x14ac:dyDescent="0.25">
      <c r="D197" s="99" t="s">
        <v>244</v>
      </c>
      <c r="O197" s="99" t="s">
        <v>250</v>
      </c>
    </row>
    <row r="198" spans="4:22" ht="20.100000000000001" customHeight="1" x14ac:dyDescent="0.25">
      <c r="D198" s="40" t="s">
        <v>140</v>
      </c>
      <c r="E198" s="40" t="s">
        <v>65</v>
      </c>
      <c r="F198" s="40" t="s">
        <v>165</v>
      </c>
      <c r="G198" s="40" t="s">
        <v>182</v>
      </c>
      <c r="H198" s="40" t="s">
        <v>183</v>
      </c>
      <c r="I198" s="40" t="s">
        <v>184</v>
      </c>
      <c r="J198" s="40" t="s">
        <v>185</v>
      </c>
      <c r="O198" s="40" t="s">
        <v>140</v>
      </c>
      <c r="P198" s="40" t="s">
        <v>65</v>
      </c>
      <c r="Q198" s="40" t="s">
        <v>165</v>
      </c>
      <c r="R198" s="40" t="s">
        <v>182</v>
      </c>
      <c r="S198" s="40" t="s">
        <v>183</v>
      </c>
      <c r="T198" s="40" t="s">
        <v>184</v>
      </c>
      <c r="U198" s="40" t="s">
        <v>185</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0.1</v>
      </c>
      <c r="G199" s="53">
        <f ca="1"/>
        <v>0</v>
      </c>
      <c r="H199" s="53">
        <f ca="1"/>
        <v>0</v>
      </c>
      <c r="I199" s="53">
        <f ca="1"/>
        <v>0</v>
      </c>
      <c r="J199" s="53">
        <f ca="1"/>
        <v>0</v>
      </c>
      <c r="K199" s="2" t="s">
        <v>93</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0.1</v>
      </c>
      <c r="R199" s="53">
        <f ca="1"/>
        <v>0</v>
      </c>
      <c r="S199" s="53">
        <f ca="1"/>
        <v>0</v>
      </c>
      <c r="T199" s="53">
        <f ca="1"/>
        <v>0</v>
      </c>
      <c r="U199" s="53">
        <f ca="1"/>
        <v>0</v>
      </c>
      <c r="V199" s="2" t="s">
        <v>93</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0</v>
      </c>
      <c r="G200" s="53">
        <f ca="1"/>
        <v>0</v>
      </c>
      <c r="H200" s="53">
        <f ca="1"/>
        <v>0</v>
      </c>
      <c r="I200" s="53">
        <f ca="1"/>
        <v>0</v>
      </c>
      <c r="J200" s="53">
        <f ca="1"/>
        <v>0</v>
      </c>
      <c r="K200" s="2" t="s">
        <v>93</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0</v>
      </c>
      <c r="R200" s="53">
        <f ca="1"/>
        <v>0</v>
      </c>
      <c r="S200" s="53">
        <f ca="1"/>
        <v>0</v>
      </c>
      <c r="T200" s="53">
        <f ca="1"/>
        <v>0</v>
      </c>
      <c r="U200" s="53">
        <f ca="1"/>
        <v>0</v>
      </c>
      <c r="V200" s="2" t="s">
        <v>93</v>
      </c>
    </row>
    <row r="201" spans="4:22" ht="20.100000000000001" customHeight="1" x14ac:dyDescent="0.25"/>
    <row r="202" spans="4:22" ht="20.100000000000001" customHeight="1" x14ac:dyDescent="0.25">
      <c r="D202" s="100" t="s">
        <v>247</v>
      </c>
      <c r="O202" s="100" t="s">
        <v>251</v>
      </c>
    </row>
    <row r="203" spans="4:22" ht="20.100000000000001" customHeight="1" x14ac:dyDescent="0.25">
      <c r="D203" s="99" t="s">
        <v>248</v>
      </c>
      <c r="O203" s="99" t="s">
        <v>252</v>
      </c>
    </row>
    <row r="204" spans="4:22" ht="20.100000000000001" customHeight="1" x14ac:dyDescent="0.25">
      <c r="D204" s="52" t="s">
        <v>140</v>
      </c>
      <c r="E204" s="52" t="s">
        <v>65</v>
      </c>
      <c r="F204" s="52" t="s">
        <v>165</v>
      </c>
      <c r="G204" s="52" t="s">
        <v>182</v>
      </c>
      <c r="H204" s="52" t="s">
        <v>183</v>
      </c>
      <c r="I204" s="52" t="s">
        <v>184</v>
      </c>
      <c r="J204" s="52" t="s">
        <v>185</v>
      </c>
      <c r="O204" s="52" t="s">
        <v>140</v>
      </c>
      <c r="P204" s="52" t="s">
        <v>65</v>
      </c>
      <c r="Q204" s="52" t="s">
        <v>165</v>
      </c>
      <c r="R204" s="52" t="s">
        <v>182</v>
      </c>
      <c r="S204" s="52" t="s">
        <v>183</v>
      </c>
      <c r="T204" s="52" t="s">
        <v>184</v>
      </c>
      <c r="U204" s="52" t="s">
        <v>185</v>
      </c>
    </row>
    <row r="205" spans="4:22" ht="20.100000000000001" customHeight="1" x14ac:dyDescent="0.25">
      <c r="D205" s="53" t="str">
        <f>INDEX(X_Table_Dairy_ProductionSystems_Method1,3,1)</f>
        <v>Milking shed</v>
      </c>
      <c r="E205" s="53" t="s">
        <v>398</v>
      </c>
      <c r="F205" s="53" cm="1">
        <f t="array" aca="1" ref="F205" ca="1">MMS_Dairy_Methane_Equations.VEERG_4_3_1_1__5_FractionVolatileSolidsSolidStorageVariation(F199,F152,$F163,F153,$F164,F154,$F165)</f>
        <v>0.1</v>
      </c>
      <c r="G205" s="53" cm="1">
        <f t="array" aca="1" ref="G205" ca="1">MMS_Dairy_Methane_Equations.VEERG_4_3_1_1__5_FractionVolatileSolidsSolidStorageVariation(G199,G152,$F163,G153,$F164,G154,$F165)</f>
        <v>0</v>
      </c>
      <c r="H205" s="53" cm="1">
        <f t="array" aca="1" ref="H205" ca="1">MMS_Dairy_Methane_Equations.VEERG_4_3_1_1__5_FractionVolatileSolidsSolidStorageVariation(H199,H152,$F163,H153,$F164,H154,$F165)</f>
        <v>0</v>
      </c>
      <c r="I205" s="53" cm="1">
        <f t="array" aca="1" ref="I205" ca="1">MMS_Dairy_Methane_Equations.VEERG_4_3_1_1__5_FractionVolatileSolidsSolidStorageVariation(I199,I152,$F163,I153,$F164,I154,$F165)</f>
        <v>0</v>
      </c>
      <c r="J205" s="53" cm="1">
        <f t="array" aca="1" ref="J205" ca="1">MMS_Dairy_Methane_Equations.VEERG_4_3_1_1__5_FractionVolatileSolidsSolidStorageVariation(J199,J152,$F163,J153,$F164,J154,$F165)</f>
        <v>0</v>
      </c>
      <c r="K205" s="2" t="str">
        <f>$E$190</f>
        <v>fraction</v>
      </c>
      <c r="O205" s="53" t="str">
        <f>INDEX(X_Table_Dairy_ProductionSystems_Method1,3,1)</f>
        <v>Milking shed</v>
      </c>
      <c r="P205" s="53" t="s">
        <v>398</v>
      </c>
      <c r="Q205" s="53" cm="1">
        <f t="array" aca="1" ref="Q205" ca="1">MMS_Dairy_Methane_Equations.VEERG_4_3_1_1__5_FractionVolatileSolidsSolidStorageVariation(Q199,Q152,$Q163,Q153,$Q164,Q154,$Q165)</f>
        <v>0.1</v>
      </c>
      <c r="R205" s="53" cm="1">
        <f t="array" aca="1" ref="R205" ca="1">MMS_Dairy_Methane_Equations.VEERG_4_3_1_1__5_FractionVolatileSolidsSolidStorageVariation(R199,R152,$Q163,R153,$Q164,R154,$Q165)</f>
        <v>0</v>
      </c>
      <c r="S205" s="53" cm="1">
        <f t="array" aca="1" ref="S205" ca="1">MMS_Dairy_Methane_Equations.VEERG_4_3_1_1__5_FractionVolatileSolidsSolidStorageVariation(S199,S152,$Q163,S153,$Q164,S154,$Q165)</f>
        <v>0</v>
      </c>
      <c r="T205" s="53" cm="1">
        <f t="array" aca="1" ref="T205" ca="1">MMS_Dairy_Methane_Equations.VEERG_4_3_1_1__5_FractionVolatileSolidsSolidStorageVariation(T199,T152,$Q163,T153,$Q164,T154,$Q165)</f>
        <v>0</v>
      </c>
      <c r="U205" s="53" cm="1">
        <f t="array" aca="1" ref="U205" ca="1">MMS_Dairy_Methane_Equations.VEERG_4_3_1_1__5_FractionVolatileSolidsSolidStorageVariation(U199,U152,$Q163,U153,$Q164,U154,$Q165)</f>
        <v>0</v>
      </c>
      <c r="V205" s="2" t="str">
        <f>$E$190</f>
        <v>fraction</v>
      </c>
    </row>
    <row r="206" spans="4:22" ht="20.100000000000001" customHeight="1" x14ac:dyDescent="0.25">
      <c r="D206" s="53" t="str">
        <f>INDEX(X_Table_Dairy_ProductionSystems_Method1,4,1)</f>
        <v>Feed pad</v>
      </c>
      <c r="E206" s="53" t="s">
        <v>398</v>
      </c>
      <c r="F206" s="53" cm="1">
        <f t="array" aca="1" ref="F206" ca="1">MMS_Dairy_Methane_Equations.VEERG_4_3_1_1__5_FractionVolatileSolidsSolidStorageVariation(F200,F155,$F166,F156,$F167,F157,$F168)</f>
        <v>0</v>
      </c>
      <c r="G206" s="53" cm="1">
        <f t="array" aca="1" ref="G206" ca="1">MMS_Dairy_Methane_Equations.VEERG_4_3_1_1__5_FractionVolatileSolidsSolidStorageVariation(G200,G155,$F166,G156,$F167,G157,$F168)</f>
        <v>0</v>
      </c>
      <c r="H206" s="53" cm="1">
        <f t="array" aca="1" ref="H206" ca="1">MMS_Dairy_Methane_Equations.VEERG_4_3_1_1__5_FractionVolatileSolidsSolidStorageVariation(H200,H155,$F166,H156,$F167,H157,$F168)</f>
        <v>0</v>
      </c>
      <c r="I206" s="53" cm="1">
        <f t="array" aca="1" ref="I206" ca="1">MMS_Dairy_Methane_Equations.VEERG_4_3_1_1__5_FractionVolatileSolidsSolidStorageVariation(I200,I155,$F166,I156,$F167,I157,$F168)</f>
        <v>0</v>
      </c>
      <c r="J206" s="53" cm="1">
        <f t="array" aca="1" ref="J206" ca="1">MMS_Dairy_Methane_Equations.VEERG_4_3_1_1__5_FractionVolatileSolidsSolidStorageVariation(J200,J155,$F166,J156,$F167,J157,$F168)</f>
        <v>0</v>
      </c>
      <c r="K206" s="2" t="str">
        <f>$E$190</f>
        <v>fraction</v>
      </c>
      <c r="O206" s="53" t="str">
        <f>INDEX(X_Table_Dairy_ProductionSystems_Method1,4,1)</f>
        <v>Feed pad</v>
      </c>
      <c r="P206" s="53" t="s">
        <v>398</v>
      </c>
      <c r="Q206" s="53" cm="1">
        <f t="array" aca="1" ref="Q206" ca="1">MMS_Dairy_Methane_Equations.VEERG_4_3_1_1__5_FractionVolatileSolidsSolidStorageVariation(Q200,Q155,$Q166,Q156,$Q167,Q157,$Q168)</f>
        <v>0</v>
      </c>
      <c r="R206" s="53" cm="1">
        <f t="array" aca="1" ref="R206" ca="1">MMS_Dairy_Methane_Equations.VEERG_4_3_1_1__5_FractionVolatileSolidsSolidStorageVariation(R200,R155,$Q166,R156,$Q167,R157,$Q168)</f>
        <v>0</v>
      </c>
      <c r="S206" s="53" cm="1">
        <f t="array" aca="1" ref="S206" ca="1">MMS_Dairy_Methane_Equations.VEERG_4_3_1_1__5_FractionVolatileSolidsSolidStorageVariation(S200,S155,$Q166,S156,$Q167,S157,$Q168)</f>
        <v>0</v>
      </c>
      <c r="T206" s="53" cm="1">
        <f t="array" aca="1" ref="T206" ca="1">MMS_Dairy_Methane_Equations.VEERG_4_3_1_1__5_FractionVolatileSolidsSolidStorageVariation(T200,T155,$Q166,T156,$Q167,T157,$Q168)</f>
        <v>0</v>
      </c>
      <c r="U206" s="53" cm="1">
        <f t="array" aca="1" ref="U206" ca="1">MMS_Dairy_Methane_Equations.VEERG_4_3_1_1__5_FractionVolatileSolidsSolidStorageVariation(U200,U155,$Q166,U156,$Q167,U157,$Q168)</f>
        <v>0</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VIC</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253</v>
      </c>
      <c r="O225" s="124" t="s">
        <v>409</v>
      </c>
    </row>
    <row r="226" spans="4:22" ht="20.100000000000001" customHeight="1" x14ac:dyDescent="0.25">
      <c r="D226" s="125" t="s">
        <v>254</v>
      </c>
      <c r="O226" s="125" t="s">
        <v>410</v>
      </c>
    </row>
    <row r="227" spans="4:22" ht="20.100000000000001" customHeight="1" x14ac:dyDescent="0.25">
      <c r="D227" s="52" t="s">
        <v>65</v>
      </c>
      <c r="E227" s="52" t="s">
        <v>92</v>
      </c>
      <c r="O227" s="52" t="s">
        <v>65</v>
      </c>
      <c r="P227" s="52" t="s">
        <v>92</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411</v>
      </c>
      <c r="R228" s="22"/>
    </row>
    <row r="229" spans="4:22" ht="20.100000000000001" customHeight="1" x14ac:dyDescent="0.25">
      <c r="D229" s="58" t="str">
        <f>'Constants - Dairy'!$D$8</f>
        <v>Anaerobic lagoon</v>
      </c>
      <c r="E229" s="156" cm="1">
        <f t="array" ref="E229">CommonLivestock_InputFunctions.Livestock_LookupMCFState(D229,Table_SourceData_Dairy_MCFjm[NIR reference],$I$223,Table_SourceData_Dairy_MCFjm[#Headers],Table_SourceData_Dairy_MCFjm[])</f>
        <v>0.73</v>
      </c>
      <c r="F229" s="1" t="s">
        <v>470</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408</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0.17</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407</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255</v>
      </c>
      <c r="O234" s="124" t="s">
        <v>269</v>
      </c>
    </row>
    <row r="235" spans="4:22" ht="20.100000000000001" customHeight="1" x14ac:dyDescent="0.25">
      <c r="D235" s="125" t="s">
        <v>271</v>
      </c>
      <c r="O235" s="125" t="s">
        <v>270</v>
      </c>
    </row>
    <row r="236" spans="4:22" ht="20.100000000000001" customHeight="1" x14ac:dyDescent="0.25">
      <c r="D236" s="52" t="s">
        <v>140</v>
      </c>
      <c r="E236" s="52" t="s">
        <v>65</v>
      </c>
      <c r="F236" s="52" t="s">
        <v>165</v>
      </c>
      <c r="G236" s="52" t="s">
        <v>182</v>
      </c>
      <c r="H236" s="52" t="s">
        <v>183</v>
      </c>
      <c r="I236" s="52" t="s">
        <v>184</v>
      </c>
      <c r="J236" s="52" t="s">
        <v>185</v>
      </c>
      <c r="O236" s="52" t="s">
        <v>140</v>
      </c>
      <c r="P236" s="52" t="s">
        <v>65</v>
      </c>
      <c r="Q236" s="52" t="s">
        <v>165</v>
      </c>
      <c r="R236" s="52" t="s">
        <v>182</v>
      </c>
      <c r="S236" s="52" t="s">
        <v>183</v>
      </c>
      <c r="T236" s="52" t="s">
        <v>184</v>
      </c>
      <c r="U236" s="52" t="s">
        <v>185</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6.2118274681337736E-3</v>
      </c>
      <c r="G237" s="53" cm="1">
        <f t="array" aca="1" ref="G237" ca="1">MMS_Dairy_Methane_Equations.VEERG_4_3_1_1__2_MethaneFromManureProduction(E$133,G173,_xlfn.XLOOKUP($E237,$D$228:$D$232,$E$228:$E$232),$I$221,$I$222)</f>
        <v>0</v>
      </c>
      <c r="H237" s="53" cm="1">
        <f t="array" aca="1" ref="H237" ca="1">MMS_Dairy_Methane_Equations.VEERG_4_3_1_1__2_MethaneFromManureProduction(F$133,H173,_xlfn.XLOOKUP($E237,$D$228:$D$232,$E$228:$E$232),$I$221,$I$222)</f>
        <v>0</v>
      </c>
      <c r="I237" s="53" cm="1">
        <f t="array" aca="1" ref="I237" ca="1">MMS_Dairy_Methane_Equations.VEERG_4_3_1_1__2_MethaneFromManureProduction(G$133,I173,_xlfn.XLOOKUP($E237,$D$228:$D$232,$E$228:$E$232),$I$221,$I$222)</f>
        <v>0</v>
      </c>
      <c r="J237" s="53" cm="1">
        <f t="array" aca="1" ref="J237" ca="1">MMS_Dairy_Methane_Equations.VEERG_4_3_1_1__2_MethaneFromManureProduction(H$133,J173,_xlfn.XLOOKUP($E237,$D$228:$D$232,$E$228:$E$232),$I$221,$I$222)</f>
        <v>0</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6.2118274681337736E-3</v>
      </c>
      <c r="R237" s="53" cm="1">
        <f t="array" aca="1" ref="R237" ca="1">MMS_Dairy_Methane_Equations.VEERG_4_3_1_1__2_MethaneFromManureProduction(P$133,R173,_xlfn.XLOOKUP($P237,$O$228:$O$232,$P$228:$P$232),$I$221,$I$222)</f>
        <v>0</v>
      </c>
      <c r="S237" s="53" cm="1">
        <f t="array" aca="1" ref="S237" ca="1">MMS_Dairy_Methane_Equations.VEERG_4_3_1_1__2_MethaneFromManureProduction(Q$133,S173,_xlfn.XLOOKUP($P237,$O$228:$O$232,$P$228:$P$232),$I$221,$I$222)</f>
        <v>0</v>
      </c>
      <c r="T237" s="53" cm="1">
        <f t="array" aca="1" ref="T237" ca="1">MMS_Dairy_Methane_Equations.VEERG_4_3_1_1__2_MethaneFromManureProduction(R$133,T173,_xlfn.XLOOKUP($P237,$O$228:$O$232,$P$228:$P$232),$I$221,$I$222)</f>
        <v>0</v>
      </c>
      <c r="U237" s="53" cm="1">
        <f t="array" aca="1" ref="U237" ca="1">MMS_Dairy_Methane_Equations.VEERG_4_3_1_1__2_MethaneFromManureProduction(S$133,U173,_xlfn.XLOOKUP($P237,$O$228:$O$232,$P$228:$P$232),$I$221,$I$222)</f>
        <v>0</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5.6682925646720679E-2</v>
      </c>
      <c r="G238" s="53" cm="1">
        <f t="array" aca="1" ref="G238" ca="1">MMS_Dairy_Methane_Equations.VEERG_4_3_1_1__2_MethaneFromManureProduction(E$133,G174,_xlfn.XLOOKUP($E238,$D$228:$D$232,$E$228:$E$232),$I$221,$I$222)</f>
        <v>0</v>
      </c>
      <c r="H238" s="53" cm="1">
        <f t="array" aca="1" ref="H238" ca="1">MMS_Dairy_Methane_Equations.VEERG_4_3_1_1__2_MethaneFromManureProduction(F$133,H174,_xlfn.XLOOKUP($E238,$D$228:$D$232,$E$228:$E$232),$I$221,$I$222)</f>
        <v>0</v>
      </c>
      <c r="I238" s="53" cm="1">
        <f t="array" aca="1" ref="I238" ca="1">MMS_Dairy_Methane_Equations.VEERG_4_3_1_1__2_MethaneFromManureProduction(G$133,I174,_xlfn.XLOOKUP($E238,$D$228:$D$232,$E$228:$E$232),$I$221,$I$222)</f>
        <v>0</v>
      </c>
      <c r="J238" s="53" cm="1">
        <f t="array" aca="1" ref="J238" ca="1">MMS_Dairy_Methane_Equations.VEERG_4_3_1_1__2_MethaneFromManureProduction(H$133,J174,_xlfn.XLOOKUP($E238,$D$228:$D$232,$E$228:$E$232),$I$221,$I$222)</f>
        <v>0</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5.9788839380787571E-2</v>
      </c>
      <c r="R238" s="53" cm="1">
        <f t="array" aca="1" ref="R238" ca="1">MMS_Dairy_Methane_Equations.VEERG_4_3_1_1__2_MethaneFromManureProduction(P$133,R174,_xlfn.XLOOKUP($P238,$O$228:$O$232,$P$228:$P$232),$I$221,$I$222)</f>
        <v>0</v>
      </c>
      <c r="S238" s="53" cm="1">
        <f t="array" aca="1" ref="S238" ca="1">MMS_Dairy_Methane_Equations.VEERG_4_3_1_1__2_MethaneFromManureProduction(Q$133,S174,_xlfn.XLOOKUP($P238,$O$228:$O$232,$P$228:$P$232),$I$221,$I$222)</f>
        <v>0</v>
      </c>
      <c r="T238" s="53" cm="1">
        <f t="array" aca="1" ref="T238" ca="1">MMS_Dairy_Methane_Equations.VEERG_4_3_1_1__2_MethaneFromManureProduction(R$133,T174,_xlfn.XLOOKUP($P238,$O$228:$O$232,$P$228:$P$232),$I$221,$I$222)</f>
        <v>0</v>
      </c>
      <c r="U238" s="53" cm="1">
        <f t="array" aca="1" ref="U238" ca="1">MMS_Dairy_Methane_Equations.VEERG_4_3_1_1__2_MethaneFromManureProduction(S$133,U174,_xlfn.XLOOKUP($P238,$O$228:$O$232,$P$228:$P$232),$I$221,$I$222)</f>
        <v>0</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0</v>
      </c>
      <c r="G239" s="53" cm="1">
        <f t="array" aca="1" ref="G239" ca="1">MMS_Dairy_Methane_Equations.VEERG_4_3_1_1__2_MethaneFromManureProduction(E$133,G175,_xlfn.XLOOKUP($E239,$D$228:$D$232,$E$228:$E$232),$I$221,$I$222)</f>
        <v>0</v>
      </c>
      <c r="H239" s="53" cm="1">
        <f t="array" aca="1" ref="H239" ca="1">MMS_Dairy_Methane_Equations.VEERG_4_3_1_1__2_MethaneFromManureProduction(F$133,H175,_xlfn.XLOOKUP($E239,$D$228:$D$232,$E$228:$E$232),$I$221,$I$222)</f>
        <v>0</v>
      </c>
      <c r="I239" s="53" cm="1">
        <f t="array" aca="1" ref="I239" ca="1">MMS_Dairy_Methane_Equations.VEERG_4_3_1_1__2_MethaneFromManureProduction(G$133,I175,_xlfn.XLOOKUP($E239,$D$228:$D$232,$E$228:$E$232),$I$221,$I$222)</f>
        <v>0</v>
      </c>
      <c r="J239" s="53" cm="1">
        <f t="array" aca="1" ref="J239" ca="1">MMS_Dairy_Methane_Equations.VEERG_4_3_1_1__2_MethaneFromManureProduction(H$133,J175,_xlfn.XLOOKUP($E239,$D$228:$D$232,$E$228:$E$232),$I$221,$I$222)</f>
        <v>0</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0</v>
      </c>
      <c r="R239" s="53" cm="1">
        <f t="array" aca="1" ref="R239" ca="1">MMS_Dairy_Methane_Equations.VEERG_4_3_1_1__2_MethaneFromManureProduction(P$133,R175,_xlfn.XLOOKUP($P239,$O$228:$O$232,$P$228:$P$232),$I$221,$I$222)</f>
        <v>0</v>
      </c>
      <c r="S239" s="53" cm="1">
        <f t="array" aca="1" ref="S239" ca="1">MMS_Dairy_Methane_Equations.VEERG_4_3_1_1__2_MethaneFromManureProduction(Q$133,S175,_xlfn.XLOOKUP($P239,$O$228:$O$232,$P$228:$P$232),$I$221,$I$222)</f>
        <v>0</v>
      </c>
      <c r="T239" s="53" cm="1">
        <f t="array" aca="1" ref="T239" ca="1">MMS_Dairy_Methane_Equations.VEERG_4_3_1_1__2_MethaneFromManureProduction(R$133,T175,_xlfn.XLOOKUP($P239,$O$228:$O$232,$P$228:$P$232),$I$221,$I$222)</f>
        <v>0</v>
      </c>
      <c r="U239" s="53" cm="1">
        <f t="array" aca="1" ref="U239" ca="1">MMS_Dairy_Methane_Equations.VEERG_4_3_1_1__2_MethaneFromManureProduction(S$133,U175,_xlfn.XLOOKUP($P239,$O$228:$O$232,$P$228:$P$232),$I$221,$I$222)</f>
        <v>0</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0</v>
      </c>
      <c r="G240" s="53" cm="1">
        <f t="array" aca="1" ref="G240" ca="1">MMS_Dairy_Methane_Equations.VEERG_4_3_1_1__2_MethaneFromManureProduction(E$133,G176,_xlfn.XLOOKUP($E240,$D$228:$D$232,$E$228:$E$232),$I$221,$I$222)</f>
        <v>0</v>
      </c>
      <c r="H240" s="53" cm="1">
        <f t="array" aca="1" ref="H240" ca="1">MMS_Dairy_Methane_Equations.VEERG_4_3_1_1__2_MethaneFromManureProduction(F$133,H176,_xlfn.XLOOKUP($E240,$D$228:$D$232,$E$228:$E$232),$I$221,$I$222)</f>
        <v>0</v>
      </c>
      <c r="I240" s="53" cm="1">
        <f t="array" aca="1" ref="I240" ca="1">MMS_Dairy_Methane_Equations.VEERG_4_3_1_1__2_MethaneFromManureProduction(G$133,I176,_xlfn.XLOOKUP($E240,$D$228:$D$232,$E$228:$E$232),$I$221,$I$222)</f>
        <v>0</v>
      </c>
      <c r="J240" s="53" cm="1">
        <f t="array" aca="1" ref="J240" ca="1">MMS_Dairy_Methane_Equations.VEERG_4_3_1_1__2_MethaneFromManureProduction(H$133,J176,_xlfn.XLOOKUP($E240,$D$228:$D$232,$E$228:$E$232),$I$221,$I$222)</f>
        <v>0</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0</v>
      </c>
      <c r="R240" s="53" cm="1">
        <f t="array" aca="1" ref="R240" ca="1">MMS_Dairy_Methane_Equations.VEERG_4_3_1_1__2_MethaneFromManureProduction(P$133,R176,_xlfn.XLOOKUP($P240,$O$228:$O$232,$P$228:$P$232),$I$221,$I$222)</f>
        <v>0</v>
      </c>
      <c r="S240" s="53" cm="1">
        <f t="array" aca="1" ref="S240" ca="1">MMS_Dairy_Methane_Equations.VEERG_4_3_1_1__2_MethaneFromManureProduction(Q$133,S176,_xlfn.XLOOKUP($P240,$O$228:$O$232,$P$228:$P$232),$I$221,$I$222)</f>
        <v>0</v>
      </c>
      <c r="T240" s="53" cm="1">
        <f t="array" aca="1" ref="T240" ca="1">MMS_Dairy_Methane_Equations.VEERG_4_3_1_1__2_MethaneFromManureProduction(R$133,T176,_xlfn.XLOOKUP($P240,$O$228:$O$232,$P$228:$P$232),$I$221,$I$222)</f>
        <v>0</v>
      </c>
      <c r="U240" s="53" cm="1">
        <f t="array" aca="1" ref="U240" ca="1">MMS_Dairy_Methane_Equations.VEERG_4_3_1_1__2_MethaneFromManureProduction(S$133,U176,_xlfn.XLOOKUP($P240,$O$228:$O$232,$P$228:$P$232),$I$221,$I$222)</f>
        <v>0</v>
      </c>
      <c r="V240" s="2"/>
    </row>
    <row r="241" spans="3:23" ht="20.100000000000001" customHeight="1" x14ac:dyDescent="0.25">
      <c r="D241" s="53" t="str">
        <f>INDEX(X_Table_Dairy_ProductionSystems_Method1,3,1)</f>
        <v>Milking shed</v>
      </c>
      <c r="E241" s="53" t="s">
        <v>398</v>
      </c>
      <c r="F241" s="53" cm="1">
        <f t="array" aca="1" ref="F241" ca="1">MMS_Dairy_Methane_Equations.VEERG_4_3_1_1__2_MethaneFromManureProduction(D$133,F205,_xlfn.XLOOKUP($E241,$D$228:$D$232,$E$228:$E$232),$I$221,$I$222)</f>
        <v>1.5529568670334434E-3</v>
      </c>
      <c r="G241" s="53" cm="1">
        <f t="array" aca="1" ref="G241" ca="1">MMS_Dairy_Methane_Equations.VEERG_4_3_1_1__2_MethaneFromManureProduction(E$133,G205,_xlfn.XLOOKUP($E241,$D$228:$D$232,$E$228:$E$232),$I$221,$I$222)</f>
        <v>0</v>
      </c>
      <c r="H241" s="53" cm="1">
        <f t="array" aca="1" ref="H241" ca="1">MMS_Dairy_Methane_Equations.VEERG_4_3_1_1__2_MethaneFromManureProduction(F$133,H205,_xlfn.XLOOKUP($E241,$D$228:$D$232,$E$228:$E$232),$I$221,$I$222)</f>
        <v>0</v>
      </c>
      <c r="I241" s="53" cm="1">
        <f t="array" aca="1" ref="I241" ca="1">MMS_Dairy_Methane_Equations.VEERG_4_3_1_1__2_MethaneFromManureProduction(G$133,I205,_xlfn.XLOOKUP($E241,$D$228:$D$232,$E$228:$E$232),$I$221,$I$222)</f>
        <v>0</v>
      </c>
      <c r="J241" s="53" cm="1">
        <f t="array" aca="1" ref="J241" ca="1">MMS_Dairy_Methane_Equations.VEERG_4_3_1_1__2_MethaneFromManureProduction(H$133,J205,_xlfn.XLOOKUP($E241,$D$228:$D$232,$E$228:$E$232),$I$221,$I$222)</f>
        <v>0</v>
      </c>
      <c r="K241" s="2"/>
      <c r="O241" s="53" t="str">
        <f>INDEX(X_Table_Dairy_ProductionSystems_Method1,3,1)</f>
        <v>Milking shed</v>
      </c>
      <c r="P241" s="53" t="s">
        <v>398</v>
      </c>
      <c r="Q241" s="53" cm="1">
        <f t="array" aca="1" ref="Q241" ca="1">MMS_Dairy_Methane_Equations.VEERG_4_3_1_1__2_MethaneFromManureProduction(O$133,Q205,_xlfn.XLOOKUP($P241,$O$228:$O$232,$P$228:$P$232),$I$221,$I$222)</f>
        <v>1.5529568670334434E-3</v>
      </c>
      <c r="R241" s="53" cm="1">
        <f t="array" aca="1" ref="R241" ca="1">MMS_Dairy_Methane_Equations.VEERG_4_3_1_1__2_MethaneFromManureProduction(P$133,R205,_xlfn.XLOOKUP($P241,$O$228:$O$232,$P$228:$P$232),$I$221,$I$222)</f>
        <v>0</v>
      </c>
      <c r="S241" s="53" cm="1">
        <f t="array" aca="1" ref="S241" ca="1">MMS_Dairy_Methane_Equations.VEERG_4_3_1_1__2_MethaneFromManureProduction(Q$133,S205,_xlfn.XLOOKUP($P241,$O$228:$O$232,$P$228:$P$232),$I$221,$I$222)</f>
        <v>0</v>
      </c>
      <c r="T241" s="53" cm="1">
        <f t="array" aca="1" ref="T241" ca="1">MMS_Dairy_Methane_Equations.VEERG_4_3_1_1__2_MethaneFromManureProduction(R$133,T205,_xlfn.XLOOKUP($P241,$O$228:$O$232,$P$228:$P$232),$I$221,$I$222)</f>
        <v>0</v>
      </c>
      <c r="U241" s="53" cm="1">
        <f t="array" aca="1" ref="U241" ca="1">MMS_Dairy_Methane_Equations.VEERG_4_3_1_1__2_MethaneFromManureProduction(S$133,U205,_xlfn.XLOOKUP($P241,$O$228:$O$232,$P$228:$P$232),$I$221,$I$222)</f>
        <v>0</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0</v>
      </c>
      <c r="G242" s="53" cm="1">
        <f t="array" aca="1" ref="G242" ca="1">MMS_Dairy_Methane_Equations.VEERG_4_3_1_1__2_MethaneFromManureProduction(E$133,G177,_xlfn.XLOOKUP($E242,$D$228:$D$232,$E$228:$E$232),$I$221,$I$222)</f>
        <v>0</v>
      </c>
      <c r="H242" s="53" cm="1">
        <f t="array" aca="1" ref="H242" ca="1">MMS_Dairy_Methane_Equations.VEERG_4_3_1_1__2_MethaneFromManureProduction(F$133,H177,_xlfn.XLOOKUP($E242,$D$228:$D$232,$E$228:$E$232),$I$221,$I$222)</f>
        <v>0</v>
      </c>
      <c r="I242" s="53" cm="1">
        <f t="array" aca="1" ref="I242" ca="1">MMS_Dairy_Methane_Equations.VEERG_4_3_1_1__2_MethaneFromManureProduction(G$133,I177,_xlfn.XLOOKUP($E242,$D$228:$D$232,$E$228:$E$232),$I$221,$I$222)</f>
        <v>0</v>
      </c>
      <c r="J242" s="53" cm="1">
        <f t="array" aca="1" ref="J242" ca="1">MMS_Dairy_Methane_Equations.VEERG_4_3_1_1__2_MethaneFromManureProduction(H$133,J177,_xlfn.XLOOKUP($E242,$D$228:$D$232,$E$228:$E$232),$I$221,$I$222)</f>
        <v>0</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0</v>
      </c>
      <c r="R242" s="53" cm="1">
        <f t="array" aca="1" ref="R242" ca="1">MMS_Dairy_Methane_Equations.VEERG_4_3_1_1__2_MethaneFromManureProduction(P$133,R177,_xlfn.XLOOKUP($P242,$O$228:$O$232,$P$228:$P$232),$I$221,$I$222)</f>
        <v>0</v>
      </c>
      <c r="S242" s="53" cm="1">
        <f t="array" aca="1" ref="S242" ca="1">MMS_Dairy_Methane_Equations.VEERG_4_3_1_1__2_MethaneFromManureProduction(Q$133,S177,_xlfn.XLOOKUP($P242,$O$228:$O$232,$P$228:$P$232),$I$221,$I$222)</f>
        <v>0</v>
      </c>
      <c r="T242" s="53" cm="1">
        <f t="array" aca="1" ref="T242" ca="1">MMS_Dairy_Methane_Equations.VEERG_4_3_1_1__2_MethaneFromManureProduction(R$133,T177,_xlfn.XLOOKUP($P242,$O$228:$O$232,$P$228:$P$232),$I$221,$I$222)</f>
        <v>0</v>
      </c>
      <c r="U242" s="53" cm="1">
        <f t="array" aca="1" ref="U242" ca="1">MMS_Dairy_Methane_Equations.VEERG_4_3_1_1__2_MethaneFromManureProduction(S$133,U177,_xlfn.XLOOKUP($P242,$O$228:$O$232,$P$228:$P$232),$I$221,$I$222)</f>
        <v>0</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0</v>
      </c>
      <c r="G243" s="53" cm="1">
        <f t="array" aca="1" ref="G243" ca="1">MMS_Dairy_Methane_Equations.VEERG_4_3_1_1__2_MethaneFromManureProduction(E$133,G178,_xlfn.XLOOKUP($E243,$D$228:$D$232,$E$228:$E$232),$I$221,$I$222)</f>
        <v>0</v>
      </c>
      <c r="H243" s="53" cm="1">
        <f t="array" aca="1" ref="H243" ca="1">MMS_Dairy_Methane_Equations.VEERG_4_3_1_1__2_MethaneFromManureProduction(F$133,H178,_xlfn.XLOOKUP($E243,$D$228:$D$232,$E$228:$E$232),$I$221,$I$222)</f>
        <v>0</v>
      </c>
      <c r="I243" s="53" cm="1">
        <f t="array" aca="1" ref="I243" ca="1">MMS_Dairy_Methane_Equations.VEERG_4_3_1_1__2_MethaneFromManureProduction(G$133,I178,_xlfn.XLOOKUP($E243,$D$228:$D$232,$E$228:$E$232),$I$221,$I$222)</f>
        <v>0</v>
      </c>
      <c r="J243" s="53" cm="1">
        <f t="array" aca="1" ref="J243" ca="1">MMS_Dairy_Methane_Equations.VEERG_4_3_1_1__2_MethaneFromManureProduction(H$133,J178,_xlfn.XLOOKUP($E243,$D$228:$D$232,$E$228:$E$232),$I$221,$I$222)</f>
        <v>0</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0</v>
      </c>
      <c r="R243" s="53" cm="1">
        <f t="array" aca="1" ref="R243" ca="1">MMS_Dairy_Methane_Equations.VEERG_4_3_1_1__2_MethaneFromManureProduction(P$133,R178,_xlfn.XLOOKUP($P243,$O$228:$O$232,$P$228:$P$232),$I$221,$I$222)</f>
        <v>0</v>
      </c>
      <c r="S243" s="53" cm="1">
        <f t="array" aca="1" ref="S243" ca="1">MMS_Dairy_Methane_Equations.VEERG_4_3_1_1__2_MethaneFromManureProduction(Q$133,S178,_xlfn.XLOOKUP($P243,$O$228:$O$232,$P$228:$P$232),$I$221,$I$222)</f>
        <v>0</v>
      </c>
      <c r="T243" s="53" cm="1">
        <f t="array" aca="1" ref="T243" ca="1">MMS_Dairy_Methane_Equations.VEERG_4_3_1_1__2_MethaneFromManureProduction(R$133,T178,_xlfn.XLOOKUP($P243,$O$228:$O$232,$P$228:$P$232),$I$221,$I$222)</f>
        <v>0</v>
      </c>
      <c r="U243" s="53" cm="1">
        <f t="array" aca="1" ref="U243" ca="1">MMS_Dairy_Methane_Equations.VEERG_4_3_1_1__2_MethaneFromManureProduction(S$133,U178,_xlfn.XLOOKUP($P243,$O$228:$O$232,$P$228:$P$232),$I$221,$I$222)</f>
        <v>0</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0</v>
      </c>
      <c r="G244" s="53" cm="1">
        <f t="array" aca="1" ref="G244" ca="1">MMS_Dairy_Methane_Equations.VEERG_4_3_1_1__2_MethaneFromManureProduction(E$133,G179,_xlfn.XLOOKUP($E244,$D$228:$D$232,$E$228:$E$232),$I$221,$I$222)</f>
        <v>0</v>
      </c>
      <c r="H244" s="53" cm="1">
        <f t="array" aca="1" ref="H244" ca="1">MMS_Dairy_Methane_Equations.VEERG_4_3_1_1__2_MethaneFromManureProduction(F$133,H179,_xlfn.XLOOKUP($E244,$D$228:$D$232,$E$228:$E$232),$I$221,$I$222)</f>
        <v>0</v>
      </c>
      <c r="I244" s="53" cm="1">
        <f t="array" aca="1" ref="I244" ca="1">MMS_Dairy_Methane_Equations.VEERG_4_3_1_1__2_MethaneFromManureProduction(G$133,I179,_xlfn.XLOOKUP($E244,$D$228:$D$232,$E$228:$E$232),$I$221,$I$222)</f>
        <v>0</v>
      </c>
      <c r="J244" s="53" cm="1">
        <f t="array" aca="1" ref="J244" ca="1">MMS_Dairy_Methane_Equations.VEERG_4_3_1_1__2_MethaneFromManureProduction(H$133,J179,_xlfn.XLOOKUP($E244,$D$228:$D$232,$E$228:$E$232),$I$221,$I$222)</f>
        <v>0</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0</v>
      </c>
      <c r="R244" s="53" cm="1">
        <f t="array" aca="1" ref="R244" ca="1">MMS_Dairy_Methane_Equations.VEERG_4_3_1_1__2_MethaneFromManureProduction(P$133,R179,_xlfn.XLOOKUP($P244,$O$228:$O$232,$P$228:$P$232),$I$221,$I$222)</f>
        <v>0</v>
      </c>
      <c r="S244" s="53" cm="1">
        <f t="array" aca="1" ref="S244" ca="1">MMS_Dairy_Methane_Equations.VEERG_4_3_1_1__2_MethaneFromManureProduction(Q$133,S179,_xlfn.XLOOKUP($P244,$O$228:$O$232,$P$228:$P$232),$I$221,$I$222)</f>
        <v>0</v>
      </c>
      <c r="T244" s="53" cm="1">
        <f t="array" aca="1" ref="T244" ca="1">MMS_Dairy_Methane_Equations.VEERG_4_3_1_1__2_MethaneFromManureProduction(R$133,T179,_xlfn.XLOOKUP($P244,$O$228:$O$232,$P$228:$P$232),$I$221,$I$222)</f>
        <v>0</v>
      </c>
      <c r="U244" s="53" cm="1">
        <f t="array" aca="1" ref="U244" ca="1">MMS_Dairy_Methane_Equations.VEERG_4_3_1_1__2_MethaneFromManureProduction(S$133,U179,_xlfn.XLOOKUP($P244,$O$228:$O$232,$P$228:$P$232),$I$221,$I$222)</f>
        <v>0</v>
      </c>
      <c r="V244" s="2"/>
    </row>
    <row r="245" spans="3:23" ht="20.100000000000001" customHeight="1" x14ac:dyDescent="0.25">
      <c r="D245" s="53" t="str">
        <f>INDEX(X_Table_Dairy_ProductionSystems_Method1,4,1)</f>
        <v>Feed pad</v>
      </c>
      <c r="E245" s="53" t="s">
        <v>398</v>
      </c>
      <c r="F245" s="53" cm="1">
        <f t="array" aca="1" ref="F245" ca="1">MMS_Dairy_Methane_Equations.VEERG_4_3_1_1__2_MethaneFromManureProduction(D$133,F206,_xlfn.XLOOKUP($E245,$D$228:$D$232,$E$228:$E$232),$I$221,$I$222)</f>
        <v>0</v>
      </c>
      <c r="G245" s="53" cm="1">
        <f t="array" aca="1" ref="G245" ca="1">MMS_Dairy_Methane_Equations.VEERG_4_3_1_1__2_MethaneFromManureProduction(E$133,G206,_xlfn.XLOOKUP($E245,$D$228:$D$232,$E$228:$E$232),$I$221,$I$222)</f>
        <v>0</v>
      </c>
      <c r="H245" s="53" cm="1">
        <f t="array" aca="1" ref="H245" ca="1">MMS_Dairy_Methane_Equations.VEERG_4_3_1_1__2_MethaneFromManureProduction(F$133,H206,_xlfn.XLOOKUP($E245,$D$228:$D$232,$E$228:$E$232),$I$221,$I$222)</f>
        <v>0</v>
      </c>
      <c r="I245" s="53" cm="1">
        <f t="array" aca="1" ref="I245" ca="1">MMS_Dairy_Methane_Equations.VEERG_4_3_1_1__2_MethaneFromManureProduction(G$133,I206,_xlfn.XLOOKUP($E245,$D$228:$D$232,$E$228:$E$232),$I$221,$I$222)</f>
        <v>0</v>
      </c>
      <c r="J245" s="53" cm="1">
        <f t="array" aca="1" ref="J245" ca="1">MMS_Dairy_Methane_Equations.VEERG_4_3_1_1__2_MethaneFromManureProduction(H$133,J206,_xlfn.XLOOKUP($E245,$D$228:$D$232,$E$228:$E$232),$I$221,$I$222)</f>
        <v>0</v>
      </c>
      <c r="K245" s="2"/>
      <c r="O245" s="53" t="str">
        <f>INDEX(X_Table_Dairy_ProductionSystems_Method1,4,1)</f>
        <v>Feed pad</v>
      </c>
      <c r="P245" s="53" t="s">
        <v>398</v>
      </c>
      <c r="Q245" s="53" cm="1">
        <f t="array" aca="1" ref="Q245" ca="1">MMS_Dairy_Methane_Equations.VEERG_4_3_1_1__2_MethaneFromManureProduction(O$133,Q206,_xlfn.XLOOKUP($P245,$O$228:$O$232,$P$228:$P$232),$I$221,$I$222)</f>
        <v>0</v>
      </c>
      <c r="R245" s="53" cm="1">
        <f t="array" aca="1" ref="R245" ca="1">MMS_Dairy_Methane_Equations.VEERG_4_3_1_1__2_MethaneFromManureProduction(P$133,R206,_xlfn.XLOOKUP($P245,$O$228:$O$232,$P$228:$P$232),$I$221,$I$222)</f>
        <v>0</v>
      </c>
      <c r="S245" s="53" cm="1">
        <f t="array" aca="1" ref="S245" ca="1">MMS_Dairy_Methane_Equations.VEERG_4_3_1_1__2_MethaneFromManureProduction(Q$133,S206,_xlfn.XLOOKUP($P245,$O$228:$O$232,$P$228:$P$232),$I$221,$I$222)</f>
        <v>0</v>
      </c>
      <c r="T245" s="53" cm="1">
        <f t="array" aca="1" ref="T245" ca="1">MMS_Dairy_Methane_Equations.VEERG_4_3_1_1__2_MethaneFromManureProduction(R$133,T206,_xlfn.XLOOKUP($P245,$O$228:$O$232,$P$228:$P$232),$I$221,$I$222)</f>
        <v>0</v>
      </c>
      <c r="U245" s="53" cm="1">
        <f t="array" aca="1" ref="U245" ca="1">MMS_Dairy_Methane_Equations.VEERG_4_3_1_1__2_MethaneFromManureProduction(S$133,U206,_xlfn.XLOOKUP($P245,$O$228:$O$232,$P$228:$P$232),$I$221,$I$222)</f>
        <v>0</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100</v>
      </c>
    </row>
    <row r="268" spans="4:15" ht="20.100000000000001" customHeight="1" x14ac:dyDescent="0.25">
      <c r="D268" s="99" t="s">
        <v>256</v>
      </c>
    </row>
    <row r="269" spans="4:15" ht="20.100000000000001" customHeight="1" x14ac:dyDescent="0.25">
      <c r="D269" s="40" t="s">
        <v>165</v>
      </c>
      <c r="E269" s="40" t="s">
        <v>182</v>
      </c>
      <c r="F269" s="40" t="s">
        <v>183</v>
      </c>
      <c r="G269" s="40" t="s">
        <v>184</v>
      </c>
      <c r="H269" s="40" t="s">
        <v>185</v>
      </c>
    </row>
    <row r="270" spans="4:15" ht="20.100000000000001" customHeight="1" x14ac:dyDescent="0.25">
      <c r="D270" s="103">
        <f>INDEX(X_Table_Dairy_HerdMovement,2,2)</f>
        <v>100</v>
      </c>
      <c r="E270" s="103">
        <f>INDEX(X_Table_Dairy_HerdMovement,2,3)</f>
        <v>0</v>
      </c>
      <c r="F270" s="103">
        <f>INDEX(X_Table_Dairy_HerdMovement,2,4)</f>
        <v>0</v>
      </c>
      <c r="G270" s="103">
        <f>INDEX(X_Table_Dairy_HerdMovement,2,5)</f>
        <v>0</v>
      </c>
      <c r="H270" s="103">
        <f>INDEX(X_Table_Dairy_HerdMovement,2,6)</f>
        <v>0</v>
      </c>
      <c r="I270" s="2" t="s">
        <v>101</v>
      </c>
    </row>
    <row r="271" spans="4:15" ht="20.100000000000001" customHeight="1" x14ac:dyDescent="0.25"/>
    <row r="272" spans="4:15" x14ac:dyDescent="0.25">
      <c r="D272" s="100" t="s">
        <v>257</v>
      </c>
      <c r="O272" s="100" t="s">
        <v>267</v>
      </c>
    </row>
    <row r="273" spans="1:20" x14ac:dyDescent="0.25">
      <c r="D273" s="99" t="s">
        <v>265</v>
      </c>
      <c r="O273" s="99" t="s">
        <v>268</v>
      </c>
    </row>
    <row r="274" spans="1:20" x14ac:dyDescent="0.25">
      <c r="D274" s="40" t="s">
        <v>165</v>
      </c>
      <c r="E274" s="40" t="s">
        <v>182</v>
      </c>
      <c r="F274" s="40" t="s">
        <v>183</v>
      </c>
      <c r="G274" s="40" t="s">
        <v>184</v>
      </c>
      <c r="H274" s="40" t="s">
        <v>185</v>
      </c>
      <c r="O274" s="40" t="s">
        <v>165</v>
      </c>
      <c r="P274" s="40" t="s">
        <v>182</v>
      </c>
      <c r="Q274" s="40" t="s">
        <v>183</v>
      </c>
      <c r="R274" s="40" t="s">
        <v>184</v>
      </c>
      <c r="S274" s="40" t="s">
        <v>185</v>
      </c>
    </row>
    <row r="275" spans="1:20" x14ac:dyDescent="0.25">
      <c r="A275" s="137" t="str">
        <f>HYPERLINK("#A1", "▲ Back to top")</f>
        <v>▲ Back to top</v>
      </c>
      <c r="D275" s="53">
        <f>INDEX(X_Table_Dairy_DurationOfStay_Method1,2,2)</f>
        <v>365</v>
      </c>
      <c r="E275" s="53">
        <f>INDEX(X_Table_Dairy_DurationOfStay_Method1,2,3)</f>
        <v>0</v>
      </c>
      <c r="F275" s="53">
        <f>INDEX(X_Table_Dairy_DurationOfStay_Method1,2,4)</f>
        <v>0</v>
      </c>
      <c r="G275" s="53">
        <f>INDEX(X_Table_Dairy_DurationOfStay_Method1,2,5)</f>
        <v>0</v>
      </c>
      <c r="H275" s="53">
        <f>INDEX(X_Table_Dairy_DurationOfStay_Method1,2,6)</f>
        <v>0</v>
      </c>
      <c r="I275" s="2" t="s">
        <v>52</v>
      </c>
      <c r="O275" s="53">
        <f>INDEX(X_Table_Dairy_DurationOfStay_Method2,2,2)</f>
        <v>365</v>
      </c>
      <c r="P275" s="53">
        <f>INDEX(X_Table_Dairy_DurationOfStay_Method2,2,3)</f>
        <v>0</v>
      </c>
      <c r="Q275" s="53">
        <f>INDEX(X_Table_Dairy_DurationOfStay_Method2,2,4)</f>
        <v>0</v>
      </c>
      <c r="R275" s="53">
        <f>INDEX(X_Table_Dairy_DurationOfStay_Method2,2,5)</f>
        <v>0</v>
      </c>
      <c r="S275" s="53">
        <f>INDEX(X_Table_Dairy_DurationOfStay_Method2,2,6)</f>
        <v>0</v>
      </c>
      <c r="T275" s="2" t="s">
        <v>52</v>
      </c>
    </row>
    <row r="277" spans="1:20" x14ac:dyDescent="0.25">
      <c r="D277" s="100" t="s">
        <v>259</v>
      </c>
    </row>
    <row r="278" spans="1:20" x14ac:dyDescent="0.25">
      <c r="D278" s="99" t="s">
        <v>260</v>
      </c>
    </row>
    <row r="279" spans="1:20" x14ac:dyDescent="0.25">
      <c r="D279" s="52" t="s">
        <v>165</v>
      </c>
      <c r="E279" s="52" t="s">
        <v>182</v>
      </c>
      <c r="F279" s="52" t="s">
        <v>183</v>
      </c>
      <c r="G279" s="52" t="s">
        <v>184</v>
      </c>
      <c r="H279" s="52" t="s">
        <v>185</v>
      </c>
    </row>
    <row r="280" spans="1:20" x14ac:dyDescent="0.25">
      <c r="D280" s="53">
        <v>0</v>
      </c>
      <c r="E280" s="53">
        <v>0</v>
      </c>
      <c r="F280" s="53">
        <f>'Constants - Dairy'!$E$63</f>
        <v>1.7600000000000001E-2</v>
      </c>
      <c r="G280" s="53">
        <v>0</v>
      </c>
      <c r="H280" s="53">
        <f>'Constants - Dairy'!$E$64</f>
        <v>2.0400000000000001E-2</v>
      </c>
      <c r="I280" s="2" t="s">
        <v>262</v>
      </c>
    </row>
    <row r="282" spans="1:20" x14ac:dyDescent="0.25">
      <c r="D282" s="100" t="s">
        <v>258</v>
      </c>
      <c r="O282" s="100" t="s">
        <v>258</v>
      </c>
    </row>
    <row r="283" spans="1:20" x14ac:dyDescent="0.25">
      <c r="D283" s="99" t="s">
        <v>266</v>
      </c>
      <c r="O283" s="99" t="s">
        <v>266</v>
      </c>
    </row>
    <row r="284" spans="1:20" x14ac:dyDescent="0.25">
      <c r="D284" s="52" t="s">
        <v>165</v>
      </c>
      <c r="E284" s="52" t="s">
        <v>182</v>
      </c>
      <c r="F284" s="52" t="s">
        <v>183</v>
      </c>
      <c r="G284" s="52" t="s">
        <v>184</v>
      </c>
      <c r="H284" s="52" t="s">
        <v>185</v>
      </c>
      <c r="O284" s="40" t="s">
        <v>165</v>
      </c>
      <c r="P284" s="40" t="s">
        <v>182</v>
      </c>
      <c r="Q284" s="40" t="s">
        <v>183</v>
      </c>
      <c r="R284" s="40" t="s">
        <v>184</v>
      </c>
      <c r="S284" s="40" t="s">
        <v>185</v>
      </c>
    </row>
    <row r="285" spans="1:20" x14ac:dyDescent="0.25">
      <c r="D285" s="53">
        <f>INDEX(X_Table_Dairy_DurationOfStay_Method1,3,2)</f>
        <v>0</v>
      </c>
      <c r="E285" s="53">
        <f>INDEX(X_Table_Dairy_DurationOfStay_Method1,3,3)</f>
        <v>0</v>
      </c>
      <c r="F285" s="53">
        <f>INDEX(X_Table_Dairy_DurationOfStay_Method1,3,4)</f>
        <v>0</v>
      </c>
      <c r="G285" s="53">
        <f>INDEX(X_Table_Dairy_DurationOfStay_Method1,3,5)</f>
        <v>0</v>
      </c>
      <c r="H285" s="53">
        <f>INDEX(X_Table_Dairy_DurationOfStay_Method1,3,6)</f>
        <v>0</v>
      </c>
      <c r="I285" s="2" t="s">
        <v>52</v>
      </c>
      <c r="O285" s="53">
        <f>INDEX(X_Table_Dairy_DurationOfStay_Method2,3,2)</f>
        <v>0</v>
      </c>
      <c r="P285" s="53">
        <f>INDEX(X_Table_Dairy_DurationOfStay_Method2,3,3)</f>
        <v>0</v>
      </c>
      <c r="Q285" s="53">
        <f>INDEX(X_Table_Dairy_DurationOfStay_Method2,3,4)</f>
        <v>0</v>
      </c>
      <c r="R285" s="53">
        <f>INDEX(X_Table_Dairy_DurationOfStay_Method2,3,5)</f>
        <v>0</v>
      </c>
      <c r="S285" s="53">
        <f>INDEX(X_Table_Dairy_DurationOfStay_Method2,3,6)</f>
        <v>0</v>
      </c>
      <c r="T285" s="2" t="s">
        <v>52</v>
      </c>
    </row>
    <row r="287" spans="1:20" x14ac:dyDescent="0.25">
      <c r="D287" s="100" t="s">
        <v>261</v>
      </c>
      <c r="O287" s="100" t="s">
        <v>261</v>
      </c>
    </row>
    <row r="288" spans="1:20" x14ac:dyDescent="0.25">
      <c r="D288" s="99" t="s">
        <v>272</v>
      </c>
      <c r="O288" s="99" t="s">
        <v>444</v>
      </c>
    </row>
    <row r="289" spans="4:21" x14ac:dyDescent="0.25">
      <c r="D289" s="52" t="s">
        <v>140</v>
      </c>
      <c r="E289" s="52" t="s">
        <v>65</v>
      </c>
      <c r="F289" s="52" t="s">
        <v>165</v>
      </c>
      <c r="G289" s="52" t="s">
        <v>182</v>
      </c>
      <c r="H289" s="52" t="s">
        <v>183</v>
      </c>
      <c r="I289" s="52" t="s">
        <v>184</v>
      </c>
      <c r="J289" s="52" t="s">
        <v>185</v>
      </c>
      <c r="O289" s="52" t="s">
        <v>140</v>
      </c>
      <c r="P289" s="52" t="s">
        <v>65</v>
      </c>
      <c r="Q289" s="52" t="s">
        <v>165</v>
      </c>
      <c r="R289" s="52" t="s">
        <v>182</v>
      </c>
      <c r="S289" s="52" t="s">
        <v>183</v>
      </c>
      <c r="T289" s="52" t="s">
        <v>184</v>
      </c>
      <c r="U289" s="52" t="s">
        <v>185</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0.22673170258688274</v>
      </c>
      <c r="G290" s="53" cm="1">
        <f t="array" aca="1" ref="G290" ca="1">MMS_Dairy_Methane_Equations.VEERG_4_3_1_1__1_TotalAnnualMethaneFromManureManagementVariation(E$270,G237,E$275,0,0,0,0,0)</f>
        <v>0</v>
      </c>
      <c r="H290" s="53" cm="1">
        <f t="array" aca="1" ref="H290" ca="1">MMS_Dairy_Methane_Equations.VEERG_4_3_1_1__1_TotalAnnualMethaneFromManureManagementVariation(0,0,0,F$270,H237,F$275,F$280,F$285)</f>
        <v>0</v>
      </c>
      <c r="I290" s="53" cm="1">
        <f t="array" aca="1" ref="I290" ca="1">MMS_Dairy_Methane_Equations.VEERG_4_3_1_1__1_TotalAnnualMethaneFromManureManagementVariation(G$270,I237,G$275,0,0,0,0,0)</f>
        <v>0</v>
      </c>
      <c r="J290" s="53" cm="1">
        <f t="array" aca="1" ref="J290" ca="1">MMS_Dairy_Methane_Equations.VEERG_4_3_1_1__1_TotalAnnualMethaneFromManureManagementVariation(0,0,0,H$270,J237,H$275,H$280,H$285)</f>
        <v>0</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0.22673170258688274</v>
      </c>
      <c r="R290" s="53" cm="1">
        <f t="array" aca="1" ref="R290" ca="1">MMS_Dairy_Methane_Equations.VEERG_4_3_1_1__1_TotalAnnualMethaneFromManureManagementVariation(E$270,R237,P$275,0,0,0,0,0)</f>
        <v>0</v>
      </c>
      <c r="S290" s="53" cm="1">
        <f t="array" aca="1" ref="S290" ca="1">MMS_Dairy_Methane_Equations.VEERG_4_3_1_1__1_TotalAnnualMethaneFromManureManagementVariation(0,0,0,F$270,S237,Q$275,F$280,Q$285)</f>
        <v>0</v>
      </c>
      <c r="T290" s="53" cm="1">
        <f t="array" aca="1" ref="T290" ca="1">MMS_Dairy_Methane_Equations.VEERG_4_3_1_1__1_TotalAnnualMethaneFromManureManagementVariation(G$270,T237,R$275,0,0,0,0,0)</f>
        <v>0</v>
      </c>
      <c r="U290" s="53" cm="1">
        <f t="array" aca="1" ref="U290" ca="1">MMS_Dairy_Methane_Equations.VEERG_4_3_1_1__1_TotalAnnualMethaneFromManureManagementVariation(0,0,0,H$270,U237,S$275,H$280,S$285)</f>
        <v>0</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2.0689267861053051</v>
      </c>
      <c r="G291" s="53" cm="1">
        <f t="array" aca="1" ref="G291" ca="1">MMS_Dairy_Methane_Equations.VEERG_4_3_1_1__1_TotalAnnualMethaneFromManureManagementVariation(E$270,G238,E$275,0,0,0,0,0)</f>
        <v>0</v>
      </c>
      <c r="H291" s="53" cm="1">
        <f t="array" aca="1" ref="H291" ca="1">MMS_Dairy_Methane_Equations.VEERG_4_3_1_1__1_TotalAnnualMethaneFromManureManagementVariation(0,0,0,F$270,H238,F$275,F$280,F$285)</f>
        <v>0</v>
      </c>
      <c r="I291" s="53" cm="1">
        <f t="array" aca="1" ref="I291" ca="1">MMS_Dairy_Methane_Equations.VEERG_4_3_1_1__1_TotalAnnualMethaneFromManureManagementVariation(G$270,I238,G$275,0,0,0,0,0)</f>
        <v>0</v>
      </c>
      <c r="J291" s="53" cm="1">
        <f t="array" aca="1" ref="J291" ca="1">MMS_Dairy_Methane_Equations.VEERG_4_3_1_1__1_TotalAnnualMethaneFromManureManagementVariation(0,0,0,H$270,J238,H$275,H$280,H$285)</f>
        <v>0</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2.1822926373987466</v>
      </c>
      <c r="R291" s="53" cm="1">
        <f t="array" aca="1" ref="R291" ca="1">MMS_Dairy_Methane_Equations.VEERG_4_3_1_1__1_TotalAnnualMethaneFromManureManagementVariation(E$270,R238,P$275,0,0,0,0,0)</f>
        <v>0</v>
      </c>
      <c r="S291" s="53" cm="1">
        <f t="array" aca="1" ref="S291" ca="1">MMS_Dairy_Methane_Equations.VEERG_4_3_1_1__1_TotalAnnualMethaneFromManureManagementVariation(0,0,0,F$270,S238,Q$275,F$280,Q$285)</f>
        <v>0</v>
      </c>
      <c r="T291" s="53" cm="1">
        <f t="array" aca="1" ref="T291" ca="1">MMS_Dairy_Methane_Equations.VEERG_4_3_1_1__1_TotalAnnualMethaneFromManureManagementVariation(G$270,T238,R$275,0,0,0,0,0)</f>
        <v>0</v>
      </c>
      <c r="U291" s="53" cm="1">
        <f t="array" aca="1" ref="U291" ca="1">MMS_Dairy_Methane_Equations.VEERG_4_3_1_1__1_TotalAnnualMethaneFromManureManagementVariation(0,0,0,H$270,U238,S$275,H$280,S$285)</f>
        <v>0</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0</v>
      </c>
      <c r="G292" s="53" cm="1">
        <f t="array" aca="1" ref="G292" ca="1">MMS_Dairy_Methane_Equations.VEERG_4_3_1_1__1_TotalAnnualMethaneFromManureManagementVariation(E$270,G239,E$275,0,0,0,0,0)</f>
        <v>0</v>
      </c>
      <c r="H292" s="53" cm="1">
        <f t="array" aca="1" ref="H292" ca="1">MMS_Dairy_Methane_Equations.VEERG_4_3_1_1__1_TotalAnnualMethaneFromManureManagementVariation(0,0,0,F$270,H239,F$275,F$280,F$285)</f>
        <v>0</v>
      </c>
      <c r="I292" s="53" cm="1">
        <f t="array" aca="1" ref="I292" ca="1">MMS_Dairy_Methane_Equations.VEERG_4_3_1_1__1_TotalAnnualMethaneFromManureManagementVariation(G$270,I239,G$275,0,0,0,0,0)</f>
        <v>0</v>
      </c>
      <c r="J292" s="53" cm="1">
        <f t="array" aca="1" ref="J292" ca="1">MMS_Dairy_Methane_Equations.VEERG_4_3_1_1__1_TotalAnnualMethaneFromManureManagementVariation(0,0,0,H$270,J239,H$275,H$280,H$285)</f>
        <v>0</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0</v>
      </c>
      <c r="R292" s="53" cm="1">
        <f t="array" aca="1" ref="R292" ca="1">MMS_Dairy_Methane_Equations.VEERG_4_3_1_1__1_TotalAnnualMethaneFromManureManagementVariation(E$270,R239,P$275,0,0,0,0,0)</f>
        <v>0</v>
      </c>
      <c r="S292" s="53" cm="1">
        <f t="array" aca="1" ref="S292" ca="1">MMS_Dairy_Methane_Equations.VEERG_4_3_1_1__1_TotalAnnualMethaneFromManureManagementVariation(0,0,0,F$270,S239,Q$275,F$280,Q$285)</f>
        <v>0</v>
      </c>
      <c r="T292" s="53" cm="1">
        <f t="array" aca="1" ref="T292" ca="1">MMS_Dairy_Methane_Equations.VEERG_4_3_1_1__1_TotalAnnualMethaneFromManureManagementVariation(G$270,T239,R$275,0,0,0,0,0)</f>
        <v>0</v>
      </c>
      <c r="U292" s="53" cm="1">
        <f t="array" aca="1" ref="U292" ca="1">MMS_Dairy_Methane_Equations.VEERG_4_3_1_1__1_TotalAnnualMethaneFromManureManagementVariation(0,0,0,H$270,U239,S$275,H$280,S$285)</f>
        <v>0</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v>
      </c>
      <c r="G293" s="53" cm="1">
        <f t="array" aca="1" ref="G293" ca="1">MMS_Dairy_Methane_Equations.VEERG_4_3_1_1__1_TotalAnnualMethaneFromManureManagementVariation(E$270,G240,E$275,0,0,0,0,0)</f>
        <v>0</v>
      </c>
      <c r="H293" s="53" cm="1">
        <f t="array" aca="1" ref="H293" ca="1">MMS_Dairy_Methane_Equations.VEERG_4_3_1_1__1_TotalAnnualMethaneFromManureManagementVariation(0,0,0,F$270,H240,F$275,F$280,F$285)</f>
        <v>0</v>
      </c>
      <c r="I293" s="53" cm="1">
        <f t="array" aca="1" ref="I293" ca="1">MMS_Dairy_Methane_Equations.VEERG_4_3_1_1__1_TotalAnnualMethaneFromManureManagementVariation(G$270,I240,G$275,0,0,0,0,0)</f>
        <v>0</v>
      </c>
      <c r="J293" s="53" cm="1">
        <f t="array" aca="1" ref="J293" ca="1">MMS_Dairy_Methane_Equations.VEERG_4_3_1_1__1_TotalAnnualMethaneFromManureManagementVariation(0,0,0,H$270,J240,H$275,H$280,H$285)</f>
        <v>0</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v>
      </c>
      <c r="R293" s="53" cm="1">
        <f t="array" aca="1" ref="R293" ca="1">MMS_Dairy_Methane_Equations.VEERG_4_3_1_1__1_TotalAnnualMethaneFromManureManagementVariation(E$270,R240,P$275,0,0,0,0,0)</f>
        <v>0</v>
      </c>
      <c r="S293" s="53" cm="1">
        <f t="array" aca="1" ref="S293" ca="1">MMS_Dairy_Methane_Equations.VEERG_4_3_1_1__1_TotalAnnualMethaneFromManureManagementVariation(0,0,0,F$270,S240,Q$275,F$280,Q$285)</f>
        <v>0</v>
      </c>
      <c r="T293" s="53" cm="1">
        <f t="array" aca="1" ref="T293" ca="1">MMS_Dairy_Methane_Equations.VEERG_4_3_1_1__1_TotalAnnualMethaneFromManureManagementVariation(G$270,T240,R$275,0,0,0,0,0)</f>
        <v>0</v>
      </c>
      <c r="U293" s="53" cm="1">
        <f t="array" aca="1" ref="U293" ca="1">MMS_Dairy_Methane_Equations.VEERG_4_3_1_1__1_TotalAnnualMethaneFromManureManagementVariation(0,0,0,H$270,U240,S$275,H$280,S$285)</f>
        <v>0</v>
      </c>
    </row>
    <row r="294" spans="4:21" x14ac:dyDescent="0.25">
      <c r="D294" s="53" t="str">
        <f>INDEX(X_Table_Dairy_ProductionSystems_Method1,3,1)</f>
        <v>Milking shed</v>
      </c>
      <c r="E294" s="53" t="s">
        <v>398</v>
      </c>
      <c r="F294" s="53" cm="1">
        <f t="array" aca="1" ref="F294" ca="1">MMS_Dairy_Methane_Equations.VEERG_4_3_1_1__1_TotalAnnualMethaneFromManureManagementVariation(D$270,F241,D$275,0,0,0,0,0)</f>
        <v>5.6682925646720686E-2</v>
      </c>
      <c r="G294" s="53" cm="1">
        <f t="array" aca="1" ref="G294" ca="1">MMS_Dairy_Methane_Equations.VEERG_4_3_1_1__1_TotalAnnualMethaneFromManureManagementVariation(E$270,G241,E$275,0,0,0,0,0)</f>
        <v>0</v>
      </c>
      <c r="H294" s="53" cm="1">
        <f t="array" aca="1" ref="H294" ca="1">MMS_Dairy_Methane_Equations.VEERG_4_3_1_1__1_TotalAnnualMethaneFromManureManagementVariation(0,0,0,F$270,H241,F$275,F$280,F$285)</f>
        <v>0</v>
      </c>
      <c r="I294" s="53" cm="1">
        <f t="array" aca="1" ref="I294" ca="1">MMS_Dairy_Methane_Equations.VEERG_4_3_1_1__1_TotalAnnualMethaneFromManureManagementVariation(G$270,I241,G$275,0,0,0,0,0)</f>
        <v>0</v>
      </c>
      <c r="J294" s="53" cm="1">
        <f t="array" aca="1" ref="J294" ca="1">MMS_Dairy_Methane_Equations.VEERG_4_3_1_1__1_TotalAnnualMethaneFromManureManagementVariation(0,0,0,H$270,J241,H$275,H$280,H$285)</f>
        <v>0</v>
      </c>
      <c r="O294" s="53" t="str">
        <f>INDEX(X_Table_Dairy_ProductionSystems_Method1,3,1)</f>
        <v>Milking shed</v>
      </c>
      <c r="P294" s="53" t="s">
        <v>398</v>
      </c>
      <c r="Q294" s="53" cm="1">
        <f t="array" aca="1" ref="Q294" ca="1">MMS_Dairy_Methane_Equations.VEERG_4_3_1_1__1_TotalAnnualMethaneFromManureManagementVariation(D$270,Q241,O$275,0,0,0,0,0)</f>
        <v>5.6682925646720686E-2</v>
      </c>
      <c r="R294" s="53" cm="1">
        <f t="array" aca="1" ref="R294" ca="1">MMS_Dairy_Methane_Equations.VEERG_4_3_1_1__1_TotalAnnualMethaneFromManureManagementVariation(E$270,R241,P$275,0,0,0,0,0)</f>
        <v>0</v>
      </c>
      <c r="S294" s="53" cm="1">
        <f t="array" aca="1" ref="S294" ca="1">MMS_Dairy_Methane_Equations.VEERG_4_3_1_1__1_TotalAnnualMethaneFromManureManagementVariation(0,0,0,F$270,S241,Q$275,F$280,Q$285)</f>
        <v>0</v>
      </c>
      <c r="T294" s="53" cm="1">
        <f t="array" aca="1" ref="T294" ca="1">MMS_Dairy_Methane_Equations.VEERG_4_3_1_1__1_TotalAnnualMethaneFromManureManagementVariation(G$270,T241,R$275,0,0,0,0,0)</f>
        <v>0</v>
      </c>
      <c r="U294" s="53" cm="1">
        <f t="array" aca="1" ref="U294" ca="1">MMS_Dairy_Methane_Equations.VEERG_4_3_1_1__1_TotalAnnualMethaneFromManureManagementVariation(0,0,0,H$270,U241,S$275,H$280,S$285)</f>
        <v>0</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0</v>
      </c>
      <c r="G295" s="53" cm="1">
        <f t="array" aca="1" ref="G295" ca="1">MMS_Dairy_Methane_Equations.VEERG_4_3_1_1__1_TotalAnnualMethaneFromManureManagementVariation(E$270,G242,E$275,0,0,0,0,0)</f>
        <v>0</v>
      </c>
      <c r="H295" s="53" cm="1">
        <f t="array" aca="1" ref="H295" ca="1">MMS_Dairy_Methane_Equations.VEERG_4_3_1_1__1_TotalAnnualMethaneFromManureManagementVariation(0,0,0,F$270,H242,F$275,F$280,F$285)</f>
        <v>0</v>
      </c>
      <c r="I295" s="53" cm="1">
        <f t="array" aca="1" ref="I295" ca="1">MMS_Dairy_Methane_Equations.VEERG_4_3_1_1__1_TotalAnnualMethaneFromManureManagementVariation(G$270,I242,G$275,0,0,0,0,0)</f>
        <v>0</v>
      </c>
      <c r="J295" s="53" cm="1">
        <f t="array" aca="1" ref="J295" ca="1">MMS_Dairy_Methane_Equations.VEERG_4_3_1_1__1_TotalAnnualMethaneFromManureManagementVariation(0,0,0,H$270,J242,H$275,H$280,H$285)</f>
        <v>0</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0</v>
      </c>
      <c r="R295" s="53" cm="1">
        <f t="array" aca="1" ref="R295" ca="1">MMS_Dairy_Methane_Equations.VEERG_4_3_1_1__1_TotalAnnualMethaneFromManureManagementVariation(E$270,R242,P$275,0,0,0,0,0)</f>
        <v>0</v>
      </c>
      <c r="S295" s="53" cm="1">
        <f t="array" aca="1" ref="S295" ca="1">MMS_Dairy_Methane_Equations.VEERG_4_3_1_1__1_TotalAnnualMethaneFromManureManagementVariation(0,0,0,F$270,S242,Q$275,F$280,Q$285)</f>
        <v>0</v>
      </c>
      <c r="T295" s="53" cm="1">
        <f t="array" aca="1" ref="T295" ca="1">MMS_Dairy_Methane_Equations.VEERG_4_3_1_1__1_TotalAnnualMethaneFromManureManagementVariation(G$270,T242,R$275,0,0,0,0,0)</f>
        <v>0</v>
      </c>
      <c r="U295" s="53" cm="1">
        <f t="array" aca="1" ref="U295" ca="1">MMS_Dairy_Methane_Equations.VEERG_4_3_1_1__1_TotalAnnualMethaneFromManureManagementVariation(0,0,0,H$270,U242,S$275,H$280,S$285)</f>
        <v>0</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0</v>
      </c>
      <c r="G296" s="53" cm="1">
        <f t="array" aca="1" ref="G296" ca="1">MMS_Dairy_Methane_Equations.VEERG_4_3_1_1__1_TotalAnnualMethaneFromManureManagementVariation(E$270,G243,E$275,0,0,0,0,0)</f>
        <v>0</v>
      </c>
      <c r="H296" s="53" cm="1">
        <f t="array" aca="1" ref="H296" ca="1">MMS_Dairy_Methane_Equations.VEERG_4_3_1_1__1_TotalAnnualMethaneFromManureManagementVariation(0,0,0,F$270,H243,F$275,F$280,F$285)</f>
        <v>0</v>
      </c>
      <c r="I296" s="53" cm="1">
        <f t="array" aca="1" ref="I296" ca="1">MMS_Dairy_Methane_Equations.VEERG_4_3_1_1__1_TotalAnnualMethaneFromManureManagementVariation(G$270,I243,G$275,0,0,0,0,0)</f>
        <v>0</v>
      </c>
      <c r="J296" s="53" cm="1">
        <f t="array" aca="1" ref="J296" ca="1">MMS_Dairy_Methane_Equations.VEERG_4_3_1_1__1_TotalAnnualMethaneFromManureManagementVariation(0,0,0,H$270,J243,H$275,H$280,H$285)</f>
        <v>0</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0</v>
      </c>
      <c r="R296" s="53" cm="1">
        <f t="array" aca="1" ref="R296" ca="1">MMS_Dairy_Methane_Equations.VEERG_4_3_1_1__1_TotalAnnualMethaneFromManureManagementVariation(E$270,R243,P$275,0,0,0,0,0)</f>
        <v>0</v>
      </c>
      <c r="S296" s="53" cm="1">
        <f t="array" aca="1" ref="S296" ca="1">MMS_Dairy_Methane_Equations.VEERG_4_3_1_1__1_TotalAnnualMethaneFromManureManagementVariation(0,0,0,F$270,S243,Q$275,F$280,Q$285)</f>
        <v>0</v>
      </c>
      <c r="T296" s="53" cm="1">
        <f t="array" aca="1" ref="T296" ca="1">MMS_Dairy_Methane_Equations.VEERG_4_3_1_1__1_TotalAnnualMethaneFromManureManagementVariation(G$270,T243,R$275,0,0,0,0,0)</f>
        <v>0</v>
      </c>
      <c r="U296" s="53" cm="1">
        <f t="array" aca="1" ref="U296" ca="1">MMS_Dairy_Methane_Equations.VEERG_4_3_1_1__1_TotalAnnualMethaneFromManureManagementVariation(0,0,0,H$270,U243,S$275,H$280,S$285)</f>
        <v>0</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v>
      </c>
      <c r="G297" s="53" cm="1">
        <f t="array" aca="1" ref="G297" ca="1">MMS_Dairy_Methane_Equations.VEERG_4_3_1_1__1_TotalAnnualMethaneFromManureManagementVariation(E$270,G244,E$275,0,0,0,0,0)</f>
        <v>0</v>
      </c>
      <c r="H297" s="53" cm="1">
        <f t="array" aca="1" ref="H297" ca="1">MMS_Dairy_Methane_Equations.VEERG_4_3_1_1__1_TotalAnnualMethaneFromManureManagementVariation(0,0,0,F$270,H244,F$275,F$280,F$285)</f>
        <v>0</v>
      </c>
      <c r="I297" s="53" cm="1">
        <f t="array" aca="1" ref="I297" ca="1">MMS_Dairy_Methane_Equations.VEERG_4_3_1_1__1_TotalAnnualMethaneFromManureManagementVariation(G$270,I244,G$275,0,0,0,0,0)</f>
        <v>0</v>
      </c>
      <c r="J297" s="53" cm="1">
        <f t="array" aca="1" ref="J297" ca="1">MMS_Dairy_Methane_Equations.VEERG_4_3_1_1__1_TotalAnnualMethaneFromManureManagementVariation(0,0,0,H$270,J244,H$275,H$280,H$285)</f>
        <v>0</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v>
      </c>
      <c r="R297" s="53" cm="1">
        <f t="array" aca="1" ref="R297" ca="1">MMS_Dairy_Methane_Equations.VEERG_4_3_1_1__1_TotalAnnualMethaneFromManureManagementVariation(E$270,R244,P$275,0,0,0,0,0)</f>
        <v>0</v>
      </c>
      <c r="S297" s="53" cm="1">
        <f t="array" aca="1" ref="S297" ca="1">MMS_Dairy_Methane_Equations.VEERG_4_3_1_1__1_TotalAnnualMethaneFromManureManagementVariation(0,0,0,F$270,S244,Q$275,F$280,Q$285)</f>
        <v>0</v>
      </c>
      <c r="T297" s="53" cm="1">
        <f t="array" aca="1" ref="T297" ca="1">MMS_Dairy_Methane_Equations.VEERG_4_3_1_1__1_TotalAnnualMethaneFromManureManagementVariation(G$270,T244,R$275,0,0,0,0,0)</f>
        <v>0</v>
      </c>
      <c r="U297" s="53" cm="1">
        <f t="array" aca="1" ref="U297" ca="1">MMS_Dairy_Methane_Equations.VEERG_4_3_1_1__1_TotalAnnualMethaneFromManureManagementVariation(0,0,0,H$270,U244,S$275,H$280,S$285)</f>
        <v>0</v>
      </c>
    </row>
    <row r="298" spans="4:21" x14ac:dyDescent="0.25">
      <c r="D298" s="53" t="str">
        <f>INDEX(X_Table_Dairy_ProductionSystems_Method1,4,1)</f>
        <v>Feed pad</v>
      </c>
      <c r="E298" s="53" t="s">
        <v>398</v>
      </c>
      <c r="F298" s="53" cm="1">
        <f t="array" aca="1" ref="F298" ca="1">MMS_Dairy_Methane_Equations.VEERG_4_3_1_1__1_TotalAnnualMethaneFromManureManagementVariation(D$270,F245,D$275,0,0,0,0,0)</f>
        <v>0</v>
      </c>
      <c r="G298" s="53" cm="1">
        <f t="array" aca="1" ref="G298" ca="1">MMS_Dairy_Methane_Equations.VEERG_4_3_1_1__1_TotalAnnualMethaneFromManureManagementVariation(E$270,G245,E$275,0,0,0,0,0)</f>
        <v>0</v>
      </c>
      <c r="H298" s="53" cm="1">
        <f t="array" aca="1" ref="H298" ca="1">MMS_Dairy_Methane_Equations.VEERG_4_3_1_1__1_TotalAnnualMethaneFromManureManagementVariation(0,0,0,F$270,H245,F$275,F$280,F$285)</f>
        <v>0</v>
      </c>
      <c r="I298" s="53" cm="1">
        <f t="array" aca="1" ref="I298" ca="1">MMS_Dairy_Methane_Equations.VEERG_4_3_1_1__1_TotalAnnualMethaneFromManureManagementVariation(G$270,I245,G$275,0,0,0,0,0)</f>
        <v>0</v>
      </c>
      <c r="J298" s="53" cm="1">
        <f t="array" aca="1" ref="J298" ca="1">MMS_Dairy_Methane_Equations.VEERG_4_3_1_1__1_TotalAnnualMethaneFromManureManagementVariation(0,0,0,H$270,J245,H$275,H$280,H$285)</f>
        <v>0</v>
      </c>
      <c r="O298" s="53" t="str">
        <f>INDEX(X_Table_Dairy_ProductionSystems_Method1,4,1)</f>
        <v>Feed pad</v>
      </c>
      <c r="P298" s="53" t="s">
        <v>398</v>
      </c>
      <c r="Q298" s="53" cm="1">
        <f t="array" aca="1" ref="Q298" ca="1">MMS_Dairy_Methane_Equations.VEERG_4_3_1_1__1_TotalAnnualMethaneFromManureManagementVariation(D$270,Q245,O$275,0,0,0,0,0)</f>
        <v>0</v>
      </c>
      <c r="R298" s="53" cm="1">
        <f t="array" aca="1" ref="R298" ca="1">MMS_Dairy_Methane_Equations.VEERG_4_3_1_1__1_TotalAnnualMethaneFromManureManagementVariation(E$270,R245,P$275,0,0,0,0,0)</f>
        <v>0</v>
      </c>
      <c r="S298" s="53" cm="1">
        <f t="array" aca="1" ref="S298" ca="1">MMS_Dairy_Methane_Equations.VEERG_4_3_1_1__1_TotalAnnualMethaneFromManureManagementVariation(0,0,0,F$270,S245,Q$275,F$280,Q$285)</f>
        <v>0</v>
      </c>
      <c r="T298" s="53" cm="1">
        <f t="array" aca="1" ref="T298" ca="1">MMS_Dairy_Methane_Equations.VEERG_4_3_1_1__1_TotalAnnualMethaneFromManureManagementVariation(G$270,T245,R$275,0,0,0,0,0)</f>
        <v>0</v>
      </c>
      <c r="U298" s="53" cm="1">
        <f t="array" aca="1" ref="U298" ca="1">MMS_Dairy_Methane_Equations.VEERG_4_3_1_1__1_TotalAnnualMethaneFromManureManagementVariation(0,0,0,H$270,U245,S$275,H$280,S$285)</f>
        <v>0</v>
      </c>
    </row>
    <row r="300" spans="4:21" ht="20.25" x14ac:dyDescent="0.25">
      <c r="D300" s="104" t="s">
        <v>122</v>
      </c>
      <c r="E300" s="105">
        <f ca="1">SUM(F290:J298)</f>
        <v>2.3523414143389085</v>
      </c>
      <c r="F300" s="106" t="str">
        <f>$E$256</f>
        <v>t CH4</v>
      </c>
      <c r="O300" s="104" t="s">
        <v>413</v>
      </c>
      <c r="P300" s="105">
        <f ca="1">SUM(Q290:U298)</f>
        <v>2.46570726563235</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2.3523414143389085</v>
      </c>
      <c r="H302" s="2"/>
      <c r="O302" s="58" t="str" cm="1">
        <f t="array" ref="O302:P303">Common_Equations.Common_ConvertCH4ToCO2e_Arguments()</f>
        <v>ECH4</v>
      </c>
      <c r="P302" s="59" t="str">
        <v>Methane emissions (t CH4)</v>
      </c>
      <c r="Q302" s="107"/>
      <c r="R302" s="53">
        <f ca="1">VEERG_4_3_1_1__1_TotalAnnualMethaneFromManureManagement_Result_Method2</f>
        <v>2.46570726563235</v>
      </c>
      <c r="S302" s="2" t="s">
        <v>264</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123</v>
      </c>
      <c r="E305" s="155" cm="1">
        <f t="array" aca="1" ref="E305" ca="1">Common_Equations.Common_ConvertCH4ToCO2e(G302,G303)</f>
        <v>65.865559601489437</v>
      </c>
      <c r="F305" s="108" t="str" cm="1">
        <f t="array" ref="F305">Common_Equations.Common_ConvertN2OToCO2e_Unit()</f>
        <v>t CO2e</v>
      </c>
      <c r="O305" s="46" t="s">
        <v>412</v>
      </c>
      <c r="P305" s="46" cm="1">
        <f t="array" aca="1" ref="P305" ca="1">Common_Equations.Common_ConvertCH4ToCO2e(R302,R303)</f>
        <v>69.0398034377058</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B196" zoomScaleNormal="100" workbookViewId="0">
      <selection activeCell="E292" sqref="E292"/>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274</v>
      </c>
    </row>
    <row r="2" spans="1:21" s="9" customFormat="1" ht="20.100000000000001" customHeight="1" x14ac:dyDescent="0.25">
      <c r="A2"/>
    </row>
    <row r="3" spans="1:21" ht="20.100000000000001" customHeight="1" x14ac:dyDescent="0.25">
      <c r="A3" s="17" t="str">
        <f>HYPERLINK("#'Home'!A1", "Home")</f>
        <v>Home</v>
      </c>
      <c r="C3" s="4"/>
      <c r="D3" s="4" t="s">
        <v>112</v>
      </c>
      <c r="E3" s="4"/>
      <c r="F3" s="4"/>
      <c r="G3" s="4"/>
      <c r="H3" s="4"/>
      <c r="I3" s="4"/>
      <c r="J3" s="4"/>
      <c r="K3" s="4"/>
      <c r="M3" s="4"/>
      <c r="N3" s="4" t="s">
        <v>113</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72</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208</v>
      </c>
      <c r="N16" s="100" t="s">
        <v>210</v>
      </c>
    </row>
    <row r="17" spans="1:21" ht="20.100000000000001" customHeight="1" x14ac:dyDescent="0.25">
      <c r="A17" s="17" t="str">
        <f>HYPERLINK("#'4.3.1.6-7 Leaching and runoff'!A1", "4.3.1.6-7 Leaching and runoff")</f>
        <v>4.3.1.6-7 Leaching and runoff</v>
      </c>
      <c r="D17" s="99" t="s">
        <v>209</v>
      </c>
      <c r="N17" s="99" t="s">
        <v>211</v>
      </c>
    </row>
    <row r="18" spans="1:21" ht="20.100000000000001" customHeight="1" x14ac:dyDescent="0.25">
      <c r="A18" s="17" t="str">
        <f>HYPERLINK("#'4.3.1.8 Manure applied to soils'!A1", "4.3.1.8 Manure applied to soils")</f>
        <v>4.3.1.8 Manure applied to soils</v>
      </c>
      <c r="D18" s="40" t="s">
        <v>165</v>
      </c>
      <c r="E18" s="40" t="s">
        <v>182</v>
      </c>
      <c r="F18" s="40" t="s">
        <v>183</v>
      </c>
      <c r="G18" s="40" t="s">
        <v>184</v>
      </c>
      <c r="H18" s="40" t="s">
        <v>185</v>
      </c>
      <c r="N18" s="40" t="s">
        <v>165</v>
      </c>
      <c r="O18" s="40" t="s">
        <v>182</v>
      </c>
      <c r="P18" s="40" t="s">
        <v>183</v>
      </c>
      <c r="Q18" s="40" t="s">
        <v>184</v>
      </c>
      <c r="R18" s="40" t="s">
        <v>185</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0</v>
      </c>
      <c r="F19" s="53">
        <f>INDEX(X_Table_Dairy_Liveweight_Method1,2,4)</f>
        <v>0</v>
      </c>
      <c r="G19" s="53">
        <f>INDEX(X_Table_Dairy_Liveweight_Method1,2,5)</f>
        <v>0</v>
      </c>
      <c r="H19" s="53">
        <f>INDEX(X_Table_Dairy_Liveweight_Method1,2,6)</f>
        <v>0</v>
      </c>
      <c r="I19" s="2" t="s">
        <v>187</v>
      </c>
      <c r="N19" s="53">
        <f>INDEX(X_Table_Dairy_Liveweight_Method2,2,2)</f>
        <v>550</v>
      </c>
      <c r="O19" s="53">
        <f>INDEX(X_Table_Dairy_Liveweight_Method2,2,3)</f>
        <v>0</v>
      </c>
      <c r="P19" s="53">
        <f>INDEX(X_Table_Dairy_Liveweight_Method2,2,4)</f>
        <v>0</v>
      </c>
      <c r="Q19" s="53">
        <f>INDEX(X_Table_Dairy_Liveweight_Method2,2,5)</f>
        <v>0</v>
      </c>
      <c r="R19" s="53">
        <f>INDEX(X_Table_Dairy_Liveweight_Method2,2,6)</f>
        <v>0</v>
      </c>
      <c r="S19" s="2" t="s">
        <v>187</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275</v>
      </c>
    </row>
    <row r="22" spans="1:21" ht="20.100000000000001" customHeight="1" x14ac:dyDescent="0.25">
      <c r="D22" s="99" t="s">
        <v>276</v>
      </c>
    </row>
    <row r="23" spans="1:21" ht="20.100000000000001" customHeight="1" x14ac:dyDescent="0.25">
      <c r="D23" s="52" t="s">
        <v>165</v>
      </c>
      <c r="E23" s="52" t="s">
        <v>182</v>
      </c>
      <c r="F23" s="52" t="s">
        <v>183</v>
      </c>
      <c r="G23" s="52" t="s">
        <v>184</v>
      </c>
      <c r="H23" s="52" t="s">
        <v>185</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187</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277</v>
      </c>
      <c r="N26" s="100" t="s">
        <v>277</v>
      </c>
    </row>
    <row r="27" spans="1:21" ht="20.100000000000001" customHeight="1" x14ac:dyDescent="0.25">
      <c r="A27" s="17" t="str">
        <f>HYPERLINK("#'Constants - Livestock'!A1", "Constants - Livestock")</f>
        <v>Constants - Livestock</v>
      </c>
      <c r="D27" s="99" t="s">
        <v>278</v>
      </c>
      <c r="N27" s="99" t="s">
        <v>457</v>
      </c>
    </row>
    <row r="28" spans="1:21" ht="20.100000000000001" customHeight="1" x14ac:dyDescent="0.25">
      <c r="A28" s="17" t="str">
        <f>HYPERLINK("#'Acknowledgements'!A1", "Acknowledgements")</f>
        <v>Acknowledgements</v>
      </c>
      <c r="D28" s="52" t="s">
        <v>165</v>
      </c>
      <c r="E28" s="52" t="s">
        <v>182</v>
      </c>
      <c r="F28" s="52" t="s">
        <v>183</v>
      </c>
      <c r="G28" s="52" t="s">
        <v>184</v>
      </c>
      <c r="H28" s="52" t="s">
        <v>185</v>
      </c>
      <c r="N28" s="52" t="s">
        <v>165</v>
      </c>
      <c r="O28" s="52" t="s">
        <v>182</v>
      </c>
      <c r="P28" s="52" t="s">
        <v>183</v>
      </c>
      <c r="Q28" s="52" t="s">
        <v>184</v>
      </c>
      <c r="R28" s="52" t="s">
        <v>185</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v>
      </c>
      <c r="F29" s="53" cm="1">
        <f t="array" ref="F29">MMS_Dairy_N2ODirect_Equations.VEERG_4_3_1_3__8_RelativeSize(F19,F24)</f>
        <v>0</v>
      </c>
      <c r="G29" s="53" cm="1">
        <f t="array" ref="G29">MMS_Dairy_N2ODirect_Equations.VEERG_4_3_1_3__8_RelativeSize(G19,G24)</f>
        <v>0</v>
      </c>
      <c r="H29" s="53" cm="1">
        <f t="array" ref="H29">MMS_Dairy_N2ODirect_Equations.VEERG_4_3_1_3__8_RelativeSize(H19,H24)</f>
        <v>0</v>
      </c>
      <c r="I29" s="2" t="str">
        <f>$E$11</f>
        <v>ratio</v>
      </c>
      <c r="N29" s="53" cm="1">
        <f t="array" ref="N29">MMS_Dairy_N2ODirect_Equations.VEERG_4_3_1_3__8_RelativeSize(N19,D24)</f>
        <v>0.93220338983050843</v>
      </c>
      <c r="O29" s="53" cm="1">
        <f t="array" ref="O29">MMS_Dairy_N2ODirect_Equations.VEERG_4_3_1_3__8_RelativeSize(O19,E24)</f>
        <v>0</v>
      </c>
      <c r="P29" s="53" cm="1">
        <f t="array" ref="P29">MMS_Dairy_N2ODirect_Equations.VEERG_4_3_1_3__8_RelativeSize(P19,F24)</f>
        <v>0</v>
      </c>
      <c r="Q29" s="53" cm="1">
        <f t="array" ref="Q29">MMS_Dairy_N2ODirect_Equations.VEERG_4_3_1_3__8_RelativeSize(Q19,G24)</f>
        <v>0</v>
      </c>
      <c r="R29" s="53" cm="1">
        <f t="array" ref="R29">MMS_Dairy_N2ODirect_Equations.VEERG_4_3_1_3__8_RelativeSize(R19,H24)</f>
        <v>0</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105</v>
      </c>
      <c r="N47" s="100" t="s">
        <v>107</v>
      </c>
    </row>
    <row r="48" spans="4:14" ht="20.100000000000001" customHeight="1" x14ac:dyDescent="0.25">
      <c r="D48" s="99" t="s">
        <v>231</v>
      </c>
      <c r="N48" s="99" t="s">
        <v>230</v>
      </c>
    </row>
    <row r="49" spans="4:19" ht="20.100000000000001" customHeight="1" x14ac:dyDescent="0.25">
      <c r="D49" s="52" t="s">
        <v>165</v>
      </c>
      <c r="E49" s="52" t="s">
        <v>182</v>
      </c>
      <c r="F49" s="52" t="s">
        <v>183</v>
      </c>
      <c r="G49" s="52" t="s">
        <v>184</v>
      </c>
      <c r="H49" s="52" t="s">
        <v>185</v>
      </c>
      <c r="N49" s="52" t="s">
        <v>165</v>
      </c>
      <c r="O49" s="52" t="s">
        <v>182</v>
      </c>
      <c r="P49" s="52" t="s">
        <v>183</v>
      </c>
      <c r="Q49" s="52" t="s">
        <v>184</v>
      </c>
      <c r="R49" s="52" t="s">
        <v>185</v>
      </c>
    </row>
    <row r="50" spans="4:19" ht="20.100000000000001" customHeight="1" x14ac:dyDescent="0.25">
      <c r="D50" s="53">
        <f>INDEX(M1_Table_I_j,2,1)</f>
        <v>17.875018156751189</v>
      </c>
      <c r="E50" s="53">
        <f>INDEX(M1_Table_I_j,2,2)</f>
        <v>1.4042250000000001</v>
      </c>
      <c r="F50" s="53">
        <f>INDEX(M1_Table_I_j,2,3)</f>
        <v>1.4042250000000001</v>
      </c>
      <c r="G50" s="53">
        <f>INDEX(M1_Table_I_j,2,4)</f>
        <v>1.4042250000000001</v>
      </c>
      <c r="H50" s="53">
        <f>INDEX(M1_Table_I_j,2,5)</f>
        <v>1.4042250000000001</v>
      </c>
      <c r="I50" s="2" t="str">
        <f>G42</f>
        <v>kgDM/head/day</v>
      </c>
      <c r="N50" s="53">
        <f>INDEX(M2_Table_I_j,2,1)</f>
        <v>17.875018156751189</v>
      </c>
      <c r="O50" s="53">
        <f>INDEX(M2_Table_I_j,2,2)</f>
        <v>1.4042250000000001</v>
      </c>
      <c r="P50" s="53">
        <f>INDEX(M2_Table_I_j,2,3)</f>
        <v>1.4042250000000001</v>
      </c>
      <c r="Q50" s="53">
        <f>INDEX(M2_Table_I_j,2,4)</f>
        <v>1.4042250000000001</v>
      </c>
      <c r="R50" s="53">
        <f>INDEX(M2_Table_I_j,2,5)</f>
        <v>1.4042250000000001</v>
      </c>
      <c r="S50" s="2" t="str">
        <f>'4.3.1.1-2 Methane'!T114</f>
        <v>kg DM/head/day</v>
      </c>
    </row>
    <row r="51" spans="4:19" ht="20.100000000000001" customHeight="1" x14ac:dyDescent="0.25"/>
    <row r="52" spans="4:19" ht="20.100000000000001" customHeight="1" x14ac:dyDescent="0.25">
      <c r="D52" s="100" t="s">
        <v>216</v>
      </c>
    </row>
    <row r="53" spans="4:19" ht="20.100000000000001" customHeight="1" x14ac:dyDescent="0.25">
      <c r="D53" s="99" t="s">
        <v>217</v>
      </c>
    </row>
    <row r="54" spans="4:19" ht="20.100000000000001" customHeight="1" x14ac:dyDescent="0.25">
      <c r="D54" s="52" t="s">
        <v>165</v>
      </c>
      <c r="E54" s="52" t="s">
        <v>182</v>
      </c>
      <c r="F54" s="52" t="s">
        <v>183</v>
      </c>
      <c r="G54" s="52" t="s">
        <v>184</v>
      </c>
      <c r="H54" s="52" t="s">
        <v>185</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223</v>
      </c>
    </row>
    <row r="58" spans="4:19" ht="20.100000000000001" customHeight="1" x14ac:dyDescent="0.25">
      <c r="D58" s="99" t="s">
        <v>224</v>
      </c>
    </row>
    <row r="59" spans="4:19" ht="20.100000000000001" customHeight="1" x14ac:dyDescent="0.25">
      <c r="D59" s="52" t="s">
        <v>165</v>
      </c>
      <c r="E59" s="52" t="s">
        <v>182</v>
      </c>
      <c r="F59" s="52" t="s">
        <v>183</v>
      </c>
      <c r="G59" s="52" t="s">
        <v>184</v>
      </c>
      <c r="H59" s="52" t="s">
        <v>185</v>
      </c>
    </row>
    <row r="60" spans="4:19" ht="20.100000000000001" customHeight="1" x14ac:dyDescent="0.25">
      <c r="D60" s="53">
        <f>INDEX(M1_Table_MI_j,2,1)</f>
        <v>8.6205726359911861</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279</v>
      </c>
      <c r="N62" s="100" t="s">
        <v>281</v>
      </c>
    </row>
    <row r="63" spans="4:19" ht="20.100000000000001" customHeight="1" x14ac:dyDescent="0.25">
      <c r="D63" s="99" t="s">
        <v>280</v>
      </c>
      <c r="N63" s="99" t="s">
        <v>282</v>
      </c>
    </row>
    <row r="64" spans="4:19" ht="20.100000000000001" customHeight="1" x14ac:dyDescent="0.25">
      <c r="D64" s="52" t="s">
        <v>165</v>
      </c>
      <c r="E64" s="52" t="s">
        <v>182</v>
      </c>
      <c r="F64" s="52" t="s">
        <v>183</v>
      </c>
      <c r="G64" s="52" t="s">
        <v>184</v>
      </c>
      <c r="H64" s="52" t="s">
        <v>185</v>
      </c>
      <c r="N64" s="52" t="s">
        <v>165</v>
      </c>
      <c r="O64" s="52" t="s">
        <v>182</v>
      </c>
      <c r="P64" s="52" t="s">
        <v>183</v>
      </c>
      <c r="Q64" s="52" t="s">
        <v>184</v>
      </c>
      <c r="R64" s="52" t="s">
        <v>185</v>
      </c>
    </row>
    <row r="65" spans="3:21" ht="20.100000000000001" customHeight="1" x14ac:dyDescent="0.25">
      <c r="D65" s="53" cm="1">
        <f t="array" ref="D65">MMS_Dairy_N2ODirect_Equations.VEERG_4_3_1_3__7_IntakeRelativeToMaintenance(D50,D19,D55,D60)</f>
        <v>1.0018008996818786</v>
      </c>
      <c r="E65" s="53" cm="1">
        <f t="array" ref="E65">MMS_Dairy_N2ODirect_Equations.VEERG_4_3_1_3__7_IntakeRelativeToMaintenance(E50,E19,E55,E60)</f>
        <v>1</v>
      </c>
      <c r="F65" s="53" cm="1">
        <f t="array" ref="F65">MMS_Dairy_N2ODirect_Equations.VEERG_4_3_1_3__7_IntakeRelativeToMaintenance(F50,F19,F55,F60)</f>
        <v>1</v>
      </c>
      <c r="G65" s="53" cm="1">
        <f t="array" ref="G65">MMS_Dairy_N2ODirect_Equations.VEERG_4_3_1_3__7_IntakeRelativeToMaintenance(G50,G19,G55,G60)</f>
        <v>1</v>
      </c>
      <c r="H65" s="53" cm="1">
        <f t="array" ref="H65">MMS_Dairy_N2ODirect_Equations.VEERG_4_3_1_3__7_IntakeRelativeToMaintenance(H50,H19,H55,H60)</f>
        <v>1</v>
      </c>
      <c r="I65" s="2" t="str">
        <f>$E$40</f>
        <v>ratio</v>
      </c>
      <c r="N65" s="53" cm="1">
        <f t="array" ref="N65">MMS_Dairy_N2ODirect_Equations.VEERG_4_3_1_3__7_IntakeRelativeToMaintenance(N50,N19,D55,D60)</f>
        <v>1.0018008996818786</v>
      </c>
      <c r="O65" s="53" cm="1">
        <f t="array" ref="O65">MMS_Dairy_N2ODirect_Equations.VEERG_4_3_1_3__7_IntakeRelativeToMaintenance(O50,O19,E55,E60)</f>
        <v>1</v>
      </c>
      <c r="P65" s="53" cm="1">
        <f t="array" ref="P65">MMS_Dairy_N2ODirect_Equations.VEERG_4_3_1_3__7_IntakeRelativeToMaintenance(P50,P19,F55,F60)</f>
        <v>1</v>
      </c>
      <c r="Q65" s="53" cm="1">
        <f t="array" ref="Q65">MMS_Dairy_N2ODirect_Equations.VEERG_4_3_1_3__7_IntakeRelativeToMaintenance(Q50,Q19,G55,G60)</f>
        <v>1</v>
      </c>
      <c r="R65" s="53" cm="1">
        <f t="array" ref="R65">MMS_Dairy_N2ODirect_Equations.VEERG_4_3_1_3__7_IntakeRelativeToMaintenance(R50,R19,H55,H60)</f>
        <v>1</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439</v>
      </c>
      <c r="N85" s="100" t="s">
        <v>441</v>
      </c>
    </row>
    <row r="86" spans="4:19" ht="20.100000000000001" customHeight="1" x14ac:dyDescent="0.25">
      <c r="D86" s="99" t="s">
        <v>440</v>
      </c>
      <c r="N86" s="99" t="s">
        <v>442</v>
      </c>
    </row>
    <row r="87" spans="4:19" ht="20.100000000000001" customHeight="1" x14ac:dyDescent="0.25">
      <c r="D87" s="52" t="s">
        <v>165</v>
      </c>
      <c r="E87" s="52" t="s">
        <v>182</v>
      </c>
      <c r="F87" s="52" t="s">
        <v>183</v>
      </c>
      <c r="G87" s="52" t="s">
        <v>184</v>
      </c>
      <c r="H87" s="52" t="s">
        <v>185</v>
      </c>
      <c r="N87" s="52" t="s">
        <v>165</v>
      </c>
      <c r="O87" s="52" t="s">
        <v>182</v>
      </c>
      <c r="P87" s="52" t="s">
        <v>183</v>
      </c>
      <c r="Q87" s="52" t="s">
        <v>184</v>
      </c>
      <c r="R87" s="52" t="s">
        <v>185</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228</v>
      </c>
    </row>
    <row r="91" spans="4:19" ht="20.100000000000001" customHeight="1" x14ac:dyDescent="0.25">
      <c r="D91" s="99" t="s">
        <v>189</v>
      </c>
    </row>
    <row r="92" spans="4:19" ht="20.100000000000001" customHeight="1" x14ac:dyDescent="0.25">
      <c r="D92" s="40" t="s">
        <v>165</v>
      </c>
      <c r="E92" s="40" t="s">
        <v>182</v>
      </c>
      <c r="F92" s="40" t="s">
        <v>183</v>
      </c>
      <c r="G92" s="40" t="s">
        <v>184</v>
      </c>
      <c r="H92" s="40" t="s">
        <v>185</v>
      </c>
    </row>
    <row r="93" spans="4:19" ht="20.100000000000001" customHeight="1" x14ac:dyDescent="0.25">
      <c r="D93" s="53">
        <f>INDEX(Table_MP_j_Consumer_1,2,1)</f>
        <v>17.997260273972604</v>
      </c>
      <c r="E93" s="53">
        <v>0</v>
      </c>
      <c r="F93" s="53">
        <v>0</v>
      </c>
      <c r="G93" s="53">
        <v>0</v>
      </c>
      <c r="H93" s="53">
        <v>0</v>
      </c>
      <c r="I93" s="2" t="str">
        <f>$G$79</f>
        <v>L/head/day</v>
      </c>
    </row>
    <row r="94" spans="4:19" ht="20.100000000000001" customHeight="1" x14ac:dyDescent="0.25"/>
    <row r="95" spans="4:19" ht="20.100000000000001" customHeight="1" x14ac:dyDescent="0.25">
      <c r="D95" s="100" t="s">
        <v>212</v>
      </c>
      <c r="N95" s="100" t="s">
        <v>214</v>
      </c>
    </row>
    <row r="96" spans="4:19" ht="20.100000000000001" customHeight="1" x14ac:dyDescent="0.25">
      <c r="D96" s="99" t="s">
        <v>213</v>
      </c>
      <c r="N96" s="99" t="s">
        <v>215</v>
      </c>
    </row>
    <row r="97" spans="3:21" ht="20.100000000000001" customHeight="1" x14ac:dyDescent="0.25">
      <c r="D97" s="40" t="s">
        <v>165</v>
      </c>
      <c r="E97" s="40" t="s">
        <v>182</v>
      </c>
      <c r="F97" s="40" t="s">
        <v>183</v>
      </c>
      <c r="G97" s="40" t="s">
        <v>184</v>
      </c>
      <c r="H97" s="40" t="s">
        <v>185</v>
      </c>
      <c r="N97" s="40" t="s">
        <v>165</v>
      </c>
      <c r="O97" s="40" t="s">
        <v>182</v>
      </c>
      <c r="P97" s="40" t="s">
        <v>183</v>
      </c>
      <c r="Q97" s="40" t="s">
        <v>184</v>
      </c>
      <c r="R97" s="40" t="s">
        <v>185</v>
      </c>
    </row>
    <row r="98" spans="3:21" ht="20.100000000000001" customHeight="1" x14ac:dyDescent="0.25">
      <c r="D98" s="53">
        <f>INDEX(X_Table_Dairy_Liveweight_Method1,3,2)</f>
        <v>1.6E-2</v>
      </c>
      <c r="E98" s="53">
        <f>INDEX(X_Table_Dairy_Liveweight_Method1,3,3)</f>
        <v>0</v>
      </c>
      <c r="F98" s="53">
        <f>INDEX(X_Table_Dairy_Liveweight_Method1,3,4)</f>
        <v>0</v>
      </c>
      <c r="G98" s="53">
        <f>INDEX(X_Table_Dairy_Liveweight_Method1,3,5)</f>
        <v>0</v>
      </c>
      <c r="H98" s="53">
        <f>INDEX(X_Table_Dairy_Liveweight_Method1,3,6)</f>
        <v>0</v>
      </c>
      <c r="I98" s="2" t="str">
        <f>$G$83</f>
        <v>kg/head/day</v>
      </c>
      <c r="N98" s="53">
        <f>INDEX(X_Table_Dairy_Liveweight_Method2,3,2)</f>
        <v>1.6E-2</v>
      </c>
      <c r="O98" s="53">
        <f>INDEX(X_Table_Dairy_Liveweight_Method2,3,3)</f>
        <v>0</v>
      </c>
      <c r="P98" s="53">
        <f>INDEX(X_Table_Dairy_Liveweight_Method2,3,4)</f>
        <v>0</v>
      </c>
      <c r="Q98" s="53">
        <f>INDEX(X_Table_Dairy_Liveweight_Method2,3,5)</f>
        <v>0</v>
      </c>
      <c r="R98" s="53">
        <f>INDEX(X_Table_Dairy_Liveweight_Method2,3,6)</f>
        <v>0</v>
      </c>
      <c r="S98" s="2" t="str">
        <f>$G$83</f>
        <v>kg/head/day</v>
      </c>
    </row>
    <row r="99" spans="3:21" ht="20.100000000000001" customHeight="1" x14ac:dyDescent="0.25"/>
    <row r="100" spans="3:21" ht="20.100000000000001" customHeight="1" x14ac:dyDescent="0.25">
      <c r="D100" s="100" t="s">
        <v>108</v>
      </c>
      <c r="N100" s="100" t="s">
        <v>109</v>
      </c>
    </row>
    <row r="101" spans="3:21" ht="20.100000000000001" customHeight="1" x14ac:dyDescent="0.25">
      <c r="D101" s="99" t="s">
        <v>283</v>
      </c>
      <c r="N101" s="99" t="s">
        <v>284</v>
      </c>
    </row>
    <row r="102" spans="3:21" ht="20.100000000000001" customHeight="1" x14ac:dyDescent="0.25">
      <c r="D102" s="52" t="s">
        <v>165</v>
      </c>
      <c r="E102" s="52" t="s">
        <v>182</v>
      </c>
      <c r="F102" s="52" t="s">
        <v>183</v>
      </c>
      <c r="G102" s="52" t="s">
        <v>184</v>
      </c>
      <c r="H102" s="52" t="s">
        <v>185</v>
      </c>
      <c r="N102" s="52" t="s">
        <v>165</v>
      </c>
      <c r="O102" s="52" t="s">
        <v>182</v>
      </c>
      <c r="P102" s="52" t="s">
        <v>183</v>
      </c>
      <c r="Q102" s="52" t="s">
        <v>184</v>
      </c>
      <c r="R102" s="52" t="s">
        <v>185</v>
      </c>
    </row>
    <row r="103" spans="3:21" ht="20.100000000000001" customHeight="1" x14ac:dyDescent="0.25">
      <c r="D103" s="53" cm="1">
        <f t="array" ref="D103">MMS_Dairy_N2ODirect_Equations.VEERG_4_3_1_3__6_NitrogenRetainedByBody(IF($I$78="Milk solids", D88, D93),D65,D29,D98)</f>
        <v>9.3159756043396227E-2</v>
      </c>
      <c r="E103" s="53" cm="1">
        <f t="array" ref="E103">MMS_Dairy_N2ODirect_Equations.VEERG_4_3_1_3__6_NitrogenRetainedByBody(IF($I$78="Milk solids", E88, E93),E65,E29,E98)</f>
        <v>0</v>
      </c>
      <c r="F103" s="53" cm="1">
        <f t="array" ref="F103">MMS_Dairy_N2ODirect_Equations.VEERG_4_3_1_3__6_NitrogenRetainedByBody(IF($I$78="Milk solids", F88, F93),F65,F29,F98)</f>
        <v>0</v>
      </c>
      <c r="G103" s="53" cm="1">
        <f t="array" ref="G103">MMS_Dairy_N2ODirect_Equations.VEERG_4_3_1_3__6_NitrogenRetainedByBody(IF($I$78="Milk solids", G88, G93),G65,G29,G98)</f>
        <v>0</v>
      </c>
      <c r="H103" s="53" cm="1">
        <f t="array" ref="H103">MMS_Dairy_N2ODirect_Equations.VEERG_4_3_1_3__6_NitrogenRetainedByBody(IF($I$78="Milk solids", H88, H93),H65,H29,H98)</f>
        <v>0</v>
      </c>
      <c r="I103" s="2" t="str">
        <f>$E$76</f>
        <v>kg N/head/day</v>
      </c>
      <c r="N103" s="53" cm="1">
        <f t="array" ref="N103">MMS_Dairy_N2ODirect_Equations.VEERG_4_3_1_3__6_NitrogenRetainedByBody(IF($I$78="Milk solids",N88,D93),N65,N29,N98)</f>
        <v>9.3159756043396227E-2</v>
      </c>
      <c r="O103" s="53" cm="1">
        <f t="array" ref="O103">MMS_Dairy_N2ODirect_Equations.VEERG_4_3_1_3__6_NitrogenRetainedByBody(IF($I$78="Milk solids",O88,E93),O65,O29,O98)</f>
        <v>0</v>
      </c>
      <c r="P103" s="53" cm="1">
        <f t="array" ref="P103">MMS_Dairy_N2ODirect_Equations.VEERG_4_3_1_3__6_NitrogenRetainedByBody(IF($I$78="Milk solids",P88,F93),P65,P29,P98)</f>
        <v>0</v>
      </c>
      <c r="Q103" s="53" cm="1">
        <f t="array" ref="Q103">MMS_Dairy_N2ODirect_Equations.VEERG_4_3_1_3__6_NitrogenRetainedByBody(IF($I$78="Milk solids",Q88,G93),Q65,Q29,Q98)</f>
        <v>0</v>
      </c>
      <c r="R103" s="53" cm="1">
        <f t="array" ref="R103">MMS_Dairy_N2ODirect_Equations.VEERG_4_3_1_3__6_NitrogenRetainedByBody(IF($I$78="Milk solids",R88,H93),R65,R29,R98)</f>
        <v>0</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106</v>
      </c>
      <c r="N118" s="100" t="s">
        <v>453</v>
      </c>
    </row>
    <row r="119" spans="4:19" ht="20.100000000000001" customHeight="1" x14ac:dyDescent="0.25">
      <c r="D119" s="99" t="s">
        <v>285</v>
      </c>
      <c r="N119" s="99" t="s">
        <v>454</v>
      </c>
    </row>
    <row r="120" spans="4:19" ht="20.100000000000001" customHeight="1" x14ac:dyDescent="0.25">
      <c r="D120" s="40" t="s">
        <v>165</v>
      </c>
      <c r="E120" s="40" t="s">
        <v>182</v>
      </c>
      <c r="F120" s="40" t="s">
        <v>183</v>
      </c>
      <c r="G120" s="40" t="s">
        <v>184</v>
      </c>
      <c r="H120" s="40" t="s">
        <v>185</v>
      </c>
      <c r="N120" s="40" t="s">
        <v>165</v>
      </c>
      <c r="O120" s="40" t="s">
        <v>182</v>
      </c>
      <c r="P120" s="40" t="s">
        <v>183</v>
      </c>
      <c r="Q120" s="40" t="s">
        <v>184</v>
      </c>
      <c r="R120" s="40" t="s">
        <v>185</v>
      </c>
    </row>
    <row r="121" spans="4:19" ht="20.100000000000001" customHeight="1" x14ac:dyDescent="0.25">
      <c r="D121" s="53">
        <f>INDEX(X_Table_Dairy_Diet_Method1,3,2)</f>
        <v>0.2</v>
      </c>
      <c r="E121" s="53">
        <f>INDEX(X_Table_Dairy_Diet_Method1,3,3)</f>
        <v>0</v>
      </c>
      <c r="F121" s="53">
        <f>INDEX(X_Table_Dairy_Diet_Method1,3,4)</f>
        <v>0</v>
      </c>
      <c r="G121" s="53">
        <f>INDEX(X_Table_Dairy_Diet_Method1,3,5)</f>
        <v>0</v>
      </c>
      <c r="H121" s="53">
        <f>INDEX(X_Table_Dairy_Diet_Method1,3,6)</f>
        <v>0</v>
      </c>
      <c r="I121" s="2" t="str">
        <f>$F$116</f>
        <v>fraction</v>
      </c>
      <c r="N121" s="53">
        <f>INDEX(X_Table_Dairy_Diet_Method2,3,2)</f>
        <v>0.2</v>
      </c>
      <c r="O121" s="53">
        <f>INDEX(X_Table_Dairy_Diet_Method2,3,3)</f>
        <v>0</v>
      </c>
      <c r="P121" s="53">
        <f>INDEX(X_Table_Dairy_Diet_Method2,3,4)</f>
        <v>0</v>
      </c>
      <c r="Q121" s="53">
        <f>INDEX(X_Table_Dairy_Diet_Method2,3,5)</f>
        <v>0</v>
      </c>
      <c r="R121" s="53">
        <f>INDEX(X_Table_Dairy_Diet_Method2,3,6)</f>
        <v>0</v>
      </c>
      <c r="S121" s="2" t="str">
        <f>$F$116</f>
        <v>fraction</v>
      </c>
    </row>
    <row r="122" spans="4:19" ht="20.100000000000001" customHeight="1" x14ac:dyDescent="0.25"/>
    <row r="123" spans="4:19" ht="20.100000000000001" customHeight="1" x14ac:dyDescent="0.25">
      <c r="D123" s="100" t="s">
        <v>286</v>
      </c>
      <c r="N123" s="100" t="s">
        <v>455</v>
      </c>
    </row>
    <row r="124" spans="4:19" ht="20.100000000000001" customHeight="1" x14ac:dyDescent="0.25">
      <c r="D124" s="99" t="s">
        <v>287</v>
      </c>
      <c r="N124" s="99" t="s">
        <v>456</v>
      </c>
    </row>
    <row r="125" spans="4:19" ht="20.100000000000001" customHeight="1" x14ac:dyDescent="0.25">
      <c r="D125" s="52" t="s">
        <v>165</v>
      </c>
      <c r="E125" s="52" t="s">
        <v>182</v>
      </c>
      <c r="F125" s="52" t="s">
        <v>183</v>
      </c>
      <c r="G125" s="52" t="s">
        <v>184</v>
      </c>
      <c r="H125" s="52" t="s">
        <v>185</v>
      </c>
      <c r="N125" s="52" t="s">
        <v>165</v>
      </c>
      <c r="O125" s="52" t="s">
        <v>182</v>
      </c>
      <c r="P125" s="52" t="s">
        <v>183</v>
      </c>
      <c r="Q125" s="52" t="s">
        <v>184</v>
      </c>
      <c r="R125" s="52" t="s">
        <v>185</v>
      </c>
    </row>
    <row r="126" spans="4:19" ht="20.100000000000001" customHeight="1" x14ac:dyDescent="0.25">
      <c r="D126" s="53" cm="1">
        <f t="array" ref="D126">MMS_Dairy_N2ODirect_Equations.VEERG_4_3_1_3__5_CrudeProteinIntakeOfDairyCattle(D50,D121)</f>
        <v>3.575003631350238</v>
      </c>
      <c r="E126" s="53" cm="1">
        <f t="array" ref="E126">MMS_Dairy_N2ODirect_Equations.VEERG_4_3_1_3__5_CrudeProteinIntakeOfDairyCattle(E50,E121)</f>
        <v>0</v>
      </c>
      <c r="F126" s="53" cm="1">
        <f t="array" ref="F126">MMS_Dairy_N2ODirect_Equations.VEERG_4_3_1_3__5_CrudeProteinIntakeOfDairyCattle(F50,F121)</f>
        <v>0</v>
      </c>
      <c r="G126" s="53" cm="1">
        <f t="array" ref="G126">MMS_Dairy_N2ODirect_Equations.VEERG_4_3_1_3__5_CrudeProteinIntakeOfDairyCattle(G50,G121)</f>
        <v>0</v>
      </c>
      <c r="H126" s="53" cm="1">
        <f t="array" ref="H126">MMS_Dairy_N2ODirect_Equations.VEERG_4_3_1_3__5_CrudeProteinIntakeOfDairyCattle(H50,H121)</f>
        <v>0</v>
      </c>
      <c r="I126" s="2" t="str">
        <f>$E$113</f>
        <v>kg/head/day</v>
      </c>
      <c r="N126" s="53" cm="1">
        <f t="array" ref="N126">MMS_Dairy_N2ODirect_Equations.VEERG_4_3_1_3__5_CrudeProteinIntakeOfDairyCattle(N50,N121)</f>
        <v>3.575003631350238</v>
      </c>
      <c r="O126" s="53" cm="1">
        <f t="array" ref="O126">MMS_Dairy_N2ODirect_Equations.VEERG_4_3_1_3__5_CrudeProteinIntakeOfDairyCattle(O50,O121)</f>
        <v>0</v>
      </c>
      <c r="P126" s="53" cm="1">
        <f t="array" ref="P126">MMS_Dairy_N2ODirect_Equations.VEERG_4_3_1_3__5_CrudeProteinIntakeOfDairyCattle(P50,P121)</f>
        <v>0</v>
      </c>
      <c r="Q126" s="53" cm="1">
        <f t="array" ref="Q126">MMS_Dairy_N2ODirect_Equations.VEERG_4_3_1_3__5_CrudeProteinIntakeOfDairyCattle(Q50,Q121)</f>
        <v>0</v>
      </c>
      <c r="R126" s="53" cm="1">
        <f t="array" ref="R126">MMS_Dairy_N2ODirect_Equations.VEERG_4_3_1_3__5_CrudeProteinIntakeOfDairyCattle(R50,R121)</f>
        <v>0</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110</v>
      </c>
      <c r="N143" s="100" t="s">
        <v>111</v>
      </c>
    </row>
    <row r="144" spans="3:21" ht="20.100000000000001" customHeight="1" x14ac:dyDescent="0.25">
      <c r="D144" s="99" t="s">
        <v>288</v>
      </c>
      <c r="N144" s="99" t="s">
        <v>289</v>
      </c>
    </row>
    <row r="145" spans="3:21" ht="20.100000000000001" customHeight="1" x14ac:dyDescent="0.25">
      <c r="D145" s="52" t="s">
        <v>165</v>
      </c>
      <c r="E145" s="52" t="s">
        <v>182</v>
      </c>
      <c r="F145" s="52" t="s">
        <v>183</v>
      </c>
      <c r="G145" s="52" t="s">
        <v>184</v>
      </c>
      <c r="H145" s="52" t="s">
        <v>185</v>
      </c>
      <c r="N145" s="52" t="s">
        <v>165</v>
      </c>
      <c r="O145" s="52" t="s">
        <v>182</v>
      </c>
      <c r="P145" s="52" t="s">
        <v>183</v>
      </c>
      <c r="Q145" s="52" t="s">
        <v>184</v>
      </c>
      <c r="R145" s="52" t="s">
        <v>185</v>
      </c>
    </row>
    <row r="146" spans="3:21" ht="20.100000000000001" customHeight="1" x14ac:dyDescent="0.25">
      <c r="D146" s="53" cm="1">
        <f t="array" ref="D146">MMS_Dairy_N2ODirect_Equations.VEERG_4_3_1_3__4_NitrogenExcretedByDairyCattleGreaterThanOneYear(D126,D103,D19)</f>
        <v>0.47684195435130394</v>
      </c>
      <c r="E146" s="53" cm="1">
        <f t="array" ref="E146">MMS_Dairy_N2ODirect_Equations.VEERG_4_3_1_3__4_NitrogenExcretedByDairyCattleGreaterThanOneYear(E126,E103,E19)</f>
        <v>0</v>
      </c>
      <c r="F146" s="53" cm="1">
        <f t="array" ref="F146">MMS_Dairy_N2ODirect_Equations.VEERG_4_3_1_3__4_NitrogenExcretedByDairyCattleGreaterThanOneYear(F126,F103,F19)</f>
        <v>0</v>
      </c>
      <c r="G146" s="53" cm="1">
        <f t="array" ref="G146">MMS_Dairy_N2ODirect_Equations.VEERG_4_3_1_3__4_NitrogenExcretedByDairyCattleGreaterThanOneYear(G126,G103,G19)</f>
        <v>0</v>
      </c>
      <c r="H146" s="53" cm="1">
        <f t="array" ref="H146">MMS_Dairy_N2ODirect_Equations.VEERG_4_3_1_3__4_NitrogenExcretedByDairyCattleGreaterThanOneYear(H126,H103,H19)</f>
        <v>0</v>
      </c>
      <c r="I146" s="2" t="str">
        <f>$E$137</f>
        <v>kg N/head/day</v>
      </c>
      <c r="N146" s="53" cm="1">
        <f t="array" ref="N146">MMS_Dairy_N2ODirect_Equations.VEERG_4_3_1_3__4_NitrogenExcretedByDairyCattleGreaterThanOneYear(N126,N103,N19)</f>
        <v>0.47684195435130394</v>
      </c>
      <c r="O146" s="53" cm="1">
        <f t="array" ref="O146">MMS_Dairy_N2ODirect_Equations.VEERG_4_3_1_3__4_NitrogenExcretedByDairyCattleGreaterThanOneYear(O126,O103,O19)</f>
        <v>0</v>
      </c>
      <c r="P146" s="53" cm="1">
        <f t="array" ref="P146">MMS_Dairy_N2ODirect_Equations.VEERG_4_3_1_3__4_NitrogenExcretedByDairyCattleGreaterThanOneYear(P126,P103,P19)</f>
        <v>0</v>
      </c>
      <c r="Q146" s="53" cm="1">
        <f t="array" ref="Q146">MMS_Dairy_N2ODirect_Equations.VEERG_4_3_1_3__4_NitrogenExcretedByDairyCattleGreaterThanOneYear(Q126,Q103,Q19)</f>
        <v>0</v>
      </c>
      <c r="R146" s="53" cm="1">
        <f t="array" ref="R146">MMS_Dairy_N2ODirect_Equations.VEERG_4_3_1_3__4_NitrogenExcretedByDairyCattleGreaterThanOneYear(R126,R103,R19)</f>
        <v>0</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100</v>
      </c>
    </row>
    <row r="164" spans="1:19" ht="20.100000000000001" customHeight="1" x14ac:dyDescent="0.25">
      <c r="D164" s="99" t="s">
        <v>256</v>
      </c>
    </row>
    <row r="165" spans="1:19" ht="20.100000000000001" customHeight="1" x14ac:dyDescent="0.25">
      <c r="D165" s="40" t="s">
        <v>165</v>
      </c>
      <c r="E165" s="40" t="s">
        <v>182</v>
      </c>
      <c r="F165" s="40" t="s">
        <v>183</v>
      </c>
      <c r="G165" s="40" t="s">
        <v>184</v>
      </c>
      <c r="H165" s="40" t="s">
        <v>185</v>
      </c>
    </row>
    <row r="166" spans="1:19" ht="20.100000000000001" customHeight="1" x14ac:dyDescent="0.25">
      <c r="D166" s="103">
        <f>INDEX(X_Table_Dairy_HerdMovement,2,2)</f>
        <v>100</v>
      </c>
      <c r="E166" s="103">
        <f>INDEX(X_Table_Dairy_HerdMovement,2,3)</f>
        <v>0</v>
      </c>
      <c r="F166" s="103">
        <f>INDEX(X_Table_Dairy_HerdMovement,2,4)</f>
        <v>0</v>
      </c>
      <c r="G166" s="103">
        <f>INDEX(X_Table_Dairy_HerdMovement,2,5)</f>
        <v>0</v>
      </c>
      <c r="H166" s="103">
        <f>INDEX(X_Table_Dairy_HerdMovement,2,6)</f>
        <v>0</v>
      </c>
      <c r="I166" s="2" t="str">
        <f>G159</f>
        <v>head</v>
      </c>
    </row>
    <row r="167" spans="1:19" ht="20.100000000000001" customHeight="1" x14ac:dyDescent="0.25"/>
    <row r="168" spans="1:19" ht="20.100000000000001" customHeight="1" x14ac:dyDescent="0.25">
      <c r="D168" s="100" t="s">
        <v>263</v>
      </c>
      <c r="N168" s="100" t="s">
        <v>452</v>
      </c>
    </row>
    <row r="169" spans="1:19" ht="20.100000000000001" customHeight="1" x14ac:dyDescent="0.25">
      <c r="D169" s="99" t="s">
        <v>291</v>
      </c>
      <c r="N169" s="99" t="s">
        <v>292</v>
      </c>
    </row>
    <row r="170" spans="1:19" ht="20.100000000000001" customHeight="1" x14ac:dyDescent="0.25">
      <c r="D170" s="40" t="s">
        <v>165</v>
      </c>
      <c r="E170" s="40" t="s">
        <v>182</v>
      </c>
      <c r="F170" s="40" t="s">
        <v>183</v>
      </c>
      <c r="G170" s="40" t="s">
        <v>184</v>
      </c>
      <c r="H170" s="40" t="s">
        <v>185</v>
      </c>
      <c r="N170" s="40" t="s">
        <v>165</v>
      </c>
      <c r="O170" s="40" t="s">
        <v>182</v>
      </c>
      <c r="P170" s="40" t="s">
        <v>183</v>
      </c>
      <c r="Q170" s="40" t="s">
        <v>184</v>
      </c>
      <c r="R170" s="40" t="s">
        <v>185</v>
      </c>
    </row>
    <row r="171" spans="1:19" ht="20.100000000000001" customHeight="1" x14ac:dyDescent="0.25">
      <c r="A171" s="137" t="str">
        <f>HYPERLINK("#A1", "▲ Back to top")</f>
        <v>▲ Back to top</v>
      </c>
      <c r="D171" s="53">
        <f>INDEX(X_Table_Dairy_DurationOfStay_Method1,2,2)</f>
        <v>365</v>
      </c>
      <c r="E171" s="53">
        <f>INDEX(X_Table_Dairy_DurationOfStay_Method1,2,3)</f>
        <v>0</v>
      </c>
      <c r="F171" s="53">
        <v>0</v>
      </c>
      <c r="G171" s="53">
        <f>INDEX(X_Table_Dairy_DurationOfStay_Method1,2,5)</f>
        <v>0</v>
      </c>
      <c r="H171" s="53">
        <v>0</v>
      </c>
      <c r="I171" s="2" t="str">
        <f>G161</f>
        <v>days</v>
      </c>
      <c r="N171" s="53">
        <f>INDEX(X_Table_Dairy_DurationOfStay_Method2,2,2)</f>
        <v>365</v>
      </c>
      <c r="O171" s="53">
        <f>INDEX(X_Table_Dairy_DurationOfStay_Method2,2,3)</f>
        <v>0</v>
      </c>
      <c r="P171" s="53">
        <v>0</v>
      </c>
      <c r="Q171" s="53">
        <f>INDEX(X_Table_Dairy_DurationOfStay_Method2,2,5)</f>
        <v>0</v>
      </c>
      <c r="R171" s="53">
        <v>0</v>
      </c>
      <c r="S171" s="2" t="s">
        <v>52</v>
      </c>
    </row>
    <row r="172" spans="1:19" ht="20.100000000000001" customHeight="1" x14ac:dyDescent="0.25"/>
    <row r="173" spans="1:19" ht="20.100000000000001" customHeight="1" x14ac:dyDescent="0.25">
      <c r="D173" s="100" t="s">
        <v>290</v>
      </c>
      <c r="N173" s="100" t="s">
        <v>450</v>
      </c>
    </row>
    <row r="174" spans="1:19" ht="20.100000000000001" customHeight="1" x14ac:dyDescent="0.25">
      <c r="D174" s="99" t="s">
        <v>298</v>
      </c>
      <c r="N174" s="99" t="s">
        <v>451</v>
      </c>
    </row>
    <row r="175" spans="1:19" ht="20.100000000000001" customHeight="1" x14ac:dyDescent="0.25">
      <c r="D175" s="52" t="s">
        <v>165</v>
      </c>
      <c r="E175" s="52" t="s">
        <v>182</v>
      </c>
      <c r="F175" s="52" t="s">
        <v>183</v>
      </c>
      <c r="G175" s="52" t="s">
        <v>184</v>
      </c>
      <c r="H175" s="52" t="s">
        <v>185</v>
      </c>
      <c r="N175" s="52" t="s">
        <v>165</v>
      </c>
      <c r="O175" s="52" t="s">
        <v>182</v>
      </c>
      <c r="P175" s="52" t="s">
        <v>183</v>
      </c>
      <c r="Q175" s="52" t="s">
        <v>184</v>
      </c>
      <c r="R175" s="52" t="s">
        <v>185</v>
      </c>
    </row>
    <row r="176" spans="1:19" ht="20.100000000000001" customHeight="1" x14ac:dyDescent="0.25">
      <c r="D176" s="53" cm="1">
        <f t="array" ref="D176">MMS_Dairy_N2ODirect_Equations.VEERG_4_3_1_3__3a_TotalAnnualNitrogenExcretedGreaterThanOneYearVariation(D166,D146,D171)</f>
        <v>17404.731333822594</v>
      </c>
      <c r="E176" s="53" cm="1">
        <f t="array" ref="E176">MMS_Dairy_N2ODirect_Equations.VEERG_4_3_1_3__3a_TotalAnnualNitrogenExcretedGreaterThanOneYearVariation(E166,E146,E171)</f>
        <v>0</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0</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17404.731333822594</v>
      </c>
      <c r="O176" s="53" cm="1">
        <f t="array" ref="O176">MMS_Dairy_N2ODirect_Equations.VEERG_4_3_1_3__3a_TotalAnnualNitrogenExcretedGreaterThanOneYearVariation(E166,O146,O171)</f>
        <v>0</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0</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295</v>
      </c>
    </row>
    <row r="196" spans="1:19" ht="20.100000000000001" customHeight="1" x14ac:dyDescent="0.25">
      <c r="D196" s="99" t="s">
        <v>296</v>
      </c>
    </row>
    <row r="197" spans="1:19" ht="20.100000000000001" customHeight="1" x14ac:dyDescent="0.25">
      <c r="D197" s="52" t="s">
        <v>165</v>
      </c>
      <c r="E197" s="52" t="s">
        <v>182</v>
      </c>
      <c r="F197" s="52" t="s">
        <v>183</v>
      </c>
      <c r="G197" s="52" t="s">
        <v>184</v>
      </c>
      <c r="H197" s="52" t="s">
        <v>185</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293</v>
      </c>
      <c r="N200" s="100" t="s">
        <v>293</v>
      </c>
    </row>
    <row r="201" spans="1:19" ht="20.100000000000001" customHeight="1" x14ac:dyDescent="0.25">
      <c r="D201" s="99" t="s">
        <v>294</v>
      </c>
      <c r="N201" s="99" t="s">
        <v>447</v>
      </c>
    </row>
    <row r="202" spans="1:19" ht="20.100000000000001" customHeight="1" x14ac:dyDescent="0.25">
      <c r="D202" s="40" t="s">
        <v>165</v>
      </c>
      <c r="E202" s="40" t="s">
        <v>182</v>
      </c>
      <c r="F202" s="40" t="s">
        <v>183</v>
      </c>
      <c r="G202" s="40" t="s">
        <v>184</v>
      </c>
      <c r="H202" s="40" t="s">
        <v>185</v>
      </c>
      <c r="N202" s="40" t="s">
        <v>165</v>
      </c>
      <c r="O202" s="40" t="s">
        <v>182</v>
      </c>
      <c r="P202" s="40" t="s">
        <v>183</v>
      </c>
      <c r="Q202" s="40" t="s">
        <v>184</v>
      </c>
      <c r="R202" s="40" t="s">
        <v>185</v>
      </c>
    </row>
    <row r="203" spans="1:19" ht="20.100000000000001" customHeight="1" x14ac:dyDescent="0.25">
      <c r="D203" s="53">
        <v>0</v>
      </c>
      <c r="E203" s="53">
        <v>0</v>
      </c>
      <c r="F203" s="53">
        <f>INDEX(X_Table_Dairy_DurationOfStay_Method1,2,4)</f>
        <v>0</v>
      </c>
      <c r="G203" s="53">
        <v>0</v>
      </c>
      <c r="H203" s="53">
        <f>INDEX(X_Table_Dairy_DurationOfStay_Method1,2,6)</f>
        <v>0</v>
      </c>
      <c r="I203" s="2" t="str">
        <f>$G$192</f>
        <v>days</v>
      </c>
      <c r="N203" s="53">
        <v>0</v>
      </c>
      <c r="O203" s="53">
        <v>0</v>
      </c>
      <c r="P203" s="53">
        <f>INDEX(X_Table_Dairy_DurationOfStay_Method2,2,4)</f>
        <v>0</v>
      </c>
      <c r="Q203" s="53">
        <v>0</v>
      </c>
      <c r="R203" s="53">
        <f>INDEX(X_Table_Dairy_DurationOfStay_Method2,2,6)</f>
        <v>0</v>
      </c>
      <c r="S203" s="2" t="str">
        <f>$G$192</f>
        <v>days</v>
      </c>
    </row>
    <row r="204" spans="1:19" ht="20.100000000000001" customHeight="1" x14ac:dyDescent="0.25"/>
    <row r="205" spans="1:19" ht="20.100000000000001" customHeight="1" x14ac:dyDescent="0.25">
      <c r="D205" s="100" t="s">
        <v>258</v>
      </c>
      <c r="N205" s="100" t="s">
        <v>258</v>
      </c>
    </row>
    <row r="206" spans="1:19" ht="20.100000000000001" customHeight="1" x14ac:dyDescent="0.25">
      <c r="D206" s="99" t="s">
        <v>266</v>
      </c>
      <c r="N206" s="99" t="s">
        <v>448</v>
      </c>
    </row>
    <row r="207" spans="1:19" ht="20.100000000000001" customHeight="1" x14ac:dyDescent="0.25">
      <c r="D207" s="40" t="s">
        <v>165</v>
      </c>
      <c r="E207" s="40" t="s">
        <v>182</v>
      </c>
      <c r="F207" s="40" t="s">
        <v>183</v>
      </c>
      <c r="G207" s="40" t="s">
        <v>184</v>
      </c>
      <c r="H207" s="40" t="s">
        <v>185</v>
      </c>
      <c r="N207" s="40" t="s">
        <v>165</v>
      </c>
      <c r="O207" s="40" t="s">
        <v>182</v>
      </c>
      <c r="P207" s="40" t="s">
        <v>183</v>
      </c>
      <c r="Q207" s="40" t="s">
        <v>184</v>
      </c>
      <c r="R207" s="40" t="s">
        <v>185</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0</v>
      </c>
      <c r="G208" s="53">
        <f>INDEX(X_Table_Dairy_DurationOfStay_Method1,3,5)</f>
        <v>0</v>
      </c>
      <c r="H208" s="53">
        <f>INDEX(X_Table_Dairy_DurationOfStay_Method1,3,6)</f>
        <v>0</v>
      </c>
      <c r="I208" s="2" t="str">
        <f>$G$193</f>
        <v>days</v>
      </c>
      <c r="N208" s="53">
        <f>INDEX(X_Table_Dairy_DurationOfStay_Method1,3,2)</f>
        <v>0</v>
      </c>
      <c r="O208" s="53">
        <f>INDEX(X_Table_Dairy_DurationOfStay_Method1,3,3)</f>
        <v>0</v>
      </c>
      <c r="P208" s="53">
        <f>INDEX(X_Table_Dairy_DurationOfStay_Method2,3,4)</f>
        <v>0</v>
      </c>
      <c r="Q208" s="53">
        <f>INDEX(X_Table_Dairy_DurationOfStay_Method1,3,5)</f>
        <v>0</v>
      </c>
      <c r="R208" s="53">
        <f>INDEX(X_Table_Dairy_DurationOfStay_Method2,3,6)</f>
        <v>0</v>
      </c>
      <c r="S208" s="2" t="str">
        <f>$G$193</f>
        <v>days</v>
      </c>
    </row>
    <row r="209" spans="3:21" ht="20.100000000000001" customHeight="1" x14ac:dyDescent="0.25"/>
    <row r="210" spans="3:21" ht="20.100000000000001" customHeight="1" x14ac:dyDescent="0.25">
      <c r="D210" s="100" t="s">
        <v>114</v>
      </c>
      <c r="N210" s="100" t="s">
        <v>114</v>
      </c>
    </row>
    <row r="211" spans="3:21" ht="20.100000000000001" customHeight="1" x14ac:dyDescent="0.25">
      <c r="D211" s="99" t="s">
        <v>297</v>
      </c>
      <c r="N211" s="99" t="s">
        <v>449</v>
      </c>
    </row>
    <row r="212" spans="3:21" ht="20.100000000000001" customHeight="1" x14ac:dyDescent="0.25">
      <c r="D212" s="52" t="s">
        <v>165</v>
      </c>
      <c r="E212" s="52" t="s">
        <v>182</v>
      </c>
      <c r="F212" s="52" t="s">
        <v>183</v>
      </c>
      <c r="G212" s="52" t="s">
        <v>184</v>
      </c>
      <c r="H212" s="52" t="s">
        <v>185</v>
      </c>
      <c r="N212" s="52" t="s">
        <v>165</v>
      </c>
      <c r="O212" s="52" t="s">
        <v>182</v>
      </c>
      <c r="P212" s="52" t="s">
        <v>183</v>
      </c>
      <c r="Q212" s="52" t="s">
        <v>184</v>
      </c>
      <c r="R212" s="52" t="s">
        <v>185</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0</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0</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0</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0</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238</v>
      </c>
      <c r="N228" s="100" t="s">
        <v>240</v>
      </c>
    </row>
    <row r="229" spans="4:20" ht="20.100000000000001" customHeight="1" x14ac:dyDescent="0.25">
      <c r="D229" s="99" t="s">
        <v>299</v>
      </c>
      <c r="N229" s="99" t="s">
        <v>300</v>
      </c>
    </row>
    <row r="230" spans="4:20" ht="20.100000000000001" customHeight="1" x14ac:dyDescent="0.25">
      <c r="D230" s="40" t="s">
        <v>140</v>
      </c>
      <c r="E230" s="40" t="s">
        <v>65</v>
      </c>
      <c r="F230" s="40" t="s">
        <v>165</v>
      </c>
      <c r="G230" s="40" t="s">
        <v>182</v>
      </c>
      <c r="H230" s="40" t="s">
        <v>183</v>
      </c>
      <c r="I230" s="40" t="s">
        <v>184</v>
      </c>
      <c r="J230" s="40" t="s">
        <v>185</v>
      </c>
      <c r="N230" s="40" t="s">
        <v>140</v>
      </c>
      <c r="O230" s="40" t="s">
        <v>65</v>
      </c>
      <c r="P230" s="40" t="s">
        <v>165</v>
      </c>
      <c r="Q230" s="40" t="s">
        <v>182</v>
      </c>
      <c r="R230" s="40" t="s">
        <v>183</v>
      </c>
      <c r="S230" s="40" t="s">
        <v>184</v>
      </c>
      <c r="T230" s="40" t="s">
        <v>185</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0.1</v>
      </c>
      <c r="G231" s="53" cm="1">
        <f t="array" ref="G231">InputFunctions_Dairy.CalculateFractionInMMSAfterSolidSeparation(INDEX(X_Table_Dairy_ProductionSystems_Method1, 3, 3),INDEX(X_Table_Dairy_Stage1MMS_1_AnaerobicLagoon,2,3),X_Cell_Dairy_Stage1MMS_1_AnaerobicLagoon_AmountSeparated_Method1)</f>
        <v>0</v>
      </c>
      <c r="H231" s="53" cm="1">
        <f t="array" ref="H231">InputFunctions_Dairy.CalculateFractionInMMSAfterSolidSeparation(INDEX(X_Table_Dairy_ProductionSystems_Method1, 3, 4),INDEX(X_Table_Dairy_Stage1MMS_1_AnaerobicLagoon,2,4),X_Cell_Dairy_Stage1MMS_1_AnaerobicLagoon_AmountSeparated_Method1)</f>
        <v>0</v>
      </c>
      <c r="I231" s="53" cm="1">
        <f t="array" ref="I231">InputFunctions_Dairy.CalculateFractionInMMSAfterSolidSeparation(INDEX(X_Table_Dairy_ProductionSystems_Method1, 3, 5),INDEX(X_Table_Dairy_Stage1MMS_1_AnaerobicLagoon,2,5),X_Cell_Dairy_Stage1MMS_1_AnaerobicLagoon_AmountSeparated_Method1)</f>
        <v>0</v>
      </c>
      <c r="J231" s="53" cm="1">
        <f t="array" ref="J231">InputFunctions_Dairy.CalculateFractionInMMSAfterSolidSeparation(INDEX(X_Table_Dairy_ProductionSystems_Method1, 3, 6),INDEX(X_Table_Dairy_Stage1MMS_1_AnaerobicLagoon,2,6),X_Cell_Dairy_Stage1MMS_1_AnaerobicLagoon_AmountSeparated_Method1)</f>
        <v>0</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0.1</v>
      </c>
      <c r="Q231" s="53" cm="1">
        <f t="array" ref="Q231">InputFunctions_Dairy.CalculateFractionInMMSAfterSolidSeparation(INDEX(X_Table_Dairy_ProductionSystems_Method2, 3, 3),INDEX(X_Table_Dairy_Stage1MMS_1_AnaerobicLagoon,2,3),X_Cell_Dairy_Stage1MMS_1_AnaerobicLagoon_AmountSeparated_Method2)</f>
        <v>0</v>
      </c>
      <c r="R231" s="53" cm="1">
        <f t="array" ref="R231">InputFunctions_Dairy.CalculateFractionInMMSAfterSolidSeparation(INDEX(X_Table_Dairy_ProductionSystems_Method2, 3, 4),INDEX(X_Table_Dairy_Stage1MMS_1_AnaerobicLagoon,2,4),X_Cell_Dairy_Stage1MMS_1_AnaerobicLagoon_AmountSeparated_Method2)</f>
        <v>0</v>
      </c>
      <c r="S231" s="53" cm="1">
        <f t="array" ref="S231">InputFunctions_Dairy.CalculateFractionInMMSAfterSolidSeparation(INDEX(X_Table_Dairy_ProductionSystems_Method2, 3, 5),INDEX(X_Table_Dairy_Stage1MMS_1_AnaerobicLagoon,2,5),X_Cell_Dairy_Stage1MMS_1_AnaerobicLagoon_AmountSeparated_Method2)</f>
        <v>0</v>
      </c>
      <c r="T231" s="53" cm="1">
        <f t="array" ref="T231">InputFunctions_Dairy.CalculateFractionInMMSAfterSolidSeparation(INDEX(X_Table_Dairy_ProductionSystems_Method2, 3, 6),INDEX(X_Table_Dairy_Stage1MMS_1_AnaerobicLagoon,2,6),X_Cell_Dairy_Stage1MMS_1_AnaerobicLagoon_AmountSeparated_Method2)</f>
        <v>0</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0</v>
      </c>
      <c r="G232" s="53" cm="1">
        <f t="array" ref="G232">InputFunctions_Dairy.CalculateFractionInMMSAfterSolidSeparation(INDEX(X_Table_Dairy_ProductionSystems_Method1, 3, 3),INDEX(X_Table_Dairy_Stage1MMS_1_SumpAndDispersal,2,3),X_Cell_Dairy_Stage1MMS_1_AnaerobicLagoon_AmountSeparated_Method1)</f>
        <v>0</v>
      </c>
      <c r="H232" s="53" cm="1">
        <f t="array" ref="H232">InputFunctions_Dairy.CalculateFractionInMMSAfterSolidSeparation(INDEX(X_Table_Dairy_ProductionSystems_Method1, 3, 4),INDEX(X_Table_Dairy_Stage1MMS_1_SumpAndDispersal,2,4),X_Cell_Dairy_Stage1MMS_1_AnaerobicLagoon_AmountSeparated_Method1)</f>
        <v>0</v>
      </c>
      <c r="I232" s="53" cm="1">
        <f t="array" ref="I232">InputFunctions_Dairy.CalculateFractionInMMSAfterSolidSeparation(INDEX(X_Table_Dairy_ProductionSystems_Method1, 3, 5),INDEX(X_Table_Dairy_Stage1MMS_1_SumpAndDispersal,2,5),X_Cell_Dairy_Stage1MMS_1_AnaerobicLagoon_AmountSeparated_Method1)</f>
        <v>0</v>
      </c>
      <c r="J232" s="53" cm="1">
        <f t="array" ref="J232">InputFunctions_Dairy.CalculateFractionInMMSAfterSolidSeparation(INDEX(X_Table_Dairy_ProductionSystems_Method1, 3, 6),INDEX(X_Table_Dairy_Stage1MMS_1_SumpAndDispersal,2,6),X_Cell_Dairy_Stage1MMS_1_AnaerobicLagoon_AmountSeparated_Method1)</f>
        <v>0</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0</v>
      </c>
      <c r="Q232" s="53" cm="1">
        <f t="array" ref="Q232">InputFunctions_Dairy.CalculateFractionInMMSAfterSolidSeparation(INDEX(X_Table_Dairy_ProductionSystems_Method2, 3, 3),INDEX(X_Table_Dairy_Stage1MMS_1_SumpAndDispersal,2,3),X_Cell_Dairy_Stage1MMS_1_AnaerobicLagoon_AmountSeparated_Method2)</f>
        <v>0</v>
      </c>
      <c r="R232" s="53" cm="1">
        <f t="array" ref="R232">InputFunctions_Dairy.CalculateFractionInMMSAfterSolidSeparation(INDEX(X_Table_Dairy_ProductionSystems_Method2, 3, 4),INDEX(X_Table_Dairy_Stage1MMS_1_SumpAndDispersal,2,4),X_Cell_Dairy_Stage1MMS_1_AnaerobicLagoon_AmountSeparated_Method2)</f>
        <v>0</v>
      </c>
      <c r="S232" s="53" cm="1">
        <f t="array" ref="S232">InputFunctions_Dairy.CalculateFractionInMMSAfterSolidSeparation(INDEX(X_Table_Dairy_ProductionSystems_Method2, 3, 5),INDEX(X_Table_Dairy_Stage1MMS_1_SumpAndDispersal,2,5),X_Cell_Dairy_Stage1MMS_1_AnaerobicLagoon_AmountSeparated_Method2)</f>
        <v>0</v>
      </c>
      <c r="T232" s="53" cm="1">
        <f t="array" ref="T232">InputFunctions_Dairy.CalculateFractionInMMSAfterSolidSeparation(INDEX(X_Table_Dairy_ProductionSystems_Method2, 3, 6),INDEX(X_Table_Dairy_Stage1MMS_1_SumpAndDispersal,2,6),X_Cell_Dairy_Stage1MMS_1_AnaerobicLagoon_AmountSeparated_Method2)</f>
        <v>0</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0</v>
      </c>
      <c r="G233" s="53" cm="1">
        <f t="array" ref="G233">InputFunctions_Dairy.CalculateFractionInMMSAfterSolidSeparation(INDEX(X_Table_Dairy_ProductionSystems_Method1, 3, 3),INDEX(X_Table_Dairy_Stage1MMS_1_DrainsToPaddock,2,3),X_Cell_Dairy_Stage1MMS_1_AnaerobicLagoon_AmountSeparated_Method1)</f>
        <v>0</v>
      </c>
      <c r="H233" s="53" cm="1">
        <f t="array" ref="H233">InputFunctions_Dairy.CalculateFractionInMMSAfterSolidSeparation(INDEX(X_Table_Dairy_ProductionSystems_Method1, 3, 4),INDEX(X_Table_Dairy_Stage1MMS_1_DrainsToPaddock,2,4),X_Cell_Dairy_Stage1MMS_1_AnaerobicLagoon_AmountSeparated_Method1)</f>
        <v>0</v>
      </c>
      <c r="I233" s="53" cm="1">
        <f t="array" ref="I233">InputFunctions_Dairy.CalculateFractionInMMSAfterSolidSeparation(INDEX(X_Table_Dairy_ProductionSystems_Method1, 3, 5),INDEX(X_Table_Dairy_Stage1MMS_1_DrainsToPaddock,2,5),X_Cell_Dairy_Stage1MMS_1_AnaerobicLagoon_AmountSeparated_Method1)</f>
        <v>0</v>
      </c>
      <c r="J233" s="53" cm="1">
        <f t="array" ref="J233">InputFunctions_Dairy.CalculateFractionInMMSAfterSolidSeparation(INDEX(X_Table_Dairy_ProductionSystems_Method1, 3, 6),INDEX(X_Table_Dairy_Stage1MMS_1_DrainsToPaddock,2,6),X_Cell_Dairy_Stage1MMS_1_AnaerobicLagoon_AmountSeparated_Method1)</f>
        <v>0</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0</v>
      </c>
      <c r="Q233" s="53" cm="1">
        <f t="array" ref="Q233">InputFunctions_Dairy.CalculateFractionInMMSAfterSolidSeparation(INDEX(X_Table_Dairy_ProductionSystems_Method2, 3, 3),INDEX(X_Table_Dairy_Stage1MMS_1_DrainsToPaddock,2,3),X_Cell_Dairy_Stage1MMS_1_AnaerobicLagoon_AmountSeparated_Method2)</f>
        <v>0</v>
      </c>
      <c r="R233" s="53" cm="1">
        <f t="array" ref="R233">InputFunctions_Dairy.CalculateFractionInMMSAfterSolidSeparation(INDEX(X_Table_Dairy_ProductionSystems_Method2, 3, 4),INDEX(X_Table_Dairy_Stage1MMS_1_DrainsToPaddock,2,4),X_Cell_Dairy_Stage1MMS_1_AnaerobicLagoon_AmountSeparated_Method2)</f>
        <v>0</v>
      </c>
      <c r="S233" s="53" cm="1">
        <f t="array" ref="S233">InputFunctions_Dairy.CalculateFractionInMMSAfterSolidSeparation(INDEX(X_Table_Dairy_ProductionSystems_Method2, 3, 5),INDEX(X_Table_Dairy_Stage1MMS_1_DrainsToPaddock,2,5),X_Cell_Dairy_Stage1MMS_1_AnaerobicLagoon_AmountSeparated_Method2)</f>
        <v>0</v>
      </c>
      <c r="T233" s="53" cm="1">
        <f t="array" ref="T233">InputFunctions_Dairy.CalculateFractionInMMSAfterSolidSeparation(INDEX(X_Table_Dairy_ProductionSystems_Method2, 3, 6),INDEX(X_Table_Dairy_Stage1MMS_1_DrainsToPaddock,2,6),X_Cell_Dairy_Stage1MMS_1_AnaerobicLagoon_AmountSeparated_Method2)</f>
        <v>0</v>
      </c>
    </row>
    <row r="234" spans="4:20" ht="20.100000000000001" customHeight="1" x14ac:dyDescent="0.25">
      <c r="D234" s="53" t="str">
        <f>INDEX(X_Table_Dairy_ProductionSystems_Method1,3,1)</f>
        <v>Milking shed</v>
      </c>
      <c r="E234" s="53" t="s">
        <v>398</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0.1</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0</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0</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0</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0</v>
      </c>
      <c r="N234" s="53" t="str">
        <f>INDEX(X_Table_Dairy_ProductionSystems_Method1,3,1)</f>
        <v>Milking shed</v>
      </c>
      <c r="O234" s="53" t="s">
        <v>398</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0.1</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0</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0</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0</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0</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0</v>
      </c>
      <c r="G235" s="53" cm="1">
        <f t="array" ref="G235">InputFunctions_Dairy.CalculateFractionInMMSAfterSolidSeparation(INDEX(X_Table_Dairy_ProductionSystems_Method1, 4, 3),INDEX(X_Table_Dairy_Stage1MMS_2_AnaerobicLagoon,2,3),X_Cell_Dairy_Stage1MMS_2_AnaerobicLagoon_AmountSeparated_Method1)</f>
        <v>0</v>
      </c>
      <c r="H235" s="53" cm="1">
        <f t="array" ref="H235">InputFunctions_Dairy.CalculateFractionInMMSAfterSolidSeparation(INDEX(X_Table_Dairy_ProductionSystems_Method1, 4, 4),INDEX(X_Table_Dairy_Stage1MMS_2_AnaerobicLagoon,2,4),X_Cell_Dairy_Stage1MMS_2_AnaerobicLagoon_AmountSeparated_Method1)</f>
        <v>0</v>
      </c>
      <c r="I235" s="53" cm="1">
        <f t="array" ref="I235">InputFunctions_Dairy.CalculateFractionInMMSAfterSolidSeparation(INDEX(X_Table_Dairy_ProductionSystems_Method1, 4, 5),INDEX(X_Table_Dairy_Stage1MMS_2_AnaerobicLagoon,2,5),X_Cell_Dairy_Stage1MMS_2_AnaerobicLagoon_AmountSeparated_Method1)</f>
        <v>0</v>
      </c>
      <c r="J235" s="53" cm="1">
        <f t="array" ref="J235">InputFunctions_Dairy.CalculateFractionInMMSAfterSolidSeparation(INDEX(X_Table_Dairy_ProductionSystems_Method1, 4, 6),INDEX(X_Table_Dairy_Stage1MMS_2_AnaerobicLagoon,2,6),X_Cell_Dairy_Stage1MMS_2_AnaerobicLagoon_AmountSeparated_Method1)</f>
        <v>0</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0</v>
      </c>
      <c r="Q235" s="53" cm="1">
        <f t="array" ref="Q235">InputFunctions_Dairy.CalculateFractionInMMSAfterSolidSeparation(INDEX(X_Table_Dairy_ProductionSystems_Method2, 4, 3),INDEX(X_Table_Dairy_Stage1MMS_2_AnaerobicLagoon,2,3),X_Cell_Dairy_Stage1MMS_2_AnaerobicLagoon_AmountSeparated_Method2)</f>
        <v>0</v>
      </c>
      <c r="R235" s="53" cm="1">
        <f t="array" ref="R235">InputFunctions_Dairy.CalculateFractionInMMSAfterSolidSeparation(INDEX(X_Table_Dairy_ProductionSystems_Method2, 4, 4),INDEX(X_Table_Dairy_Stage1MMS_2_AnaerobicLagoon,2,4),X_Cell_Dairy_Stage1MMS_2_AnaerobicLagoon_AmountSeparated_Method2)</f>
        <v>0</v>
      </c>
      <c r="S235" s="53" cm="1">
        <f t="array" ref="S235">InputFunctions_Dairy.CalculateFractionInMMSAfterSolidSeparation(INDEX(X_Table_Dairy_ProductionSystems_Method2, 4, 5),INDEX(X_Table_Dairy_Stage1MMS_2_AnaerobicLagoon,2,5),X_Cell_Dairy_Stage1MMS_2_AnaerobicLagoon_AmountSeparated_Method2)</f>
        <v>0</v>
      </c>
      <c r="T235" s="53" cm="1">
        <f t="array" ref="T235">InputFunctions_Dairy.CalculateFractionInMMSAfterSolidSeparation(INDEX(X_Table_Dairy_ProductionSystems_Method2, 4, 6),INDEX(X_Table_Dairy_Stage1MMS_2_AnaerobicLagoon,2,6),X_Cell_Dairy_Stage1MMS_2_AnaerobicLagoon_AmountSeparated_Method2)</f>
        <v>0</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0</v>
      </c>
      <c r="G236" s="53" cm="1">
        <f t="array" ref="G236">InputFunctions_Dairy.CalculateFractionInMMSAfterSolidSeparation(INDEX(X_Table_Dairy_ProductionSystems_Method1, 4, 3),INDEX(X_Table_Dairy_Stage1MMS_2_SumpAndDispersal,2,3),X_Cell_Dairy_Stage1MMS_2_SumpAndDispersal_AmountSeparated_Method1)</f>
        <v>0</v>
      </c>
      <c r="H236" s="53" cm="1">
        <f t="array" ref="H236">InputFunctions_Dairy.CalculateFractionInMMSAfterSolidSeparation(INDEX(X_Table_Dairy_ProductionSystems_Method1, 4, 4),INDEX(X_Table_Dairy_Stage1MMS_2_SumpAndDispersal,2,4),X_Cell_Dairy_Stage1MMS_2_SumpAndDispersal_AmountSeparated_Method1)</f>
        <v>0</v>
      </c>
      <c r="I236" s="53" cm="1">
        <f t="array" ref="I236">InputFunctions_Dairy.CalculateFractionInMMSAfterSolidSeparation(INDEX(X_Table_Dairy_ProductionSystems_Method1, 4, 5),INDEX(X_Table_Dairy_Stage1MMS_2_SumpAndDispersal,2,5),X_Cell_Dairy_Stage1MMS_2_SumpAndDispersal_AmountSeparated_Method1)</f>
        <v>0</v>
      </c>
      <c r="J236" s="53" cm="1">
        <f t="array" ref="J236">InputFunctions_Dairy.CalculateFractionInMMSAfterSolidSeparation(INDEX(X_Table_Dairy_ProductionSystems_Method1, 4, 6),INDEX(X_Table_Dairy_Stage1MMS_2_SumpAndDispersal,2,6),X_Cell_Dairy_Stage1MMS_2_SumpAndDispersal_AmountSeparated_Method1)</f>
        <v>0</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0</v>
      </c>
      <c r="Q236" s="53" cm="1">
        <f t="array" ref="Q236">InputFunctions_Dairy.CalculateFractionInMMSAfterSolidSeparation(INDEX(X_Table_Dairy_ProductionSystems_Method2, 4, 3),INDEX(X_Table_Dairy_Stage1MMS_2_SumpAndDispersal,2,3),X_Cell_Dairy_Stage1MMS_2_SumpAndDispersal_AmountSeparated_Method2)</f>
        <v>0</v>
      </c>
      <c r="R236" s="53" cm="1">
        <f t="array" ref="R236">InputFunctions_Dairy.CalculateFractionInMMSAfterSolidSeparation(INDEX(X_Table_Dairy_ProductionSystems_Method2, 4, 4),INDEX(X_Table_Dairy_Stage1MMS_2_SumpAndDispersal,2,4),X_Cell_Dairy_Stage1MMS_2_SumpAndDispersal_AmountSeparated_Method2)</f>
        <v>0</v>
      </c>
      <c r="S236" s="53" cm="1">
        <f t="array" ref="S236">InputFunctions_Dairy.CalculateFractionInMMSAfterSolidSeparation(INDEX(X_Table_Dairy_ProductionSystems_Method2, 4, 5),INDEX(X_Table_Dairy_Stage1MMS_2_SumpAndDispersal,2,5),X_Cell_Dairy_Stage1MMS_2_SumpAndDispersal_AmountSeparated_Method2)</f>
        <v>0</v>
      </c>
      <c r="T236" s="53" cm="1">
        <f t="array" ref="T236">InputFunctions_Dairy.CalculateFractionInMMSAfterSolidSeparation(INDEX(X_Table_Dairy_ProductionSystems_Method2, 4, 6),INDEX(X_Table_Dairy_Stage1MMS_2_SumpAndDispersal,2,6),X_Cell_Dairy_Stage1MMS_2_SumpAndDispersal_AmountSeparated_Method2)</f>
        <v>0</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0</v>
      </c>
      <c r="G237" s="53" cm="1">
        <f t="array" ref="G237">InputFunctions_Dairy.CalculateFractionInMMSAfterSolidSeparation(INDEX(X_Table_Dairy_ProductionSystems_Method1, 4, 3),INDEX(X_Table_Dairy_Stage1MMS_2_DrainsToPaddock,2,3),X_Cell_Dairy_Stage1MMS_2_DrainsToPaddock_AmountSeparated_Method1)</f>
        <v>0</v>
      </c>
      <c r="H237" s="53" cm="1">
        <f t="array" ref="H237">InputFunctions_Dairy.CalculateFractionInMMSAfterSolidSeparation(INDEX(X_Table_Dairy_ProductionSystems_Method1, 4, 4),INDEX(X_Table_Dairy_Stage1MMS_2_DrainsToPaddock,2,4),X_Cell_Dairy_Stage1MMS_2_DrainsToPaddock_AmountSeparated_Method1)</f>
        <v>0</v>
      </c>
      <c r="I237" s="53" cm="1">
        <f t="array" ref="I237">InputFunctions_Dairy.CalculateFractionInMMSAfterSolidSeparation(INDEX(X_Table_Dairy_ProductionSystems_Method1, 4, 5),INDEX(X_Table_Dairy_Stage1MMS_2_DrainsToPaddock,2,5),X_Cell_Dairy_Stage1MMS_2_DrainsToPaddock_AmountSeparated_Method1)</f>
        <v>0</v>
      </c>
      <c r="J237" s="53" cm="1">
        <f t="array" ref="J237">InputFunctions_Dairy.CalculateFractionInMMSAfterSolidSeparation(INDEX(X_Table_Dairy_ProductionSystems_Method1, 4, 6),INDEX(X_Table_Dairy_Stage1MMS_2_DrainsToPaddock,2,6),X_Cell_Dairy_Stage1MMS_2_DrainsToPaddock_AmountSeparated_Method1)</f>
        <v>0</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0</v>
      </c>
      <c r="Q237" s="53" cm="1">
        <f t="array" ref="Q237">InputFunctions_Dairy.CalculateFractionInMMSAfterSolidSeparation(INDEX(X_Table_Dairy_ProductionSystems_Method2, 4, 3),INDEX(X_Table_Dairy_Stage1MMS_2_DrainsToPaddock,2,3),X_Cell_Dairy_Stage1MMS_2_DrainsToPaddock_AmountSeparated_Method2)</f>
        <v>0</v>
      </c>
      <c r="R237" s="53" cm="1">
        <f t="array" ref="R237">InputFunctions_Dairy.CalculateFractionInMMSAfterSolidSeparation(INDEX(X_Table_Dairy_ProductionSystems_Method2, 4, 4),INDEX(X_Table_Dairy_Stage1MMS_2_DrainsToPaddock,2,4),X_Cell_Dairy_Stage1MMS_2_DrainsToPaddock_AmountSeparated_Method2)</f>
        <v>0</v>
      </c>
      <c r="S237" s="53" cm="1">
        <f t="array" ref="S237">InputFunctions_Dairy.CalculateFractionInMMSAfterSolidSeparation(INDEX(X_Table_Dairy_ProductionSystems_Method2, 4, 5),INDEX(X_Table_Dairy_Stage1MMS_2_DrainsToPaddock,2,5),X_Cell_Dairy_Stage1MMS_2_DrainsToPaddock_AmountSeparated_Method2)</f>
        <v>0</v>
      </c>
      <c r="T237" s="53" cm="1">
        <f t="array" ref="T237">InputFunctions_Dairy.CalculateFractionInMMSAfterSolidSeparation(INDEX(X_Table_Dairy_ProductionSystems_Method2, 4, 6),INDEX(X_Table_Dairy_Stage1MMS_2_DrainsToPaddock,2,6),X_Cell_Dairy_Stage1MMS_2_DrainsToPaddock_AmountSeparated_Method2)</f>
        <v>0</v>
      </c>
    </row>
    <row r="238" spans="4:20" ht="20.100000000000001" customHeight="1" x14ac:dyDescent="0.25">
      <c r="D238" s="53" t="str">
        <f>INDEX(X_Table_Dairy_ProductionSystems_Method1,4,1)</f>
        <v>Feed pad</v>
      </c>
      <c r="E238" s="53" t="s">
        <v>398</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v>
      </c>
    </row>
    <row r="239" spans="4:20" ht="20.100000000000001" customHeight="1" x14ac:dyDescent="0.25">
      <c r="Q239" s="127"/>
    </row>
    <row r="240" spans="4:20" ht="20.100000000000001" customHeight="1" x14ac:dyDescent="0.25">
      <c r="D240" s="100" t="s">
        <v>301</v>
      </c>
      <c r="N240" s="100" t="s">
        <v>304</v>
      </c>
    </row>
    <row r="241" spans="1:21" ht="20.100000000000001" customHeight="1" x14ac:dyDescent="0.25">
      <c r="D241" s="99" t="s">
        <v>302</v>
      </c>
      <c r="N241" s="99" t="s">
        <v>303</v>
      </c>
    </row>
    <row r="242" spans="1:21" ht="20.100000000000001" customHeight="1" x14ac:dyDescent="0.25">
      <c r="D242" s="52" t="s">
        <v>140</v>
      </c>
      <c r="E242" s="52" t="s">
        <v>65</v>
      </c>
      <c r="F242" s="52" t="s">
        <v>165</v>
      </c>
      <c r="G242" s="52" t="s">
        <v>182</v>
      </c>
      <c r="H242" s="52" t="s">
        <v>183</v>
      </c>
      <c r="I242" s="52" t="s">
        <v>184</v>
      </c>
      <c r="J242" s="52" t="s">
        <v>185</v>
      </c>
      <c r="N242" s="52" t="s">
        <v>140</v>
      </c>
      <c r="O242" s="52" t="s">
        <v>65</v>
      </c>
      <c r="P242" s="52" t="s">
        <v>165</v>
      </c>
      <c r="Q242" s="52" t="s">
        <v>182</v>
      </c>
      <c r="R242" s="52" t="s">
        <v>183</v>
      </c>
      <c r="S242" s="52" t="s">
        <v>184</v>
      </c>
      <c r="T242" s="52" t="s">
        <v>185</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1740.4731333822594</v>
      </c>
      <c r="G243" s="53" cm="1">
        <f t="array" ref="G243">MMS_Dairy_N2ODirect_Equations.VEERG_4_3_1_3__2_TotalNitrogenInEachMMS(E$176,G231)</f>
        <v>0</v>
      </c>
      <c r="H243" s="53" cm="1">
        <f t="array" ref="H243">MMS_Dairy_N2ODirect_Equations.VEERG_4_3_1_3__2_TotalNitrogenInEachMMS(F$213,H231)</f>
        <v>0</v>
      </c>
      <c r="I243" s="53" cm="1">
        <f t="array" ref="I243">MMS_Dairy_N2ODirect_Equations.VEERG_4_3_1_3__2_TotalNitrogenInEachMMS(G$176,I231)</f>
        <v>0</v>
      </c>
      <c r="J243" s="53" cm="1">
        <f t="array" ref="J243">MMS_Dairy_N2ODirect_Equations.VEERG_4_3_1_3__2_TotalNitrogenInEachMMS(H$213,J231)</f>
        <v>0</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1740.4731333822594</v>
      </c>
      <c r="Q243" s="53" cm="1">
        <f t="array" ref="Q243">MMS_Dairy_N2ODirect_Equations.VEERG_4_3_1_3__2_TotalNitrogenInEachMMS(O$176,Q231)</f>
        <v>0</v>
      </c>
      <c r="R243" s="53" cm="1">
        <f t="array" ref="R243">MMS_Dairy_N2ODirect_Equations.VEERG_4_3_1_3__2_TotalNitrogenInEachMMS(P$213,R231)</f>
        <v>0</v>
      </c>
      <c r="S243" s="53" cm="1">
        <f t="array" ref="S243">MMS_Dairy_N2ODirect_Equations.VEERG_4_3_1_3__2_TotalNitrogenInEachMMS(Q$176,S231)</f>
        <v>0</v>
      </c>
      <c r="T243" s="53" cm="1">
        <f t="array" ref="T243">MMS_Dairy_N2ODirect_Equations.VEERG_4_3_1_3__2_TotalNitrogenInEachMMS(R$213,T231)</f>
        <v>0</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0</v>
      </c>
      <c r="G244" s="53" cm="1">
        <f t="array" ref="G244">MMS_Dairy_N2ODirect_Equations.VEERG_4_3_1_3__2_TotalNitrogenInEachMMS(E$176,G232)</f>
        <v>0</v>
      </c>
      <c r="H244" s="53" cm="1">
        <f t="array" ref="H244">MMS_Dairy_N2ODirect_Equations.VEERG_4_3_1_3__2_TotalNitrogenInEachMMS(F$213,H232)</f>
        <v>0</v>
      </c>
      <c r="I244" s="53" cm="1">
        <f t="array" ref="I244">MMS_Dairy_N2ODirect_Equations.VEERG_4_3_1_3__2_TotalNitrogenInEachMMS(G$176,I232)</f>
        <v>0</v>
      </c>
      <c r="J244" s="53" cm="1">
        <f t="array" ref="J244">MMS_Dairy_N2ODirect_Equations.VEERG_4_3_1_3__2_TotalNitrogenInEachMMS(H$213,J232)</f>
        <v>0</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0</v>
      </c>
      <c r="Q244" s="53" cm="1">
        <f t="array" ref="Q244">MMS_Dairy_N2ODirect_Equations.VEERG_4_3_1_3__2_TotalNitrogenInEachMMS(O$176,Q232)</f>
        <v>0</v>
      </c>
      <c r="R244" s="53" cm="1">
        <f t="array" ref="R244">MMS_Dairy_N2ODirect_Equations.VEERG_4_3_1_3__2_TotalNitrogenInEachMMS(P$213,R232)</f>
        <v>0</v>
      </c>
      <c r="S244" s="53" cm="1">
        <f t="array" ref="S244">MMS_Dairy_N2ODirect_Equations.VEERG_4_3_1_3__2_TotalNitrogenInEachMMS(Q$176,S232)</f>
        <v>0</v>
      </c>
      <c r="T244" s="53" cm="1">
        <f t="array" ref="T244">MMS_Dairy_N2ODirect_Equations.VEERG_4_3_1_3__2_TotalNitrogenInEachMMS(R$213,T232)</f>
        <v>0</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0</v>
      </c>
      <c r="G245" s="53" cm="1">
        <f t="array" ref="G245">MMS_Dairy_N2ODirect_Equations.VEERG_4_3_1_3__2_TotalNitrogenInEachMMS(E$176,G233)</f>
        <v>0</v>
      </c>
      <c r="H245" s="53" cm="1">
        <f t="array" ref="H245">MMS_Dairy_N2ODirect_Equations.VEERG_4_3_1_3__2_TotalNitrogenInEachMMS(F$213,H233)</f>
        <v>0</v>
      </c>
      <c r="I245" s="53" cm="1">
        <f t="array" ref="I245">MMS_Dairy_N2ODirect_Equations.VEERG_4_3_1_3__2_TotalNitrogenInEachMMS(G$176,I233)</f>
        <v>0</v>
      </c>
      <c r="J245" s="53" cm="1">
        <f t="array" ref="J245">MMS_Dairy_N2ODirect_Equations.VEERG_4_3_1_3__2_TotalNitrogenInEachMMS(H$213,J233)</f>
        <v>0</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0</v>
      </c>
      <c r="Q245" s="53" cm="1">
        <f t="array" ref="Q245">MMS_Dairy_N2ODirect_Equations.VEERG_4_3_1_3__2_TotalNitrogenInEachMMS(O$176,Q233)</f>
        <v>0</v>
      </c>
      <c r="R245" s="53" cm="1">
        <f t="array" ref="R245">MMS_Dairy_N2ODirect_Equations.VEERG_4_3_1_3__2_TotalNitrogenInEachMMS(P$213,R233)</f>
        <v>0</v>
      </c>
      <c r="S245" s="53" cm="1">
        <f t="array" ref="S245">MMS_Dairy_N2ODirect_Equations.VEERG_4_3_1_3__2_TotalNitrogenInEachMMS(Q$176,S233)</f>
        <v>0</v>
      </c>
      <c r="T245" s="53" cm="1">
        <f t="array" ref="T245">MMS_Dairy_N2ODirect_Equations.VEERG_4_3_1_3__2_TotalNitrogenInEachMMS(R$213,T233)</f>
        <v>0</v>
      </c>
    </row>
    <row r="246" spans="1:21" ht="20.100000000000001" customHeight="1" x14ac:dyDescent="0.25">
      <c r="D246" s="53" t="str">
        <f>INDEX(X_Table_Dairy_ProductionSystems_Method1,3,1)</f>
        <v>Milking shed</v>
      </c>
      <c r="E246" s="53" t="s">
        <v>398</v>
      </c>
      <c r="F246" s="53" cm="1">
        <f t="array" ref="F246">MMS_Dairy_N2ODirect_Equations.VEERG_4_3_1_3__2_TotalNitrogenInEachMMS(D$176,F234)</f>
        <v>1740.4731333822594</v>
      </c>
      <c r="G246" s="53" cm="1">
        <f t="array" ref="G246">MMS_Dairy_N2ODirect_Equations.VEERG_4_3_1_3__2_TotalNitrogenInEachMMS(E$176,G234)</f>
        <v>0</v>
      </c>
      <c r="H246" s="53" cm="1">
        <f t="array" ref="H246">MMS_Dairy_N2ODirect_Equations.VEERG_4_3_1_3__2_TotalNitrogenInEachMMS(F$213,H234)</f>
        <v>0</v>
      </c>
      <c r="I246" s="53" cm="1">
        <f t="array" ref="I246">MMS_Dairy_N2ODirect_Equations.VEERG_4_3_1_3__2_TotalNitrogenInEachMMS(G$176,I234)</f>
        <v>0</v>
      </c>
      <c r="J246" s="53" cm="1">
        <f t="array" ref="J246">MMS_Dairy_N2ODirect_Equations.VEERG_4_3_1_3__2_TotalNitrogenInEachMMS(H$213,J234)</f>
        <v>0</v>
      </c>
      <c r="N246" s="53" t="str">
        <f>INDEX(X_Table_Dairy_ProductionSystems_Method1,3,1)</f>
        <v>Milking shed</v>
      </c>
      <c r="O246" s="53" t="s">
        <v>398</v>
      </c>
      <c r="P246" s="53" cm="1">
        <f t="array" ref="P246">MMS_Dairy_N2ODirect_Equations.VEERG_4_3_1_3__2_TotalNitrogenInEachMMS(N$176,P234)</f>
        <v>1740.4731333822594</v>
      </c>
      <c r="Q246" s="53" cm="1">
        <f t="array" ref="Q246">MMS_Dairy_N2ODirect_Equations.VEERG_4_3_1_3__2_TotalNitrogenInEachMMS(O$176,Q234)</f>
        <v>0</v>
      </c>
      <c r="R246" s="53" cm="1">
        <f t="array" ref="R246">MMS_Dairy_N2ODirect_Equations.VEERG_4_3_1_3__2_TotalNitrogenInEachMMS(P$213,R234)</f>
        <v>0</v>
      </c>
      <c r="S246" s="53" cm="1">
        <f t="array" ref="S246">MMS_Dairy_N2ODirect_Equations.VEERG_4_3_1_3__2_TotalNitrogenInEachMMS(Q$176,S234)</f>
        <v>0</v>
      </c>
      <c r="T246" s="53" cm="1">
        <f t="array" ref="T246">MMS_Dairy_N2ODirect_Equations.VEERG_4_3_1_3__2_TotalNitrogenInEachMMS(R$213,T234)</f>
        <v>0</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0</v>
      </c>
      <c r="G247" s="53" cm="1">
        <f t="array" ref="G247">MMS_Dairy_N2ODirect_Equations.VEERG_4_3_1_3__2_TotalNitrogenInEachMMS(E$176,G235)</f>
        <v>0</v>
      </c>
      <c r="H247" s="53" cm="1">
        <f t="array" ref="H247">MMS_Dairy_N2ODirect_Equations.VEERG_4_3_1_3__2_TotalNitrogenInEachMMS(F$213,H235)</f>
        <v>0</v>
      </c>
      <c r="I247" s="53" cm="1">
        <f t="array" ref="I247">MMS_Dairy_N2ODirect_Equations.VEERG_4_3_1_3__2_TotalNitrogenInEachMMS(G$176,I235)</f>
        <v>0</v>
      </c>
      <c r="J247" s="53" cm="1">
        <f t="array" ref="J247">MMS_Dairy_N2ODirect_Equations.VEERG_4_3_1_3__2_TotalNitrogenInEachMMS(H$213,J235)</f>
        <v>0</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0</v>
      </c>
      <c r="Q247" s="53" cm="1">
        <f t="array" ref="Q247">MMS_Dairy_N2ODirect_Equations.VEERG_4_3_1_3__2_TotalNitrogenInEachMMS(O$176,Q235)</f>
        <v>0</v>
      </c>
      <c r="R247" s="53" cm="1">
        <f t="array" ref="R247">MMS_Dairy_N2ODirect_Equations.VEERG_4_3_1_3__2_TotalNitrogenInEachMMS(P$213,R235)</f>
        <v>0</v>
      </c>
      <c r="S247" s="53" cm="1">
        <f t="array" ref="S247">MMS_Dairy_N2ODirect_Equations.VEERG_4_3_1_3__2_TotalNitrogenInEachMMS(Q$176,S235)</f>
        <v>0</v>
      </c>
      <c r="T247" s="53" cm="1">
        <f t="array" ref="T247">MMS_Dairy_N2ODirect_Equations.VEERG_4_3_1_3__2_TotalNitrogenInEachMMS(R$213,T235)</f>
        <v>0</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0</v>
      </c>
      <c r="G248" s="53" cm="1">
        <f t="array" ref="G248">MMS_Dairy_N2ODirect_Equations.VEERG_4_3_1_3__2_TotalNitrogenInEachMMS(E$176,G236)</f>
        <v>0</v>
      </c>
      <c r="H248" s="53" cm="1">
        <f t="array" ref="H248">MMS_Dairy_N2ODirect_Equations.VEERG_4_3_1_3__2_TotalNitrogenInEachMMS(F$213,H236)</f>
        <v>0</v>
      </c>
      <c r="I248" s="53" cm="1">
        <f t="array" ref="I248">MMS_Dairy_N2ODirect_Equations.VEERG_4_3_1_3__2_TotalNitrogenInEachMMS(G$176,I236)</f>
        <v>0</v>
      </c>
      <c r="J248" s="53" cm="1">
        <f t="array" ref="J248">MMS_Dairy_N2ODirect_Equations.VEERG_4_3_1_3__2_TotalNitrogenInEachMMS(H$213,J236)</f>
        <v>0</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0</v>
      </c>
      <c r="Q248" s="53" cm="1">
        <f t="array" ref="Q248">MMS_Dairy_N2ODirect_Equations.VEERG_4_3_1_3__2_TotalNitrogenInEachMMS(O$176,Q236)</f>
        <v>0</v>
      </c>
      <c r="R248" s="53" cm="1">
        <f t="array" ref="R248">MMS_Dairy_N2ODirect_Equations.VEERG_4_3_1_3__2_TotalNitrogenInEachMMS(P$213,R236)</f>
        <v>0</v>
      </c>
      <c r="S248" s="53" cm="1">
        <f t="array" ref="S248">MMS_Dairy_N2ODirect_Equations.VEERG_4_3_1_3__2_TotalNitrogenInEachMMS(Q$176,S236)</f>
        <v>0</v>
      </c>
      <c r="T248" s="53" cm="1">
        <f t="array" ref="T248">MMS_Dairy_N2ODirect_Equations.VEERG_4_3_1_3__2_TotalNitrogenInEachMMS(R$213,T236)</f>
        <v>0</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0</v>
      </c>
      <c r="G249" s="53" cm="1">
        <f t="array" ref="G249">MMS_Dairy_N2ODirect_Equations.VEERG_4_3_1_3__2_TotalNitrogenInEachMMS(E$176,G237)</f>
        <v>0</v>
      </c>
      <c r="H249" s="53" cm="1">
        <f t="array" ref="H249">MMS_Dairy_N2ODirect_Equations.VEERG_4_3_1_3__2_TotalNitrogenInEachMMS(F$213,H237)</f>
        <v>0</v>
      </c>
      <c r="I249" s="53" cm="1">
        <f t="array" ref="I249">MMS_Dairy_N2ODirect_Equations.VEERG_4_3_1_3__2_TotalNitrogenInEachMMS(G$176,I237)</f>
        <v>0</v>
      </c>
      <c r="J249" s="53" cm="1">
        <f t="array" ref="J249">MMS_Dairy_N2ODirect_Equations.VEERG_4_3_1_3__2_TotalNitrogenInEachMMS(H$213,J237)</f>
        <v>0</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0</v>
      </c>
      <c r="Q249" s="53" cm="1">
        <f t="array" ref="Q249">MMS_Dairy_N2ODirect_Equations.VEERG_4_3_1_3__2_TotalNitrogenInEachMMS(O$176,Q237)</f>
        <v>0</v>
      </c>
      <c r="R249" s="53" cm="1">
        <f t="array" ref="R249">MMS_Dairy_N2ODirect_Equations.VEERG_4_3_1_3__2_TotalNitrogenInEachMMS(P$213,R237)</f>
        <v>0</v>
      </c>
      <c r="S249" s="53" cm="1">
        <f t="array" ref="S249">MMS_Dairy_N2ODirect_Equations.VEERG_4_3_1_3__2_TotalNitrogenInEachMMS(Q$176,S237)</f>
        <v>0</v>
      </c>
      <c r="T249" s="53" cm="1">
        <f t="array" ref="T249">MMS_Dairy_N2ODirect_Equations.VEERG_4_3_1_3__2_TotalNitrogenInEachMMS(R$213,T237)</f>
        <v>0</v>
      </c>
    </row>
    <row r="250" spans="1:21" ht="20.100000000000001" customHeight="1" x14ac:dyDescent="0.25">
      <c r="D250" s="53" t="str">
        <f>INDEX(X_Table_Dairy_ProductionSystems_Method1,4,1)</f>
        <v>Feed pad</v>
      </c>
      <c r="E250" s="53" t="s">
        <v>398</v>
      </c>
      <c r="F250" s="53" cm="1">
        <f t="array" ref="F250">MMS_Dairy_N2ODirect_Equations.VEERG_4_3_1_3__2_TotalNitrogenInEachMMS(D$176,F238)</f>
        <v>0</v>
      </c>
      <c r="G250" s="53" cm="1">
        <f t="array" ref="G250">MMS_Dairy_N2ODirect_Equations.VEERG_4_3_1_3__2_TotalNitrogenInEachMMS(E$176,G238)</f>
        <v>0</v>
      </c>
      <c r="H250" s="53" cm="1">
        <f t="array" ref="H250">MMS_Dairy_N2ODirect_Equations.VEERG_4_3_1_3__2_TotalNitrogenInEachMMS(F$213,H238)</f>
        <v>0</v>
      </c>
      <c r="I250" s="53" cm="1">
        <f t="array" ref="I250">MMS_Dairy_N2ODirect_Equations.VEERG_4_3_1_3__2_TotalNitrogenInEachMMS(G$176,I238)</f>
        <v>0</v>
      </c>
      <c r="J250" s="53" cm="1">
        <f t="array" ref="J250">MMS_Dairy_N2ODirect_Equations.VEERG_4_3_1_3__2_TotalNitrogenInEachMMS(H$213,J238)</f>
        <v>0</v>
      </c>
      <c r="N250" s="53" t="str">
        <f>INDEX(X_Table_Dairy_ProductionSystems_Method1,4,1)</f>
        <v>Feed pad</v>
      </c>
      <c r="O250" s="53" t="s">
        <v>398</v>
      </c>
      <c r="P250" s="53" cm="1">
        <f t="array" ref="P250">MMS_Dairy_N2ODirect_Equations.VEERG_4_3_1_3__2_TotalNitrogenInEachMMS(N$176,P238)</f>
        <v>0</v>
      </c>
      <c r="Q250" s="53" cm="1">
        <f t="array" ref="Q250">MMS_Dairy_N2ODirect_Equations.VEERG_4_3_1_3__2_TotalNitrogenInEachMMS(O$176,Q238)</f>
        <v>0</v>
      </c>
      <c r="R250" s="53" cm="1">
        <f t="array" ref="R250">MMS_Dairy_N2ODirect_Equations.VEERG_4_3_1_3__2_TotalNitrogenInEachMMS(P$213,R238)</f>
        <v>0</v>
      </c>
      <c r="S250" s="53" cm="1">
        <f t="array" ref="S250">MMS_Dairy_N2ODirect_Equations.VEERG_4_3_1_3__2_TotalNitrogenInEachMMS(Q$176,S238)</f>
        <v>0</v>
      </c>
      <c r="T250" s="53" cm="1">
        <f t="array" ref="T250">MMS_Dairy_N2ODirect_Equations.VEERG_4_3_1_3__2_TotalNitrogenInEachMMS(R$213,T238)</f>
        <v>0</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305</v>
      </c>
    </row>
    <row r="267" spans="4:9" ht="20.100000000000001" customHeight="1" x14ac:dyDescent="0.25">
      <c r="D267" s="99" t="s">
        <v>306</v>
      </c>
    </row>
    <row r="268" spans="4:9" ht="20.100000000000001" customHeight="1" x14ac:dyDescent="0.25">
      <c r="D268" s="52" t="s">
        <v>65</v>
      </c>
      <c r="E268" s="52" t="s">
        <v>307</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116</v>
      </c>
      <c r="N275" s="100" t="s">
        <v>356</v>
      </c>
    </row>
    <row r="276" spans="1:20" ht="20.100000000000001" customHeight="1" x14ac:dyDescent="0.25">
      <c r="D276" s="99" t="s">
        <v>308</v>
      </c>
      <c r="N276" s="99" t="s">
        <v>458</v>
      </c>
    </row>
    <row r="277" spans="1:20" ht="20.100000000000001" customHeight="1" x14ac:dyDescent="0.25">
      <c r="D277" s="52" t="s">
        <v>140</v>
      </c>
      <c r="E277" s="52" t="s">
        <v>65</v>
      </c>
      <c r="F277" s="52" t="s">
        <v>165</v>
      </c>
      <c r="G277" s="52" t="s">
        <v>182</v>
      </c>
      <c r="H277" s="52" t="s">
        <v>183</v>
      </c>
      <c r="I277" s="52" t="s">
        <v>184</v>
      </c>
      <c r="J277" s="52" t="s">
        <v>185</v>
      </c>
      <c r="N277" s="52" t="s">
        <v>140</v>
      </c>
      <c r="O277" s="52" t="s">
        <v>65</v>
      </c>
      <c r="P277" s="52" t="s">
        <v>165</v>
      </c>
      <c r="Q277" s="52" t="s">
        <v>182</v>
      </c>
      <c r="R277" s="52" t="s">
        <v>183</v>
      </c>
      <c r="S277" s="52" t="s">
        <v>184</v>
      </c>
      <c r="T277" s="52" t="s">
        <v>185</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398</v>
      </c>
      <c r="F281" s="53" cm="1">
        <f t="array" ref="F281">MMS_Dairy_N2ODirect_Equations.VEERG_4_3_1_3__1_TotalAnnualDirectNitrousOxideEmissionsFromMMS(F246,$E273,$I$264)</f>
        <v>1.3675146048003468E-2</v>
      </c>
      <c r="G281" s="53" cm="1">
        <f t="array" ref="G281">MMS_Dairy_N2ODirect_Equations.VEERG_4_3_1_3__1_TotalAnnualDirectNitrousOxideEmissionsFromMMS(G246,$E273,$I$264)</f>
        <v>0</v>
      </c>
      <c r="H281" s="53" cm="1">
        <f t="array" ref="H281">MMS_Dairy_N2ODirect_Equations.VEERG_4_3_1_3__1_TotalAnnualDirectNitrousOxideEmissionsFromMMS(H246,$E273,$I$264)</f>
        <v>0</v>
      </c>
      <c r="I281" s="53" cm="1">
        <f t="array" ref="I281">MMS_Dairy_N2ODirect_Equations.VEERG_4_3_1_3__1_TotalAnnualDirectNitrousOxideEmissionsFromMMS(I246,$E273,$I$264)</f>
        <v>0</v>
      </c>
      <c r="J281" s="53" cm="1">
        <f t="array" ref="J281">MMS_Dairy_N2ODirect_Equations.VEERG_4_3_1_3__1_TotalAnnualDirectNitrousOxideEmissionsFromMMS(J246,$E273,$I$264)</f>
        <v>0</v>
      </c>
      <c r="N281" s="53" t="str">
        <f>INDEX(X_Table_Dairy_ProductionSystems_Method1,3,1)</f>
        <v>Milking shed</v>
      </c>
      <c r="O281" s="53" t="s">
        <v>398</v>
      </c>
      <c r="P281" s="53" cm="1">
        <f t="array" ref="P281">MMS_Dairy_N2ODirect_Equations.VEERG_4_3_1_3__1_TotalAnnualDirectNitrousOxideEmissionsFromMMS(P246,$E273,$I$264)</f>
        <v>1.3675146048003468E-2</v>
      </c>
      <c r="Q281" s="53" cm="1">
        <f t="array" ref="Q281">MMS_Dairy_N2ODirect_Equations.VEERG_4_3_1_3__1_TotalAnnualDirectNitrousOxideEmissionsFromMMS(Q246,$E273,$I$264)</f>
        <v>0</v>
      </c>
      <c r="R281" s="53" cm="1">
        <f t="array" ref="R281">MMS_Dairy_N2ODirect_Equations.VEERG_4_3_1_3__1_TotalAnnualDirectNitrousOxideEmissionsFromMMS(R246,$E273,$I$264)</f>
        <v>0</v>
      </c>
      <c r="S281" s="53" cm="1">
        <f t="array" ref="S281">MMS_Dairy_N2ODirect_Equations.VEERG_4_3_1_3__1_TotalAnnualDirectNitrousOxideEmissionsFromMMS(S246,$E273,$I$264)</f>
        <v>0</v>
      </c>
      <c r="T281" s="53" cm="1">
        <f t="array" ref="T281">MMS_Dairy_N2ODirect_Equations.VEERG_4_3_1_3__1_TotalAnnualDirectNitrousOxideEmissionsFromMMS(T246,$E273,$I$264)</f>
        <v>0</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398</v>
      </c>
      <c r="F285" s="53" cm="1">
        <f t="array" ref="F285">MMS_Dairy_N2ODirect_Equations.VEERG_4_3_1_3__1_TotalAnnualDirectNitrousOxideEmissionsFromMMS(F250,$E273,$I$264)</f>
        <v>0</v>
      </c>
      <c r="G285" s="53" cm="1">
        <f t="array" ref="G285">MMS_Dairy_N2ODirect_Equations.VEERG_4_3_1_3__1_TotalAnnualDirectNitrousOxideEmissionsFromMMS(G250,$E273,$I$264)</f>
        <v>0</v>
      </c>
      <c r="H285" s="53" cm="1">
        <f t="array" ref="H285">MMS_Dairy_N2ODirect_Equations.VEERG_4_3_1_3__1_TotalAnnualDirectNitrousOxideEmissionsFromMMS(H250,$E273,$I$264)</f>
        <v>0</v>
      </c>
      <c r="I285" s="53" cm="1">
        <f t="array" ref="I285">MMS_Dairy_N2ODirect_Equations.VEERG_4_3_1_3__1_TotalAnnualDirectNitrousOxideEmissionsFromMMS(I250,$E273,$I$264)</f>
        <v>0</v>
      </c>
      <c r="J285" s="53" cm="1">
        <f t="array" ref="J285">MMS_Dairy_N2ODirect_Equations.VEERG_4_3_1_3__1_TotalAnnualDirectNitrousOxideEmissionsFromMMS(J250,$E273,$I$264)</f>
        <v>0</v>
      </c>
      <c r="N285" s="53" t="str">
        <f>INDEX(X_Table_Dairy_ProductionSystems_Method1,4,1)</f>
        <v>Feed pad</v>
      </c>
      <c r="O285" s="53" t="s">
        <v>398</v>
      </c>
      <c r="P285" s="53" cm="1">
        <f t="array" ref="P285">MMS_Dairy_N2ODirect_Equations.VEERG_4_3_1_3__1_TotalAnnualDirectNitrousOxideEmissionsFromMMS(P250,$E273,$I$264)</f>
        <v>0</v>
      </c>
      <c r="Q285" s="53" cm="1">
        <f t="array" ref="Q285">MMS_Dairy_N2ODirect_Equations.VEERG_4_3_1_3__1_TotalAnnualDirectNitrousOxideEmissionsFromMMS(Q250,$E273,$I$264)</f>
        <v>0</v>
      </c>
      <c r="R285" s="53" cm="1">
        <f t="array" ref="R285">MMS_Dairy_N2ODirect_Equations.VEERG_4_3_1_3__1_TotalAnnualDirectNitrousOxideEmissionsFromMMS(R250,$E273,$I$264)</f>
        <v>0</v>
      </c>
      <c r="S285" s="53" cm="1">
        <f t="array" ref="S285">MMS_Dairy_N2ODirect_Equations.VEERG_4_3_1_3__1_TotalAnnualDirectNitrousOxideEmissionsFromMMS(S250,$E273,$I$264)</f>
        <v>0</v>
      </c>
      <c r="T285" s="53" cm="1">
        <f t="array" ref="T285">MMS_Dairy_N2ODirect_Equations.VEERG_4_3_1_3__1_TotalAnnualDirectNitrousOxideEmissionsFromMMS(T250,$E273,$I$264)</f>
        <v>0</v>
      </c>
    </row>
    <row r="286" spans="1:20" ht="20.100000000000001" customHeight="1" x14ac:dyDescent="0.25"/>
    <row r="287" spans="1:20" ht="20.100000000000001" customHeight="1" x14ac:dyDescent="0.25">
      <c r="D287" s="104" t="s">
        <v>115</v>
      </c>
      <c r="E287" s="105">
        <f>SUM(F278:J285)</f>
        <v>1.3675146048003468E-2</v>
      </c>
      <c r="F287" s="106" t="str">
        <f>$E$260</f>
        <v>t N2O</v>
      </c>
      <c r="N287" s="104" t="s">
        <v>115</v>
      </c>
      <c r="O287" s="105">
        <f>SUM(P278:T285)</f>
        <v>1.3675146048003468E-2</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1.3675146048003468E-2</v>
      </c>
      <c r="N289" s="58" t="str" cm="1">
        <f t="array" ref="N289:O290">Common_Equations.Common_ConvertN2OToCO2e_Arguments()</f>
        <v>EN2O</v>
      </c>
      <c r="O289" s="59" t="str">
        <v>Nitrous oxide emissions (t N2O)</v>
      </c>
      <c r="P289" s="107"/>
      <c r="Q289" s="53">
        <f>VEERG_4_3_1_3__1_TotalAnnualDirectNitrousOxideEmissionsFromMMS_Result_Method2</f>
        <v>1.3675146048003468E-2</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102</v>
      </c>
      <c r="E292" s="157" cm="1">
        <f t="array" ref="E292">Common_Equations.Common_ConvertN2OToCO2e(G289,G290)</f>
        <v>3.6239137027209192</v>
      </c>
      <c r="F292" s="108" t="str" cm="1">
        <f t="array" ref="F292">Common_Equations.Common_ConvertN2OToCO2e_Unit()</f>
        <v>t CO2e</v>
      </c>
      <c r="N292" s="46" t="s">
        <v>102</v>
      </c>
      <c r="O292" s="46" cm="1">
        <f t="array" ref="O292">Common_Equations.Common_ConvertN2OToCO2e(Q289,Q290)</f>
        <v>3.6239137027209192</v>
      </c>
      <c r="P292" s="108" t="str" cm="1">
        <f t="array" ref="P292">Common_Equations.Common_ConvertN2OToCO2e_Unit()</f>
        <v>t CO2e</v>
      </c>
    </row>
  </sheetData>
  <dataValidations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A50" zoomScaleNormal="100" workbookViewId="0">
      <selection activeCell="E73" sqref="E7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310</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72</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301</v>
      </c>
      <c r="O16" s="100" t="s">
        <v>304</v>
      </c>
    </row>
    <row r="17" spans="1:22" ht="20.100000000000001" customHeight="1" x14ac:dyDescent="0.25">
      <c r="A17" s="17" t="str">
        <f>HYPERLINK("#'4.3.1.6-7 Leaching and runoff'!A1", "4.3.1.6-7 Leaching and runoff")</f>
        <v>4.3.1.6-7 Leaching and runoff</v>
      </c>
      <c r="D17" s="99" t="s">
        <v>302</v>
      </c>
      <c r="O17" s="99" t="s">
        <v>303</v>
      </c>
    </row>
    <row r="18" spans="1:22"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O18" s="52" t="s">
        <v>140</v>
      </c>
      <c r="P18" s="52" t="s">
        <v>65</v>
      </c>
      <c r="Q18" s="52" t="s">
        <v>165</v>
      </c>
      <c r="R18" s="52" t="s">
        <v>182</v>
      </c>
      <c r="S18" s="52" t="s">
        <v>183</v>
      </c>
      <c r="T18" s="52" t="s">
        <v>184</v>
      </c>
      <c r="U18" s="52" t="s">
        <v>185</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1740.4731333822594</v>
      </c>
      <c r="G19" s="53">
        <f>INDEX(M1_Table_MN_j_m,2,4)</f>
        <v>0</v>
      </c>
      <c r="H19" s="53">
        <f>INDEX(M1_Table_MN_j_m,2,5)</f>
        <v>0</v>
      </c>
      <c r="I19" s="53">
        <f>INDEX(M1_Table_MN_j_m,2,6)</f>
        <v>0</v>
      </c>
      <c r="J19" s="53">
        <f>INDEX(M1_Table_MN_j_m,2,7)</f>
        <v>0</v>
      </c>
      <c r="K19" s="2" t="str">
        <f>$G$13</f>
        <v>kg N</v>
      </c>
      <c r="O19" s="53" t="str">
        <f>INDEX(X_Table_Dairy_ProductionSystems_Method1,3,1)</f>
        <v>Milking shed</v>
      </c>
      <c r="P19" s="53" t="str">
        <f>INDEX(X_Table_Dairy_Stage1MMS_1_AnaerobicLagoon,2,1)</f>
        <v>Anaerobic lagoon</v>
      </c>
      <c r="Q19" s="53">
        <f>INDEX(M2_Table_MN_j_m,2,3)</f>
        <v>1740.4731333822594</v>
      </c>
      <c r="R19" s="53">
        <f>INDEX(M2_Table_MN_j_m,2,4)</f>
        <v>0</v>
      </c>
      <c r="S19" s="53">
        <f>INDEX(M2_Table_MN_j_m,2,5)</f>
        <v>0</v>
      </c>
      <c r="T19" s="53">
        <f>INDEX(M2_Table_MN_j_m,2,6)</f>
        <v>0</v>
      </c>
      <c r="U19" s="53">
        <f>INDEX(M2_Table_MN_j_m,2,7)</f>
        <v>0</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0</v>
      </c>
      <c r="G20" s="53">
        <f>INDEX(M1_Table_MN_j_m,3,4)</f>
        <v>0</v>
      </c>
      <c r="H20" s="53">
        <f>INDEX(M1_Table_MN_j_m,3,5)</f>
        <v>0</v>
      </c>
      <c r="I20" s="53">
        <f>INDEX(M1_Table_MN_j_m,3,6)</f>
        <v>0</v>
      </c>
      <c r="J20" s="53">
        <f>INDEX(M1_Table_MN_j_m,3,7)</f>
        <v>0</v>
      </c>
      <c r="K20" s="2"/>
      <c r="O20" s="53" t="str">
        <f>INDEX(X_Table_Dairy_ProductionSystems_Method1,3,1)</f>
        <v>Milking shed</v>
      </c>
      <c r="P20" s="53" t="str">
        <f>INDEX(X_Table_Dairy_Stage1MMS_1_SumpAndDispersal,2,1)</f>
        <v>Sump and dispersal system</v>
      </c>
      <c r="Q20" s="53">
        <f>INDEX(M2_Table_MN_j_m,3,3)</f>
        <v>0</v>
      </c>
      <c r="R20" s="53">
        <f>INDEX(M2_Table_MN_j_m,3,4)</f>
        <v>0</v>
      </c>
      <c r="S20" s="53">
        <f>INDEX(M2_Table_MN_j_m,3,5)</f>
        <v>0</v>
      </c>
      <c r="T20" s="53">
        <f>INDEX(M2_Table_MN_j_m,3,6)</f>
        <v>0</v>
      </c>
      <c r="U20" s="53">
        <f>INDEX(M2_Table_MN_j_m,3,7)</f>
        <v>0</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0</v>
      </c>
      <c r="G21" s="53">
        <f>INDEX(M1_Table_MN_j_m,4,4)</f>
        <v>0</v>
      </c>
      <c r="H21" s="53">
        <f>INDEX(M1_Table_MN_j_m,4,5)</f>
        <v>0</v>
      </c>
      <c r="I21" s="53">
        <f>INDEX(M1_Table_MN_j_m,4,6)</f>
        <v>0</v>
      </c>
      <c r="J21" s="53">
        <f>INDEX(M1_Table_MN_j_m,4,7)</f>
        <v>0</v>
      </c>
      <c r="K21" s="2"/>
      <c r="O21" s="53" t="str">
        <f>INDEX(X_Table_Dairy_ProductionSystems_Method1,3,1)</f>
        <v>Milking shed</v>
      </c>
      <c r="P21" s="53" t="str">
        <f>INDEX(X_Table_Dairy_Stage1MMS_1_DrainsToPaddock,2,1)</f>
        <v>Drains to paddock</v>
      </c>
      <c r="Q21" s="53">
        <f>INDEX(M2_Table_MN_j_m,4,3)</f>
        <v>0</v>
      </c>
      <c r="R21" s="53">
        <f>INDEX(M2_Table_MN_j_m,4,4)</f>
        <v>0</v>
      </c>
      <c r="S21" s="53">
        <f>INDEX(M2_Table_MN_j_m,4,5)</f>
        <v>0</v>
      </c>
      <c r="T21" s="53">
        <f>INDEX(M2_Table_MN_j_m,4,6)</f>
        <v>0</v>
      </c>
      <c r="U21" s="53">
        <f>INDEX(M2_Table_MN_j_m,4,7)</f>
        <v>0</v>
      </c>
      <c r="V21" s="2"/>
    </row>
    <row r="22" spans="1:22" ht="20.100000000000001" customHeight="1" x14ac:dyDescent="0.25">
      <c r="D22" s="53" t="str">
        <f>INDEX(X_Table_Dairy_ProductionSystems_Method1,3,1)</f>
        <v>Milking shed</v>
      </c>
      <c r="E22" s="53" t="s">
        <v>398</v>
      </c>
      <c r="F22" s="53">
        <f>INDEX(M1_Table_MN_j_m,5,3)</f>
        <v>1740.4731333822594</v>
      </c>
      <c r="G22" s="53">
        <f>INDEX(M1_Table_MN_j_m,5,4)</f>
        <v>0</v>
      </c>
      <c r="H22" s="53">
        <f>INDEX(M1_Table_MN_j_m,5,5)</f>
        <v>0</v>
      </c>
      <c r="I22" s="53">
        <f>INDEX(M1_Table_MN_j_m,5,6)</f>
        <v>0</v>
      </c>
      <c r="J22" s="53">
        <f>INDEX(M1_Table_MN_j_m,5,7)</f>
        <v>0</v>
      </c>
      <c r="K22" s="2"/>
      <c r="O22" s="53" t="str">
        <f>INDEX(X_Table_Dairy_ProductionSystems_Method1,3,1)</f>
        <v>Milking shed</v>
      </c>
      <c r="P22" s="53" t="s">
        <v>398</v>
      </c>
      <c r="Q22" s="53">
        <f>INDEX(M2_Table_MN_j_m,5,3)</f>
        <v>1740.4731333822594</v>
      </c>
      <c r="R22" s="53">
        <f>INDEX(M2_Table_MN_j_m,5,4)</f>
        <v>0</v>
      </c>
      <c r="S22" s="53">
        <f>INDEX(M2_Table_MN_j_m,5,5)</f>
        <v>0</v>
      </c>
      <c r="T22" s="53">
        <f>INDEX(M2_Table_MN_j_m,5,6)</f>
        <v>0</v>
      </c>
      <c r="U22" s="53">
        <f>INDEX(M2_Table_MN_j_m,5,7)</f>
        <v>0</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0</v>
      </c>
      <c r="G23" s="53">
        <f>INDEX(M1_Table_MN_j_m,6,4)</f>
        <v>0</v>
      </c>
      <c r="H23" s="53">
        <f>INDEX(M1_Table_MN_j_m,6,5)</f>
        <v>0</v>
      </c>
      <c r="I23" s="53">
        <f>INDEX(M1_Table_MN_j_m,6,6)</f>
        <v>0</v>
      </c>
      <c r="J23" s="53">
        <f>INDEX(M1_Table_MN_j_m,6,7)</f>
        <v>0</v>
      </c>
      <c r="K23" s="2"/>
      <c r="O23" s="53" t="str">
        <f>INDEX(X_Table_Dairy_ProductionSystems_Method1,4,1)</f>
        <v>Feed pad</v>
      </c>
      <c r="P23" s="53" t="str">
        <f>INDEX(X_Table_Dairy_Stage1MMS_2_AnaerobicLagoon,2,1)</f>
        <v>Anaerobic lagoon</v>
      </c>
      <c r="Q23" s="53">
        <f>INDEX(M2_Table_MN_j_m,6,3)</f>
        <v>0</v>
      </c>
      <c r="R23" s="53">
        <f>INDEX(M2_Table_MN_j_m,6,4)</f>
        <v>0</v>
      </c>
      <c r="S23" s="53">
        <f>INDEX(M2_Table_MN_j_m,6,5)</f>
        <v>0</v>
      </c>
      <c r="T23" s="53">
        <f>INDEX(M2_Table_MN_j_m,6,6)</f>
        <v>0</v>
      </c>
      <c r="U23" s="53">
        <f>INDEX(M2_Table_MN_j_m,6,7)</f>
        <v>0</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0</v>
      </c>
      <c r="G24" s="53">
        <f>INDEX(M1_Table_MN_j_m,7,4)</f>
        <v>0</v>
      </c>
      <c r="H24" s="53">
        <f>INDEX(M1_Table_MN_j_m,7,5)</f>
        <v>0</v>
      </c>
      <c r="I24" s="53">
        <f>INDEX(M1_Table_MN_j_m,7,6)</f>
        <v>0</v>
      </c>
      <c r="J24" s="53">
        <f>INDEX(M1_Table_MN_j_m,7,7)</f>
        <v>0</v>
      </c>
      <c r="K24" s="2"/>
      <c r="O24" s="53" t="str">
        <f>INDEX(X_Table_Dairy_ProductionSystems_Method1,4,1)</f>
        <v>Feed pad</v>
      </c>
      <c r="P24" s="53" t="str">
        <f>INDEX(X_Table_Dairy_Stage1MMS_2_SumpAndDispersal,2,1)</f>
        <v>Sump and dispersal system</v>
      </c>
      <c r="Q24" s="53">
        <f>INDEX(M2_Table_MN_j_m,7,3)</f>
        <v>0</v>
      </c>
      <c r="R24" s="53">
        <f>INDEX(M2_Table_MN_j_m,7,4)</f>
        <v>0</v>
      </c>
      <c r="S24" s="53">
        <f>INDEX(M2_Table_MN_j_m,7,5)</f>
        <v>0</v>
      </c>
      <c r="T24" s="53">
        <f>INDEX(M2_Table_MN_j_m,7,6)</f>
        <v>0</v>
      </c>
      <c r="U24" s="53">
        <f>INDEX(M2_Table_MN_j_m,7,7)</f>
        <v>0</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0</v>
      </c>
      <c r="G25" s="53">
        <f>INDEX(M1_Table_MN_j_m,8,4)</f>
        <v>0</v>
      </c>
      <c r="H25" s="53">
        <f>INDEX(M1_Table_MN_j_m,8,5)</f>
        <v>0</v>
      </c>
      <c r="I25" s="53">
        <f>INDEX(M1_Table_MN_j_m,8,6)</f>
        <v>0</v>
      </c>
      <c r="J25" s="53">
        <f>INDEX(M1_Table_MN_j_m,8,7)</f>
        <v>0</v>
      </c>
      <c r="K25" s="2"/>
      <c r="O25" s="53" t="str">
        <f>INDEX(X_Table_Dairy_ProductionSystems_Method1,4,1)</f>
        <v>Feed pad</v>
      </c>
      <c r="P25" s="53" t="str">
        <f>INDEX(X_Table_Dairy_Stage1MMS_2_DrainsToPaddock,2,1)</f>
        <v>Drains to paddock</v>
      </c>
      <c r="Q25" s="53">
        <f>INDEX(M2_Table_MN_j_m,8,3)</f>
        <v>0</v>
      </c>
      <c r="R25" s="53">
        <f>INDEX(M2_Table_MN_j_m,8,4)</f>
        <v>0</v>
      </c>
      <c r="S25" s="53">
        <f>INDEX(M2_Table_MN_j_m,8,5)</f>
        <v>0</v>
      </c>
      <c r="T25" s="53">
        <f>INDEX(M2_Table_MN_j_m,8,6)</f>
        <v>0</v>
      </c>
      <c r="U25" s="53">
        <f>INDEX(M2_Table_MN_j_m,8,7)</f>
        <v>0</v>
      </c>
      <c r="V25" s="2"/>
    </row>
    <row r="26" spans="1:22" ht="20.100000000000001" customHeight="1" x14ac:dyDescent="0.25">
      <c r="A26" s="17" t="str">
        <f>HYPERLINK("#'Constants - Common'!A1", "Constants - Common")</f>
        <v>Constants - Common</v>
      </c>
      <c r="D26" s="53" t="str">
        <f>INDEX(X_Table_Dairy_ProductionSystems_Method1,4,1)</f>
        <v>Feed pad</v>
      </c>
      <c r="E26" s="53" t="s">
        <v>398</v>
      </c>
      <c r="F26" s="53">
        <f>INDEX(M1_Table_MN_j_m,9,3)</f>
        <v>0</v>
      </c>
      <c r="G26" s="53">
        <f>INDEX(M1_Table_MN_j_m,9,4)</f>
        <v>0</v>
      </c>
      <c r="H26" s="53">
        <f>INDEX(M1_Table_MN_j_m,9,5)</f>
        <v>0</v>
      </c>
      <c r="I26" s="53">
        <f>INDEX(M1_Table_MN_j_m,9,6)</f>
        <v>0</v>
      </c>
      <c r="J26" s="53">
        <f>INDEX(M1_Table_MN_j_m,9,7)</f>
        <v>0</v>
      </c>
      <c r="K26" s="2"/>
      <c r="O26" s="53" t="str">
        <f>INDEX(X_Table_Dairy_ProductionSystems_Method1,4,1)</f>
        <v>Feed pad</v>
      </c>
      <c r="P26" s="53" t="s">
        <v>398</v>
      </c>
      <c r="Q26" s="53">
        <f>INDEX(M2_Table_MN_j_m,9,3)</f>
        <v>0</v>
      </c>
      <c r="R26" s="53">
        <f>INDEX(M2_Table_MN_j_m,9,4)</f>
        <v>0</v>
      </c>
      <c r="S26" s="53">
        <f>INDEX(M2_Table_MN_j_m,9,5)</f>
        <v>0</v>
      </c>
      <c r="T26" s="53">
        <f>INDEX(M2_Table_MN_j_m,9,6)</f>
        <v>0</v>
      </c>
      <c r="U26" s="53">
        <f>INDEX(M2_Table_MN_j_m,9,7)</f>
        <v>0</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311</v>
      </c>
    </row>
    <row r="29" spans="1:22" ht="20.100000000000001" customHeight="1" x14ac:dyDescent="0.25">
      <c r="A29" s="17" t="str">
        <f>HYPERLINK("#'Tab template'!A1", "Tab template")</f>
        <v>Tab template</v>
      </c>
      <c r="D29" s="99" t="s">
        <v>313</v>
      </c>
    </row>
    <row r="30" spans="1:22" ht="20.100000000000001" customHeight="1" x14ac:dyDescent="0.25">
      <c r="D30" s="52" t="s">
        <v>65</v>
      </c>
      <c r="E30" s="52" t="s">
        <v>312</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314</v>
      </c>
      <c r="O37" s="100" t="s">
        <v>316</v>
      </c>
    </row>
    <row r="38" spans="4:22" ht="20.100000000000001" customHeight="1" x14ac:dyDescent="0.25">
      <c r="D38" s="99" t="s">
        <v>315</v>
      </c>
      <c r="O38" s="99" t="s">
        <v>317</v>
      </c>
    </row>
    <row r="39" spans="4:22" ht="20.100000000000001" customHeight="1" x14ac:dyDescent="0.25">
      <c r="D39" s="52" t="s">
        <v>140</v>
      </c>
      <c r="E39" s="52" t="s">
        <v>65</v>
      </c>
      <c r="F39" s="52" t="s">
        <v>165</v>
      </c>
      <c r="G39" s="52" t="s">
        <v>182</v>
      </c>
      <c r="H39" s="52" t="s">
        <v>183</v>
      </c>
      <c r="I39" s="52" t="s">
        <v>184</v>
      </c>
      <c r="J39" s="52" t="s">
        <v>185</v>
      </c>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609.1655966837908</v>
      </c>
      <c r="G40" s="53" cm="1">
        <f t="array" ref="G40">MMS_Dairy_AtmosphericDeposition_Equations.VEERG_4_3_1_5__2_TotalNitrogenVolatilisedFromMMS(G19,$E32)</f>
        <v>0</v>
      </c>
      <c r="H40" s="53" cm="1">
        <f t="array" ref="H40">MMS_Dairy_AtmosphericDeposition_Equations.VEERG_4_3_1_5__2_TotalNitrogenVolatilisedFromMMS(H19,$E32)</f>
        <v>0</v>
      </c>
      <c r="I40" s="53" cm="1">
        <f t="array" ref="I40">MMS_Dairy_AtmosphericDeposition_Equations.VEERG_4_3_1_5__2_TotalNitrogenVolatilisedFromMMS(I19,$E32)</f>
        <v>0</v>
      </c>
      <c r="J40" s="53" cm="1">
        <f t="array" ref="J40">MMS_Dairy_AtmosphericDeposition_Equations.VEERG_4_3_1_5__2_TotalNitrogenVolatilisedFromMMS(J19,$E32)</f>
        <v>0</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609.1655966837908</v>
      </c>
      <c r="R40" s="53" cm="1">
        <f t="array" ref="R40">MMS_Dairy_AtmosphericDeposition_Equations.VEERG_4_3_1_5__2_TotalNitrogenVolatilisedFromMMS(R19,$E32)</f>
        <v>0</v>
      </c>
      <c r="S40" s="53" cm="1">
        <f t="array" ref="S40">MMS_Dairy_AtmosphericDeposition_Equations.VEERG_4_3_1_5__2_TotalNitrogenVolatilisedFromMMS(S19,$E32)</f>
        <v>0</v>
      </c>
      <c r="T40" s="53" cm="1">
        <f t="array" ref="T40">MMS_Dairy_AtmosphericDeposition_Equations.VEERG_4_3_1_5__2_TotalNitrogenVolatilisedFromMMS(T19,$E32)</f>
        <v>0</v>
      </c>
      <c r="U40" s="53" cm="1">
        <f t="array" ref="U40">MMS_Dairy_AtmosphericDeposition_Equations.VEERG_4_3_1_5__2_TotalNitrogenVolatilisedFromMMS(U19,$E32)</f>
        <v>0</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0</v>
      </c>
      <c r="G41" s="53" cm="1">
        <f t="array" ref="G41">MMS_Dairy_AtmosphericDeposition_Equations.VEERG_4_3_1_5__2_TotalNitrogenVolatilisedFromMMS(G20,$E33)</f>
        <v>0</v>
      </c>
      <c r="H41" s="53" cm="1">
        <f t="array" ref="H41">MMS_Dairy_AtmosphericDeposition_Equations.VEERG_4_3_1_5__2_TotalNitrogenVolatilisedFromMMS(H20,$E33)</f>
        <v>0</v>
      </c>
      <c r="I41" s="53" cm="1">
        <f t="array" ref="I41">MMS_Dairy_AtmosphericDeposition_Equations.VEERG_4_3_1_5__2_TotalNitrogenVolatilisedFromMMS(I20,$E33)</f>
        <v>0</v>
      </c>
      <c r="J41" s="53" cm="1">
        <f t="array" ref="J41">MMS_Dairy_AtmosphericDeposition_Equations.VEERG_4_3_1_5__2_TotalNitrogenVolatilisedFromMMS(J20,$E33)</f>
        <v>0</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0</v>
      </c>
      <c r="R41" s="53" cm="1">
        <f t="array" ref="R41">MMS_Dairy_AtmosphericDeposition_Equations.VEERG_4_3_1_5__2_TotalNitrogenVolatilisedFromMMS(R20,$E33)</f>
        <v>0</v>
      </c>
      <c r="S41" s="53" cm="1">
        <f t="array" ref="S41">MMS_Dairy_AtmosphericDeposition_Equations.VEERG_4_3_1_5__2_TotalNitrogenVolatilisedFromMMS(S20,$E33)</f>
        <v>0</v>
      </c>
      <c r="T41" s="53" cm="1">
        <f t="array" ref="T41">MMS_Dairy_AtmosphericDeposition_Equations.VEERG_4_3_1_5__2_TotalNitrogenVolatilisedFromMMS(T20,$E33)</f>
        <v>0</v>
      </c>
      <c r="U41" s="53" cm="1">
        <f t="array" ref="U41">MMS_Dairy_AtmosphericDeposition_Equations.VEERG_4_3_1_5__2_TotalNitrogenVolatilisedFromMMS(U20,$E33)</f>
        <v>0</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0</v>
      </c>
      <c r="G42" s="53" cm="1">
        <f t="array" ref="G42">MMS_Dairy_AtmosphericDeposition_Equations.VEERG_4_3_1_5__2_TotalNitrogenVolatilisedFromMMS(G21,$E34)</f>
        <v>0</v>
      </c>
      <c r="H42" s="53" cm="1">
        <f t="array" ref="H42">MMS_Dairy_AtmosphericDeposition_Equations.VEERG_4_3_1_5__2_TotalNitrogenVolatilisedFromMMS(H21,$E34)</f>
        <v>0</v>
      </c>
      <c r="I42" s="53" cm="1">
        <f t="array" ref="I42">MMS_Dairy_AtmosphericDeposition_Equations.VEERG_4_3_1_5__2_TotalNitrogenVolatilisedFromMMS(I21,$E34)</f>
        <v>0</v>
      </c>
      <c r="J42" s="53" cm="1">
        <f t="array" ref="J42">MMS_Dairy_AtmosphericDeposition_Equations.VEERG_4_3_1_5__2_TotalNitrogenVolatilisedFromMMS(J21,$E34)</f>
        <v>0</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0</v>
      </c>
      <c r="R42" s="53" cm="1">
        <f t="array" ref="R42">MMS_Dairy_AtmosphericDeposition_Equations.VEERG_4_3_1_5__2_TotalNitrogenVolatilisedFromMMS(R21,$E34)</f>
        <v>0</v>
      </c>
      <c r="S42" s="53" cm="1">
        <f t="array" ref="S42">MMS_Dairy_AtmosphericDeposition_Equations.VEERG_4_3_1_5__2_TotalNitrogenVolatilisedFromMMS(S21,$E34)</f>
        <v>0</v>
      </c>
      <c r="T42" s="53" cm="1">
        <f t="array" ref="T42">MMS_Dairy_AtmosphericDeposition_Equations.VEERG_4_3_1_5__2_TotalNitrogenVolatilisedFromMMS(T21,$E34)</f>
        <v>0</v>
      </c>
      <c r="U42" s="53" cm="1">
        <f t="array" ref="U42">MMS_Dairy_AtmosphericDeposition_Equations.VEERG_4_3_1_5__2_TotalNitrogenVolatilisedFromMMS(U21,$E34)</f>
        <v>0</v>
      </c>
      <c r="V42" s="2"/>
    </row>
    <row r="43" spans="4:22" ht="20.100000000000001" customHeight="1" x14ac:dyDescent="0.25">
      <c r="D43" s="53" t="str">
        <f>INDEX(X_Table_Dairy_ProductionSystems_Method1,3,1)</f>
        <v>Milking shed</v>
      </c>
      <c r="E43" s="53" t="s">
        <v>398</v>
      </c>
      <c r="F43" s="53" cm="1">
        <f t="array" ref="F43">MMS_Dairy_AtmosphericDeposition_Equations.VEERG_4_3_1_5__2_TotalNitrogenVolatilisedFromMMS(F22,$E35)</f>
        <v>522.14194001467786</v>
      </c>
      <c r="G43" s="53" cm="1">
        <f t="array" ref="G43">MMS_Dairy_AtmosphericDeposition_Equations.VEERG_4_3_1_5__2_TotalNitrogenVolatilisedFromMMS(G22,$E35)</f>
        <v>0</v>
      </c>
      <c r="H43" s="53" cm="1">
        <f t="array" ref="H43">MMS_Dairy_AtmosphericDeposition_Equations.VEERG_4_3_1_5__2_TotalNitrogenVolatilisedFromMMS(H22,$E35)</f>
        <v>0</v>
      </c>
      <c r="I43" s="53" cm="1">
        <f t="array" ref="I43">MMS_Dairy_AtmosphericDeposition_Equations.VEERG_4_3_1_5__2_TotalNitrogenVolatilisedFromMMS(I22,$E35)</f>
        <v>0</v>
      </c>
      <c r="J43" s="53" cm="1">
        <f t="array" ref="J43">MMS_Dairy_AtmosphericDeposition_Equations.VEERG_4_3_1_5__2_TotalNitrogenVolatilisedFromMMS(J22,$E35)</f>
        <v>0</v>
      </c>
      <c r="K43" s="2"/>
      <c r="O43" s="53" t="str">
        <f>INDEX(X_Table_Dairy_ProductionSystems_Method1,3,1)</f>
        <v>Milking shed</v>
      </c>
      <c r="P43" s="53" t="s">
        <v>398</v>
      </c>
      <c r="Q43" s="53" cm="1">
        <f t="array" ref="Q43">MMS_Dairy_AtmosphericDeposition_Equations.VEERG_4_3_1_5__2_TotalNitrogenVolatilisedFromMMS(Q22,$E35)</f>
        <v>522.14194001467786</v>
      </c>
      <c r="R43" s="53" cm="1">
        <f t="array" ref="R43">MMS_Dairy_AtmosphericDeposition_Equations.VEERG_4_3_1_5__2_TotalNitrogenVolatilisedFromMMS(R22,$E35)</f>
        <v>0</v>
      </c>
      <c r="S43" s="53" cm="1">
        <f t="array" ref="S43">MMS_Dairy_AtmosphericDeposition_Equations.VEERG_4_3_1_5__2_TotalNitrogenVolatilisedFromMMS(S22,$E35)</f>
        <v>0</v>
      </c>
      <c r="T43" s="53" cm="1">
        <f t="array" ref="T43">MMS_Dairy_AtmosphericDeposition_Equations.VEERG_4_3_1_5__2_TotalNitrogenVolatilisedFromMMS(T22,$E35)</f>
        <v>0</v>
      </c>
      <c r="U43" s="53" cm="1">
        <f t="array" ref="U43">MMS_Dairy_AtmosphericDeposition_Equations.VEERG_4_3_1_5__2_TotalNitrogenVolatilisedFromMMS(U22,$E35)</f>
        <v>0</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0</v>
      </c>
      <c r="G44" s="53" cm="1">
        <f t="array" ref="G44">MMS_Dairy_AtmosphericDeposition_Equations.VEERG_4_3_1_5__2_TotalNitrogenVolatilisedFromMMS(G23, $E32)</f>
        <v>0</v>
      </c>
      <c r="H44" s="53" cm="1">
        <f t="array" ref="H44">MMS_Dairy_AtmosphericDeposition_Equations.VEERG_4_3_1_5__2_TotalNitrogenVolatilisedFromMMS(H23, $E32)</f>
        <v>0</v>
      </c>
      <c r="I44" s="53" cm="1">
        <f t="array" ref="I44">MMS_Dairy_AtmosphericDeposition_Equations.VEERG_4_3_1_5__2_TotalNitrogenVolatilisedFromMMS(I23, $E32)</f>
        <v>0</v>
      </c>
      <c r="J44" s="53" cm="1">
        <f t="array" ref="J44">MMS_Dairy_AtmosphericDeposition_Equations.VEERG_4_3_1_5__2_TotalNitrogenVolatilisedFromMMS(J23, $E32)</f>
        <v>0</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0</v>
      </c>
      <c r="R44" s="53" cm="1">
        <f t="array" ref="R44">MMS_Dairy_AtmosphericDeposition_Equations.VEERG_4_3_1_5__2_TotalNitrogenVolatilisedFromMMS(R23, $E32)</f>
        <v>0</v>
      </c>
      <c r="S44" s="53" cm="1">
        <f t="array" ref="S44">MMS_Dairy_AtmosphericDeposition_Equations.VEERG_4_3_1_5__2_TotalNitrogenVolatilisedFromMMS(S23, $E32)</f>
        <v>0</v>
      </c>
      <c r="T44" s="53" cm="1">
        <f t="array" ref="T44">MMS_Dairy_AtmosphericDeposition_Equations.VEERG_4_3_1_5__2_TotalNitrogenVolatilisedFromMMS(T23, $E32)</f>
        <v>0</v>
      </c>
      <c r="U44" s="53" cm="1">
        <f t="array" ref="U44">MMS_Dairy_AtmosphericDeposition_Equations.VEERG_4_3_1_5__2_TotalNitrogenVolatilisedFromMMS(U23, $E32)</f>
        <v>0</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0</v>
      </c>
      <c r="G45" s="53" cm="1">
        <f t="array" ref="G45">MMS_Dairy_AtmosphericDeposition_Equations.VEERG_4_3_1_5__2_TotalNitrogenVolatilisedFromMMS(G24, $E33)</f>
        <v>0</v>
      </c>
      <c r="H45" s="53" cm="1">
        <f t="array" ref="H45">MMS_Dairy_AtmosphericDeposition_Equations.VEERG_4_3_1_5__2_TotalNitrogenVolatilisedFromMMS(H24, $E33)</f>
        <v>0</v>
      </c>
      <c r="I45" s="53" cm="1">
        <f t="array" ref="I45">MMS_Dairy_AtmosphericDeposition_Equations.VEERG_4_3_1_5__2_TotalNitrogenVolatilisedFromMMS(I24, $E33)</f>
        <v>0</v>
      </c>
      <c r="J45" s="53" cm="1">
        <f t="array" ref="J45">MMS_Dairy_AtmosphericDeposition_Equations.VEERG_4_3_1_5__2_TotalNitrogenVolatilisedFromMMS(J24, $E33)</f>
        <v>0</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0</v>
      </c>
      <c r="R45" s="53" cm="1">
        <f t="array" ref="R45">MMS_Dairy_AtmosphericDeposition_Equations.VEERG_4_3_1_5__2_TotalNitrogenVolatilisedFromMMS(R24, $E33)</f>
        <v>0</v>
      </c>
      <c r="S45" s="53" cm="1">
        <f t="array" ref="S45">MMS_Dairy_AtmosphericDeposition_Equations.VEERG_4_3_1_5__2_TotalNitrogenVolatilisedFromMMS(S24, $E33)</f>
        <v>0</v>
      </c>
      <c r="T45" s="53" cm="1">
        <f t="array" ref="T45">MMS_Dairy_AtmosphericDeposition_Equations.VEERG_4_3_1_5__2_TotalNitrogenVolatilisedFromMMS(T24, $E33)</f>
        <v>0</v>
      </c>
      <c r="U45" s="53" cm="1">
        <f t="array" ref="U45">MMS_Dairy_AtmosphericDeposition_Equations.VEERG_4_3_1_5__2_TotalNitrogenVolatilisedFromMMS(U24, $E33)</f>
        <v>0</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0</v>
      </c>
      <c r="G46" s="53" cm="1">
        <f t="array" ref="G46">MMS_Dairy_AtmosphericDeposition_Equations.VEERG_4_3_1_5__2_TotalNitrogenVolatilisedFromMMS(G25, $E34)</f>
        <v>0</v>
      </c>
      <c r="H46" s="53" cm="1">
        <f t="array" ref="H46">MMS_Dairy_AtmosphericDeposition_Equations.VEERG_4_3_1_5__2_TotalNitrogenVolatilisedFromMMS(H25, $E34)</f>
        <v>0</v>
      </c>
      <c r="I46" s="53" cm="1">
        <f t="array" ref="I46">MMS_Dairy_AtmosphericDeposition_Equations.VEERG_4_3_1_5__2_TotalNitrogenVolatilisedFromMMS(I25, $E34)</f>
        <v>0</v>
      </c>
      <c r="J46" s="53" cm="1">
        <f t="array" ref="J46">MMS_Dairy_AtmosphericDeposition_Equations.VEERG_4_3_1_5__2_TotalNitrogenVolatilisedFromMMS(J25, $E34)</f>
        <v>0</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0</v>
      </c>
      <c r="R46" s="53" cm="1">
        <f t="array" ref="R46">MMS_Dairy_AtmosphericDeposition_Equations.VEERG_4_3_1_5__2_TotalNitrogenVolatilisedFromMMS(R25, $E34)</f>
        <v>0</v>
      </c>
      <c r="S46" s="53" cm="1">
        <f t="array" ref="S46">MMS_Dairy_AtmosphericDeposition_Equations.VEERG_4_3_1_5__2_TotalNitrogenVolatilisedFromMMS(S25, $E34)</f>
        <v>0</v>
      </c>
      <c r="T46" s="53" cm="1">
        <f t="array" ref="T46">MMS_Dairy_AtmosphericDeposition_Equations.VEERG_4_3_1_5__2_TotalNitrogenVolatilisedFromMMS(T25, $E34)</f>
        <v>0</v>
      </c>
      <c r="U46" s="53" cm="1">
        <f t="array" ref="U46">MMS_Dairy_AtmosphericDeposition_Equations.VEERG_4_3_1_5__2_TotalNitrogenVolatilisedFromMMS(U25, $E34)</f>
        <v>0</v>
      </c>
      <c r="V46" s="2"/>
    </row>
    <row r="47" spans="4:22" ht="20.100000000000001" customHeight="1" x14ac:dyDescent="0.25">
      <c r="D47" s="53" t="str">
        <f>INDEX(X_Table_Dairy_ProductionSystems_Method1,4,1)</f>
        <v>Feed pad</v>
      </c>
      <c r="E47" s="53" t="s">
        <v>398</v>
      </c>
      <c r="F47" s="53" cm="1">
        <f t="array" ref="F47">MMS_Dairy_AtmosphericDeposition_Equations.VEERG_4_3_1_5__2_TotalNitrogenVolatilisedFromMMS(F26, $E35)</f>
        <v>0</v>
      </c>
      <c r="G47" s="53" cm="1">
        <f t="array" ref="G47">MMS_Dairy_AtmosphericDeposition_Equations.VEERG_4_3_1_5__2_TotalNitrogenVolatilisedFromMMS(G26, $E35)</f>
        <v>0</v>
      </c>
      <c r="H47" s="53" cm="1">
        <f t="array" ref="H47">MMS_Dairy_AtmosphericDeposition_Equations.VEERG_4_3_1_5__2_TotalNitrogenVolatilisedFromMMS(H26, $E35)</f>
        <v>0</v>
      </c>
      <c r="I47" s="53" cm="1">
        <f t="array" ref="I47">MMS_Dairy_AtmosphericDeposition_Equations.VEERG_4_3_1_5__2_TotalNitrogenVolatilisedFromMMS(I26, $E35)</f>
        <v>0</v>
      </c>
      <c r="J47" s="53" cm="1">
        <f t="array" ref="J47">MMS_Dairy_AtmosphericDeposition_Equations.VEERG_4_3_1_5__2_TotalNitrogenVolatilisedFromMMS(J26, $E35)</f>
        <v>0</v>
      </c>
      <c r="K47" s="2"/>
      <c r="O47" s="53" t="str">
        <f>INDEX(X_Table_Dairy_ProductionSystems_Method1,4,1)</f>
        <v>Feed pad</v>
      </c>
      <c r="P47" s="53" t="s">
        <v>398</v>
      </c>
      <c r="Q47" s="53" cm="1">
        <f t="array" ref="Q47">MMS_Dairy_AtmosphericDeposition_Equations.VEERG_4_3_1_5__2_TotalNitrogenVolatilisedFromMMS(Q26, $E35)</f>
        <v>0</v>
      </c>
      <c r="R47" s="53" cm="1">
        <f t="array" ref="R47">MMS_Dairy_AtmosphericDeposition_Equations.VEERG_4_3_1_5__2_TotalNitrogenVolatilisedFromMMS(R26, $E35)</f>
        <v>0</v>
      </c>
      <c r="S47" s="53" cm="1">
        <f t="array" ref="S47">MMS_Dairy_AtmosphericDeposition_Equations.VEERG_4_3_1_5__2_TotalNitrogenVolatilisedFromMMS(S26, $E35)</f>
        <v>0</v>
      </c>
      <c r="T47" s="53" cm="1">
        <f t="array" ref="T47">MMS_Dairy_AtmosphericDeposition_Equations.VEERG_4_3_1_5__2_TotalNitrogenVolatilisedFromMMS(T26, $E35)</f>
        <v>0</v>
      </c>
      <c r="U47" s="53" cm="1">
        <f t="array" ref="U47">MMS_Dairy_AtmosphericDeposition_Equations.VEERG_4_3_1_5__2_TotalNitrogenVolatilisedFromMMS(U26, $E35)</f>
        <v>0</v>
      </c>
      <c r="V47" s="2"/>
    </row>
    <row r="48" spans="4:22" ht="20.100000000000001" customHeight="1" x14ac:dyDescent="0.25"/>
    <row r="49" spans="3:23" ht="20.100000000000001" customHeight="1" x14ac:dyDescent="0.25">
      <c r="D49" s="114" t="s">
        <v>373</v>
      </c>
      <c r="E49" s="46">
        <f>SUM(F40:J47)</f>
        <v>1131.3075366984685</v>
      </c>
      <c r="F49" s="108" t="str">
        <f>$E$11</f>
        <v>kg N</v>
      </c>
      <c r="O49" s="114" t="s">
        <v>373</v>
      </c>
      <c r="P49" s="46">
        <f>SUM(Q40:U47)</f>
        <v>1131.3075366984685</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414</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1131.3075366984685</v>
      </c>
      <c r="O61" s="58" t="str">
        <f>D61</f>
        <v>MN_ATMOS</v>
      </c>
      <c r="P61" s="59" t="str">
        <f>E61</f>
        <v>mass of N volatilised from MMS</v>
      </c>
      <c r="Q61" s="60"/>
      <c r="R61" s="58">
        <f>$P$49</f>
        <v>1131.3075366984685</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318</v>
      </c>
      <c r="E68" s="105" cm="1">
        <f t="array" ref="E68">MMS_Dairy_AtmosphericDeposition_Equations.VEERG_4_3_1_5__1_AnnualAtmosphericDepositionEmissionsFromMMS($I$61,$I$62,$I$63)</f>
        <v>1.0488837018818658E-2</v>
      </c>
      <c r="F68" s="106" t="str">
        <f>$E$59</f>
        <v>t N2O</v>
      </c>
      <c r="O68" s="104" t="s">
        <v>318</v>
      </c>
      <c r="P68" s="105" cm="1">
        <f t="array" ref="P68">MMS_Dairy_AtmosphericDeposition_Equations.VEERG_4_3_1_5__1_AnnualAtmosphericDepositionEmissionsFromMMS($R$61,$I$62,$I$63)</f>
        <v>1.0488837018818658E-2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1.0488837018818658E-2</v>
      </c>
      <c r="O70" s="58" t="str" cm="1">
        <f t="array" ref="O70:P71">Common_Equations.Common_ConvertN2OToCO2e_Arguments()</f>
        <v>EN2O</v>
      </c>
      <c r="P70" s="59" t="str">
        <v>Nitrous oxide emissions (t N2O)</v>
      </c>
      <c r="Q70" s="107"/>
      <c r="R70" s="53">
        <f>VEERG_4_3_1_5__1_AnnualAtmosphericDepositionEmissionsFromMMS_Result_Method2</f>
        <v>1.0488837018818658E-2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102</v>
      </c>
      <c r="E73" s="157" cm="1">
        <f t="array" ref="E73">Common_Equations.Common_ConvertN2OToCO2e(G70,G71)</f>
        <v>2.7795418099869442</v>
      </c>
      <c r="F73" s="108" t="str" cm="1">
        <f t="array" ref="F73">Common_Equations.Common_ConvertN2OToCO2e_Unit()</f>
        <v>t CO2e</v>
      </c>
      <c r="O73" s="46" t="s">
        <v>102</v>
      </c>
      <c r="P73" s="46" cm="1">
        <f t="array" ref="P73">Common_Equations.Common_ConvertN2OToCO2e(R70,R71)</f>
        <v>2.7795418099869442</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41" zoomScaleNormal="100" workbookViewId="0">
      <selection activeCell="F66" sqref="F6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345</v>
      </c>
    </row>
    <row r="2" spans="1:23" s="9" customFormat="1" ht="20.100000000000001" customHeight="1" x14ac:dyDescent="0.25">
      <c r="A2"/>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72</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YES -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320</v>
      </c>
      <c r="O20" s="100" t="s">
        <v>322</v>
      </c>
    </row>
    <row r="21" spans="1:22" ht="20.100000000000001" customHeight="1" x14ac:dyDescent="0.25">
      <c r="A21" s="17" t="str">
        <f>HYPERLINK("#'4.3.1.12-13 Soil leach runoff'!A1", "4.3.1.12-13 Soil leach runoff")</f>
        <v>4.3.1.12-13 Soil leach runoff</v>
      </c>
      <c r="D21" s="99" t="s">
        <v>321</v>
      </c>
      <c r="O21" s="99" t="s">
        <v>323</v>
      </c>
    </row>
    <row r="22" spans="1:22" ht="20.100000000000001" customHeight="1" x14ac:dyDescent="0.25">
      <c r="D22" s="52" t="s">
        <v>140</v>
      </c>
      <c r="E22" s="52" t="s">
        <v>65</v>
      </c>
      <c r="F22" s="52" t="s">
        <v>165</v>
      </c>
      <c r="G22" s="52" t="s">
        <v>182</v>
      </c>
      <c r="H22" s="52" t="s">
        <v>183</v>
      </c>
      <c r="I22" s="52" t="s">
        <v>184</v>
      </c>
      <c r="J22" s="52" t="s">
        <v>185</v>
      </c>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INDEX(X_Table_Dairy_ProductionSystems_Method1,3,1)</f>
        <v>Milking shed</v>
      </c>
      <c r="E23" s="53" t="s">
        <v>398</v>
      </c>
      <c r="F23" s="53">
        <f>INDEX(M1_Table_MN_j_m,5,3)</f>
        <v>1740.4731333822594</v>
      </c>
      <c r="G23" s="53">
        <f>INDEX(M1_Table_MN_j_m,5,4)</f>
        <v>0</v>
      </c>
      <c r="H23" s="53">
        <f>INDEX(M1_Table_MN_j_m,5,5)</f>
        <v>0</v>
      </c>
      <c r="I23" s="53">
        <f>INDEX(M1_Table_MN_j_m,5,6)</f>
        <v>0</v>
      </c>
      <c r="J23" s="53">
        <f>INDEX(M1_Table_MN_j_m,5,7)</f>
        <v>0</v>
      </c>
      <c r="K23" s="2" t="str">
        <f>$H$13</f>
        <v>kg N</v>
      </c>
      <c r="O23" s="53" t="str">
        <f>INDEX(X_Table_Dairy_ProductionSystems_Method1,3,1)</f>
        <v>Milking shed</v>
      </c>
      <c r="P23" s="53" t="s">
        <v>398</v>
      </c>
      <c r="Q23" s="53">
        <f>INDEX(M2_Table_MN_j_m,5,3)</f>
        <v>1740.4731333822594</v>
      </c>
      <c r="R23" s="53">
        <f>INDEX(M2_Table_MN_j_m,5,4)</f>
        <v>0</v>
      </c>
      <c r="S23" s="53">
        <f>INDEX(M2_Table_MN_j_m,5,5)</f>
        <v>0</v>
      </c>
      <c r="T23" s="53">
        <f>INDEX(M2_Table_MN_j_m,5,6)</f>
        <v>0</v>
      </c>
      <c r="U23" s="53">
        <f>INDEX(M2_Table_MN_j_m,5,7)</f>
        <v>0</v>
      </c>
      <c r="V23" s="2" t="str">
        <f>$H$13</f>
        <v>kg N</v>
      </c>
    </row>
    <row r="24" spans="1:22" ht="20.100000000000001" customHeight="1" x14ac:dyDescent="0.25">
      <c r="A24" s="154" t="s">
        <v>1</v>
      </c>
      <c r="D24" s="53" t="str">
        <f>INDEX(X_Table_Dairy_ProductionSystems_Method1,4,1)</f>
        <v>Feed pad</v>
      </c>
      <c r="E24" s="53" t="s">
        <v>398</v>
      </c>
      <c r="F24" s="53">
        <f>INDEX(M1_Table_MN_j_m,9,3)</f>
        <v>0</v>
      </c>
      <c r="G24" s="53">
        <f>INDEX(M1_Table_MN_j_m,9,4)</f>
        <v>0</v>
      </c>
      <c r="H24" s="53">
        <f>INDEX(M1_Table_MN_j_m,9,5)</f>
        <v>0</v>
      </c>
      <c r="I24" s="53">
        <f>INDEX(M1_Table_MN_j_m,9,6)</f>
        <v>0</v>
      </c>
      <c r="J24" s="53">
        <f>INDEX(M1_Table_MN_j_m,9,7)</f>
        <v>0</v>
      </c>
      <c r="K24" s="2"/>
      <c r="O24" s="53" t="str">
        <f>INDEX(X_Table_Dairy_ProductionSystems_Method1,4,1)</f>
        <v>Feed pad</v>
      </c>
      <c r="P24" s="53" t="s">
        <v>398</v>
      </c>
      <c r="Q24" s="53">
        <f>INDEX(M2_Table_MN_j_m,9,3)</f>
        <v>0</v>
      </c>
      <c r="R24" s="53">
        <f>INDEX(M2_Table_MN_j_m,9,4)</f>
        <v>0</v>
      </c>
      <c r="S24" s="53">
        <f>INDEX(M2_Table_MN_j_m,9,5)</f>
        <v>0</v>
      </c>
      <c r="T24" s="53">
        <f>INDEX(M2_Table_MN_j_m,9,6)</f>
        <v>0</v>
      </c>
      <c r="U24" s="53">
        <f>INDEX(M2_Table_MN_j_m,9,7)</f>
        <v>0</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325</v>
      </c>
      <c r="O26" s="100" t="s">
        <v>326</v>
      </c>
    </row>
    <row r="27" spans="1:22" ht="20.100000000000001" customHeight="1" x14ac:dyDescent="0.25">
      <c r="A27" s="17" t="str">
        <f>HYPERLINK("#'Constants - Livestock'!A1", "Constants - Livestock")</f>
        <v>Constants - Livestock</v>
      </c>
      <c r="D27" s="99" t="s">
        <v>324</v>
      </c>
      <c r="O27" s="99" t="s">
        <v>327</v>
      </c>
    </row>
    <row r="28" spans="1:22" ht="20.100000000000001" customHeight="1" x14ac:dyDescent="0.25">
      <c r="A28" s="17" t="str">
        <f>HYPERLINK("#'Acknowledgements'!A1", "Acknowledgements")</f>
        <v>Acknowledgements</v>
      </c>
      <c r="D28" s="52" t="s">
        <v>140</v>
      </c>
      <c r="E28" s="52" t="s">
        <v>65</v>
      </c>
      <c r="F28" s="52" t="s">
        <v>165</v>
      </c>
      <c r="G28" s="52" t="s">
        <v>182</v>
      </c>
      <c r="H28" s="52" t="s">
        <v>183</v>
      </c>
      <c r="I28" s="52" t="s">
        <v>184</v>
      </c>
      <c r="J28" s="52" t="s">
        <v>185</v>
      </c>
      <c r="O28" s="52" t="s">
        <v>140</v>
      </c>
      <c r="P28" s="52" t="s">
        <v>65</v>
      </c>
      <c r="Q28" s="52" t="s">
        <v>165</v>
      </c>
      <c r="R28" s="52" t="s">
        <v>182</v>
      </c>
      <c r="S28" s="52" t="s">
        <v>183</v>
      </c>
      <c r="T28" s="52" t="s">
        <v>184</v>
      </c>
      <c r="U28" s="52" t="s">
        <v>185</v>
      </c>
    </row>
    <row r="29" spans="1:22" ht="20.100000000000001" customHeight="1" x14ac:dyDescent="0.25">
      <c r="A29" s="17" t="str">
        <f>HYPERLINK("#'Tab template'!A1", "Tab template")</f>
        <v>Tab template</v>
      </c>
      <c r="D29" s="53" t="str">
        <f>INDEX(X_Table_Dairy_ProductionSystems_Method1,3,1)</f>
        <v>Milking shed</v>
      </c>
      <c r="E29" s="53" t="s">
        <v>398</v>
      </c>
      <c r="F29" s="53" cm="1">
        <f t="array" ref="F29">MMS_Dairy_LeachingAndRunoff_Equations.VEERG_4_3_1_6__2_MassOfNitrogenLostToLeachingAndRunoffFromSolidStorage(F23,$J$14,$J$15)</f>
        <v>34.809462667645192</v>
      </c>
      <c r="G29" s="53" cm="1">
        <f t="array" ref="G29">MMS_Dairy_LeachingAndRunoff_Equations.VEERG_4_3_1_6__2_MassOfNitrogenLostToLeachingAndRunoffFromSolidStorage(G23,$J$14,$J$15)</f>
        <v>0</v>
      </c>
      <c r="H29" s="53" cm="1">
        <f t="array" ref="H29">MMS_Dairy_LeachingAndRunoff_Equations.VEERG_4_3_1_6__2_MassOfNitrogenLostToLeachingAndRunoffFromSolidStorage(H23,$J$14,$J$15)</f>
        <v>0</v>
      </c>
      <c r="I29" s="53" cm="1">
        <f t="array" ref="I29">MMS_Dairy_LeachingAndRunoff_Equations.VEERG_4_3_1_6__2_MassOfNitrogenLostToLeachingAndRunoffFromSolidStorage(I23,$J$14,$J$15)</f>
        <v>0</v>
      </c>
      <c r="J29" s="53" cm="1">
        <f t="array" ref="J29">MMS_Dairy_LeachingAndRunoff_Equations.VEERG_4_3_1_6__2_MassOfNitrogenLostToLeachingAndRunoffFromSolidStorage(J23,$J$14,$J$15)</f>
        <v>0</v>
      </c>
      <c r="K29" s="2" t="str">
        <f>$E$11</f>
        <v>kg N</v>
      </c>
      <c r="O29" s="53" t="str">
        <f>INDEX(X_Table_Dairy_ProductionSystems_Method1,3,1)</f>
        <v>Milking shed</v>
      </c>
      <c r="P29" s="53" t="s">
        <v>398</v>
      </c>
      <c r="Q29" s="53" cm="1">
        <f t="array" ref="Q29">MMS_Dairy_LeachingAndRunoff_Equations.VEERG_4_3_1_6__2_MassOfNitrogenLostToLeachingAndRunoffFromSolidStorage(Q23,$J$14,$J$15)</f>
        <v>34.809462667645192</v>
      </c>
      <c r="R29" s="53" cm="1">
        <f t="array" ref="R29">MMS_Dairy_LeachingAndRunoff_Equations.VEERG_4_3_1_6__2_MassOfNitrogenLostToLeachingAndRunoffFromSolidStorage(R23,$J$14,$J$15)</f>
        <v>0</v>
      </c>
      <c r="S29" s="53" cm="1">
        <f t="array" ref="S29">MMS_Dairy_LeachingAndRunoff_Equations.VEERG_4_3_1_6__2_MassOfNitrogenLostToLeachingAndRunoffFromSolidStorage(S23,$J$14,$J$15)</f>
        <v>0</v>
      </c>
      <c r="T29" s="53" cm="1">
        <f t="array" ref="T29">MMS_Dairy_LeachingAndRunoff_Equations.VEERG_4_3_1_6__2_MassOfNitrogenLostToLeachingAndRunoffFromSolidStorage(T23,$J$14,$J$15)</f>
        <v>0</v>
      </c>
      <c r="U29" s="53" cm="1">
        <f t="array" ref="U29">MMS_Dairy_LeachingAndRunoff_Equations.VEERG_4_3_1_6__2_MassOfNitrogenLostToLeachingAndRunoffFromSolidStorage(U23,$J$14,$J$15)</f>
        <v>0</v>
      </c>
      <c r="V29" s="2" t="str">
        <f>$E$11</f>
        <v>kg N</v>
      </c>
    </row>
    <row r="30" spans="1:22" ht="20.100000000000001" customHeight="1" x14ac:dyDescent="0.25">
      <c r="D30" s="53" t="str">
        <f>INDEX(X_Table_Dairy_ProductionSystems_Method1,4,1)</f>
        <v>Feed pad</v>
      </c>
      <c r="E30" s="53" t="s">
        <v>398</v>
      </c>
      <c r="F30" s="53" cm="1">
        <f t="array" ref="F30">MMS_Dairy_LeachingAndRunoff_Equations.VEERG_4_3_1_6__2_MassOfNitrogenLostToLeachingAndRunoffFromSolidStorage(F24,$J$14,$J$15)</f>
        <v>0</v>
      </c>
      <c r="G30" s="53" cm="1">
        <f t="array" ref="G30">MMS_Dairy_LeachingAndRunoff_Equations.VEERG_4_3_1_6__2_MassOfNitrogenLostToLeachingAndRunoffFromSolidStorage(G24,$J$14,$J$15)</f>
        <v>0</v>
      </c>
      <c r="H30" s="53" cm="1">
        <f t="array" ref="H30">MMS_Dairy_LeachingAndRunoff_Equations.VEERG_4_3_1_6__2_MassOfNitrogenLostToLeachingAndRunoffFromSolidStorage(H24,$J$14,$J$15)</f>
        <v>0</v>
      </c>
      <c r="I30" s="53" cm="1">
        <f t="array" ref="I30">MMS_Dairy_LeachingAndRunoff_Equations.VEERG_4_3_1_6__2_MassOfNitrogenLostToLeachingAndRunoffFromSolidStorage(I24,$J$14,$J$15)</f>
        <v>0</v>
      </c>
      <c r="J30" s="53" cm="1">
        <f t="array" ref="J30">MMS_Dairy_LeachingAndRunoff_Equations.VEERG_4_3_1_6__2_MassOfNitrogenLostToLeachingAndRunoffFromSolidStorage(J24,$J$14,$J$15)</f>
        <v>0</v>
      </c>
      <c r="K30" s="2"/>
      <c r="O30" s="53" t="str">
        <f>INDEX(X_Table_Dairy_ProductionSystems_Method1,4,1)</f>
        <v>Feed pad</v>
      </c>
      <c r="P30" s="53" t="s">
        <v>398</v>
      </c>
      <c r="Q30" s="53" cm="1">
        <f t="array" ref="Q30">MMS_Dairy_LeachingAndRunoff_Equations.VEERG_4_3_1_6__2_MassOfNitrogenLostToLeachingAndRunoffFromSolidStorage(Q24,$J$14,$J$15)</f>
        <v>0</v>
      </c>
      <c r="R30" s="53" cm="1">
        <f t="array" ref="R30">MMS_Dairy_LeachingAndRunoff_Equations.VEERG_4_3_1_6__2_MassOfNitrogenLostToLeachingAndRunoffFromSolidStorage(R24,$J$14,$J$15)</f>
        <v>0</v>
      </c>
      <c r="S30" s="53" cm="1">
        <f t="array" ref="S30">MMS_Dairy_LeachingAndRunoff_Equations.VEERG_4_3_1_6__2_MassOfNitrogenLostToLeachingAndRunoffFromSolidStorage(S24,$J$14,$J$15)</f>
        <v>0</v>
      </c>
      <c r="T30" s="53" cm="1">
        <f t="array" ref="T30">MMS_Dairy_LeachingAndRunoff_Equations.VEERG_4_3_1_6__2_MassOfNitrogenLostToLeachingAndRunoffFromSolidStorage(T24,$J$14,$J$15)</f>
        <v>0</v>
      </c>
      <c r="U30" s="53" cm="1">
        <f t="array" ref="U30">MMS_Dairy_LeachingAndRunoff_Equations.VEERG_4_3_1_6__2_MassOfNitrogenLostToLeachingAndRunoffFromSolidStorage(U24,$J$14,$J$15)</f>
        <v>0</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c r="H39" s="1" t="e" cm="1" vm="2">
        <f t="array" ref="H39">MMS_Dairy_LeachingAndRunoff_Equations.VEERG_4_3_1_6__1_AnnualEmissionsFromLeachingAndRunoffFromMMS</f>
        <v>#VALUE!</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328</v>
      </c>
      <c r="O46" s="100" t="s">
        <v>330</v>
      </c>
    </row>
    <row r="47" spans="3:23" ht="20.100000000000001" customHeight="1" x14ac:dyDescent="0.25">
      <c r="D47" s="99" t="s">
        <v>329</v>
      </c>
      <c r="O47" s="99" t="s">
        <v>331</v>
      </c>
    </row>
    <row r="48" spans="3:23" ht="20.100000000000001" customHeight="1" x14ac:dyDescent="0.25">
      <c r="D48" s="52" t="s">
        <v>140</v>
      </c>
      <c r="E48" s="52" t="s">
        <v>65</v>
      </c>
      <c r="F48" s="52" t="s">
        <v>165</v>
      </c>
      <c r="G48" s="52" t="s">
        <v>182</v>
      </c>
      <c r="H48" s="52" t="s">
        <v>183</v>
      </c>
      <c r="I48" s="52" t="s">
        <v>184</v>
      </c>
      <c r="J48" s="52" t="s">
        <v>185</v>
      </c>
      <c r="O48" s="52" t="s">
        <v>140</v>
      </c>
      <c r="P48" s="52" t="s">
        <v>65</v>
      </c>
      <c r="Q48" s="52" t="s">
        <v>165</v>
      </c>
      <c r="R48" s="52" t="s">
        <v>182</v>
      </c>
      <c r="S48" s="52" t="s">
        <v>183</v>
      </c>
      <c r="T48" s="52" t="s">
        <v>184</v>
      </c>
      <c r="U48" s="52" t="s">
        <v>185</v>
      </c>
    </row>
    <row r="49" spans="4:22" ht="20.100000000000001" customHeight="1" x14ac:dyDescent="0.25">
      <c r="D49" s="53" t="str">
        <f>INDEX(X_Table_Dairy_ProductionSystems_Method1,3,1)</f>
        <v>Milking shed</v>
      </c>
      <c r="E49" s="53" t="s">
        <v>398</v>
      </c>
      <c r="F49" s="53" cm="1">
        <f t="array" ref="F49">MMS_Dairy_LeachingAndRunoff_Equations.VEERG_4_3_1_6__1_AnnualEmissionsFromLeachingAndRunoffFromMMS(F29,$I$43,$I$44)</f>
        <v>6.0170642611215254E-4</v>
      </c>
      <c r="G49" s="53" cm="1">
        <f t="array" ref="G49">MMS_Dairy_LeachingAndRunoff_Equations.VEERG_4_3_1_6__1_AnnualEmissionsFromLeachingAndRunoffFromMMS(G29,$I$43,$I$44)</f>
        <v>0</v>
      </c>
      <c r="H49" s="53" cm="1">
        <f t="array" ref="H49">MMS_Dairy_LeachingAndRunoff_Equations.VEERG_4_3_1_6__1_AnnualEmissionsFromLeachingAndRunoffFromMMS(H29,$I$43,$I$44)</f>
        <v>0</v>
      </c>
      <c r="I49" s="53" cm="1">
        <f t="array" ref="I49">MMS_Dairy_LeachingAndRunoff_Equations.VEERG_4_3_1_6__1_AnnualEmissionsFromLeachingAndRunoffFromMMS(I29,$I$43,$I$44)</f>
        <v>0</v>
      </c>
      <c r="J49" s="53" cm="1">
        <f t="array" ref="J49">MMS_Dairy_LeachingAndRunoff_Equations.VEERG_4_3_1_6__1_AnnualEmissionsFromLeachingAndRunoffFromMMS(J29,$I$43,$I$44)</f>
        <v>0</v>
      </c>
      <c r="K49" s="2" t="str">
        <f>$E$40</f>
        <v>t N2O</v>
      </c>
      <c r="O49" s="53" t="str">
        <f>INDEX(X_Table_Dairy_ProductionSystems_Method1,3,1)</f>
        <v>Milking shed</v>
      </c>
      <c r="P49" s="53" t="s">
        <v>398</v>
      </c>
      <c r="Q49" s="53" cm="1">
        <f t="array" ref="Q49">MMS_Dairy_LeachingAndRunoff_Equations.VEERG_4_3_1_6__1_AnnualEmissionsFromLeachingAndRunoffFromMMS(Q29,$I$43,$I$44)</f>
        <v>6.0170642611215254E-4</v>
      </c>
      <c r="R49" s="53" cm="1">
        <f t="array" ref="R49">MMS_Dairy_LeachingAndRunoff_Equations.VEERG_4_3_1_6__1_AnnualEmissionsFromLeachingAndRunoffFromMMS(R29,$I$43,$I$44)</f>
        <v>0</v>
      </c>
      <c r="S49" s="53" cm="1">
        <f t="array" ref="S49">MMS_Dairy_LeachingAndRunoff_Equations.VEERG_4_3_1_6__1_AnnualEmissionsFromLeachingAndRunoffFromMMS(S29,$I$43,$I$44)</f>
        <v>0</v>
      </c>
      <c r="T49" s="53" cm="1">
        <f t="array" ref="T49">MMS_Dairy_LeachingAndRunoff_Equations.VEERG_4_3_1_6__1_AnnualEmissionsFromLeachingAndRunoffFromMMS(T29,$I$43,$I$44)</f>
        <v>0</v>
      </c>
      <c r="U49" s="53" cm="1">
        <f t="array" ref="U49">MMS_Dairy_LeachingAndRunoff_Equations.VEERG_4_3_1_6__1_AnnualEmissionsFromLeachingAndRunoffFromMMS(U29,$I$43,$I$44)</f>
        <v>0</v>
      </c>
      <c r="V49" s="2" t="str">
        <f>$E$40</f>
        <v>t N2O</v>
      </c>
    </row>
    <row r="50" spans="4:22" ht="20.100000000000001" customHeight="1" x14ac:dyDescent="0.25">
      <c r="D50" s="53" t="str">
        <f>INDEX(X_Table_Dairy_ProductionSystems_Method1,4,1)</f>
        <v>Feed pad</v>
      </c>
      <c r="E50" s="53" t="s">
        <v>398</v>
      </c>
      <c r="F50" s="53" cm="1">
        <f t="array" ref="F50">MMS_Dairy_LeachingAndRunoff_Equations.VEERG_4_3_1_6__1_AnnualEmissionsFromLeachingAndRunoffFromMMS(F30,$I$43,$I$44)</f>
        <v>0</v>
      </c>
      <c r="G50" s="53" cm="1">
        <f t="array" ref="G50">MMS_Dairy_LeachingAndRunoff_Equations.VEERG_4_3_1_6__1_AnnualEmissionsFromLeachingAndRunoffFromMMS(G30,$I$43,$I$44)</f>
        <v>0</v>
      </c>
      <c r="H50" s="53" cm="1">
        <f t="array" ref="H50">MMS_Dairy_LeachingAndRunoff_Equations.VEERG_4_3_1_6__1_AnnualEmissionsFromLeachingAndRunoffFromMMS(H30,$I$43,$I$44)</f>
        <v>0</v>
      </c>
      <c r="I50" s="53" cm="1">
        <f t="array" ref="I50">MMS_Dairy_LeachingAndRunoff_Equations.VEERG_4_3_1_6__1_AnnualEmissionsFromLeachingAndRunoffFromMMS(I30,$I$43,$I$44)</f>
        <v>0</v>
      </c>
      <c r="J50" s="53" cm="1">
        <f t="array" ref="J50">MMS_Dairy_LeachingAndRunoff_Equations.VEERG_4_3_1_6__1_AnnualEmissionsFromLeachingAndRunoffFromMMS(J30,$I$43,$I$44)</f>
        <v>0</v>
      </c>
      <c r="K50" s="2"/>
      <c r="O50" s="53" t="str">
        <f>INDEX(X_Table_Dairy_ProductionSystems_Method1,4,1)</f>
        <v>Feed pad</v>
      </c>
      <c r="P50" s="53" t="s">
        <v>398</v>
      </c>
      <c r="Q50" s="53" cm="1">
        <f t="array" ref="Q50">MMS_Dairy_LeachingAndRunoff_Equations.VEERG_4_3_1_6__1_AnnualEmissionsFromLeachingAndRunoffFromMMS(Q30,$I$43,$I$44)</f>
        <v>0</v>
      </c>
      <c r="R50" s="53" cm="1">
        <f t="array" ref="R50">MMS_Dairy_LeachingAndRunoff_Equations.VEERG_4_3_1_6__1_AnnualEmissionsFromLeachingAndRunoffFromMMS(R30,$I$43,$I$44)</f>
        <v>0</v>
      </c>
      <c r="S50" s="53" cm="1">
        <f t="array" ref="S50">MMS_Dairy_LeachingAndRunoff_Equations.VEERG_4_3_1_6__1_AnnualEmissionsFromLeachingAndRunoffFromMMS(S30,$I$43,$I$44)</f>
        <v>0</v>
      </c>
      <c r="T50" s="53" cm="1">
        <f t="array" ref="T50">MMS_Dairy_LeachingAndRunoff_Equations.VEERG_4_3_1_6__1_AnnualEmissionsFromLeachingAndRunoffFromMMS(T30,$I$43,$I$44)</f>
        <v>0</v>
      </c>
      <c r="U50" s="53" cm="1">
        <f t="array" ref="U50">MMS_Dairy_LeachingAndRunoff_Equations.VEERG_4_3_1_6__1_AnnualEmissionsFromLeachingAndRunoffFromMMS(U30,$I$43,$I$44)</f>
        <v>0</v>
      </c>
      <c r="V50" s="2"/>
    </row>
    <row r="51" spans="4:22" ht="20.100000000000001" customHeight="1" x14ac:dyDescent="0.25"/>
    <row r="52" spans="4:22" ht="20.100000000000001" customHeight="1" x14ac:dyDescent="0.25">
      <c r="D52" s="104" t="s">
        <v>318</v>
      </c>
      <c r="E52" s="105">
        <f>SUM(F49:J50)</f>
        <v>6.0170642611215254E-4</v>
      </c>
      <c r="F52" s="106" t="str">
        <f>$E$40</f>
        <v>t N2O</v>
      </c>
      <c r="O52" s="104" t="s">
        <v>318</v>
      </c>
      <c r="P52" s="105">
        <f>SUM(Q49:U50)</f>
        <v>6.0170642611215254E-4</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6.0170642611215254E-4</v>
      </c>
      <c r="O54" s="58" t="str" cm="1">
        <f t="array" ref="O54:P55">Common_Equations.Common_ConvertN2OToCO2e_Arguments()</f>
        <v>EN2O</v>
      </c>
      <c r="P54" s="59" t="str">
        <v>Nitrous oxide emissions (t N2O)</v>
      </c>
      <c r="Q54" s="107"/>
      <c r="R54" s="53">
        <f>VEERG_4_3_1_6__1_AnnualEmissionsFromLeachingAndRunoffFromMMS_Result_Method2</f>
        <v>6.0170642611215254E-4</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102</v>
      </c>
      <c r="E57" s="157" cm="1">
        <f t="array" ref="E57">Common_Equations.Common_ConvertN2OToCO2e(G54,G55)</f>
        <v>0.15945220291972043</v>
      </c>
      <c r="F57" s="108" t="str" cm="1">
        <f t="array" ref="F57">Common_Equations.Common_ConvertN2OToCO2e_Unit()</f>
        <v>t CO2e</v>
      </c>
      <c r="O57" s="46" t="s">
        <v>102</v>
      </c>
      <c r="P57" s="46" cm="1">
        <f t="array" ref="P57">Common_Equations.Common_ConvertN2OToCO2e(R54,R55)</f>
        <v>0.15945220291972043</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A70" zoomScaleNormal="100" workbookViewId="0">
      <selection activeCell="E85" sqref="E8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332</v>
      </c>
      <c r="M1" s="128"/>
    </row>
    <row r="2" spans="1:23" s="9" customFormat="1" ht="20.100000000000001" customHeight="1" x14ac:dyDescent="0.25">
      <c r="A2"/>
      <c r="M2" s="128"/>
    </row>
    <row r="3" spans="1:23" ht="20.100000000000001" customHeight="1" x14ac:dyDescent="0.25">
      <c r="A3" s="17" t="str">
        <f>HYPERLINK("#'Home'!A1", "Home")</f>
        <v>Home</v>
      </c>
      <c r="C3" s="4"/>
      <c r="D3" s="4" t="s">
        <v>112</v>
      </c>
      <c r="E3" s="4"/>
      <c r="F3" s="4"/>
      <c r="G3" s="4"/>
      <c r="H3" s="4"/>
      <c r="I3" s="4"/>
      <c r="J3" s="4"/>
      <c r="K3" s="4"/>
      <c r="L3" s="4"/>
      <c r="N3" s="4"/>
      <c r="O3" s="4" t="s">
        <v>113</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72</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305</v>
      </c>
    </row>
    <row r="20" spans="1:9" ht="20.100000000000001" customHeight="1" x14ac:dyDescent="0.25">
      <c r="A20" s="17" t="str">
        <f>HYPERLINK("#'4.3.1.10-11 Soil Atmos Dep'!A1", "4.3.1.10-11 Soil Atmos Dep")</f>
        <v>4.3.1.10-11 Soil Atmos Dep</v>
      </c>
      <c r="D20" s="99" t="s">
        <v>306</v>
      </c>
    </row>
    <row r="21" spans="1:9" ht="20.100000000000001" customHeight="1" x14ac:dyDescent="0.25">
      <c r="A21" s="17" t="str">
        <f>HYPERLINK("#'4.3.1.12-13 Soil leach runoff'!A1", "4.3.1.12-13 Soil leach runoff")</f>
        <v>4.3.1.12-13 Soil leach runoff</v>
      </c>
      <c r="D21" s="52" t="s">
        <v>65</v>
      </c>
      <c r="E21" s="52" t="s">
        <v>307</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311</v>
      </c>
    </row>
    <row r="29" spans="1:9" ht="20.100000000000001" customHeight="1" x14ac:dyDescent="0.25">
      <c r="A29" s="17" t="str">
        <f>HYPERLINK("#'Tab template'!A1", "Tab template")</f>
        <v>Tab template</v>
      </c>
      <c r="D29" s="99" t="s">
        <v>313</v>
      </c>
    </row>
    <row r="30" spans="1:9" ht="20.100000000000001" customHeight="1" x14ac:dyDescent="0.25">
      <c r="D30" s="52" t="s">
        <v>65</v>
      </c>
      <c r="E30" s="52" t="s">
        <v>312</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301</v>
      </c>
      <c r="M37"/>
      <c r="O37" s="100" t="s">
        <v>304</v>
      </c>
    </row>
    <row r="38" spans="4:22" ht="20.100000000000001" customHeight="1" x14ac:dyDescent="0.25">
      <c r="D38" s="99" t="s">
        <v>302</v>
      </c>
      <c r="M38"/>
      <c r="O38" s="99" t="s">
        <v>303</v>
      </c>
    </row>
    <row r="39" spans="4:22" ht="20.100000000000001" customHeight="1" x14ac:dyDescent="0.25">
      <c r="D39" s="52" t="s">
        <v>140</v>
      </c>
      <c r="E39" s="52" t="s">
        <v>65</v>
      </c>
      <c r="F39" s="52" t="s">
        <v>165</v>
      </c>
      <c r="G39" s="52" t="s">
        <v>182</v>
      </c>
      <c r="H39" s="52" t="s">
        <v>183</v>
      </c>
      <c r="I39" s="52" t="s">
        <v>184</v>
      </c>
      <c r="J39" s="52" t="s">
        <v>185</v>
      </c>
      <c r="M39"/>
      <c r="O39" s="52" t="s">
        <v>140</v>
      </c>
      <c r="P39" s="52" t="s">
        <v>65</v>
      </c>
      <c r="Q39" s="52" t="s">
        <v>165</v>
      </c>
      <c r="R39" s="52" t="s">
        <v>182</v>
      </c>
      <c r="S39" s="52" t="s">
        <v>183</v>
      </c>
      <c r="T39" s="52" t="s">
        <v>184</v>
      </c>
      <c r="U39" s="52" t="s">
        <v>185</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1740.4731333822594</v>
      </c>
      <c r="G40" s="53">
        <f>INDEX(M1_Table_MN_j_m,2,4)</f>
        <v>0</v>
      </c>
      <c r="H40" s="53">
        <f>INDEX(M1_Table_MN_j_m,2,5)</f>
        <v>0</v>
      </c>
      <c r="I40" s="53">
        <f>INDEX(M1_Table_MN_j_m,2,6)</f>
        <v>0</v>
      </c>
      <c r="J40" s="53">
        <f>INDEX(M1_Table_MN_j_m,2,7)</f>
        <v>0</v>
      </c>
      <c r="K40" s="2" t="str">
        <f>$G$13</f>
        <v>kg N</v>
      </c>
      <c r="M40"/>
      <c r="O40" s="53" t="str">
        <f>INDEX(X_Table_Dairy_ProductionSystems_Method1,3,1)</f>
        <v>Milking shed</v>
      </c>
      <c r="P40" s="53" t="str">
        <f>INDEX(X_Table_Dairy_Stage1MMS_1_AnaerobicLagoon,2,1)</f>
        <v>Anaerobic lagoon</v>
      </c>
      <c r="Q40" s="53">
        <f>INDEX(M2_Table_MN_j_m,2,3)</f>
        <v>1740.4731333822594</v>
      </c>
      <c r="R40" s="53">
        <f>INDEX(M2_Table_MN_j_m,2,4)</f>
        <v>0</v>
      </c>
      <c r="S40" s="53">
        <f>INDEX(M2_Table_MN_j_m,2,5)</f>
        <v>0</v>
      </c>
      <c r="T40" s="53">
        <f>INDEX(M2_Table_MN_j_m,2,6)</f>
        <v>0</v>
      </c>
      <c r="U40" s="53">
        <f>INDEX(M2_Table_MN_j_m,2,7)</f>
        <v>0</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0</v>
      </c>
      <c r="G41" s="53">
        <f>INDEX(M1_Table_MN_j_m,3,4)</f>
        <v>0</v>
      </c>
      <c r="H41" s="53">
        <f>INDEX(M1_Table_MN_j_m,3,5)</f>
        <v>0</v>
      </c>
      <c r="I41" s="53">
        <f>INDEX(M1_Table_MN_j_m,3,6)</f>
        <v>0</v>
      </c>
      <c r="J41" s="53">
        <f>INDEX(M1_Table_MN_j_m,3,7)</f>
        <v>0</v>
      </c>
      <c r="K41" s="2"/>
      <c r="M41"/>
      <c r="O41" s="53" t="str">
        <f>INDEX(X_Table_Dairy_ProductionSystems_Method1,3,1)</f>
        <v>Milking shed</v>
      </c>
      <c r="P41" s="53" t="str">
        <f>INDEX(X_Table_Dairy_Stage1MMS_1_SumpAndDispersal,2,1)</f>
        <v>Sump and dispersal system</v>
      </c>
      <c r="Q41" s="53">
        <f>INDEX(M2_Table_MN_j_m,3,3)</f>
        <v>0</v>
      </c>
      <c r="R41" s="53">
        <f>INDEX(M2_Table_MN_j_m,3,4)</f>
        <v>0</v>
      </c>
      <c r="S41" s="53">
        <f>INDEX(M2_Table_MN_j_m,3,5)</f>
        <v>0</v>
      </c>
      <c r="T41" s="53">
        <f>INDEX(M2_Table_MN_j_m,3,6)</f>
        <v>0</v>
      </c>
      <c r="U41" s="53">
        <f>INDEX(M2_Table_MN_j_m,3,7)</f>
        <v>0</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0</v>
      </c>
      <c r="G42" s="53">
        <f>INDEX(M1_Table_MN_j_m,4,4)</f>
        <v>0</v>
      </c>
      <c r="H42" s="53">
        <f>INDEX(M1_Table_MN_j_m,4,5)</f>
        <v>0</v>
      </c>
      <c r="I42" s="53">
        <f>INDEX(M1_Table_MN_j_m,4,6)</f>
        <v>0</v>
      </c>
      <c r="J42" s="53">
        <f>INDEX(M1_Table_MN_j_m,4,7)</f>
        <v>0</v>
      </c>
      <c r="K42" s="2"/>
      <c r="M42"/>
      <c r="O42" s="53" t="str">
        <f>INDEX(X_Table_Dairy_ProductionSystems_Method1,3,1)</f>
        <v>Milking shed</v>
      </c>
      <c r="P42" s="53" t="str">
        <f>INDEX(X_Table_Dairy_Stage1MMS_1_DrainsToPaddock,2,1)</f>
        <v>Drains to paddock</v>
      </c>
      <c r="Q42" s="53">
        <f>INDEX(M2_Table_MN_j_m,4,3)</f>
        <v>0</v>
      </c>
      <c r="R42" s="53">
        <f>INDEX(M2_Table_MN_j_m,4,4)</f>
        <v>0</v>
      </c>
      <c r="S42" s="53">
        <f>INDEX(M2_Table_MN_j_m,4,5)</f>
        <v>0</v>
      </c>
      <c r="T42" s="53">
        <f>INDEX(M2_Table_MN_j_m,4,6)</f>
        <v>0</v>
      </c>
      <c r="U42" s="53">
        <f>INDEX(M2_Table_MN_j_m,4,7)</f>
        <v>0</v>
      </c>
      <c r="V42" s="2"/>
    </row>
    <row r="43" spans="4:22" ht="20.100000000000001" customHeight="1" x14ac:dyDescent="0.25">
      <c r="D43" s="53" t="str">
        <f>INDEX(X_Table_Dairy_ProductionSystems_Method1,3,1)</f>
        <v>Milking shed</v>
      </c>
      <c r="E43" s="53" t="s">
        <v>398</v>
      </c>
      <c r="F43" s="53">
        <f>INDEX(M1_Table_MN_j_m,5,3)</f>
        <v>1740.4731333822594</v>
      </c>
      <c r="G43" s="53">
        <f>INDEX(M1_Table_MN_j_m,5,4)</f>
        <v>0</v>
      </c>
      <c r="H43" s="53">
        <f>INDEX(M1_Table_MN_j_m,5,5)</f>
        <v>0</v>
      </c>
      <c r="I43" s="53">
        <f>INDEX(M1_Table_MN_j_m,5,6)</f>
        <v>0</v>
      </c>
      <c r="J43" s="53">
        <f>INDEX(M1_Table_MN_j_m,5,7)</f>
        <v>0</v>
      </c>
      <c r="K43" s="2"/>
      <c r="M43"/>
      <c r="O43" s="53" t="str">
        <f>INDEX(X_Table_Dairy_ProductionSystems_Method1,3,1)</f>
        <v>Milking shed</v>
      </c>
      <c r="P43" s="53" t="s">
        <v>398</v>
      </c>
      <c r="Q43" s="53">
        <f>INDEX(M2_Table_MN_j_m,5,3)</f>
        <v>1740.4731333822594</v>
      </c>
      <c r="R43" s="53">
        <f>INDEX(M2_Table_MN_j_m,5,4)</f>
        <v>0</v>
      </c>
      <c r="S43" s="53">
        <f>INDEX(M2_Table_MN_j_m,5,5)</f>
        <v>0</v>
      </c>
      <c r="T43" s="53">
        <f>INDEX(M2_Table_MN_j_m,5,6)</f>
        <v>0</v>
      </c>
      <c r="U43" s="53">
        <f>INDEX(M2_Table_MN_j_m,5,7)</f>
        <v>0</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0</v>
      </c>
      <c r="G44" s="53">
        <f>INDEX(M1_Table_MN_j_m,6,4)</f>
        <v>0</v>
      </c>
      <c r="H44" s="53">
        <f>INDEX(M1_Table_MN_j_m,6,5)</f>
        <v>0</v>
      </c>
      <c r="I44" s="53">
        <f>INDEX(M1_Table_MN_j_m,6,6)</f>
        <v>0</v>
      </c>
      <c r="J44" s="53">
        <f>INDEX(M1_Table_MN_j_m,6,7)</f>
        <v>0</v>
      </c>
      <c r="K44" s="2"/>
      <c r="M44"/>
      <c r="O44" s="53" t="str">
        <f>INDEX(X_Table_Dairy_ProductionSystems_Method1,4,1)</f>
        <v>Feed pad</v>
      </c>
      <c r="P44" s="53" t="str">
        <f>INDEX(X_Table_Dairy_Stage1MMS_2_AnaerobicLagoon,2,1)</f>
        <v>Anaerobic lagoon</v>
      </c>
      <c r="Q44" s="53">
        <f>INDEX(M2_Table_MN_j_m,6,3)</f>
        <v>0</v>
      </c>
      <c r="R44" s="53">
        <f>INDEX(M2_Table_MN_j_m,6,4)</f>
        <v>0</v>
      </c>
      <c r="S44" s="53">
        <f>INDEX(M2_Table_MN_j_m,6,5)</f>
        <v>0</v>
      </c>
      <c r="T44" s="53">
        <f>INDEX(M2_Table_MN_j_m,6,6)</f>
        <v>0</v>
      </c>
      <c r="U44" s="53">
        <f>INDEX(M2_Table_MN_j_m,6,7)</f>
        <v>0</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0</v>
      </c>
      <c r="G45" s="53">
        <f>INDEX(M1_Table_MN_j_m,7,4)</f>
        <v>0</v>
      </c>
      <c r="H45" s="53">
        <f>INDEX(M1_Table_MN_j_m,7,5)</f>
        <v>0</v>
      </c>
      <c r="I45" s="53">
        <f>INDEX(M1_Table_MN_j_m,7,6)</f>
        <v>0</v>
      </c>
      <c r="J45" s="53">
        <f>INDEX(M1_Table_MN_j_m,7,7)</f>
        <v>0</v>
      </c>
      <c r="K45" s="2"/>
      <c r="M45"/>
      <c r="O45" s="53" t="str">
        <f>INDEX(X_Table_Dairy_ProductionSystems_Method1,4,1)</f>
        <v>Feed pad</v>
      </c>
      <c r="P45" s="53" t="str">
        <f>INDEX(X_Table_Dairy_Stage1MMS_2_SumpAndDispersal,2,1)</f>
        <v>Sump and dispersal system</v>
      </c>
      <c r="Q45" s="53">
        <f>INDEX(M2_Table_MN_j_m,7,3)</f>
        <v>0</v>
      </c>
      <c r="R45" s="53">
        <f>INDEX(M2_Table_MN_j_m,7,4)</f>
        <v>0</v>
      </c>
      <c r="S45" s="53">
        <f>INDEX(M2_Table_MN_j_m,7,5)</f>
        <v>0</v>
      </c>
      <c r="T45" s="53">
        <f>INDEX(M2_Table_MN_j_m,7,6)</f>
        <v>0</v>
      </c>
      <c r="U45" s="53">
        <f>INDEX(M2_Table_MN_j_m,7,7)</f>
        <v>0</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0</v>
      </c>
      <c r="G46" s="53">
        <f>INDEX(M1_Table_MN_j_m,8,4)</f>
        <v>0</v>
      </c>
      <c r="H46" s="53">
        <f>INDEX(M1_Table_MN_j_m,8,5)</f>
        <v>0</v>
      </c>
      <c r="I46" s="53">
        <f>INDEX(M1_Table_MN_j_m,8,6)</f>
        <v>0</v>
      </c>
      <c r="J46" s="53">
        <f>INDEX(M1_Table_MN_j_m,8,7)</f>
        <v>0</v>
      </c>
      <c r="K46" s="2"/>
      <c r="M46"/>
      <c r="O46" s="53" t="str">
        <f>INDEX(X_Table_Dairy_ProductionSystems_Method1,4,1)</f>
        <v>Feed pad</v>
      </c>
      <c r="P46" s="53" t="str">
        <f>INDEX(X_Table_Dairy_Stage1MMS_2_DrainsToPaddock,2,1)</f>
        <v>Drains to paddock</v>
      </c>
      <c r="Q46" s="53">
        <f>INDEX(M2_Table_MN_j_m,8,3)</f>
        <v>0</v>
      </c>
      <c r="R46" s="53">
        <f>INDEX(M2_Table_MN_j_m,8,4)</f>
        <v>0</v>
      </c>
      <c r="S46" s="53">
        <f>INDEX(M2_Table_MN_j_m,8,5)</f>
        <v>0</v>
      </c>
      <c r="T46" s="53">
        <f>INDEX(M2_Table_MN_j_m,8,6)</f>
        <v>0</v>
      </c>
      <c r="U46" s="53">
        <f>INDEX(M2_Table_MN_j_m,8,7)</f>
        <v>0</v>
      </c>
      <c r="V46" s="2"/>
    </row>
    <row r="47" spans="4:22" ht="20.100000000000001" customHeight="1" x14ac:dyDescent="0.25">
      <c r="D47" s="53" t="str">
        <f>INDEX(X_Table_Dairy_ProductionSystems_Method1,4,1)</f>
        <v>Feed pad</v>
      </c>
      <c r="E47" s="53" t="s">
        <v>398</v>
      </c>
      <c r="F47" s="53">
        <f>INDEX(M1_Table_MN_j_m,9,3)</f>
        <v>0</v>
      </c>
      <c r="G47" s="53">
        <f>INDEX(M1_Table_MN_j_m,9,4)</f>
        <v>0</v>
      </c>
      <c r="H47" s="53">
        <f>INDEX(M1_Table_MN_j_m,9,5)</f>
        <v>0</v>
      </c>
      <c r="I47" s="53">
        <f>INDEX(M1_Table_MN_j_m,9,6)</f>
        <v>0</v>
      </c>
      <c r="J47" s="53">
        <f>INDEX(M1_Table_MN_j_m,9,7)</f>
        <v>0</v>
      </c>
      <c r="K47" s="2"/>
      <c r="M47"/>
      <c r="O47" s="53" t="str">
        <f>INDEX(X_Table_Dairy_ProductionSystems_Method1,4,1)</f>
        <v>Feed pad</v>
      </c>
      <c r="P47" s="53" t="s">
        <v>398</v>
      </c>
      <c r="Q47" s="53">
        <f>INDEX(M2_Table_MN_j_m,9,3)</f>
        <v>0</v>
      </c>
      <c r="R47" s="53">
        <f>INDEX(M2_Table_MN_j_m,9,4)</f>
        <v>0</v>
      </c>
      <c r="S47" s="53">
        <f>INDEX(M2_Table_MN_j_m,9,5)</f>
        <v>0</v>
      </c>
      <c r="T47" s="53">
        <f>INDEX(M2_Table_MN_j_m,9,6)</f>
        <v>0</v>
      </c>
      <c r="U47" s="53">
        <f>INDEX(M2_Table_MN_j_m,9,7)</f>
        <v>0</v>
      </c>
      <c r="V47" s="2"/>
    </row>
    <row r="48" spans="4:22" ht="20.100000000000001" customHeight="1" x14ac:dyDescent="0.25"/>
    <row r="49" spans="4:22" ht="20.100000000000001" customHeight="1" x14ac:dyDescent="0.25">
      <c r="D49" s="100" t="s">
        <v>390</v>
      </c>
      <c r="O49" s="100" t="s">
        <v>388</v>
      </c>
    </row>
    <row r="50" spans="4:22" ht="20.100000000000001" customHeight="1" x14ac:dyDescent="0.25">
      <c r="D50" s="99" t="s">
        <v>391</v>
      </c>
      <c r="O50" s="99" t="s">
        <v>389</v>
      </c>
    </row>
    <row r="51" spans="4:22" ht="20.100000000000001" customHeight="1" x14ac:dyDescent="0.25">
      <c r="D51" s="52" t="s">
        <v>140</v>
      </c>
      <c r="E51" s="52" t="s">
        <v>65</v>
      </c>
      <c r="F51" s="52" t="s">
        <v>165</v>
      </c>
      <c r="G51" s="52" t="s">
        <v>182</v>
      </c>
      <c r="H51" s="52" t="s">
        <v>183</v>
      </c>
      <c r="I51" s="52" t="s">
        <v>184</v>
      </c>
      <c r="J51" s="52" t="s">
        <v>185</v>
      </c>
      <c r="O51" s="52" t="s">
        <v>140</v>
      </c>
      <c r="P51" s="52" t="s">
        <v>65</v>
      </c>
      <c r="Q51" s="52" t="s">
        <v>165</v>
      </c>
      <c r="R51" s="52" t="s">
        <v>182</v>
      </c>
      <c r="S51" s="52" t="s">
        <v>183</v>
      </c>
      <c r="T51" s="52" t="s">
        <v>184</v>
      </c>
      <c r="U51" s="52" t="s">
        <v>185</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398</v>
      </c>
      <c r="F55" s="53">
        <f>INDEX(M1_Table_MN_leach_j_m4,2,3)</f>
        <v>34.809462667645192</v>
      </c>
      <c r="G55" s="53">
        <f>INDEX(M1_Table_MN_leach_j_m4,2,4)</f>
        <v>0</v>
      </c>
      <c r="H55" s="53">
        <f>INDEX(M1_Table_MN_leach_j_m4,2,5)</f>
        <v>0</v>
      </c>
      <c r="I55" s="53">
        <f>INDEX(M1_Table_MN_leach_j_m4,2,6)</f>
        <v>0</v>
      </c>
      <c r="J55" s="53">
        <f>INDEX(M1_Table_MN_leach_j_m4,2,7)</f>
        <v>0</v>
      </c>
      <c r="K55" s="2"/>
      <c r="O55" s="53" t="str">
        <f>INDEX(X_Table_Dairy_ProductionSystems_Method1,3,1)</f>
        <v>Milking shed</v>
      </c>
      <c r="P55" s="53" t="s">
        <v>398</v>
      </c>
      <c r="Q55" s="53">
        <f>INDEX(M2_Table_MN_leach_j_m4,2,3)</f>
        <v>34.809462667645192</v>
      </c>
      <c r="R55" s="53">
        <f>INDEX(M2_Table_MN_leach_j_m4,2,4)</f>
        <v>0</v>
      </c>
      <c r="S55" s="53">
        <f>INDEX(M2_Table_MN_leach_j_m4,2,5)</f>
        <v>0</v>
      </c>
      <c r="T55" s="53">
        <f>INDEX(M2_Table_MN_leach_j_m4,2,6)</f>
        <v>0</v>
      </c>
      <c r="U55" s="53">
        <f>INDEX(M2_Table_MN_leach_j_m4,2,7)</f>
        <v>0</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398</v>
      </c>
      <c r="F59" s="53">
        <f>INDEX(M1_Table_MN_leach_j_m4,3,3)</f>
        <v>0</v>
      </c>
      <c r="G59" s="53">
        <f>INDEX(M1_Table_MN_leach_j_m4,3,4)</f>
        <v>0</v>
      </c>
      <c r="H59" s="53">
        <f>INDEX(M1_Table_MN_leach_j_m4,3,5)</f>
        <v>0</v>
      </c>
      <c r="I59" s="53">
        <f>INDEX(M1_Table_MN_leach_j_m4,3,6)</f>
        <v>0</v>
      </c>
      <c r="J59" s="53">
        <f>INDEX(M1_Table_MN_leach_j_m4,3,7)</f>
        <v>0</v>
      </c>
      <c r="K59" s="2"/>
      <c r="O59" s="53" t="str">
        <f>INDEX(X_Table_Dairy_ProductionSystems_Method1,4,1)</f>
        <v>Feed pad</v>
      </c>
      <c r="P59" s="53" t="s">
        <v>398</v>
      </c>
      <c r="Q59" s="53">
        <f>INDEX(M2_Table_MN_leach_j_m4,3,3)</f>
        <v>0</v>
      </c>
      <c r="R59" s="53">
        <f>INDEX(M2_Table_MN_leach_j_m4,3,4)</f>
        <v>0</v>
      </c>
      <c r="S59" s="53">
        <f>INDEX(M2_Table_MN_leach_j_m4,3,5)</f>
        <v>0</v>
      </c>
      <c r="T59" s="53">
        <f>INDEX(M2_Table_MN_leach_j_m4,3,6)</f>
        <v>0</v>
      </c>
      <c r="U59" s="53">
        <f>INDEX(M2_Table_MN_leach_j_m4,3,7)</f>
        <v>0</v>
      </c>
      <c r="V59" s="2"/>
    </row>
    <row r="60" spans="4:22" ht="20.100000000000001" customHeight="1" x14ac:dyDescent="0.25"/>
    <row r="61" spans="4:22" ht="20.100000000000001" customHeight="1" x14ac:dyDescent="0.25">
      <c r="D61" s="100" t="s">
        <v>333</v>
      </c>
    </row>
    <row r="62" spans="4:22" ht="20.100000000000001" customHeight="1" x14ac:dyDescent="0.25">
      <c r="D62" s="99" t="s">
        <v>334</v>
      </c>
    </row>
    <row r="63" spans="4:22" ht="20.100000000000001" customHeight="1" x14ac:dyDescent="0.25">
      <c r="D63" s="40" t="s">
        <v>140</v>
      </c>
      <c r="E63" s="40" t="s">
        <v>65</v>
      </c>
      <c r="F63" s="40" t="s">
        <v>424</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1</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1</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1</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1</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1</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1</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1</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1</v>
      </c>
      <c r="G71" s="2"/>
    </row>
    <row r="72" spans="4:22" ht="20.100000000000001" customHeight="1" x14ac:dyDescent="0.25"/>
    <row r="73" spans="4:22" ht="20.100000000000001" customHeight="1" x14ac:dyDescent="0.25">
      <c r="D73" s="100" t="s">
        <v>335</v>
      </c>
      <c r="O73" s="100" t="s">
        <v>339</v>
      </c>
    </row>
    <row r="74" spans="4:22" ht="20.100000000000001" customHeight="1" x14ac:dyDescent="0.25">
      <c r="D74" s="99" t="s">
        <v>338</v>
      </c>
      <c r="O74" s="99" t="s">
        <v>340</v>
      </c>
    </row>
    <row r="75" spans="4:22" ht="20.100000000000001" customHeight="1" x14ac:dyDescent="0.25">
      <c r="D75" s="52" t="s">
        <v>140</v>
      </c>
      <c r="E75" s="52" t="s">
        <v>65</v>
      </c>
      <c r="F75" s="52" t="s">
        <v>165</v>
      </c>
      <c r="G75" s="52" t="s">
        <v>182</v>
      </c>
      <c r="H75" s="52" t="s">
        <v>183</v>
      </c>
      <c r="I75" s="52" t="s">
        <v>184</v>
      </c>
      <c r="J75" s="52" t="s">
        <v>185</v>
      </c>
      <c r="O75" s="52" t="s">
        <v>140</v>
      </c>
      <c r="P75" s="52" t="s">
        <v>65</v>
      </c>
      <c r="Q75" s="52" t="s">
        <v>165</v>
      </c>
      <c r="R75" s="52" t="s">
        <v>182</v>
      </c>
      <c r="S75" s="52" t="s">
        <v>183</v>
      </c>
      <c r="T75" s="52" t="s">
        <v>184</v>
      </c>
      <c r="U75" s="52" t="s">
        <v>185</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1131.3075366984688</v>
      </c>
      <c r="G76" s="53" cm="1">
        <f t="array" aca="1" ref="G76" ca="1">MMS_Dairy_ManureAppliedToSoils_Equations.VEERG_4_3_1_8__1_MassOfNitrogenAppliedToSoilsScope1(G40,_xlfn.XLOOKUP($E76,$D$22:$D$26,$E$22:$E$26),_xlfn.XLOOKUP($E76, $D$31:$D$35,$E$31:$E$35),G52,$F64)</f>
        <v>0</v>
      </c>
      <c r="H76" s="53" cm="1">
        <f t="array" aca="1" ref="H76" ca="1">MMS_Dairy_ManureAppliedToSoils_Equations.VEERG_4_3_1_8__1_MassOfNitrogenAppliedToSoilsScope1(H40,_xlfn.XLOOKUP($E76,$D$22:$D$26,$E$22:$E$26),_xlfn.XLOOKUP($E76, $D$31:$D$35,$E$31:$E$35),H52,$F64)</f>
        <v>0</v>
      </c>
      <c r="I76" s="53" cm="1">
        <f t="array" aca="1" ref="I76" ca="1">MMS_Dairy_ManureAppliedToSoils_Equations.VEERG_4_3_1_8__1_MassOfNitrogenAppliedToSoilsScope1(I40,_xlfn.XLOOKUP($E76,$D$22:$D$26,$E$22:$E$26),_xlfn.XLOOKUP($E76, $D$31:$D$35,$E$31:$E$35),I52,$F64)</f>
        <v>0</v>
      </c>
      <c r="J76" s="53" cm="1">
        <f t="array" aca="1" ref="J76" ca="1">MMS_Dairy_ManureAppliedToSoils_Equations.VEERG_4_3_1_8__1_MassOfNitrogenAppliedToSoilsScope1(J40,_xlfn.XLOOKUP($E76,$D$22:$D$26,$E$22:$E$26),_xlfn.XLOOKUP($E76, $D$31:$D$35,$E$31:$E$35),J52,$F64)</f>
        <v>0</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1131.3075366984688</v>
      </c>
      <c r="R76" s="53" cm="1">
        <f t="array" aca="1" ref="R76" ca="1">MMS_Dairy_ManureAppliedToSoils_Equations.VEERG_4_3_1_8__1_MassOfNitrogenAppliedToSoilsScope1(R40,_xlfn.XLOOKUP($P76,$D$22:$D$26,$E$22:$E$26),_xlfn.XLOOKUP($P76, $D$31:$D$35,$E$31:$E$35),R52,$F64)</f>
        <v>0</v>
      </c>
      <c r="S76" s="53" cm="1">
        <f t="array" aca="1" ref="S76" ca="1">MMS_Dairy_ManureAppliedToSoils_Equations.VEERG_4_3_1_8__1_MassOfNitrogenAppliedToSoilsScope1(S40,_xlfn.XLOOKUP($P76,$D$22:$D$26,$E$22:$E$26),_xlfn.XLOOKUP($P76, $D$31:$D$35,$E$31:$E$35),S52,$F64)</f>
        <v>0</v>
      </c>
      <c r="T76" s="53" cm="1">
        <f t="array" aca="1" ref="T76" ca="1">MMS_Dairy_ManureAppliedToSoils_Equations.VEERG_4_3_1_8__1_MassOfNitrogenAppliedToSoilsScope1(T40,_xlfn.XLOOKUP($P76,$D$22:$D$26,$E$22:$E$26),_xlfn.XLOOKUP($P76, $D$31:$D$35,$E$31:$E$35),T52,$F64)</f>
        <v>0</v>
      </c>
      <c r="U76" s="53" cm="1">
        <f t="array" aca="1" ref="U76" ca="1">MMS_Dairy_ManureAppliedToSoils_Equations.VEERG_4_3_1_8__1_MassOfNitrogenAppliedToSoilsScope1(U40,_xlfn.XLOOKUP($P76,$D$22:$D$26,$E$22:$E$26),_xlfn.XLOOKUP($P76, $D$31:$D$35,$E$31:$E$35),U52,$F64)</f>
        <v>0</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0</v>
      </c>
      <c r="G77" s="53" cm="1">
        <f t="array" aca="1" ref="G77" ca="1">MMS_Dairy_ManureAppliedToSoils_Equations.VEERG_4_3_1_8__1_MassOfNitrogenAppliedToSoilsScope1(G41,_xlfn.XLOOKUP($E77,$D$22:$D$26,$E$22:$E$26),_xlfn.XLOOKUP($E77, $D$31:$D$35,$E$31:$E$35),G53,$F65)</f>
        <v>0</v>
      </c>
      <c r="H77" s="53" cm="1">
        <f t="array" aca="1" ref="H77" ca="1">MMS_Dairy_ManureAppliedToSoils_Equations.VEERG_4_3_1_8__1_MassOfNitrogenAppliedToSoilsScope1(H41,_xlfn.XLOOKUP($E77,$D$22:$D$26,$E$22:$E$26),_xlfn.XLOOKUP($E77, $D$31:$D$35,$E$31:$E$35),H53,$F65)</f>
        <v>0</v>
      </c>
      <c r="I77" s="53" cm="1">
        <f t="array" aca="1" ref="I77" ca="1">MMS_Dairy_ManureAppliedToSoils_Equations.VEERG_4_3_1_8__1_MassOfNitrogenAppliedToSoilsScope1(I41,_xlfn.XLOOKUP($E77,$D$22:$D$26,$E$22:$E$26),_xlfn.XLOOKUP($E77, $D$31:$D$35,$E$31:$E$35),I53,$F65)</f>
        <v>0</v>
      </c>
      <c r="J77" s="53" cm="1">
        <f t="array" aca="1" ref="J77" ca="1">MMS_Dairy_ManureAppliedToSoils_Equations.VEERG_4_3_1_8__1_MassOfNitrogenAppliedToSoilsScope1(J41,_xlfn.XLOOKUP($E77,$D$22:$D$26,$E$22:$E$26),_xlfn.XLOOKUP($E77, $D$31:$D$35,$E$31:$E$35),J53,$F65)</f>
        <v>0</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0</v>
      </c>
      <c r="R77" s="53" cm="1">
        <f t="array" aca="1" ref="R77" ca="1">MMS_Dairy_ManureAppliedToSoils_Equations.VEERG_4_3_1_8__1_MassOfNitrogenAppliedToSoilsScope1(R41,_xlfn.XLOOKUP($P77,$D$22:$D$26,$E$22:$E$26),_xlfn.XLOOKUP($P77, $D$31:$D$35,$E$31:$E$35),R53,$F65)</f>
        <v>0</v>
      </c>
      <c r="S77" s="53" cm="1">
        <f t="array" aca="1" ref="S77" ca="1">MMS_Dairy_ManureAppliedToSoils_Equations.VEERG_4_3_1_8__1_MassOfNitrogenAppliedToSoilsScope1(S41,_xlfn.XLOOKUP($P77,$D$22:$D$26,$E$22:$E$26),_xlfn.XLOOKUP($P77, $D$31:$D$35,$E$31:$E$35),S53,$F65)</f>
        <v>0</v>
      </c>
      <c r="T77" s="53" cm="1">
        <f t="array" aca="1" ref="T77" ca="1">MMS_Dairy_ManureAppliedToSoils_Equations.VEERG_4_3_1_8__1_MassOfNitrogenAppliedToSoilsScope1(T41,_xlfn.XLOOKUP($P77,$D$22:$D$26,$E$22:$E$26),_xlfn.XLOOKUP($P77, $D$31:$D$35,$E$31:$E$35),T53,$F65)</f>
        <v>0</v>
      </c>
      <c r="U77" s="53" cm="1">
        <f t="array" aca="1" ref="U77" ca="1">MMS_Dairy_ManureAppliedToSoils_Equations.VEERG_4_3_1_8__1_MassOfNitrogenAppliedToSoilsScope1(U41,_xlfn.XLOOKUP($P77,$D$22:$D$26,$E$22:$E$26),_xlfn.XLOOKUP($P77, $D$31:$D$35,$E$31:$E$35),U53,$F65)</f>
        <v>0</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0</v>
      </c>
      <c r="G78" s="53" cm="1">
        <f t="array" aca="1" ref="G78" ca="1">MMS_Dairy_ManureAppliedToSoils_Equations.VEERG_4_3_1_8__1_MassOfNitrogenAppliedToSoilsScope1(G42,_xlfn.XLOOKUP($E78,$D$22:$D$26,$E$22:$E$26),_xlfn.XLOOKUP($E78, $D$31:$D$35,$E$31:$E$35),G54,$F66)</f>
        <v>0</v>
      </c>
      <c r="H78" s="53" cm="1">
        <f t="array" aca="1" ref="H78" ca="1">MMS_Dairy_ManureAppliedToSoils_Equations.VEERG_4_3_1_8__1_MassOfNitrogenAppliedToSoilsScope1(H42,_xlfn.XLOOKUP($E78,$D$22:$D$26,$E$22:$E$26),_xlfn.XLOOKUP($E78, $D$31:$D$35,$E$31:$E$35),H54,$F66)</f>
        <v>0</v>
      </c>
      <c r="I78" s="53" cm="1">
        <f t="array" aca="1" ref="I78" ca="1">MMS_Dairy_ManureAppliedToSoils_Equations.VEERG_4_3_1_8__1_MassOfNitrogenAppliedToSoilsScope1(I42,_xlfn.XLOOKUP($E78,$D$22:$D$26,$E$22:$E$26),_xlfn.XLOOKUP($E78, $D$31:$D$35,$E$31:$E$35),I54,$F66)</f>
        <v>0</v>
      </c>
      <c r="J78" s="53" cm="1">
        <f t="array" aca="1" ref="J78" ca="1">MMS_Dairy_ManureAppliedToSoils_Equations.VEERG_4_3_1_8__1_MassOfNitrogenAppliedToSoilsScope1(J42,_xlfn.XLOOKUP($E78,$D$22:$D$26,$E$22:$E$26),_xlfn.XLOOKUP($E78, $D$31:$D$35,$E$31:$E$35),J54,$F66)</f>
        <v>0</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0</v>
      </c>
      <c r="R78" s="53" cm="1">
        <f t="array" aca="1" ref="R78" ca="1">MMS_Dairy_ManureAppliedToSoils_Equations.VEERG_4_3_1_8__1_MassOfNitrogenAppliedToSoilsScope1(R42,_xlfn.XLOOKUP($P78,$D$22:$D$26,$E$22:$E$26),_xlfn.XLOOKUP($P78, $D$31:$D$35,$E$31:$E$35),R54,$F66)</f>
        <v>0</v>
      </c>
      <c r="S78" s="53" cm="1">
        <f t="array" aca="1" ref="S78" ca="1">MMS_Dairy_ManureAppliedToSoils_Equations.VEERG_4_3_1_8__1_MassOfNitrogenAppliedToSoilsScope1(S42,_xlfn.XLOOKUP($P78,$D$22:$D$26,$E$22:$E$26),_xlfn.XLOOKUP($P78, $D$31:$D$35,$E$31:$E$35),S54,$F66)</f>
        <v>0</v>
      </c>
      <c r="T78" s="53" cm="1">
        <f t="array" aca="1" ref="T78" ca="1">MMS_Dairy_ManureAppliedToSoils_Equations.VEERG_4_3_1_8__1_MassOfNitrogenAppliedToSoilsScope1(T42,_xlfn.XLOOKUP($P78,$D$22:$D$26,$E$22:$E$26),_xlfn.XLOOKUP($P78, $D$31:$D$35,$E$31:$E$35),T54,$F66)</f>
        <v>0</v>
      </c>
      <c r="U78" s="53" cm="1">
        <f t="array" aca="1" ref="U78" ca="1">MMS_Dairy_ManureAppliedToSoils_Equations.VEERG_4_3_1_8__1_MassOfNitrogenAppliedToSoilsScope1(U42,_xlfn.XLOOKUP($P78,$D$22:$D$26,$E$22:$E$26),_xlfn.XLOOKUP($P78, $D$31:$D$35,$E$31:$E$35),U54,$F66)</f>
        <v>0</v>
      </c>
      <c r="V78" s="2"/>
    </row>
    <row r="79" spans="4:22" ht="20.100000000000001" customHeight="1" x14ac:dyDescent="0.25">
      <c r="D79" s="53" t="str">
        <f>INDEX(X_Table_Dairy_ProductionSystems_Method1,3,1)</f>
        <v>Milking shed</v>
      </c>
      <c r="E79" s="53" t="s">
        <v>398</v>
      </c>
      <c r="F79" s="53" cm="1">
        <f t="array" aca="1" ref="F79" ca="1">MMS_Dairy_ManureAppliedToSoils_Equations.VEERG_4_3_1_8__1_MassOfNitrogenAppliedToSoilsScope1(F43,_xlfn.XLOOKUP($E79,$D$22:$D$26,$E$22:$E$26),_xlfn.XLOOKUP($E79, $D$31:$D$35,$E$31:$E$35),F55,$F67)</f>
        <v>1174.8193650330252</v>
      </c>
      <c r="G79" s="53" cm="1">
        <f t="array" aca="1" ref="G79" ca="1">MMS_Dairy_ManureAppliedToSoils_Equations.VEERG_4_3_1_8__1_MassOfNitrogenAppliedToSoilsScope1(G43,_xlfn.XLOOKUP($E79,$D$22:$D$26,$E$22:$E$26),_xlfn.XLOOKUP($E79, $D$31:$D$35,$E$31:$E$35),G55,$F67)</f>
        <v>0</v>
      </c>
      <c r="H79" s="53" cm="1">
        <f t="array" aca="1" ref="H79" ca="1">MMS_Dairy_ManureAppliedToSoils_Equations.VEERG_4_3_1_8__1_MassOfNitrogenAppliedToSoilsScope1(H43,_xlfn.XLOOKUP($E79,$D$22:$D$26,$E$22:$E$26),_xlfn.XLOOKUP($E79, $D$31:$D$35,$E$31:$E$35),H55,$F67)</f>
        <v>0</v>
      </c>
      <c r="I79" s="53" cm="1">
        <f t="array" aca="1" ref="I79" ca="1">MMS_Dairy_ManureAppliedToSoils_Equations.VEERG_4_3_1_8__1_MassOfNitrogenAppliedToSoilsScope1(I43,_xlfn.XLOOKUP($E79,$D$22:$D$26,$E$22:$E$26),_xlfn.XLOOKUP($E79, $D$31:$D$35,$E$31:$E$35),I55,$F67)</f>
        <v>0</v>
      </c>
      <c r="J79" s="53" cm="1">
        <f t="array" aca="1" ref="J79" ca="1">MMS_Dairy_ManureAppliedToSoils_Equations.VEERG_4_3_1_8__1_MassOfNitrogenAppliedToSoilsScope1(J43,_xlfn.XLOOKUP($E79,$D$22:$D$26,$E$22:$E$26),_xlfn.XLOOKUP($E79, $D$31:$D$35,$E$31:$E$35),J55,$F67)</f>
        <v>0</v>
      </c>
      <c r="K79" s="2"/>
      <c r="O79" s="53" t="str">
        <f>INDEX(X_Table_Dairy_ProductionSystems_Method1,3,1)</f>
        <v>Milking shed</v>
      </c>
      <c r="P79" s="53" t="s">
        <v>398</v>
      </c>
      <c r="Q79" s="53" cm="1">
        <f t="array" aca="1" ref="Q79" ca="1">MMS_Dairy_ManureAppliedToSoils_Equations.VEERG_4_3_1_8__1_MassOfNitrogenAppliedToSoilsScope1(Q43,_xlfn.XLOOKUP($P79,$D$22:$D$26,$E$22:$E$26),_xlfn.XLOOKUP($P79, $D$31:$D$35,$E$31:$E$35),Q55,$F67)</f>
        <v>1174.8193650330252</v>
      </c>
      <c r="R79" s="53" cm="1">
        <f t="array" aca="1" ref="R79" ca="1">MMS_Dairy_ManureAppliedToSoils_Equations.VEERG_4_3_1_8__1_MassOfNitrogenAppliedToSoilsScope1(R43,_xlfn.XLOOKUP($P79,$D$22:$D$26,$E$22:$E$26),_xlfn.XLOOKUP($P79, $D$31:$D$35,$E$31:$E$35),R55,$F67)</f>
        <v>0</v>
      </c>
      <c r="S79" s="53" cm="1">
        <f t="array" aca="1" ref="S79" ca="1">MMS_Dairy_ManureAppliedToSoils_Equations.VEERG_4_3_1_8__1_MassOfNitrogenAppliedToSoilsScope1(S43,_xlfn.XLOOKUP($P79,$D$22:$D$26,$E$22:$E$26),_xlfn.XLOOKUP($P79, $D$31:$D$35,$E$31:$E$35),S55,$F67)</f>
        <v>0</v>
      </c>
      <c r="T79" s="53" cm="1">
        <f t="array" aca="1" ref="T79" ca="1">MMS_Dairy_ManureAppliedToSoils_Equations.VEERG_4_3_1_8__1_MassOfNitrogenAppliedToSoilsScope1(T43,_xlfn.XLOOKUP($P79,$D$22:$D$26,$E$22:$E$26),_xlfn.XLOOKUP($P79, $D$31:$D$35,$E$31:$E$35),T55,$F67)</f>
        <v>0</v>
      </c>
      <c r="U79" s="53" cm="1">
        <f t="array" aca="1" ref="U79" ca="1">MMS_Dairy_ManureAppliedToSoils_Equations.VEERG_4_3_1_8__1_MassOfNitrogenAppliedToSoilsScope1(U43,_xlfn.XLOOKUP($P79,$D$22:$D$26,$E$22:$E$26),_xlfn.XLOOKUP($P79, $D$31:$D$35,$E$31:$E$35),U55,$F67)</f>
        <v>0</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0</v>
      </c>
      <c r="G80" s="53" cm="1">
        <f t="array" aca="1" ref="G80" ca="1">MMS_Dairy_ManureAppliedToSoils_Equations.VEERG_4_3_1_8__1_MassOfNitrogenAppliedToSoilsScope1(G44,_xlfn.XLOOKUP($E80,$D$22:$D$26,$E$22:$E$26),_xlfn.XLOOKUP($E80, $D$31:$D$35,$E$31:$E$35),G56,$F68)</f>
        <v>0</v>
      </c>
      <c r="H80" s="53" cm="1">
        <f t="array" aca="1" ref="H80" ca="1">MMS_Dairy_ManureAppliedToSoils_Equations.VEERG_4_3_1_8__1_MassOfNitrogenAppliedToSoilsScope1(H44,_xlfn.XLOOKUP($E80,$D$22:$D$26,$E$22:$E$26),_xlfn.XLOOKUP($E80, $D$31:$D$35,$E$31:$E$35),H56,$F68)</f>
        <v>0</v>
      </c>
      <c r="I80" s="53" cm="1">
        <f t="array" aca="1" ref="I80" ca="1">MMS_Dairy_ManureAppliedToSoils_Equations.VEERG_4_3_1_8__1_MassOfNitrogenAppliedToSoilsScope1(I44,_xlfn.XLOOKUP($E80,$D$22:$D$26,$E$22:$E$26),_xlfn.XLOOKUP($E80, $D$31:$D$35,$E$31:$E$35),I56,$F68)</f>
        <v>0</v>
      </c>
      <c r="J80" s="53" cm="1">
        <f t="array" aca="1" ref="J80" ca="1">MMS_Dairy_ManureAppliedToSoils_Equations.VEERG_4_3_1_8__1_MassOfNitrogenAppliedToSoilsScope1(J44,_xlfn.XLOOKUP($E80,$D$22:$D$26,$E$22:$E$26),_xlfn.XLOOKUP($E80, $D$31:$D$35,$E$31:$E$35),J56,$F68)</f>
        <v>0</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0</v>
      </c>
      <c r="R80" s="53" cm="1">
        <f t="array" aca="1" ref="R80" ca="1">MMS_Dairy_ManureAppliedToSoils_Equations.VEERG_4_3_1_8__1_MassOfNitrogenAppliedToSoilsScope1(R44,_xlfn.XLOOKUP($P80,$D$22:$D$26,$E$22:$E$26),_xlfn.XLOOKUP($P80, $D$31:$D$35,$E$31:$E$35),R56,$F68)</f>
        <v>0</v>
      </c>
      <c r="S80" s="53" cm="1">
        <f t="array" aca="1" ref="S80" ca="1">MMS_Dairy_ManureAppliedToSoils_Equations.VEERG_4_3_1_8__1_MassOfNitrogenAppliedToSoilsScope1(S44,_xlfn.XLOOKUP($P80,$D$22:$D$26,$E$22:$E$26),_xlfn.XLOOKUP($P80, $D$31:$D$35,$E$31:$E$35),S56,$F68)</f>
        <v>0</v>
      </c>
      <c r="T80" s="53" cm="1">
        <f t="array" aca="1" ref="T80" ca="1">MMS_Dairy_ManureAppliedToSoils_Equations.VEERG_4_3_1_8__1_MassOfNitrogenAppliedToSoilsScope1(T44,_xlfn.XLOOKUP($P80,$D$22:$D$26,$E$22:$E$26),_xlfn.XLOOKUP($P80, $D$31:$D$35,$E$31:$E$35),T56,$F68)</f>
        <v>0</v>
      </c>
      <c r="U80" s="53" cm="1">
        <f t="array" aca="1" ref="U80" ca="1">MMS_Dairy_ManureAppliedToSoils_Equations.VEERG_4_3_1_8__1_MassOfNitrogenAppliedToSoilsScope1(U44,_xlfn.XLOOKUP($P80,$D$22:$D$26,$E$22:$E$26),_xlfn.XLOOKUP($P80, $D$31:$D$35,$E$31:$E$35),U56,$F68)</f>
        <v>0</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0</v>
      </c>
      <c r="G81" s="53" cm="1">
        <f t="array" aca="1" ref="G81" ca="1">MMS_Dairy_ManureAppliedToSoils_Equations.VEERG_4_3_1_8__1_MassOfNitrogenAppliedToSoilsScope1(G45,_xlfn.XLOOKUP($E81,$D$22:$D$26,$E$22:$E$26),_xlfn.XLOOKUP($E81, $D$31:$D$35,$E$31:$E$35),G57,$F69)</f>
        <v>0</v>
      </c>
      <c r="H81" s="53" cm="1">
        <f t="array" aca="1" ref="H81" ca="1">MMS_Dairy_ManureAppliedToSoils_Equations.VEERG_4_3_1_8__1_MassOfNitrogenAppliedToSoilsScope1(H45,_xlfn.XLOOKUP($E81,$D$22:$D$26,$E$22:$E$26),_xlfn.XLOOKUP($E81, $D$31:$D$35,$E$31:$E$35),H57,$F69)</f>
        <v>0</v>
      </c>
      <c r="I81" s="53" cm="1">
        <f t="array" aca="1" ref="I81" ca="1">MMS_Dairy_ManureAppliedToSoils_Equations.VEERG_4_3_1_8__1_MassOfNitrogenAppliedToSoilsScope1(I45,_xlfn.XLOOKUP($E81,$D$22:$D$26,$E$22:$E$26),_xlfn.XLOOKUP($E81, $D$31:$D$35,$E$31:$E$35),I57,$F69)</f>
        <v>0</v>
      </c>
      <c r="J81" s="53" cm="1">
        <f t="array" aca="1" ref="J81" ca="1">MMS_Dairy_ManureAppliedToSoils_Equations.VEERG_4_3_1_8__1_MassOfNitrogenAppliedToSoilsScope1(J45,_xlfn.XLOOKUP($E81,$D$22:$D$26,$E$22:$E$26),_xlfn.XLOOKUP($E81, $D$31:$D$35,$E$31:$E$35),J57,$F69)</f>
        <v>0</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0</v>
      </c>
      <c r="R81" s="53" cm="1">
        <f t="array" aca="1" ref="R81" ca="1">MMS_Dairy_ManureAppliedToSoils_Equations.VEERG_4_3_1_8__1_MassOfNitrogenAppliedToSoilsScope1(R45,_xlfn.XLOOKUP($P81,$D$22:$D$26,$E$22:$E$26),_xlfn.XLOOKUP($P81, $D$31:$D$35,$E$31:$E$35),R57,$F69)</f>
        <v>0</v>
      </c>
      <c r="S81" s="53" cm="1">
        <f t="array" aca="1" ref="S81" ca="1">MMS_Dairy_ManureAppliedToSoils_Equations.VEERG_4_3_1_8__1_MassOfNitrogenAppliedToSoilsScope1(S45,_xlfn.XLOOKUP($P81,$D$22:$D$26,$E$22:$E$26),_xlfn.XLOOKUP($P81, $D$31:$D$35,$E$31:$E$35),S57,$F69)</f>
        <v>0</v>
      </c>
      <c r="T81" s="53" cm="1">
        <f t="array" aca="1" ref="T81" ca="1">MMS_Dairy_ManureAppliedToSoils_Equations.VEERG_4_3_1_8__1_MassOfNitrogenAppliedToSoilsScope1(T45,_xlfn.XLOOKUP($P81,$D$22:$D$26,$E$22:$E$26),_xlfn.XLOOKUP($P81, $D$31:$D$35,$E$31:$E$35),T57,$F69)</f>
        <v>0</v>
      </c>
      <c r="U81" s="53" cm="1">
        <f t="array" aca="1" ref="U81" ca="1">MMS_Dairy_ManureAppliedToSoils_Equations.VEERG_4_3_1_8__1_MassOfNitrogenAppliedToSoilsScope1(U45,_xlfn.XLOOKUP($P81,$D$22:$D$26,$E$22:$E$26),_xlfn.XLOOKUP($P81, $D$31:$D$35,$E$31:$E$35),U57,$F69)</f>
        <v>0</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0</v>
      </c>
      <c r="G82" s="53" cm="1">
        <f t="array" aca="1" ref="G82" ca="1">MMS_Dairy_ManureAppliedToSoils_Equations.VEERG_4_3_1_8__1_MassOfNitrogenAppliedToSoilsScope1(G46,_xlfn.XLOOKUP($E82,$D$22:$D$26,$E$22:$E$26),_xlfn.XLOOKUP($E82, $D$31:$D$35,$E$31:$E$35),G58,$F70)</f>
        <v>0</v>
      </c>
      <c r="H82" s="53" cm="1">
        <f t="array" aca="1" ref="H82" ca="1">MMS_Dairy_ManureAppliedToSoils_Equations.VEERG_4_3_1_8__1_MassOfNitrogenAppliedToSoilsScope1(H46,_xlfn.XLOOKUP($E82,$D$22:$D$26,$E$22:$E$26),_xlfn.XLOOKUP($E82, $D$31:$D$35,$E$31:$E$35),H58,$F70)</f>
        <v>0</v>
      </c>
      <c r="I82" s="53" cm="1">
        <f t="array" aca="1" ref="I82" ca="1">MMS_Dairy_ManureAppliedToSoils_Equations.VEERG_4_3_1_8__1_MassOfNitrogenAppliedToSoilsScope1(I46,_xlfn.XLOOKUP($E82,$D$22:$D$26,$E$22:$E$26),_xlfn.XLOOKUP($E82, $D$31:$D$35,$E$31:$E$35),I58,$F70)</f>
        <v>0</v>
      </c>
      <c r="J82" s="53" cm="1">
        <f t="array" aca="1" ref="J82" ca="1">MMS_Dairy_ManureAppliedToSoils_Equations.VEERG_4_3_1_8__1_MassOfNitrogenAppliedToSoilsScope1(J46,_xlfn.XLOOKUP($E82,$D$22:$D$26,$E$22:$E$26),_xlfn.XLOOKUP($E82, $D$31:$D$35,$E$31:$E$35),J58,$F70)</f>
        <v>0</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0</v>
      </c>
      <c r="R82" s="53" cm="1">
        <f t="array" aca="1" ref="R82" ca="1">MMS_Dairy_ManureAppliedToSoils_Equations.VEERG_4_3_1_8__1_MassOfNitrogenAppliedToSoilsScope1(R46,_xlfn.XLOOKUP($P82,$D$22:$D$26,$E$22:$E$26),_xlfn.XLOOKUP($P82, $D$31:$D$35,$E$31:$E$35),R58,$F70)</f>
        <v>0</v>
      </c>
      <c r="S82" s="53" cm="1">
        <f t="array" aca="1" ref="S82" ca="1">MMS_Dairy_ManureAppliedToSoils_Equations.VEERG_4_3_1_8__1_MassOfNitrogenAppliedToSoilsScope1(S46,_xlfn.XLOOKUP($P82,$D$22:$D$26,$E$22:$E$26),_xlfn.XLOOKUP($P82, $D$31:$D$35,$E$31:$E$35),S58,$F70)</f>
        <v>0</v>
      </c>
      <c r="T82" s="53" cm="1">
        <f t="array" aca="1" ref="T82" ca="1">MMS_Dairy_ManureAppliedToSoils_Equations.VEERG_4_3_1_8__1_MassOfNitrogenAppliedToSoilsScope1(T46,_xlfn.XLOOKUP($P82,$D$22:$D$26,$E$22:$E$26),_xlfn.XLOOKUP($P82, $D$31:$D$35,$E$31:$E$35),T58,$F70)</f>
        <v>0</v>
      </c>
      <c r="U82" s="53" cm="1">
        <f t="array" aca="1" ref="U82" ca="1">MMS_Dairy_ManureAppliedToSoils_Equations.VEERG_4_3_1_8__1_MassOfNitrogenAppliedToSoilsScope1(U46,_xlfn.XLOOKUP($P82,$D$22:$D$26,$E$22:$E$26),_xlfn.XLOOKUP($P82, $D$31:$D$35,$E$31:$E$35),U58,$F70)</f>
        <v>0</v>
      </c>
      <c r="V82" s="2"/>
    </row>
    <row r="83" spans="3:23" ht="20.100000000000001" customHeight="1" x14ac:dyDescent="0.25">
      <c r="D83" s="53" t="str">
        <f>INDEX(X_Table_Dairy_ProductionSystems_Method1,4,1)</f>
        <v>Feed pad</v>
      </c>
      <c r="E83" s="53" t="s">
        <v>398</v>
      </c>
      <c r="F83" s="53" cm="1">
        <f t="array" aca="1" ref="F83" ca="1">MMS_Dairy_ManureAppliedToSoils_Equations.VEERG_4_3_1_8__1_MassOfNitrogenAppliedToSoilsScope1(F47,_xlfn.XLOOKUP($E83,$D$22:$D$26,$E$22:$E$26),_xlfn.XLOOKUP($E83, $D$31:$D$35,$E$31:$E$35),F59,$F71)</f>
        <v>0</v>
      </c>
      <c r="G83" s="53" cm="1">
        <f t="array" aca="1" ref="G83" ca="1">MMS_Dairy_ManureAppliedToSoils_Equations.VEERG_4_3_1_8__1_MassOfNitrogenAppliedToSoilsScope1(G47,_xlfn.XLOOKUP($E83,$D$22:$D$26,$E$22:$E$26),_xlfn.XLOOKUP($E83, $D$31:$D$35,$E$31:$E$35),G59,$F71)</f>
        <v>0</v>
      </c>
      <c r="H83" s="53" cm="1">
        <f t="array" aca="1" ref="H83" ca="1">MMS_Dairy_ManureAppliedToSoils_Equations.VEERG_4_3_1_8__1_MassOfNitrogenAppliedToSoilsScope1(H47,_xlfn.XLOOKUP($E83,$D$22:$D$26,$E$22:$E$26),_xlfn.XLOOKUP($E83, $D$31:$D$35,$E$31:$E$35),H59,$F71)</f>
        <v>0</v>
      </c>
      <c r="I83" s="53" cm="1">
        <f t="array" aca="1" ref="I83" ca="1">MMS_Dairy_ManureAppliedToSoils_Equations.VEERG_4_3_1_8__1_MassOfNitrogenAppliedToSoilsScope1(I47,_xlfn.XLOOKUP($E83,$D$22:$D$26,$E$22:$E$26),_xlfn.XLOOKUP($E83, $D$31:$D$35,$E$31:$E$35),I59,$F71)</f>
        <v>0</v>
      </c>
      <c r="J83" s="53" cm="1">
        <f t="array" aca="1" ref="J83" ca="1">MMS_Dairy_ManureAppliedToSoils_Equations.VEERG_4_3_1_8__1_MassOfNitrogenAppliedToSoilsScope1(J47,_xlfn.XLOOKUP($E83,$D$22:$D$26,$E$22:$E$26),_xlfn.XLOOKUP($E83, $D$31:$D$35,$E$31:$E$35),J59,$F71)</f>
        <v>0</v>
      </c>
      <c r="K83" s="2"/>
      <c r="O83" s="53" t="str">
        <f>INDEX(X_Table_Dairy_ProductionSystems_Method1,4,1)</f>
        <v>Feed pad</v>
      </c>
      <c r="P83" s="53" t="s">
        <v>398</v>
      </c>
      <c r="Q83" s="53" cm="1">
        <f t="array" aca="1" ref="Q83" ca="1">MMS_Dairy_ManureAppliedToSoils_Equations.VEERG_4_3_1_8__1_MassOfNitrogenAppliedToSoilsScope1(Q47,_xlfn.XLOOKUP($P83,$D$22:$D$26,$E$22:$E$26),_xlfn.XLOOKUP($P83, $D$31:$D$35,$E$31:$E$35),Q59,$F71)</f>
        <v>0</v>
      </c>
      <c r="R83" s="53" cm="1">
        <f t="array" aca="1" ref="R83" ca="1">MMS_Dairy_ManureAppliedToSoils_Equations.VEERG_4_3_1_8__1_MassOfNitrogenAppliedToSoilsScope1(R47,_xlfn.XLOOKUP($P83,$D$22:$D$26,$E$22:$E$26),_xlfn.XLOOKUP($P83, $D$31:$D$35,$E$31:$E$35),R59,$F71)</f>
        <v>0</v>
      </c>
      <c r="S83" s="53" cm="1">
        <f t="array" aca="1" ref="S83" ca="1">MMS_Dairy_ManureAppliedToSoils_Equations.VEERG_4_3_1_8__1_MassOfNitrogenAppliedToSoilsScope1(S47,_xlfn.XLOOKUP($P83,$D$22:$D$26,$E$22:$E$26),_xlfn.XLOOKUP($P83, $D$31:$D$35,$E$31:$E$35),S59,$F71)</f>
        <v>0</v>
      </c>
      <c r="T83" s="53" cm="1">
        <f t="array" aca="1" ref="T83" ca="1">MMS_Dairy_ManureAppliedToSoils_Equations.VEERG_4_3_1_8__1_MassOfNitrogenAppliedToSoilsScope1(T47,_xlfn.XLOOKUP($P83,$D$22:$D$26,$E$22:$E$26),_xlfn.XLOOKUP($P83, $D$31:$D$35,$E$31:$E$35),T59,$F71)</f>
        <v>0</v>
      </c>
      <c r="U83" s="53" cm="1">
        <f t="array" aca="1" ref="U83" ca="1">MMS_Dairy_ManureAppliedToSoils_Equations.VEERG_4_3_1_8__1_MassOfNitrogenAppliedToSoilsScope1(U47,_xlfn.XLOOKUP($P83,$D$22:$D$26,$E$22:$E$26),_xlfn.XLOOKUP($P83, $D$31:$D$35,$E$31:$E$35),U59,$F71)</f>
        <v>0</v>
      </c>
      <c r="V83" s="2"/>
    </row>
    <row r="84" spans="3:23" ht="20.100000000000001" customHeight="1" x14ac:dyDescent="0.25"/>
    <row r="85" spans="3:23" ht="20.100000000000001" customHeight="1" x14ac:dyDescent="0.25">
      <c r="D85" s="104" t="s">
        <v>125</v>
      </c>
      <c r="E85" s="105">
        <f ca="1">SUM(F76:J83)</f>
        <v>2306.1269017314939</v>
      </c>
      <c r="F85" s="106" t="str">
        <f>$E$11</f>
        <v>kg N</v>
      </c>
      <c r="O85" s="104" t="s">
        <v>125</v>
      </c>
      <c r="P85" s="105">
        <f ca="1">SUM(Q76:U83)</f>
        <v>2306.1269017314939</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336</v>
      </c>
      <c r="O103" s="100" t="s">
        <v>342</v>
      </c>
    </row>
    <row r="104" spans="4:22" ht="20.100000000000001" customHeight="1" x14ac:dyDescent="0.25">
      <c r="D104" s="99" t="s">
        <v>337</v>
      </c>
      <c r="O104" s="99" t="s">
        <v>343</v>
      </c>
    </row>
    <row r="105" spans="4:22" ht="20.100000000000001" customHeight="1" x14ac:dyDescent="0.25">
      <c r="D105" s="52" t="s">
        <v>140</v>
      </c>
      <c r="E105" s="52" t="s">
        <v>65</v>
      </c>
      <c r="F105" s="52" t="s">
        <v>165</v>
      </c>
      <c r="G105" s="52" t="s">
        <v>182</v>
      </c>
      <c r="H105" s="52" t="s">
        <v>183</v>
      </c>
      <c r="I105" s="52" t="s">
        <v>184</v>
      </c>
      <c r="J105" s="52" t="s">
        <v>185</v>
      </c>
      <c r="O105" s="52" t="s">
        <v>140</v>
      </c>
      <c r="P105" s="52" t="s">
        <v>65</v>
      </c>
      <c r="Q105" s="52" t="s">
        <v>165</v>
      </c>
      <c r="R105" s="52" t="s">
        <v>182</v>
      </c>
      <c r="S105" s="52" t="s">
        <v>183</v>
      </c>
      <c r="T105" s="52" t="s">
        <v>184</v>
      </c>
      <c r="U105" s="52" t="s">
        <v>185</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0</v>
      </c>
      <c r="G106" s="53" cm="1">
        <f t="array" aca="1" ref="G106" ca="1">MMS_Dairy_ManureAppliedToSoils_Equations.VEERG_4_3_1_8__2_MassOfNitrogenAppliedToSoilsScope3(G40, _xlfn.XLOOKUP($E106, $D$22:$D$26,$E$22:$E$26), _xlfn.XLOOKUP($E106,$D$31:$D$35,$E$31:$E$35),G52, $F64)</f>
        <v>0</v>
      </c>
      <c r="H106" s="53" cm="1">
        <f t="array" aca="1" ref="H106" ca="1">MMS_Dairy_ManureAppliedToSoils_Equations.VEERG_4_3_1_8__2_MassOfNitrogenAppliedToSoilsScope3(H40, _xlfn.XLOOKUP($E106, $D$22:$D$26,$E$22:$E$26), _xlfn.XLOOKUP($E106,$D$31:$D$35,$E$31:$E$35),H52, $F64)</f>
        <v>0</v>
      </c>
      <c r="I106" s="53" cm="1">
        <f t="array" aca="1" ref="I106" ca="1">MMS_Dairy_ManureAppliedToSoils_Equations.VEERG_4_3_1_8__2_MassOfNitrogenAppliedToSoilsScope3(I40, _xlfn.XLOOKUP($E106, $D$22:$D$26,$E$22:$E$26), _xlfn.XLOOKUP($E106,$D$31:$D$35,$E$31:$E$35),I52, $F64)</f>
        <v>0</v>
      </c>
      <c r="J106" s="53" cm="1">
        <f t="array" aca="1" ref="J106" ca="1">MMS_Dairy_ManureAppliedToSoils_Equations.VEERG_4_3_1_8__2_MassOfNitrogenAppliedToSoilsScope3(J40, _xlfn.XLOOKUP($E106, $D$22:$D$26,$E$22:$E$26), _xlfn.XLOOKUP($E106,$D$31:$D$35,$E$31:$E$35),J52, $F64)</f>
        <v>0</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0</v>
      </c>
      <c r="R106" s="53" cm="1">
        <f t="array" aca="1" ref="R106" ca="1">MMS_Dairy_ManureAppliedToSoils_Equations.VEERG_4_3_1_8__2_MassOfNitrogenAppliedToSoilsScope3(R40, _xlfn.XLOOKUP($P106, $D$22:$D$26,$E$22:$E$26), _xlfn.XLOOKUP($P106,$D$31:$D$35,$E$31:$E$35),R52, $F64)</f>
        <v>0</v>
      </c>
      <c r="S106" s="53" cm="1">
        <f t="array" aca="1" ref="S106" ca="1">MMS_Dairy_ManureAppliedToSoils_Equations.VEERG_4_3_1_8__2_MassOfNitrogenAppliedToSoilsScope3(S40, _xlfn.XLOOKUP($P106, $D$22:$D$26,$E$22:$E$26), _xlfn.XLOOKUP($P106,$D$31:$D$35,$E$31:$E$35),S52, $F64)</f>
        <v>0</v>
      </c>
      <c r="T106" s="53" cm="1">
        <f t="array" aca="1" ref="T106" ca="1">MMS_Dairy_ManureAppliedToSoils_Equations.VEERG_4_3_1_8__2_MassOfNitrogenAppliedToSoilsScope3(T40, _xlfn.XLOOKUP($P106, $D$22:$D$26,$E$22:$E$26), _xlfn.XLOOKUP($P106,$D$31:$D$35,$E$31:$E$35),T52, $F64)</f>
        <v>0</v>
      </c>
      <c r="U106" s="53" cm="1">
        <f t="array" aca="1" ref="U106" ca="1">MMS_Dairy_ManureAppliedToSoils_Equations.VEERG_4_3_1_8__2_MassOfNitrogenAppliedToSoilsScope3(U40, _xlfn.XLOOKUP($P106, $D$22:$D$26,$E$22:$E$26), _xlfn.XLOOKUP($P106,$D$31:$D$35,$E$31:$E$35),U52, $F64)</f>
        <v>0</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0</v>
      </c>
      <c r="G107" s="53" cm="1">
        <f t="array" aca="1" ref="G107" ca="1">MMS_Dairy_ManureAppliedToSoils_Equations.VEERG_4_3_1_8__2_MassOfNitrogenAppliedToSoilsScope3(G41, _xlfn.XLOOKUP($E107, $D$22:$D$26,$E$22:$E$26), _xlfn.XLOOKUP($E107,$D$31:$D$35,$E$31:$E$35),G53, $F65)</f>
        <v>0</v>
      </c>
      <c r="H107" s="53" cm="1">
        <f t="array" aca="1" ref="H107" ca="1">MMS_Dairy_ManureAppliedToSoils_Equations.VEERG_4_3_1_8__2_MassOfNitrogenAppliedToSoilsScope3(H41, _xlfn.XLOOKUP($E107, $D$22:$D$26,$E$22:$E$26), _xlfn.XLOOKUP($E107,$D$31:$D$35,$E$31:$E$35),H53, $F65)</f>
        <v>0</v>
      </c>
      <c r="I107" s="53" cm="1">
        <f t="array" aca="1" ref="I107" ca="1">MMS_Dairy_ManureAppliedToSoils_Equations.VEERG_4_3_1_8__2_MassOfNitrogenAppliedToSoilsScope3(I41, _xlfn.XLOOKUP($E107, $D$22:$D$26,$E$22:$E$26), _xlfn.XLOOKUP($E107,$D$31:$D$35,$E$31:$E$35),I53, $F65)</f>
        <v>0</v>
      </c>
      <c r="J107" s="53" cm="1">
        <f t="array" aca="1" ref="J107" ca="1">MMS_Dairy_ManureAppliedToSoils_Equations.VEERG_4_3_1_8__2_MassOfNitrogenAppliedToSoilsScope3(J41, _xlfn.XLOOKUP($E107, $D$22:$D$26,$E$22:$E$26), _xlfn.XLOOKUP($E107,$D$31:$D$35,$E$31:$E$35),J53, $F65)</f>
        <v>0</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0</v>
      </c>
      <c r="R107" s="53" cm="1">
        <f t="array" aca="1" ref="R107" ca="1">MMS_Dairy_ManureAppliedToSoils_Equations.VEERG_4_3_1_8__2_MassOfNitrogenAppliedToSoilsScope3(R41, _xlfn.XLOOKUP($P107, $D$22:$D$26,$E$22:$E$26), _xlfn.XLOOKUP($P107,$D$31:$D$35,$E$31:$E$35),R53, $F65)</f>
        <v>0</v>
      </c>
      <c r="S107" s="53" cm="1">
        <f t="array" aca="1" ref="S107" ca="1">MMS_Dairy_ManureAppliedToSoils_Equations.VEERG_4_3_1_8__2_MassOfNitrogenAppliedToSoilsScope3(S41, _xlfn.XLOOKUP($P107, $D$22:$D$26,$E$22:$E$26), _xlfn.XLOOKUP($P107,$D$31:$D$35,$E$31:$E$35),S53, $F65)</f>
        <v>0</v>
      </c>
      <c r="T107" s="53" cm="1">
        <f t="array" aca="1" ref="T107" ca="1">MMS_Dairy_ManureAppliedToSoils_Equations.VEERG_4_3_1_8__2_MassOfNitrogenAppliedToSoilsScope3(T41, _xlfn.XLOOKUP($P107, $D$22:$D$26,$E$22:$E$26), _xlfn.XLOOKUP($P107,$D$31:$D$35,$E$31:$E$35),T53, $F65)</f>
        <v>0</v>
      </c>
      <c r="U107" s="53" cm="1">
        <f t="array" aca="1" ref="U107" ca="1">MMS_Dairy_ManureAppliedToSoils_Equations.VEERG_4_3_1_8__2_MassOfNitrogenAppliedToSoilsScope3(U41, _xlfn.XLOOKUP($P107, $D$22:$D$26,$E$22:$E$26), _xlfn.XLOOKUP($P107,$D$31:$D$35,$E$31:$E$35),U53, $F65)</f>
        <v>0</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0</v>
      </c>
      <c r="G108" s="53" cm="1">
        <f t="array" aca="1" ref="G108" ca="1">MMS_Dairy_ManureAppliedToSoils_Equations.VEERG_4_3_1_8__2_MassOfNitrogenAppliedToSoilsScope3(G42, _xlfn.XLOOKUP($E108, $D$22:$D$26,$E$22:$E$26), _xlfn.XLOOKUP($E108,$D$31:$D$35,$E$31:$E$35),G54, $F66)</f>
        <v>0</v>
      </c>
      <c r="H108" s="53" cm="1">
        <f t="array" aca="1" ref="H108" ca="1">MMS_Dairy_ManureAppliedToSoils_Equations.VEERG_4_3_1_8__2_MassOfNitrogenAppliedToSoilsScope3(H42, _xlfn.XLOOKUP($E108, $D$22:$D$26,$E$22:$E$26), _xlfn.XLOOKUP($E108,$D$31:$D$35,$E$31:$E$35),H54, $F66)</f>
        <v>0</v>
      </c>
      <c r="I108" s="53" cm="1">
        <f t="array" aca="1" ref="I108" ca="1">MMS_Dairy_ManureAppliedToSoils_Equations.VEERG_4_3_1_8__2_MassOfNitrogenAppliedToSoilsScope3(I42, _xlfn.XLOOKUP($E108, $D$22:$D$26,$E$22:$E$26), _xlfn.XLOOKUP($E108,$D$31:$D$35,$E$31:$E$35),I54, $F66)</f>
        <v>0</v>
      </c>
      <c r="J108" s="53" cm="1">
        <f t="array" aca="1" ref="J108" ca="1">MMS_Dairy_ManureAppliedToSoils_Equations.VEERG_4_3_1_8__2_MassOfNitrogenAppliedToSoilsScope3(J42, _xlfn.XLOOKUP($E108, $D$22:$D$26,$E$22:$E$26), _xlfn.XLOOKUP($E108,$D$31:$D$35,$E$31:$E$35),J54, $F66)</f>
        <v>0</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0</v>
      </c>
      <c r="R108" s="53" cm="1">
        <f t="array" aca="1" ref="R108" ca="1">MMS_Dairy_ManureAppliedToSoils_Equations.VEERG_4_3_1_8__2_MassOfNitrogenAppliedToSoilsScope3(R42, _xlfn.XLOOKUP($P108, $D$22:$D$26,$E$22:$E$26), _xlfn.XLOOKUP($P108,$D$31:$D$35,$E$31:$E$35),R54, $F66)</f>
        <v>0</v>
      </c>
      <c r="S108" s="53" cm="1">
        <f t="array" aca="1" ref="S108" ca="1">MMS_Dairy_ManureAppliedToSoils_Equations.VEERG_4_3_1_8__2_MassOfNitrogenAppliedToSoilsScope3(S42, _xlfn.XLOOKUP($P108, $D$22:$D$26,$E$22:$E$26), _xlfn.XLOOKUP($P108,$D$31:$D$35,$E$31:$E$35),S54, $F66)</f>
        <v>0</v>
      </c>
      <c r="T108" s="53" cm="1">
        <f t="array" aca="1" ref="T108" ca="1">MMS_Dairy_ManureAppliedToSoils_Equations.VEERG_4_3_1_8__2_MassOfNitrogenAppliedToSoilsScope3(T42, _xlfn.XLOOKUP($P108, $D$22:$D$26,$E$22:$E$26), _xlfn.XLOOKUP($P108,$D$31:$D$35,$E$31:$E$35),T54, $F66)</f>
        <v>0</v>
      </c>
      <c r="U108" s="53" cm="1">
        <f t="array" aca="1" ref="U108" ca="1">MMS_Dairy_ManureAppliedToSoils_Equations.VEERG_4_3_1_8__2_MassOfNitrogenAppliedToSoilsScope3(U42, _xlfn.XLOOKUP($P108, $D$22:$D$26,$E$22:$E$26), _xlfn.XLOOKUP($P108,$D$31:$D$35,$E$31:$E$35),U54, $F66)</f>
        <v>0</v>
      </c>
      <c r="V108" s="2"/>
    </row>
    <row r="109" spans="4:22" ht="20.100000000000001" customHeight="1" x14ac:dyDescent="0.25">
      <c r="D109" s="53" t="str">
        <f>INDEX(X_Table_Dairy_ProductionSystems_Method1,3,1)</f>
        <v>Milking shed</v>
      </c>
      <c r="E109" s="53" t="s">
        <v>398</v>
      </c>
      <c r="F109" s="53" cm="1">
        <f t="array" aca="1" ref="F109" ca="1">MMS_Dairy_ManureAppliedToSoils_Equations.VEERG_4_3_1_8__2_MassOfNitrogenAppliedToSoilsScope3(F43, _xlfn.XLOOKUP($E109, $D$22:$D$26,$E$22:$E$26), _xlfn.XLOOKUP($E109,$D$31:$D$35,$E$31:$E$35),F55, $F67)</f>
        <v>0</v>
      </c>
      <c r="G109" s="53" cm="1">
        <f t="array" aca="1" ref="G109" ca="1">MMS_Dairy_ManureAppliedToSoils_Equations.VEERG_4_3_1_8__2_MassOfNitrogenAppliedToSoilsScope3(G43, _xlfn.XLOOKUP($E109, $D$22:$D$26,$E$22:$E$26), _xlfn.XLOOKUP($E109,$D$31:$D$35,$E$31:$E$35),G55, $F67)</f>
        <v>0</v>
      </c>
      <c r="H109" s="53" cm="1">
        <f t="array" aca="1" ref="H109" ca="1">MMS_Dairy_ManureAppliedToSoils_Equations.VEERG_4_3_1_8__2_MassOfNitrogenAppliedToSoilsScope3(H43, _xlfn.XLOOKUP($E109, $D$22:$D$26,$E$22:$E$26), _xlfn.XLOOKUP($E109,$D$31:$D$35,$E$31:$E$35),H55, $F67)</f>
        <v>0</v>
      </c>
      <c r="I109" s="53" cm="1">
        <f t="array" aca="1" ref="I109" ca="1">MMS_Dairy_ManureAppliedToSoils_Equations.VEERG_4_3_1_8__2_MassOfNitrogenAppliedToSoilsScope3(I43, _xlfn.XLOOKUP($E109, $D$22:$D$26,$E$22:$E$26), _xlfn.XLOOKUP($E109,$D$31:$D$35,$E$31:$E$35),I55, $F67)</f>
        <v>0</v>
      </c>
      <c r="J109" s="53" cm="1">
        <f t="array" aca="1" ref="J109" ca="1">MMS_Dairy_ManureAppliedToSoils_Equations.VEERG_4_3_1_8__2_MassOfNitrogenAppliedToSoilsScope3(J43, _xlfn.XLOOKUP($E109, $D$22:$D$26,$E$22:$E$26), _xlfn.XLOOKUP($E109,$D$31:$D$35,$E$31:$E$35),J55, $F67)</f>
        <v>0</v>
      </c>
      <c r="K109" s="2"/>
      <c r="O109" s="53" t="str">
        <f>INDEX(X_Table_Dairy_ProductionSystems_Method1,3,1)</f>
        <v>Milking shed</v>
      </c>
      <c r="P109" s="53" t="s">
        <v>398</v>
      </c>
      <c r="Q109" s="53" cm="1">
        <f t="array" aca="1" ref="Q109" ca="1">MMS_Dairy_ManureAppliedToSoils_Equations.VEERG_4_3_1_8__2_MassOfNitrogenAppliedToSoilsScope3(Q43, _xlfn.XLOOKUP($P109, $D$22:$D$26,$E$22:$E$26), _xlfn.XLOOKUP($P109,$D$31:$D$35,$E$31:$E$35),Q55, $F67)</f>
        <v>0</v>
      </c>
      <c r="R109" s="53" cm="1">
        <f t="array" aca="1" ref="R109" ca="1">MMS_Dairy_ManureAppliedToSoils_Equations.VEERG_4_3_1_8__2_MassOfNitrogenAppliedToSoilsScope3(R43, _xlfn.XLOOKUP($P109, $D$22:$D$26,$E$22:$E$26), _xlfn.XLOOKUP($P109,$D$31:$D$35,$E$31:$E$35),R55, $F67)</f>
        <v>0</v>
      </c>
      <c r="S109" s="53" cm="1">
        <f t="array" aca="1" ref="S109" ca="1">MMS_Dairy_ManureAppliedToSoils_Equations.VEERG_4_3_1_8__2_MassOfNitrogenAppliedToSoilsScope3(S43, _xlfn.XLOOKUP($P109, $D$22:$D$26,$E$22:$E$26), _xlfn.XLOOKUP($P109,$D$31:$D$35,$E$31:$E$35),S55, $F67)</f>
        <v>0</v>
      </c>
      <c r="T109" s="53" cm="1">
        <f t="array" aca="1" ref="T109" ca="1">MMS_Dairy_ManureAppliedToSoils_Equations.VEERG_4_3_1_8__2_MassOfNitrogenAppliedToSoilsScope3(T43, _xlfn.XLOOKUP($P109, $D$22:$D$26,$E$22:$E$26), _xlfn.XLOOKUP($P109,$D$31:$D$35,$E$31:$E$35),T55, $F67)</f>
        <v>0</v>
      </c>
      <c r="U109" s="53" cm="1">
        <f t="array" aca="1" ref="U109" ca="1">MMS_Dairy_ManureAppliedToSoils_Equations.VEERG_4_3_1_8__2_MassOfNitrogenAppliedToSoilsScope3(U43, _xlfn.XLOOKUP($P109, $D$22:$D$26,$E$22:$E$26), _xlfn.XLOOKUP($P109,$D$31:$D$35,$E$31:$E$35),U55, $F67)</f>
        <v>0</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0</v>
      </c>
      <c r="G110" s="53" cm="1">
        <f t="array" aca="1" ref="G110" ca="1">MMS_Dairy_ManureAppliedToSoils_Equations.VEERG_4_3_1_8__2_MassOfNitrogenAppliedToSoilsScope3(G44, _xlfn.XLOOKUP($E110, $D$22:$D$26,$E$22:$E$26), _xlfn.XLOOKUP($E110,$D$31:$D$35,$E$31:$E$35),G56, $F68)</f>
        <v>0</v>
      </c>
      <c r="H110" s="53" cm="1">
        <f t="array" aca="1" ref="H110" ca="1">MMS_Dairy_ManureAppliedToSoils_Equations.VEERG_4_3_1_8__2_MassOfNitrogenAppliedToSoilsScope3(H44, _xlfn.XLOOKUP($E110, $D$22:$D$26,$E$22:$E$26), _xlfn.XLOOKUP($E110,$D$31:$D$35,$E$31:$E$35),H56, $F68)</f>
        <v>0</v>
      </c>
      <c r="I110" s="53" cm="1">
        <f t="array" aca="1" ref="I110" ca="1">MMS_Dairy_ManureAppliedToSoils_Equations.VEERG_4_3_1_8__2_MassOfNitrogenAppliedToSoilsScope3(I44, _xlfn.XLOOKUP($E110, $D$22:$D$26,$E$22:$E$26), _xlfn.XLOOKUP($E110,$D$31:$D$35,$E$31:$E$35),I56, $F68)</f>
        <v>0</v>
      </c>
      <c r="J110" s="53" cm="1">
        <f t="array" aca="1" ref="J110" ca="1">MMS_Dairy_ManureAppliedToSoils_Equations.VEERG_4_3_1_8__2_MassOfNitrogenAppliedToSoilsScope3(J44, _xlfn.XLOOKUP($E110, $D$22:$D$26,$E$22:$E$26), _xlfn.XLOOKUP($E110,$D$31:$D$35,$E$31:$E$35),J56, $F68)</f>
        <v>0</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0</v>
      </c>
      <c r="R110" s="53" cm="1">
        <f t="array" aca="1" ref="R110" ca="1">MMS_Dairy_ManureAppliedToSoils_Equations.VEERG_4_3_1_8__2_MassOfNitrogenAppliedToSoilsScope3(R44, _xlfn.XLOOKUP($P110, $D$22:$D$26,$E$22:$E$26), _xlfn.XLOOKUP($P110,$D$31:$D$35,$E$31:$E$35),R56, $F68)</f>
        <v>0</v>
      </c>
      <c r="S110" s="53" cm="1">
        <f t="array" aca="1" ref="S110" ca="1">MMS_Dairy_ManureAppliedToSoils_Equations.VEERG_4_3_1_8__2_MassOfNitrogenAppliedToSoilsScope3(S44, _xlfn.XLOOKUP($P110, $D$22:$D$26,$E$22:$E$26), _xlfn.XLOOKUP($P110,$D$31:$D$35,$E$31:$E$35),S56, $F68)</f>
        <v>0</v>
      </c>
      <c r="T110" s="53" cm="1">
        <f t="array" aca="1" ref="T110" ca="1">MMS_Dairy_ManureAppliedToSoils_Equations.VEERG_4_3_1_8__2_MassOfNitrogenAppliedToSoilsScope3(T44, _xlfn.XLOOKUP($P110, $D$22:$D$26,$E$22:$E$26), _xlfn.XLOOKUP($P110,$D$31:$D$35,$E$31:$E$35),T56, $F68)</f>
        <v>0</v>
      </c>
      <c r="U110" s="53" cm="1">
        <f t="array" aca="1" ref="U110" ca="1">MMS_Dairy_ManureAppliedToSoils_Equations.VEERG_4_3_1_8__2_MassOfNitrogenAppliedToSoilsScope3(U44, _xlfn.XLOOKUP($P110, $D$22:$D$26,$E$22:$E$26), _xlfn.XLOOKUP($P110,$D$31:$D$35,$E$31:$E$35),U56, $F68)</f>
        <v>0</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0</v>
      </c>
      <c r="G111" s="53" cm="1">
        <f t="array" aca="1" ref="G111" ca="1">MMS_Dairy_ManureAppliedToSoils_Equations.VEERG_4_3_1_8__2_MassOfNitrogenAppliedToSoilsScope3(G45, _xlfn.XLOOKUP($E111, $D$22:$D$26,$E$22:$E$26), _xlfn.XLOOKUP($E111,$D$31:$D$35,$E$31:$E$35),G57, $F69)</f>
        <v>0</v>
      </c>
      <c r="H111" s="53" cm="1">
        <f t="array" aca="1" ref="H111" ca="1">MMS_Dairy_ManureAppliedToSoils_Equations.VEERG_4_3_1_8__2_MassOfNitrogenAppliedToSoilsScope3(H45, _xlfn.XLOOKUP($E111, $D$22:$D$26,$E$22:$E$26), _xlfn.XLOOKUP($E111,$D$31:$D$35,$E$31:$E$35),H57, $F69)</f>
        <v>0</v>
      </c>
      <c r="I111" s="53" cm="1">
        <f t="array" aca="1" ref="I111" ca="1">MMS_Dairy_ManureAppliedToSoils_Equations.VEERG_4_3_1_8__2_MassOfNitrogenAppliedToSoilsScope3(I45, _xlfn.XLOOKUP($E111, $D$22:$D$26,$E$22:$E$26), _xlfn.XLOOKUP($E111,$D$31:$D$35,$E$31:$E$35),I57, $F69)</f>
        <v>0</v>
      </c>
      <c r="J111" s="53" cm="1">
        <f t="array" aca="1" ref="J111" ca="1">MMS_Dairy_ManureAppliedToSoils_Equations.VEERG_4_3_1_8__2_MassOfNitrogenAppliedToSoilsScope3(J45, _xlfn.XLOOKUP($E111, $D$22:$D$26,$E$22:$E$26), _xlfn.XLOOKUP($E111,$D$31:$D$35,$E$31:$E$35),J57, $F69)</f>
        <v>0</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0</v>
      </c>
      <c r="R111" s="53" cm="1">
        <f t="array" aca="1" ref="R111" ca="1">MMS_Dairy_ManureAppliedToSoils_Equations.VEERG_4_3_1_8__2_MassOfNitrogenAppliedToSoilsScope3(R45, _xlfn.XLOOKUP($P111, $D$22:$D$26,$E$22:$E$26), _xlfn.XLOOKUP($P111,$D$31:$D$35,$E$31:$E$35),R57, $F69)</f>
        <v>0</v>
      </c>
      <c r="S111" s="53" cm="1">
        <f t="array" aca="1" ref="S111" ca="1">MMS_Dairy_ManureAppliedToSoils_Equations.VEERG_4_3_1_8__2_MassOfNitrogenAppliedToSoilsScope3(S45, _xlfn.XLOOKUP($P111, $D$22:$D$26,$E$22:$E$26), _xlfn.XLOOKUP($P111,$D$31:$D$35,$E$31:$E$35),S57, $F69)</f>
        <v>0</v>
      </c>
      <c r="T111" s="53" cm="1">
        <f t="array" aca="1" ref="T111" ca="1">MMS_Dairy_ManureAppliedToSoils_Equations.VEERG_4_3_1_8__2_MassOfNitrogenAppliedToSoilsScope3(T45, _xlfn.XLOOKUP($P111, $D$22:$D$26,$E$22:$E$26), _xlfn.XLOOKUP($P111,$D$31:$D$35,$E$31:$E$35),T57, $F69)</f>
        <v>0</v>
      </c>
      <c r="U111" s="53" cm="1">
        <f t="array" aca="1" ref="U111" ca="1">MMS_Dairy_ManureAppliedToSoils_Equations.VEERG_4_3_1_8__2_MassOfNitrogenAppliedToSoilsScope3(U45, _xlfn.XLOOKUP($P111, $D$22:$D$26,$E$22:$E$26), _xlfn.XLOOKUP($P111,$D$31:$D$35,$E$31:$E$35),U57, $F69)</f>
        <v>0</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0</v>
      </c>
      <c r="G112" s="53" cm="1">
        <f t="array" aca="1" ref="G112" ca="1">MMS_Dairy_ManureAppliedToSoils_Equations.VEERG_4_3_1_8__2_MassOfNitrogenAppliedToSoilsScope3(G46, _xlfn.XLOOKUP($E112, $D$22:$D$26,$E$22:$E$26), _xlfn.XLOOKUP($E112,$D$31:$D$35,$E$31:$E$35),G58, $F70)</f>
        <v>0</v>
      </c>
      <c r="H112" s="53" cm="1">
        <f t="array" aca="1" ref="H112" ca="1">MMS_Dairy_ManureAppliedToSoils_Equations.VEERG_4_3_1_8__2_MassOfNitrogenAppliedToSoilsScope3(H46, _xlfn.XLOOKUP($E112, $D$22:$D$26,$E$22:$E$26), _xlfn.XLOOKUP($E112,$D$31:$D$35,$E$31:$E$35),H58, $F70)</f>
        <v>0</v>
      </c>
      <c r="I112" s="53" cm="1">
        <f t="array" aca="1" ref="I112" ca="1">MMS_Dairy_ManureAppliedToSoils_Equations.VEERG_4_3_1_8__2_MassOfNitrogenAppliedToSoilsScope3(I46, _xlfn.XLOOKUP($E112, $D$22:$D$26,$E$22:$E$26), _xlfn.XLOOKUP($E112,$D$31:$D$35,$E$31:$E$35),I58, $F70)</f>
        <v>0</v>
      </c>
      <c r="J112" s="53" cm="1">
        <f t="array" aca="1" ref="J112" ca="1">MMS_Dairy_ManureAppliedToSoils_Equations.VEERG_4_3_1_8__2_MassOfNitrogenAppliedToSoilsScope3(J46, _xlfn.XLOOKUP($E112, $D$22:$D$26,$E$22:$E$26), _xlfn.XLOOKUP($E112,$D$31:$D$35,$E$31:$E$35),J58, $F70)</f>
        <v>0</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0</v>
      </c>
      <c r="R112" s="53" cm="1">
        <f t="array" aca="1" ref="R112" ca="1">MMS_Dairy_ManureAppliedToSoils_Equations.VEERG_4_3_1_8__2_MassOfNitrogenAppliedToSoilsScope3(R46, _xlfn.XLOOKUP($P112, $D$22:$D$26,$E$22:$E$26), _xlfn.XLOOKUP($P112,$D$31:$D$35,$E$31:$E$35),R58, $F70)</f>
        <v>0</v>
      </c>
      <c r="S112" s="53" cm="1">
        <f t="array" aca="1" ref="S112" ca="1">MMS_Dairy_ManureAppliedToSoils_Equations.VEERG_4_3_1_8__2_MassOfNitrogenAppliedToSoilsScope3(S46, _xlfn.XLOOKUP($P112, $D$22:$D$26,$E$22:$E$26), _xlfn.XLOOKUP($P112,$D$31:$D$35,$E$31:$E$35),S58, $F70)</f>
        <v>0</v>
      </c>
      <c r="T112" s="53" cm="1">
        <f t="array" aca="1" ref="T112" ca="1">MMS_Dairy_ManureAppliedToSoils_Equations.VEERG_4_3_1_8__2_MassOfNitrogenAppliedToSoilsScope3(T46, _xlfn.XLOOKUP($P112, $D$22:$D$26,$E$22:$E$26), _xlfn.XLOOKUP($P112,$D$31:$D$35,$E$31:$E$35),T58, $F70)</f>
        <v>0</v>
      </c>
      <c r="U112" s="53" cm="1">
        <f t="array" aca="1" ref="U112" ca="1">MMS_Dairy_ManureAppliedToSoils_Equations.VEERG_4_3_1_8__2_MassOfNitrogenAppliedToSoilsScope3(U46, _xlfn.XLOOKUP($P112, $D$22:$D$26,$E$22:$E$26), _xlfn.XLOOKUP($P112,$D$31:$D$35,$E$31:$E$35),U58, $F70)</f>
        <v>0</v>
      </c>
      <c r="V112" s="2"/>
    </row>
    <row r="113" spans="3:23" ht="20.100000000000001" customHeight="1" x14ac:dyDescent="0.25">
      <c r="D113" s="53" t="str">
        <f>INDEX(X_Table_Dairy_ProductionSystems_Method1,4,1)</f>
        <v>Feed pad</v>
      </c>
      <c r="E113" s="53" t="s">
        <v>398</v>
      </c>
      <c r="F113" s="53" cm="1">
        <f t="array" aca="1" ref="F113" ca="1">MMS_Dairy_ManureAppliedToSoils_Equations.VEERG_4_3_1_8__2_MassOfNitrogenAppliedToSoilsScope3(F47, _xlfn.XLOOKUP($E113, $D$22:$D$26,$E$22:$E$26), _xlfn.XLOOKUP($E113,$D$31:$D$35,$E$31:$E$35),F59, $F71)</f>
        <v>0</v>
      </c>
      <c r="G113" s="53" cm="1">
        <f t="array" aca="1" ref="G113" ca="1">MMS_Dairy_ManureAppliedToSoils_Equations.VEERG_4_3_1_8__2_MassOfNitrogenAppliedToSoilsScope3(G47, _xlfn.XLOOKUP($E113, $D$22:$D$26,$E$22:$E$26), _xlfn.XLOOKUP($E113,$D$31:$D$35,$E$31:$E$35),G59, $F71)</f>
        <v>0</v>
      </c>
      <c r="H113" s="53" cm="1">
        <f t="array" aca="1" ref="H113" ca="1">MMS_Dairy_ManureAppliedToSoils_Equations.VEERG_4_3_1_8__2_MassOfNitrogenAppliedToSoilsScope3(H47, _xlfn.XLOOKUP($E113, $D$22:$D$26,$E$22:$E$26), _xlfn.XLOOKUP($E113,$D$31:$D$35,$E$31:$E$35),H59, $F71)</f>
        <v>0</v>
      </c>
      <c r="I113" s="53" cm="1">
        <f t="array" aca="1" ref="I113" ca="1">MMS_Dairy_ManureAppliedToSoils_Equations.VEERG_4_3_1_8__2_MassOfNitrogenAppliedToSoilsScope3(I47, _xlfn.XLOOKUP($E113, $D$22:$D$26,$E$22:$E$26), _xlfn.XLOOKUP($E113,$D$31:$D$35,$E$31:$E$35),I59, $F71)</f>
        <v>0</v>
      </c>
      <c r="J113" s="53" cm="1">
        <f t="array" aca="1" ref="J113" ca="1">MMS_Dairy_ManureAppliedToSoils_Equations.VEERG_4_3_1_8__2_MassOfNitrogenAppliedToSoilsScope3(J47, _xlfn.XLOOKUP($E113, $D$22:$D$26,$E$22:$E$26), _xlfn.XLOOKUP($E113,$D$31:$D$35,$E$31:$E$35),J59, $F71)</f>
        <v>0</v>
      </c>
      <c r="K113" s="2"/>
      <c r="O113" s="53" t="str">
        <f>INDEX(X_Table_Dairy_ProductionSystems_Method1,4,1)</f>
        <v>Feed pad</v>
      </c>
      <c r="P113" s="53" t="s">
        <v>398</v>
      </c>
      <c r="Q113" s="53" cm="1">
        <f t="array" aca="1" ref="Q113" ca="1">MMS_Dairy_ManureAppliedToSoils_Equations.VEERG_4_3_1_8__2_MassOfNitrogenAppliedToSoilsScope3(Q47, _xlfn.XLOOKUP($P113, $D$22:$D$26,$E$22:$E$26), _xlfn.XLOOKUP($P113,$D$31:$D$35,$E$31:$E$35),Q59, $F71)</f>
        <v>0</v>
      </c>
      <c r="R113" s="53" cm="1">
        <f t="array" aca="1" ref="R113" ca="1">MMS_Dairy_ManureAppliedToSoils_Equations.VEERG_4_3_1_8__2_MassOfNitrogenAppliedToSoilsScope3(R47, _xlfn.XLOOKUP($P113, $D$22:$D$26,$E$22:$E$26), _xlfn.XLOOKUP($P113,$D$31:$D$35,$E$31:$E$35),R59, $F71)</f>
        <v>0</v>
      </c>
      <c r="S113" s="53" cm="1">
        <f t="array" aca="1" ref="S113" ca="1">MMS_Dairy_ManureAppliedToSoils_Equations.VEERG_4_3_1_8__2_MassOfNitrogenAppliedToSoilsScope3(S47, _xlfn.XLOOKUP($P113, $D$22:$D$26,$E$22:$E$26), _xlfn.XLOOKUP($P113,$D$31:$D$35,$E$31:$E$35),S59, $F71)</f>
        <v>0</v>
      </c>
      <c r="T113" s="53" cm="1">
        <f t="array" aca="1" ref="T113" ca="1">MMS_Dairy_ManureAppliedToSoils_Equations.VEERG_4_3_1_8__2_MassOfNitrogenAppliedToSoilsScope3(T47, _xlfn.XLOOKUP($P113, $D$22:$D$26,$E$22:$E$26), _xlfn.XLOOKUP($P113,$D$31:$D$35,$E$31:$E$35),T59, $F71)</f>
        <v>0</v>
      </c>
      <c r="U113" s="53" cm="1">
        <f t="array" aca="1" ref="U113" ca="1">MMS_Dairy_ManureAppliedToSoils_Equations.VEERG_4_3_1_8__2_MassOfNitrogenAppliedToSoilsScope3(U47, _xlfn.XLOOKUP($P113, $D$22:$D$26,$E$22:$E$26), _xlfn.XLOOKUP($P113,$D$31:$D$35,$E$31:$E$35),U59, $F71)</f>
        <v>0</v>
      </c>
      <c r="V113" s="2"/>
    </row>
    <row r="114" spans="3:23" ht="20.100000000000001" customHeight="1" x14ac:dyDescent="0.25"/>
    <row r="115" spans="3:23" ht="20.100000000000001" customHeight="1" x14ac:dyDescent="0.25">
      <c r="D115" s="104" t="s">
        <v>341</v>
      </c>
      <c r="E115" s="105">
        <f ca="1">SUM(F106:J113)</f>
        <v>0</v>
      </c>
      <c r="F115" s="106" t="str">
        <f>$E$11</f>
        <v>kg N</v>
      </c>
      <c r="O115" s="104" t="s">
        <v>341</v>
      </c>
      <c r="P115" s="105">
        <f ca="1">SUM(Q106:U113)</f>
        <v>0</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386</v>
      </c>
      <c r="E120" s="90"/>
      <c r="F120" s="90"/>
      <c r="G120" s="90"/>
      <c r="H120" s="88"/>
    </row>
    <row r="121" spans="3:23" ht="20.100000000000001" customHeight="1" x14ac:dyDescent="0.25"/>
    <row r="122" spans="3:23" ht="20.100000000000001" customHeight="1" x14ac:dyDescent="0.25">
      <c r="D122" s="6" t="s">
        <v>385</v>
      </c>
    </row>
    <row r="123" spans="3:23" ht="20.100000000000001" customHeight="1" x14ac:dyDescent="0.25"/>
    <row r="124" spans="3:23" ht="20.100000000000001" customHeight="1" x14ac:dyDescent="0.25">
      <c r="D124" s="100" t="s">
        <v>126</v>
      </c>
    </row>
    <row r="125" spans="3:23" ht="20.100000000000001" customHeight="1" x14ac:dyDescent="0.25">
      <c r="D125" s="99" t="s">
        <v>127</v>
      </c>
    </row>
    <row r="126" spans="3:23" ht="20.100000000000001" customHeight="1" x14ac:dyDescent="0.25">
      <c r="D126" s="40" t="s">
        <v>140</v>
      </c>
      <c r="E126" s="40" t="s">
        <v>65</v>
      </c>
      <c r="F126" s="40" t="s">
        <v>425</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v>
      </c>
      <c r="G129" s="2"/>
    </row>
    <row r="130" spans="4:22" ht="20.100000000000001" customHeight="1" x14ac:dyDescent="0.25">
      <c r="D130" s="53" t="str">
        <f>INDEX(X_Table_Dairy_ProductionSystems_Method1,3,1)</f>
        <v>Milking shed</v>
      </c>
      <c r="E130" s="53" t="s">
        <v>398</v>
      </c>
      <c r="F130" s="53">
        <f>INDEX(X_Table_Dairy_Stage1MMS_1_SolidStorage_Destinations,2,3)</f>
        <v>0</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v>
      </c>
      <c r="G133" s="2"/>
    </row>
    <row r="134" spans="4:22" ht="20.100000000000001" customHeight="1" x14ac:dyDescent="0.25">
      <c r="D134" s="53" t="str">
        <f>INDEX(X_Table_Dairy_ProductionSystems_Method1,4,1)</f>
        <v>Feed pad</v>
      </c>
      <c r="E134" s="53" t="s">
        <v>398</v>
      </c>
      <c r="F134" s="53">
        <f>INDEX(X_Table_Dairy_Stage1MMS_2_SolidStorage_Destinations,2,3)</f>
        <v>0</v>
      </c>
      <c r="G134" s="2"/>
    </row>
    <row r="135" spans="4:22" ht="20.100000000000001" customHeight="1" x14ac:dyDescent="0.25"/>
    <row r="136" spans="4:22" ht="20.100000000000001" customHeight="1" x14ac:dyDescent="0.25">
      <c r="D136" s="100" t="s">
        <v>128</v>
      </c>
      <c r="O136" s="100" t="s">
        <v>129</v>
      </c>
    </row>
    <row r="137" spans="4:22" ht="20.100000000000001" customHeight="1" x14ac:dyDescent="0.25">
      <c r="D137" s="99" t="s">
        <v>131</v>
      </c>
      <c r="O137" s="99" t="s">
        <v>130</v>
      </c>
    </row>
    <row r="138" spans="4:22" ht="20.100000000000001" customHeight="1" x14ac:dyDescent="0.25">
      <c r="D138" s="52" t="s">
        <v>140</v>
      </c>
      <c r="E138" s="52" t="s">
        <v>65</v>
      </c>
      <c r="F138" s="52" t="s">
        <v>165</v>
      </c>
      <c r="G138" s="52" t="s">
        <v>182</v>
      </c>
      <c r="H138" s="52" t="s">
        <v>183</v>
      </c>
      <c r="I138" s="52" t="s">
        <v>184</v>
      </c>
      <c r="J138" s="52" t="s">
        <v>185</v>
      </c>
      <c r="O138" s="52" t="s">
        <v>140</v>
      </c>
      <c r="P138" s="52" t="s">
        <v>65</v>
      </c>
      <c r="Q138" s="52" t="s">
        <v>165</v>
      </c>
      <c r="R138" s="52" t="s">
        <v>182</v>
      </c>
      <c r="S138" s="52" t="s">
        <v>183</v>
      </c>
      <c r="T138" s="52" t="s">
        <v>184</v>
      </c>
      <c r="U138" s="52" t="s">
        <v>185</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0</v>
      </c>
      <c r="G139" s="53" cm="1">
        <f t="array" ref="G139">MMS_Dairy_ManureAppliedToSoils_Equations.VEERG_4_3_1_8__1_MassOfNitrogenAppliedToSoilsScope1(G40,_xlfn.XLOOKUP($E139,$D$22:$D$26,$E$22:$E$26),_xlfn.XLOOKUP($E139,$D$31:$D$35,$E$31:$E$35),G52,$F127)</f>
        <v>0</v>
      </c>
      <c r="H139" s="53" cm="1">
        <f t="array" ref="H139">MMS_Dairy_ManureAppliedToSoils_Equations.VEERG_4_3_1_8__1_MassOfNitrogenAppliedToSoilsScope1(H40,_xlfn.XLOOKUP($E139,$D$22:$D$26,$E$22:$E$26),_xlfn.XLOOKUP($E139,$D$31:$D$35,$E$31:$E$35),H52,$F127)</f>
        <v>0</v>
      </c>
      <c r="I139" s="53" cm="1">
        <f t="array" ref="I139">MMS_Dairy_ManureAppliedToSoils_Equations.VEERG_4_3_1_8__1_MassOfNitrogenAppliedToSoilsScope1(I40,_xlfn.XLOOKUP($E139,$D$22:$D$26,$E$22:$E$26),_xlfn.XLOOKUP($E139,$D$31:$D$35,$E$31:$E$35),I52,$F127)</f>
        <v>0</v>
      </c>
      <c r="J139" s="53" cm="1">
        <f t="array" ref="J139">MMS_Dairy_ManureAppliedToSoils_Equations.VEERG_4_3_1_8__1_MassOfNitrogenAppliedToSoilsScope1(J40,_xlfn.XLOOKUP($E139,$D$22:$D$26,$E$22:$E$26),_xlfn.XLOOKUP($E139,$D$31:$D$35,$E$31:$E$35),J52,$F127)</f>
        <v>0</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0</v>
      </c>
      <c r="R139" s="53" cm="1">
        <f t="array" ref="R139">MMS_Dairy_ManureAppliedToSoils_Equations.VEERG_4_3_1_8__1_MassOfNitrogenAppliedToSoilsScope1(R40,_xlfn.XLOOKUP($P139,$D$22:$D$26,$E$22:$E$26),_xlfn.XLOOKUP($P139,$D$31:$D$35,$E$31:$E$35),R52,$F127)</f>
        <v>0</v>
      </c>
      <c r="S139" s="53" cm="1">
        <f t="array" ref="S139">MMS_Dairy_ManureAppliedToSoils_Equations.VEERG_4_3_1_8__1_MassOfNitrogenAppliedToSoilsScope1(S40,_xlfn.XLOOKUP($P139,$D$22:$D$26,$E$22:$E$26),_xlfn.XLOOKUP($P139,$D$31:$D$35,$E$31:$E$35),S52,$F127)</f>
        <v>0</v>
      </c>
      <c r="T139" s="53" cm="1">
        <f t="array" ref="T139">MMS_Dairy_ManureAppliedToSoils_Equations.VEERG_4_3_1_8__1_MassOfNitrogenAppliedToSoilsScope1(T40,_xlfn.XLOOKUP($P139,$D$22:$D$26,$E$22:$E$26),_xlfn.XLOOKUP($P139,$D$31:$D$35,$E$31:$E$35),T52,$F127)</f>
        <v>0</v>
      </c>
      <c r="U139" s="53" cm="1">
        <f t="array" ref="U139">MMS_Dairy_ManureAppliedToSoils_Equations.VEERG_4_3_1_8__1_MassOfNitrogenAppliedToSoilsScope1(U40,_xlfn.XLOOKUP($P139,$D$22:$D$26,$E$22:$E$26),_xlfn.XLOOKUP($P139,$D$31:$D$35,$E$31:$E$35),U52,$F127)</f>
        <v>0</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0</v>
      </c>
      <c r="G140" s="53" cm="1">
        <f t="array" ref="G140">MMS_Dairy_ManureAppliedToSoils_Equations.VEERG_4_3_1_8__1_MassOfNitrogenAppliedToSoilsScope1(G41,_xlfn.XLOOKUP($E140,$D$22:$D$26,$E$22:$E$26),_xlfn.XLOOKUP($E140,$D$31:$D$35,$E$31:$E$35),G53,$F128)</f>
        <v>0</v>
      </c>
      <c r="H140" s="53" cm="1">
        <f t="array" ref="H140">MMS_Dairy_ManureAppliedToSoils_Equations.VEERG_4_3_1_8__1_MassOfNitrogenAppliedToSoilsScope1(H41,_xlfn.XLOOKUP($E140,$D$22:$D$26,$E$22:$E$26),_xlfn.XLOOKUP($E140,$D$31:$D$35,$E$31:$E$35),H53,$F128)</f>
        <v>0</v>
      </c>
      <c r="I140" s="53" cm="1">
        <f t="array" ref="I140">MMS_Dairy_ManureAppliedToSoils_Equations.VEERG_4_3_1_8__1_MassOfNitrogenAppliedToSoilsScope1(I41,_xlfn.XLOOKUP($E140,$D$22:$D$26,$E$22:$E$26),_xlfn.XLOOKUP($E140,$D$31:$D$35,$E$31:$E$35),I53,$F128)</f>
        <v>0</v>
      </c>
      <c r="J140" s="53" cm="1">
        <f t="array" ref="J140">MMS_Dairy_ManureAppliedToSoils_Equations.VEERG_4_3_1_8__1_MassOfNitrogenAppliedToSoilsScope1(J41,_xlfn.XLOOKUP($E140,$D$22:$D$26,$E$22:$E$26),_xlfn.XLOOKUP($E140,$D$31:$D$35,$E$31:$E$35),J53,$F128)</f>
        <v>0</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0</v>
      </c>
      <c r="R140" s="53" cm="1">
        <f t="array" ref="R140">MMS_Dairy_ManureAppliedToSoils_Equations.VEERG_4_3_1_8__1_MassOfNitrogenAppliedToSoilsScope1(R41,_xlfn.XLOOKUP($P140,$D$22:$D$26,$E$22:$E$26),_xlfn.XLOOKUP($P140,$D$31:$D$35,$E$31:$E$35),R53,$F128)</f>
        <v>0</v>
      </c>
      <c r="S140" s="53" cm="1">
        <f t="array" ref="S140">MMS_Dairy_ManureAppliedToSoils_Equations.VEERG_4_3_1_8__1_MassOfNitrogenAppliedToSoilsScope1(S41,_xlfn.XLOOKUP($P140,$D$22:$D$26,$E$22:$E$26),_xlfn.XLOOKUP($P140,$D$31:$D$35,$E$31:$E$35),S53,$F128)</f>
        <v>0</v>
      </c>
      <c r="T140" s="53" cm="1">
        <f t="array" ref="T140">MMS_Dairy_ManureAppliedToSoils_Equations.VEERG_4_3_1_8__1_MassOfNitrogenAppliedToSoilsScope1(T41,_xlfn.XLOOKUP($P140,$D$22:$D$26,$E$22:$E$26),_xlfn.XLOOKUP($P140,$D$31:$D$35,$E$31:$E$35),T53,$F128)</f>
        <v>0</v>
      </c>
      <c r="U140" s="53" cm="1">
        <f t="array" ref="U140">MMS_Dairy_ManureAppliedToSoils_Equations.VEERG_4_3_1_8__1_MassOfNitrogenAppliedToSoilsScope1(U41,_xlfn.XLOOKUP($P140,$D$22:$D$26,$E$22:$E$26),_xlfn.XLOOKUP($P140,$D$31:$D$35,$E$31:$E$35),U53,$F128)</f>
        <v>0</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0</v>
      </c>
      <c r="G141" s="53" cm="1">
        <f t="array" ref="G141">MMS_Dairy_ManureAppliedToSoils_Equations.VEERG_4_3_1_8__1_MassOfNitrogenAppliedToSoilsScope1(G42,_xlfn.XLOOKUP($E141,$D$22:$D$26,$E$22:$E$26),_xlfn.XLOOKUP($E141,$D$31:$D$35,$E$31:$E$35),G54,$F129)</f>
        <v>0</v>
      </c>
      <c r="H141" s="53" cm="1">
        <f t="array" ref="H141">MMS_Dairy_ManureAppliedToSoils_Equations.VEERG_4_3_1_8__1_MassOfNitrogenAppliedToSoilsScope1(H42,_xlfn.XLOOKUP($E141,$D$22:$D$26,$E$22:$E$26),_xlfn.XLOOKUP($E141,$D$31:$D$35,$E$31:$E$35),H54,$F129)</f>
        <v>0</v>
      </c>
      <c r="I141" s="53" cm="1">
        <f t="array" ref="I141">MMS_Dairy_ManureAppliedToSoils_Equations.VEERG_4_3_1_8__1_MassOfNitrogenAppliedToSoilsScope1(I42,_xlfn.XLOOKUP($E141,$D$22:$D$26,$E$22:$E$26),_xlfn.XLOOKUP($E141,$D$31:$D$35,$E$31:$E$35),I54,$F129)</f>
        <v>0</v>
      </c>
      <c r="J141" s="53" cm="1">
        <f t="array" ref="J141">MMS_Dairy_ManureAppliedToSoils_Equations.VEERG_4_3_1_8__1_MassOfNitrogenAppliedToSoilsScope1(J42,_xlfn.XLOOKUP($E141,$D$22:$D$26,$E$22:$E$26),_xlfn.XLOOKUP($E141,$D$31:$D$35,$E$31:$E$35),J54,$F129)</f>
        <v>0</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0</v>
      </c>
      <c r="R141" s="53" cm="1">
        <f t="array" ref="R141">MMS_Dairy_ManureAppliedToSoils_Equations.VEERG_4_3_1_8__1_MassOfNitrogenAppliedToSoilsScope1(R42,_xlfn.XLOOKUP($P141,$D$22:$D$26,$E$22:$E$26),_xlfn.XLOOKUP($P141,$D$31:$D$35,$E$31:$E$35),R54,$F129)</f>
        <v>0</v>
      </c>
      <c r="S141" s="53" cm="1">
        <f t="array" ref="S141">MMS_Dairy_ManureAppliedToSoils_Equations.VEERG_4_3_1_8__1_MassOfNitrogenAppliedToSoilsScope1(S42,_xlfn.XLOOKUP($P141,$D$22:$D$26,$E$22:$E$26),_xlfn.XLOOKUP($P141,$D$31:$D$35,$E$31:$E$35),S54,$F129)</f>
        <v>0</v>
      </c>
      <c r="T141" s="53" cm="1">
        <f t="array" ref="T141">MMS_Dairy_ManureAppliedToSoils_Equations.VEERG_4_3_1_8__1_MassOfNitrogenAppliedToSoilsScope1(T42,_xlfn.XLOOKUP($P141,$D$22:$D$26,$E$22:$E$26),_xlfn.XLOOKUP($P141,$D$31:$D$35,$E$31:$E$35),T54,$F129)</f>
        <v>0</v>
      </c>
      <c r="U141" s="53" cm="1">
        <f t="array" ref="U141">MMS_Dairy_ManureAppliedToSoils_Equations.VEERG_4_3_1_8__1_MassOfNitrogenAppliedToSoilsScope1(U42,_xlfn.XLOOKUP($P141,$D$22:$D$26,$E$22:$E$26),_xlfn.XLOOKUP($P141,$D$31:$D$35,$E$31:$E$35),U54,$F129)</f>
        <v>0</v>
      </c>
      <c r="V141" s="2"/>
    </row>
    <row r="142" spans="4:22" ht="20.100000000000001" customHeight="1" x14ac:dyDescent="0.25">
      <c r="D142" s="53" t="str">
        <f>INDEX(X_Table_Dairy_ProductionSystems_Method1,3,1)</f>
        <v>Milking shed</v>
      </c>
      <c r="E142" s="53" t="s">
        <v>398</v>
      </c>
      <c r="F142" s="53" cm="1">
        <f t="array" ref="F142">MMS_Dairy_ManureAppliedToSoils_Equations.VEERG_4_3_1_8__1_MassOfNitrogenAppliedToSoilsScope1(F43,_xlfn.XLOOKUP($E142,$D$22:$D$26,$E$22:$E$26),_xlfn.XLOOKUP($E142,$D$31:$D$35,$E$31:$E$35),F55,$F130)</f>
        <v>0</v>
      </c>
      <c r="G142" s="53" cm="1">
        <f t="array" ref="G142">MMS_Dairy_ManureAppliedToSoils_Equations.VEERG_4_3_1_8__1_MassOfNitrogenAppliedToSoilsScope1(G43,_xlfn.XLOOKUP($E142,$D$22:$D$26,$E$22:$E$26),_xlfn.XLOOKUP($E142,$D$31:$D$35,$E$31:$E$35),G55,$F130)</f>
        <v>0</v>
      </c>
      <c r="H142" s="53" cm="1">
        <f t="array" ref="H142">MMS_Dairy_ManureAppliedToSoils_Equations.VEERG_4_3_1_8__1_MassOfNitrogenAppliedToSoilsScope1(H43,_xlfn.XLOOKUP($E142,$D$22:$D$26,$E$22:$E$26),_xlfn.XLOOKUP($E142,$D$31:$D$35,$E$31:$E$35),H55,$F130)</f>
        <v>0</v>
      </c>
      <c r="I142" s="53" cm="1">
        <f t="array" ref="I142">MMS_Dairy_ManureAppliedToSoils_Equations.VEERG_4_3_1_8__1_MassOfNitrogenAppliedToSoilsScope1(I43,_xlfn.XLOOKUP($E142,$D$22:$D$26,$E$22:$E$26),_xlfn.XLOOKUP($E142,$D$31:$D$35,$E$31:$E$35),I55,$F130)</f>
        <v>0</v>
      </c>
      <c r="J142" s="53" cm="1">
        <f t="array" ref="J142">MMS_Dairy_ManureAppliedToSoils_Equations.VEERG_4_3_1_8__1_MassOfNitrogenAppliedToSoilsScope1(J43,_xlfn.XLOOKUP($E142,$D$22:$D$26,$E$22:$E$26),_xlfn.XLOOKUP($E142,$D$31:$D$35,$E$31:$E$35),J55,$F130)</f>
        <v>0</v>
      </c>
      <c r="K142" s="2" t="str">
        <f t="shared" si="4"/>
        <v>kg N</v>
      </c>
      <c r="O142" s="53" t="str">
        <f>INDEX(X_Table_Dairy_ProductionSystems_Method1,3,1)</f>
        <v>Milking shed</v>
      </c>
      <c r="P142" s="53" t="s">
        <v>398</v>
      </c>
      <c r="Q142" s="53" cm="1">
        <f t="array" ref="Q142">MMS_Dairy_ManureAppliedToSoils_Equations.VEERG_4_3_1_8__1_MassOfNitrogenAppliedToSoilsScope1(Q43,_xlfn.XLOOKUP($P142,$D$22:$D$26,$E$22:$E$26),_xlfn.XLOOKUP($P142,$D$31:$D$35,$E$31:$E$35),Q55,$F130)</f>
        <v>0</v>
      </c>
      <c r="R142" s="53" cm="1">
        <f t="array" ref="R142">MMS_Dairy_ManureAppliedToSoils_Equations.VEERG_4_3_1_8__1_MassOfNitrogenAppliedToSoilsScope1(R43,_xlfn.XLOOKUP($P142,$D$22:$D$26,$E$22:$E$26),_xlfn.XLOOKUP($P142,$D$31:$D$35,$E$31:$E$35),R55,$F130)</f>
        <v>0</v>
      </c>
      <c r="S142" s="53" cm="1">
        <f t="array" ref="S142">MMS_Dairy_ManureAppliedToSoils_Equations.VEERG_4_3_1_8__1_MassOfNitrogenAppliedToSoilsScope1(S43,_xlfn.XLOOKUP($P142,$D$22:$D$26,$E$22:$E$26),_xlfn.XLOOKUP($P142,$D$31:$D$35,$E$31:$E$35),S55,$F130)</f>
        <v>0</v>
      </c>
      <c r="T142" s="53" cm="1">
        <f t="array" ref="T142">MMS_Dairy_ManureAppliedToSoils_Equations.VEERG_4_3_1_8__1_MassOfNitrogenAppliedToSoilsScope1(T43,_xlfn.XLOOKUP($P142,$D$22:$D$26,$E$22:$E$26),_xlfn.XLOOKUP($P142,$D$31:$D$35,$E$31:$E$35),T55,$F130)</f>
        <v>0</v>
      </c>
      <c r="U142" s="53" cm="1">
        <f t="array" ref="U142">MMS_Dairy_ManureAppliedToSoils_Equations.VEERG_4_3_1_8__1_MassOfNitrogenAppliedToSoilsScope1(U43,_xlfn.XLOOKUP($P142,$D$22:$D$26,$E$22:$E$26),_xlfn.XLOOKUP($P142,$D$31:$D$35,$E$31:$E$35),U55,$F130)</f>
        <v>0</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0</v>
      </c>
      <c r="G143" s="53" cm="1">
        <f t="array" ref="G143">MMS_Dairy_ManureAppliedToSoils_Equations.VEERG_4_3_1_8__1_MassOfNitrogenAppliedToSoilsScope1(G44,_xlfn.XLOOKUP($E143,$D$22:$D$26,$E$22:$E$26),_xlfn.XLOOKUP($E143,$D$31:$D$35,$E$31:$E$35),G56,$F131)</f>
        <v>0</v>
      </c>
      <c r="H143" s="53" cm="1">
        <f t="array" ref="H143">MMS_Dairy_ManureAppliedToSoils_Equations.VEERG_4_3_1_8__1_MassOfNitrogenAppliedToSoilsScope1(H44,_xlfn.XLOOKUP($E143,$D$22:$D$26,$E$22:$E$26),_xlfn.XLOOKUP($E143,$D$31:$D$35,$E$31:$E$35),H56,$F131)</f>
        <v>0</v>
      </c>
      <c r="I143" s="53" cm="1">
        <f t="array" ref="I143">MMS_Dairy_ManureAppliedToSoils_Equations.VEERG_4_3_1_8__1_MassOfNitrogenAppliedToSoilsScope1(I44,_xlfn.XLOOKUP($E143,$D$22:$D$26,$E$22:$E$26),_xlfn.XLOOKUP($E143,$D$31:$D$35,$E$31:$E$35),I56,$F131)</f>
        <v>0</v>
      </c>
      <c r="J143" s="53" cm="1">
        <f t="array" ref="J143">MMS_Dairy_ManureAppliedToSoils_Equations.VEERG_4_3_1_8__1_MassOfNitrogenAppliedToSoilsScope1(J44,_xlfn.XLOOKUP($E143,$D$22:$D$26,$E$22:$E$26),_xlfn.XLOOKUP($E143,$D$31:$D$35,$E$31:$E$35),J56,$F131)</f>
        <v>0</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0</v>
      </c>
      <c r="R143" s="53" cm="1">
        <f t="array" ref="R143">MMS_Dairy_ManureAppliedToSoils_Equations.VEERG_4_3_1_8__1_MassOfNitrogenAppliedToSoilsScope1(R44,_xlfn.XLOOKUP($P143,$D$22:$D$26,$E$22:$E$26),_xlfn.XLOOKUP($P143,$D$31:$D$35,$E$31:$E$35),R56,$F131)</f>
        <v>0</v>
      </c>
      <c r="S143" s="53" cm="1">
        <f t="array" ref="S143">MMS_Dairy_ManureAppliedToSoils_Equations.VEERG_4_3_1_8__1_MassOfNitrogenAppliedToSoilsScope1(S44,_xlfn.XLOOKUP($P143,$D$22:$D$26,$E$22:$E$26),_xlfn.XLOOKUP($P143,$D$31:$D$35,$E$31:$E$35),S56,$F131)</f>
        <v>0</v>
      </c>
      <c r="T143" s="53" cm="1">
        <f t="array" ref="T143">MMS_Dairy_ManureAppliedToSoils_Equations.VEERG_4_3_1_8__1_MassOfNitrogenAppliedToSoilsScope1(T44,_xlfn.XLOOKUP($P143,$D$22:$D$26,$E$22:$E$26),_xlfn.XLOOKUP($P143,$D$31:$D$35,$E$31:$E$35),T56,$F131)</f>
        <v>0</v>
      </c>
      <c r="U143" s="53" cm="1">
        <f t="array" ref="U143">MMS_Dairy_ManureAppliedToSoils_Equations.VEERG_4_3_1_8__1_MassOfNitrogenAppliedToSoilsScope1(U44,_xlfn.XLOOKUP($P143,$D$22:$D$26,$E$22:$E$26),_xlfn.XLOOKUP($P143,$D$31:$D$35,$E$31:$E$35),U56,$F131)</f>
        <v>0</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0</v>
      </c>
      <c r="G144" s="53" cm="1">
        <f t="array" ref="G144">MMS_Dairy_ManureAppliedToSoils_Equations.VEERG_4_3_1_8__1_MassOfNitrogenAppliedToSoilsScope1(G45,_xlfn.XLOOKUP($E144,$D$22:$D$26,$E$22:$E$26),_xlfn.XLOOKUP($E144,$D$31:$D$35,$E$31:$E$35),G57,$F132)</f>
        <v>0</v>
      </c>
      <c r="H144" s="53" cm="1">
        <f t="array" ref="H144">MMS_Dairy_ManureAppliedToSoils_Equations.VEERG_4_3_1_8__1_MassOfNitrogenAppliedToSoilsScope1(H45,_xlfn.XLOOKUP($E144,$D$22:$D$26,$E$22:$E$26),_xlfn.XLOOKUP($E144,$D$31:$D$35,$E$31:$E$35),H57,$F132)</f>
        <v>0</v>
      </c>
      <c r="I144" s="53" cm="1">
        <f t="array" ref="I144">MMS_Dairy_ManureAppliedToSoils_Equations.VEERG_4_3_1_8__1_MassOfNitrogenAppliedToSoilsScope1(I45,_xlfn.XLOOKUP($E144,$D$22:$D$26,$E$22:$E$26),_xlfn.XLOOKUP($E144,$D$31:$D$35,$E$31:$E$35),I57,$F132)</f>
        <v>0</v>
      </c>
      <c r="J144" s="53" cm="1">
        <f t="array" ref="J144">MMS_Dairy_ManureAppliedToSoils_Equations.VEERG_4_3_1_8__1_MassOfNitrogenAppliedToSoilsScope1(J45,_xlfn.XLOOKUP($E144,$D$22:$D$26,$E$22:$E$26),_xlfn.XLOOKUP($E144,$D$31:$D$35,$E$31:$E$35),J57,$F132)</f>
        <v>0</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0</v>
      </c>
      <c r="R144" s="53" cm="1">
        <f t="array" ref="R144">MMS_Dairy_ManureAppliedToSoils_Equations.VEERG_4_3_1_8__1_MassOfNitrogenAppliedToSoilsScope1(R45,_xlfn.XLOOKUP($P144,$D$22:$D$26,$E$22:$E$26),_xlfn.XLOOKUP($P144,$D$31:$D$35,$E$31:$E$35),R57,$F132)</f>
        <v>0</v>
      </c>
      <c r="S144" s="53" cm="1">
        <f t="array" ref="S144">MMS_Dairy_ManureAppliedToSoils_Equations.VEERG_4_3_1_8__1_MassOfNitrogenAppliedToSoilsScope1(S45,_xlfn.XLOOKUP($P144,$D$22:$D$26,$E$22:$E$26),_xlfn.XLOOKUP($P144,$D$31:$D$35,$E$31:$E$35),S57,$F132)</f>
        <v>0</v>
      </c>
      <c r="T144" s="53" cm="1">
        <f t="array" ref="T144">MMS_Dairy_ManureAppliedToSoils_Equations.VEERG_4_3_1_8__1_MassOfNitrogenAppliedToSoilsScope1(T45,_xlfn.XLOOKUP($P144,$D$22:$D$26,$E$22:$E$26),_xlfn.XLOOKUP($P144,$D$31:$D$35,$E$31:$E$35),T57,$F132)</f>
        <v>0</v>
      </c>
      <c r="U144" s="53" cm="1">
        <f t="array" ref="U144">MMS_Dairy_ManureAppliedToSoils_Equations.VEERG_4_3_1_8__1_MassOfNitrogenAppliedToSoilsScope1(U45,_xlfn.XLOOKUP($P144,$D$22:$D$26,$E$22:$E$26),_xlfn.XLOOKUP($P144,$D$31:$D$35,$E$31:$E$35),U57,$F132)</f>
        <v>0</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0</v>
      </c>
      <c r="G145" s="53" cm="1">
        <f t="array" ref="G145">MMS_Dairy_ManureAppliedToSoils_Equations.VEERG_4_3_1_8__1_MassOfNitrogenAppliedToSoilsScope1(G46,_xlfn.XLOOKUP($E145,$D$22:$D$26,$E$22:$E$26),_xlfn.XLOOKUP($E145,$D$31:$D$35,$E$31:$E$35),G58,$F133)</f>
        <v>0</v>
      </c>
      <c r="H145" s="53" cm="1">
        <f t="array" ref="H145">MMS_Dairy_ManureAppliedToSoils_Equations.VEERG_4_3_1_8__1_MassOfNitrogenAppliedToSoilsScope1(H46,_xlfn.XLOOKUP($E145,$D$22:$D$26,$E$22:$E$26),_xlfn.XLOOKUP($E145,$D$31:$D$35,$E$31:$E$35),H58,$F133)</f>
        <v>0</v>
      </c>
      <c r="I145" s="53" cm="1">
        <f t="array" ref="I145">MMS_Dairy_ManureAppliedToSoils_Equations.VEERG_4_3_1_8__1_MassOfNitrogenAppliedToSoilsScope1(I46,_xlfn.XLOOKUP($E145,$D$22:$D$26,$E$22:$E$26),_xlfn.XLOOKUP($E145,$D$31:$D$35,$E$31:$E$35),I58,$F133)</f>
        <v>0</v>
      </c>
      <c r="J145" s="53" cm="1">
        <f t="array" ref="J145">MMS_Dairy_ManureAppliedToSoils_Equations.VEERG_4_3_1_8__1_MassOfNitrogenAppliedToSoilsScope1(J46,_xlfn.XLOOKUP($E145,$D$22:$D$26,$E$22:$E$26),_xlfn.XLOOKUP($E145,$D$31:$D$35,$E$31:$E$35),J58,$F133)</f>
        <v>0</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0</v>
      </c>
      <c r="R145" s="53" cm="1">
        <f t="array" ref="R145">MMS_Dairy_ManureAppliedToSoils_Equations.VEERG_4_3_1_8__1_MassOfNitrogenAppliedToSoilsScope1(R46,_xlfn.XLOOKUP($P145,$D$22:$D$26,$E$22:$E$26),_xlfn.XLOOKUP($P145,$D$31:$D$35,$E$31:$E$35),R58,$F133)</f>
        <v>0</v>
      </c>
      <c r="S145" s="53" cm="1">
        <f t="array" ref="S145">MMS_Dairy_ManureAppliedToSoils_Equations.VEERG_4_3_1_8__1_MassOfNitrogenAppliedToSoilsScope1(S46,_xlfn.XLOOKUP($P145,$D$22:$D$26,$E$22:$E$26),_xlfn.XLOOKUP($P145,$D$31:$D$35,$E$31:$E$35),S58,$F133)</f>
        <v>0</v>
      </c>
      <c r="T145" s="53" cm="1">
        <f t="array" ref="T145">MMS_Dairy_ManureAppliedToSoils_Equations.VEERG_4_3_1_8__1_MassOfNitrogenAppliedToSoilsScope1(T46,_xlfn.XLOOKUP($P145,$D$22:$D$26,$E$22:$E$26),_xlfn.XLOOKUP($P145,$D$31:$D$35,$E$31:$E$35),T58,$F133)</f>
        <v>0</v>
      </c>
      <c r="U145" s="53" cm="1">
        <f t="array" ref="U145">MMS_Dairy_ManureAppliedToSoils_Equations.VEERG_4_3_1_8__1_MassOfNitrogenAppliedToSoilsScope1(U46,_xlfn.XLOOKUP($P145,$D$22:$D$26,$E$22:$E$26),_xlfn.XLOOKUP($P145,$D$31:$D$35,$E$31:$E$35),U58,$F133)</f>
        <v>0</v>
      </c>
      <c r="V145" s="2"/>
    </row>
    <row r="146" spans="4:22" ht="20.100000000000001" customHeight="1" x14ac:dyDescent="0.25">
      <c r="D146" s="53" t="str">
        <f>INDEX(X_Table_Dairy_ProductionSystems_Method1,4,1)</f>
        <v>Feed pad</v>
      </c>
      <c r="E146" s="53" t="s">
        <v>398</v>
      </c>
      <c r="F146" s="53" cm="1">
        <f t="array" ref="F146">MMS_Dairy_ManureAppliedToSoils_Equations.VEERG_4_3_1_8__1_MassOfNitrogenAppliedToSoilsScope1(F47,_xlfn.XLOOKUP($E146,$D$22:$D$26,$E$22:$E$26),_xlfn.XLOOKUP($E146,$D$31:$D$35,$E$31:$E$35),F59,$F134)</f>
        <v>0</v>
      </c>
      <c r="G146" s="53" cm="1">
        <f t="array" ref="G146">MMS_Dairy_ManureAppliedToSoils_Equations.VEERG_4_3_1_8__1_MassOfNitrogenAppliedToSoilsScope1(G47,_xlfn.XLOOKUP($E146,$D$22:$D$26,$E$22:$E$26),_xlfn.XLOOKUP($E146,$D$31:$D$35,$E$31:$E$35),G59,$F134)</f>
        <v>0</v>
      </c>
      <c r="H146" s="53" cm="1">
        <f t="array" ref="H146">MMS_Dairy_ManureAppliedToSoils_Equations.VEERG_4_3_1_8__1_MassOfNitrogenAppliedToSoilsScope1(H47,_xlfn.XLOOKUP($E146,$D$22:$D$26,$E$22:$E$26),_xlfn.XLOOKUP($E146,$D$31:$D$35,$E$31:$E$35),H59,$F134)</f>
        <v>0</v>
      </c>
      <c r="I146" s="53" cm="1">
        <f t="array" ref="I146">MMS_Dairy_ManureAppliedToSoils_Equations.VEERG_4_3_1_8__1_MassOfNitrogenAppliedToSoilsScope1(I47,_xlfn.XLOOKUP($E146,$D$22:$D$26,$E$22:$E$26),_xlfn.XLOOKUP($E146,$D$31:$D$35,$E$31:$E$35),I59,$F134)</f>
        <v>0</v>
      </c>
      <c r="J146" s="53" cm="1">
        <f t="array" ref="J146">MMS_Dairy_ManureAppliedToSoils_Equations.VEERG_4_3_1_8__1_MassOfNitrogenAppliedToSoilsScope1(J47,_xlfn.XLOOKUP($E146,$D$22:$D$26,$E$22:$E$26),_xlfn.XLOOKUP($E146,$D$31:$D$35,$E$31:$E$35),J59,$F134)</f>
        <v>0</v>
      </c>
      <c r="K146" s="2" t="str">
        <f t="shared" si="4"/>
        <v>kg N</v>
      </c>
      <c r="O146" s="53" t="str">
        <f>INDEX(X_Table_Dairy_ProductionSystems_Method1,4,1)</f>
        <v>Feed pad</v>
      </c>
      <c r="P146" s="53" t="s">
        <v>398</v>
      </c>
      <c r="Q146" s="53" cm="1">
        <f t="array" ref="Q146">MMS_Dairy_ManureAppliedToSoils_Equations.VEERG_4_3_1_8__1_MassOfNitrogenAppliedToSoilsScope1(Q47,_xlfn.XLOOKUP($P146,$D$22:$D$26,$E$22:$E$26),_xlfn.XLOOKUP($P146,$D$31:$D$35,$E$31:$E$35),Q59,$F134)</f>
        <v>0</v>
      </c>
      <c r="R146" s="53" cm="1">
        <f t="array" ref="R146">MMS_Dairy_ManureAppliedToSoils_Equations.VEERG_4_3_1_8__1_MassOfNitrogenAppliedToSoilsScope1(R47,_xlfn.XLOOKUP($P146,$D$22:$D$26,$E$22:$E$26),_xlfn.XLOOKUP($P146,$D$31:$D$35,$E$31:$E$35),R59,$F134)</f>
        <v>0</v>
      </c>
      <c r="S146" s="53" cm="1">
        <f t="array" ref="S146">MMS_Dairy_ManureAppliedToSoils_Equations.VEERG_4_3_1_8__1_MassOfNitrogenAppliedToSoilsScope1(S47,_xlfn.XLOOKUP($P146,$D$22:$D$26,$E$22:$E$26),_xlfn.XLOOKUP($P146,$D$31:$D$35,$E$31:$E$35),S59,$F134)</f>
        <v>0</v>
      </c>
      <c r="T146" s="53" cm="1">
        <f t="array" ref="T146">MMS_Dairy_ManureAppliedToSoils_Equations.VEERG_4_3_1_8__1_MassOfNitrogenAppliedToSoilsScope1(T47,_xlfn.XLOOKUP($P146,$D$22:$D$26,$E$22:$E$26),_xlfn.XLOOKUP($P146,$D$31:$D$35,$E$31:$E$35),T59,$F134)</f>
        <v>0</v>
      </c>
      <c r="U146" s="53" cm="1">
        <f t="array" ref="U146">MMS_Dairy_ManureAppliedToSoils_Equations.VEERG_4_3_1_8__1_MassOfNitrogenAppliedToSoilsScope1(U47,_xlfn.XLOOKUP($P146,$D$22:$D$26,$E$22:$E$26),_xlfn.XLOOKUP($P146,$D$31:$D$35,$E$31:$E$35),U59,$F134)</f>
        <v>0</v>
      </c>
      <c r="V146" s="2"/>
    </row>
    <row r="147" spans="4:22" ht="20.100000000000001" customHeight="1" x14ac:dyDescent="0.25"/>
    <row r="148" spans="4:22" ht="20.100000000000001" customHeight="1" x14ac:dyDescent="0.25">
      <c r="D148" s="104" t="s">
        <v>132</v>
      </c>
      <c r="E148" s="105">
        <f>SUM(F139:J146)</f>
        <v>0</v>
      </c>
      <c r="F148" s="106" t="str">
        <f>$E$95</f>
        <v>kg N</v>
      </c>
      <c r="O148" s="104" t="s">
        <v>132</v>
      </c>
      <c r="P148" s="105">
        <f>SUM(Q139:U146)</f>
        <v>0</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topLeftCell="B38" zoomScaleNormal="100" workbookViewId="0">
      <selection activeCell="F63" sqref="F63"/>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346</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72</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114</v>
      </c>
      <c r="O16" s="100" t="s">
        <v>460</v>
      </c>
    </row>
    <row r="17" spans="1:22" ht="20.100000000000001" customHeight="1" x14ac:dyDescent="0.25">
      <c r="A17" s="17" t="str">
        <f>HYPERLINK("#'4.3.1.6-7 Leaching and runoff'!A1", "4.3.1.6-7 Leaching and runoff")</f>
        <v>4.3.1.6-7 Leaching and runoff</v>
      </c>
      <c r="D17" s="99" t="s">
        <v>349</v>
      </c>
      <c r="O17" s="99" t="s">
        <v>459</v>
      </c>
    </row>
    <row r="18" spans="1:22" ht="20.100000000000001" customHeight="1" x14ac:dyDescent="0.25">
      <c r="A18" s="17" t="str">
        <f>HYPERLINK("#'4.3.1.8 Manure applied to soils'!A1", "4.3.1.8 Manure applied to soils")</f>
        <v>4.3.1.8 Manure applied to soils</v>
      </c>
      <c r="D18" s="52" t="s">
        <v>165</v>
      </c>
      <c r="E18" s="52" t="s">
        <v>182</v>
      </c>
      <c r="F18" s="52" t="s">
        <v>183</v>
      </c>
      <c r="G18" s="52" t="s">
        <v>184</v>
      </c>
      <c r="H18" s="52" t="s">
        <v>185</v>
      </c>
      <c r="O18" s="52" t="s">
        <v>165</v>
      </c>
      <c r="P18" s="52" t="s">
        <v>182</v>
      </c>
      <c r="Q18" s="52" t="s">
        <v>183</v>
      </c>
      <c r="R18" s="52" t="s">
        <v>184</v>
      </c>
      <c r="S18" s="52" t="s">
        <v>185</v>
      </c>
    </row>
    <row r="19" spans="1:22" ht="20.100000000000001" customHeight="1" x14ac:dyDescent="0.25">
      <c r="A19" s="21" t="str">
        <f>HYPERLINK("#'4.3.1.9 Soil direct N2O'!A1", "4.3.1.9 Soil direct N2O")</f>
        <v>4.3.1.9 Soil direct N2O</v>
      </c>
      <c r="D19" s="53">
        <f>INDEX(M1_Table_AE_j124,2,1)</f>
        <v>17404.731333822594</v>
      </c>
      <c r="E19" s="53">
        <f>INDEX(M1_Table_AE_j124,2,2)</f>
        <v>0</v>
      </c>
      <c r="F19" s="53">
        <f>INDEX(M1_Table_AE_j_Consumer_1,2,3)</f>
        <v>0</v>
      </c>
      <c r="G19" s="53">
        <f>INDEX(M1_Table_AE_j124,2,4)</f>
        <v>0</v>
      </c>
      <c r="H19" s="53">
        <f>INDEX(M1_Table_AE_j_Consumer_1,2,5)</f>
        <v>0</v>
      </c>
      <c r="I19" s="2" t="str">
        <f>$G$13</f>
        <v>kg N</v>
      </c>
      <c r="O19" s="53">
        <f>INDEX(M2_Table_AE_j124,2,1)</f>
        <v>17404.731333822594</v>
      </c>
      <c r="P19" s="53">
        <f>INDEX(M2_Table_AE_j124,2,2)</f>
        <v>0</v>
      </c>
      <c r="Q19" s="53">
        <f>INDEX(M1_Table_AE_j,2,3)</f>
        <v>0</v>
      </c>
      <c r="R19" s="53">
        <f>INDEX(M2_Table_AE_j124,2,4)</f>
        <v>0</v>
      </c>
      <c r="S19" s="53">
        <f>INDEX(M1_Table_AE_j,2,5)</f>
        <v>0</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347</v>
      </c>
      <c r="O22" s="100" t="s">
        <v>415</v>
      </c>
    </row>
    <row r="23" spans="1:22" ht="20.100000000000001" customHeight="1" x14ac:dyDescent="0.25">
      <c r="D23" s="99" t="s">
        <v>348</v>
      </c>
      <c r="O23" s="99" t="s">
        <v>416</v>
      </c>
    </row>
    <row r="24" spans="1:22" ht="20.100000000000001" customHeight="1" x14ac:dyDescent="0.25">
      <c r="A24" s="154" t="s">
        <v>1</v>
      </c>
      <c r="D24" s="40" t="s">
        <v>140</v>
      </c>
      <c r="E24" s="40" t="s">
        <v>65</v>
      </c>
      <c r="F24" s="40" t="s">
        <v>165</v>
      </c>
      <c r="G24" s="40" t="s">
        <v>182</v>
      </c>
      <c r="H24" s="40" t="s">
        <v>183</v>
      </c>
      <c r="I24" s="40" t="s">
        <v>184</v>
      </c>
      <c r="J24" s="40" t="s">
        <v>185</v>
      </c>
      <c r="O24" s="40" t="s">
        <v>140</v>
      </c>
      <c r="P24" s="40" t="s">
        <v>65</v>
      </c>
      <c r="Q24" s="40" t="s">
        <v>165</v>
      </c>
      <c r="R24" s="40" t="s">
        <v>182</v>
      </c>
      <c r="S24" s="40" t="s">
        <v>183</v>
      </c>
      <c r="T24" s="40" t="s">
        <v>184</v>
      </c>
      <c r="U24" s="40" t="s">
        <v>185</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0.8</v>
      </c>
      <c r="G25" s="53">
        <f>INDEX(X_Table_Dairy_ProductionSystems_Method1,2,3)</f>
        <v>0</v>
      </c>
      <c r="H25" s="53">
        <f>INDEX(X_Table_Dairy_ProductionSystems_Method1,2,4)</f>
        <v>0</v>
      </c>
      <c r="I25" s="53">
        <f>INDEX(X_Table_Dairy_ProductionSystems_Method1,2,5)</f>
        <v>0</v>
      </c>
      <c r="J25" s="53">
        <f>INDEX(X_Table_Dairy_ProductionSystems_Method1,2,6)</f>
        <v>0</v>
      </c>
      <c r="K25" s="2" t="str">
        <f>$G$14</f>
        <v>fraction</v>
      </c>
      <c r="O25" s="53" t="str">
        <f>INDEX(X_Table_Dairy_ProductionSystems_Method1,2,1)</f>
        <v>Pasture</v>
      </c>
      <c r="P25" s="53" t="str">
        <f>'Constants - Common Livestock'!$E$27</f>
        <v>Pasture range and paddock</v>
      </c>
      <c r="Q25" s="53">
        <f>INDEX(X_Table_Dairy_ProductionSystems_Method2,2,2)</f>
        <v>0.8</v>
      </c>
      <c r="R25" s="53">
        <f>INDEX(X_Table_Dairy_ProductionSystems_Method2,2,3)</f>
        <v>0</v>
      </c>
      <c r="S25" s="53">
        <f>INDEX(X_Table_Dairy_ProductionSystems_Method2,2,4)</f>
        <v>0</v>
      </c>
      <c r="T25" s="53">
        <f>INDEX(X_Table_Dairy_ProductionSystems_Method2,2,5)</f>
        <v>0</v>
      </c>
      <c r="U25" s="53">
        <f>INDEX(X_Table_Dairy_ProductionSystems_Method2,2,6)</f>
        <v>0</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350</v>
      </c>
      <c r="O28" s="100" t="s">
        <v>352</v>
      </c>
    </row>
    <row r="29" spans="1:22" ht="20.100000000000001" customHeight="1" x14ac:dyDescent="0.25">
      <c r="A29" s="17" t="str">
        <f>HYPERLINK("#'Tab template'!A1", "Tab template")</f>
        <v>Tab template</v>
      </c>
      <c r="D29" s="99" t="s">
        <v>351</v>
      </c>
      <c r="O29" s="99" t="s">
        <v>353</v>
      </c>
    </row>
    <row r="30" spans="1:22" ht="20.100000000000001" customHeight="1" x14ac:dyDescent="0.25">
      <c r="D30" s="52" t="s">
        <v>140</v>
      </c>
      <c r="E30" s="52" t="s">
        <v>65</v>
      </c>
      <c r="F30" s="52" t="s">
        <v>165</v>
      </c>
      <c r="G30" s="52" t="s">
        <v>182</v>
      </c>
      <c r="H30" s="52" t="s">
        <v>183</v>
      </c>
      <c r="I30" s="52" t="s">
        <v>184</v>
      </c>
      <c r="J30" s="52" t="s">
        <v>185</v>
      </c>
      <c r="O30" s="52" t="s">
        <v>140</v>
      </c>
      <c r="P30" s="52" t="s">
        <v>65</v>
      </c>
      <c r="Q30" s="52" t="s">
        <v>165</v>
      </c>
      <c r="R30" s="52" t="s">
        <v>182</v>
      </c>
      <c r="S30" s="52" t="s">
        <v>183</v>
      </c>
      <c r="T30" s="52" t="s">
        <v>184</v>
      </c>
      <c r="U30" s="52" t="s">
        <v>185</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13923.785067058076</v>
      </c>
      <c r="G31" s="53" cm="1">
        <f t="array" ref="G31">MMS_Dairy_N2ODirect_Equations.VEERG_4_3_1_3__2_TotalNitrogenInEachMMS(E19,G25)</f>
        <v>0</v>
      </c>
      <c r="H31" s="53" cm="1">
        <f t="array" ref="H31">MMS_Dairy_N2ODirect_Equations.VEERG_4_3_1_3__2_TotalNitrogenInEachMMS(F19,H25)</f>
        <v>0</v>
      </c>
      <c r="I31" s="53" cm="1">
        <f t="array" ref="I31">MMS_Dairy_N2ODirect_Equations.VEERG_4_3_1_3__2_TotalNitrogenInEachMMS(G19,I25)</f>
        <v>0</v>
      </c>
      <c r="J31" s="53" cm="1">
        <f t="array" ref="J31">MMS_Dairy_N2ODirect_Equations.VEERG_4_3_1_3__2_TotalNitrogenInEachMMS(H19,J25)</f>
        <v>0</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13923.785067058076</v>
      </c>
      <c r="R31" s="53" cm="1">
        <f t="array" ref="R31">MMS_Dairy_N2ODirect_Equations.VEERG_4_3_1_3__2_TotalNitrogenInEachMMS(P19,R25)</f>
        <v>0</v>
      </c>
      <c r="S31" s="53" cm="1">
        <f t="array" ref="S31">MMS_Dairy_N2ODirect_Equations.VEERG_4_3_1_3__2_TotalNitrogenInEachMMS(Q19,S25)</f>
        <v>0</v>
      </c>
      <c r="T31" s="53" cm="1">
        <f t="array" ref="T31">MMS_Dairy_N2ODirect_Equations.VEERG_4_3_1_3__2_TotalNitrogenInEachMMS(R19,T25)</f>
        <v>0</v>
      </c>
      <c r="U31" s="53" cm="1">
        <f t="array" ref="U31">MMS_Dairy_N2ODirect_Equations.VEERG_4_3_1_3__2_TotalNitrogenInEachMMS(S19,U25)</f>
        <v>0</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103</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2E-3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116</v>
      </c>
      <c r="O48" s="100" t="s">
        <v>356</v>
      </c>
    </row>
    <row r="49" spans="4:22" ht="20.100000000000001" customHeight="1" x14ac:dyDescent="0.25">
      <c r="D49" s="99" t="s">
        <v>355</v>
      </c>
      <c r="O49" s="99" t="s">
        <v>357</v>
      </c>
    </row>
    <row r="50" spans="4:22" ht="20.100000000000001" customHeight="1" x14ac:dyDescent="0.25">
      <c r="D50" s="52" t="s">
        <v>140</v>
      </c>
      <c r="E50" s="52" t="s">
        <v>65</v>
      </c>
      <c r="F50" s="52" t="s">
        <v>165</v>
      </c>
      <c r="G50" s="52" t="s">
        <v>182</v>
      </c>
      <c r="H50" s="52" t="s">
        <v>183</v>
      </c>
      <c r="I50" s="52" t="s">
        <v>184</v>
      </c>
      <c r="J50" s="52" t="s">
        <v>185</v>
      </c>
      <c r="O50" s="52" t="s">
        <v>140</v>
      </c>
      <c r="P50" s="52" t="s">
        <v>65</v>
      </c>
      <c r="Q50" s="52" t="s">
        <v>165</v>
      </c>
      <c r="R50" s="52" t="s">
        <v>182</v>
      </c>
      <c r="S50" s="52" t="s">
        <v>183</v>
      </c>
      <c r="T50" s="52" t="s">
        <v>184</v>
      </c>
      <c r="U50" s="52" t="s">
        <v>185</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4.3760467353611089E-2</v>
      </c>
      <c r="G51" s="53" cm="1">
        <f t="array" ref="G51">MMS_Dairy_Soil_N2ODirect_Equations.VEERG_4_3_1_9__1_DirectNitrousOxideEmissionsOnPasture(G31,$J$44,$J$45)</f>
        <v>0</v>
      </c>
      <c r="H51" s="53" cm="1">
        <f t="array" ref="H51">MMS_Dairy_Soil_N2ODirect_Equations.VEERG_4_3_1_9__1_DirectNitrousOxideEmissionsOnPasture(H31,$J$44,$J$45)</f>
        <v>0</v>
      </c>
      <c r="I51" s="53" cm="1">
        <f t="array" ref="I51">MMS_Dairy_Soil_N2ODirect_Equations.VEERG_4_3_1_9__1_DirectNitrousOxideEmissionsOnPasture(I31,$J$44,$J$45)</f>
        <v>0</v>
      </c>
      <c r="J51" s="53" cm="1">
        <f t="array" ref="J51">MMS_Dairy_Soil_N2ODirect_Equations.VEERG_4_3_1_9__1_DirectNitrousOxideEmissionsOnPasture(J31,$J$44,$J$45)</f>
        <v>0</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4.3760467353611089E-2</v>
      </c>
      <c r="R51" s="53" cm="1">
        <f t="array" ref="R51">MMS_Dairy_Soil_N2ODirect_Equations.VEERG_4_3_1_9__1_DirectNitrousOxideEmissionsOnPasture(R31,$J$44,$J$45)</f>
        <v>0</v>
      </c>
      <c r="S51" s="53" cm="1">
        <f t="array" ref="S51">MMS_Dairy_Soil_N2ODirect_Equations.VEERG_4_3_1_9__1_DirectNitrousOxideEmissionsOnPasture(S31,$J$44,$J$45)</f>
        <v>0</v>
      </c>
      <c r="T51" s="53" cm="1">
        <f t="array" ref="T51">MMS_Dairy_Soil_N2ODirect_Equations.VEERG_4_3_1_9__1_DirectNitrousOxideEmissionsOnPasture(T31,$J$44,$J$45)</f>
        <v>0</v>
      </c>
      <c r="U51" s="53" cm="1">
        <f t="array" ref="U51">MMS_Dairy_Soil_N2ODirect_Equations.VEERG_4_3_1_9__1_DirectNitrousOxideEmissionsOnPasture(U31,$J$44,$J$45)</f>
        <v>0</v>
      </c>
      <c r="V51" s="2" t="str">
        <f>$E$41</f>
        <v>t N2O</v>
      </c>
    </row>
    <row r="52" spans="4:22" ht="20.100000000000001" customHeight="1" x14ac:dyDescent="0.25"/>
    <row r="53" spans="4:22" ht="20.100000000000001" customHeight="1" x14ac:dyDescent="0.25">
      <c r="D53" s="104" t="s">
        <v>115</v>
      </c>
      <c r="E53" s="105">
        <f>SUM(F51:J51)</f>
        <v>4.3760467353611089E-2</v>
      </c>
      <c r="F53" s="106" t="str">
        <f>$E$41</f>
        <v>t N2O</v>
      </c>
      <c r="O53" s="104" t="s">
        <v>115</v>
      </c>
      <c r="P53" s="105">
        <f>SUM(Q51:U51)</f>
        <v>4.3760467353611089E-2</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4.3760467353611089E-2</v>
      </c>
      <c r="O55" s="58" t="str" cm="1">
        <f t="array" ref="O55:P56">Common_Equations.Common_ConvertN2OToCO2e_Arguments()</f>
        <v>EN2O</v>
      </c>
      <c r="P55" s="59" t="str">
        <v>Nitrous oxide emissions (t N2O)</v>
      </c>
      <c r="Q55" s="107"/>
      <c r="R55" s="53">
        <f>VEERG_4_3_1_9__1_DirectNitrousOxideEmissionsOnPasture_Result_Method2</f>
        <v>4.3760467353611089E-2</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102</v>
      </c>
      <c r="E58" s="157" cm="1">
        <f t="array" ref="E58">Common_Equations.Common_ConvertN2OToCO2e(G55,G56)</f>
        <v>11.596523848706939</v>
      </c>
      <c r="F58" s="108" t="str" cm="1">
        <f t="array" ref="F58">Common_Equations.Common_ConvertN2OToCO2e_Unit()</f>
        <v>t CO2e</v>
      </c>
      <c r="O58" s="46" t="s">
        <v>102</v>
      </c>
      <c r="P58" s="46" cm="1">
        <f t="array" ref="P58">Common_Equations.Common_ConvertN2OToCO2e(R55,R56)</f>
        <v>11.596523848706939</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abSelected="1" topLeftCell="A38" zoomScaleNormal="100" workbookViewId="0">
      <selection activeCell="E52" sqref="E5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365</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72</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350</v>
      </c>
      <c r="M16" s="57"/>
      <c r="O16" s="100" t="s">
        <v>352</v>
      </c>
    </row>
    <row r="17" spans="1:23" ht="20.100000000000001" customHeight="1" x14ac:dyDescent="0.25">
      <c r="A17" s="17" t="str">
        <f>HYPERLINK("#'4.3.1.6-7 Leaching and runoff'!A1", "4.3.1.6-7 Leaching and runoff")</f>
        <v>4.3.1.6-7 Leaching and runoff</v>
      </c>
      <c r="D17" s="99" t="s">
        <v>351</v>
      </c>
      <c r="M17" s="57"/>
      <c r="O17" s="99" t="s">
        <v>353</v>
      </c>
    </row>
    <row r="18" spans="1:23" ht="20.100000000000001" customHeight="1" x14ac:dyDescent="0.25">
      <c r="A18" s="17" t="str">
        <f>HYPERLINK("#'4.3.1.8 Manure applied to soils'!A1", "4.3.1.8 Manure applied to soils")</f>
        <v>4.3.1.8 Manure applied to soils</v>
      </c>
      <c r="D18" s="52" t="s">
        <v>140</v>
      </c>
      <c r="E18" s="52" t="s">
        <v>65</v>
      </c>
      <c r="F18" s="52" t="s">
        <v>165</v>
      </c>
      <c r="G18" s="52" t="s">
        <v>182</v>
      </c>
      <c r="H18" s="52" t="s">
        <v>183</v>
      </c>
      <c r="I18" s="52" t="s">
        <v>184</v>
      </c>
      <c r="J18" s="52" t="s">
        <v>185</v>
      </c>
      <c r="M18" s="57"/>
      <c r="O18" s="52" t="s">
        <v>140</v>
      </c>
      <c r="P18" s="52" t="s">
        <v>65</v>
      </c>
      <c r="Q18" s="52" t="s">
        <v>165</v>
      </c>
      <c r="R18" s="52" t="s">
        <v>182</v>
      </c>
      <c r="S18" s="52" t="s">
        <v>183</v>
      </c>
      <c r="T18" s="52" t="s">
        <v>184</v>
      </c>
      <c r="U18" s="52" t="s">
        <v>185</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13923.785067058076</v>
      </c>
      <c r="G19" s="53">
        <f>INDEX(M1_Table_MN_j_m14,2,4)</f>
        <v>0</v>
      </c>
      <c r="H19" s="53">
        <f>INDEX(M1_Table_MN_j_m14,2,5)</f>
        <v>0</v>
      </c>
      <c r="I19" s="53">
        <f>INDEX(M1_Table_MN_j_m14,2,6)</f>
        <v>0</v>
      </c>
      <c r="J19" s="53">
        <f>INDEX(M1_Table_MN_j_m14,2,7)</f>
        <v>0</v>
      </c>
      <c r="K19" s="2" t="str">
        <f>$E$11</f>
        <v>kg N</v>
      </c>
      <c r="M19" s="57"/>
      <c r="O19" s="53" t="str">
        <f>INDEX(X_Table_Dairy_ProductionSystems_Method1,2,1)</f>
        <v>Pasture</v>
      </c>
      <c r="P19" s="53" t="str">
        <f>'Constants - Common Livestock'!$E$27</f>
        <v>Pasture range and paddock</v>
      </c>
      <c r="Q19" s="53">
        <f>INDEX(M2_Table_MN_j_m14,2,3)</f>
        <v>13923.785067058076</v>
      </c>
      <c r="R19" s="53">
        <f>INDEX(M2_Table_MN_j_m14,2,4)</f>
        <v>0</v>
      </c>
      <c r="S19" s="53">
        <f>INDEX(M2_Table_MN_j_m14,2,5)</f>
        <v>0</v>
      </c>
      <c r="T19" s="53">
        <f>INDEX(M2_Table_MN_j_m14,2,6)</f>
        <v>0</v>
      </c>
      <c r="U19" s="53">
        <f>INDEX(M2_Table_MN_j_m14,2,7)</f>
        <v>0</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358</v>
      </c>
      <c r="O21" s="100" t="s">
        <v>360</v>
      </c>
    </row>
    <row r="22" spans="1:23" ht="20.100000000000001" customHeight="1" x14ac:dyDescent="0.25">
      <c r="D22" s="99" t="s">
        <v>359</v>
      </c>
      <c r="O22" s="99" t="s">
        <v>361</v>
      </c>
    </row>
    <row r="23" spans="1:23" ht="20.100000000000001" customHeight="1" x14ac:dyDescent="0.25">
      <c r="D23" s="52" t="s">
        <v>140</v>
      </c>
      <c r="E23" s="52" t="s">
        <v>65</v>
      </c>
      <c r="F23" s="52" t="s">
        <v>165</v>
      </c>
      <c r="G23" s="52" t="s">
        <v>182</v>
      </c>
      <c r="H23" s="52" t="s">
        <v>183</v>
      </c>
      <c r="I23" s="52" t="s">
        <v>184</v>
      </c>
      <c r="J23" s="52" t="s">
        <v>185</v>
      </c>
      <c r="O23" s="52" t="s">
        <v>140</v>
      </c>
      <c r="P23" s="52" t="s">
        <v>65</v>
      </c>
      <c r="Q23" s="52" t="s">
        <v>165</v>
      </c>
      <c r="R23" s="52" t="s">
        <v>182</v>
      </c>
      <c r="S23" s="52" t="s">
        <v>183</v>
      </c>
      <c r="T23" s="52" t="s">
        <v>184</v>
      </c>
      <c r="U23" s="52" t="s">
        <v>185</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2923.9948640821958</v>
      </c>
      <c r="G24" s="53" cm="1">
        <f t="array" ref="G24">MMS_Dairy_Soil_AtmosphericDeposition_Equations.VEERG_4_3_1_10__2_MassOfNitrogenVolatilisedOnPasture(G19,$I$14)</f>
        <v>0</v>
      </c>
      <c r="H24" s="53" cm="1">
        <f t="array" ref="H24">MMS_Dairy_Soil_AtmosphericDeposition_Equations.VEERG_4_3_1_10__2_MassOfNitrogenVolatilisedOnPasture(H19,$I$14)</f>
        <v>0</v>
      </c>
      <c r="I24" s="53" cm="1">
        <f t="array" ref="I24">MMS_Dairy_Soil_AtmosphericDeposition_Equations.VEERG_4_3_1_10__2_MassOfNitrogenVolatilisedOnPasture(I19,$I$14)</f>
        <v>0</v>
      </c>
      <c r="J24" s="53" cm="1">
        <f t="array" ref="J24">MMS_Dairy_Soil_AtmosphericDeposition_Equations.VEERG_4_3_1_10__2_MassOfNitrogenVolatilisedOnPasture(J19,$I$14)</f>
        <v>0</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2923.9948640821958</v>
      </c>
      <c r="R24" s="53" cm="1">
        <f t="array" ref="R24">MMS_Dairy_Soil_AtmosphericDeposition_Equations.VEERG_4_3_1_10__2_MassOfNitrogenVolatilisedOnPasture(R19,$I$14)</f>
        <v>0</v>
      </c>
      <c r="S24" s="53" cm="1">
        <f t="array" ref="S24">MMS_Dairy_Soil_AtmosphericDeposition_Equations.VEERG_4_3_1_10__2_MassOfNitrogenVolatilisedOnPasture(S19,$I$14)</f>
        <v>0</v>
      </c>
      <c r="T24" s="53" cm="1">
        <f t="array" ref="T24">MMS_Dairy_Soil_AtmosphericDeposition_Equations.VEERG_4_3_1_10__2_MassOfNitrogenVolatilisedOnPasture(T19,$I$14)</f>
        <v>0</v>
      </c>
      <c r="U24" s="53" cm="1">
        <f t="array" ref="U24">MMS_Dairy_Soil_AtmosphericDeposition_Equations.VEERG_4_3_1_10__2_MassOfNitrogenVolatilisedOnPasture(U19,$I$14)</f>
        <v>0</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372</v>
      </c>
      <c r="E26" s="46">
        <f>SUM(F24:J24)</f>
        <v>2923.9948640821958</v>
      </c>
      <c r="F26" s="108" t="str">
        <f>$E$11</f>
        <v>kg N</v>
      </c>
      <c r="O26" s="114" t="s">
        <v>372</v>
      </c>
      <c r="P26" s="46">
        <f>SUM(Q24:U24)</f>
        <v>2923.9948640821958</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2923.9948640821958</v>
      </c>
      <c r="O38" s="58" t="str">
        <f>D38</f>
        <v>M_vol_m14</v>
      </c>
      <c r="P38" s="58" t="str">
        <f>E38</f>
        <v>mass of nitrogen volatilised from urine and faeces deposited on pasture</v>
      </c>
      <c r="Q38" s="59"/>
      <c r="R38" s="60"/>
      <c r="S38" s="58">
        <f>$P$26</f>
        <v>2923.9948640821958</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147</v>
      </c>
      <c r="E45" s="105" cm="1">
        <f t="array" ref="E45">MMS_Dairy_Soil_AtmosphericDeposition_Equations.VEERG_4_3_1_10__1_AtmosphericDepositionEmissionsFromUrineAndDungOnPasture($I$38,$I$39,$I$40)</f>
        <v>2.7109609525562069E-2</v>
      </c>
      <c r="F45" s="106" t="str">
        <f>$E$36</f>
        <v>t N2O</v>
      </c>
      <c r="O45" s="104" t="s">
        <v>147</v>
      </c>
      <c r="P45" s="105" cm="1">
        <f t="array" ref="P45">MMS_Dairy_Soil_AtmosphericDeposition_Equations.VEERG_4_3_1_10__1_AtmosphericDepositionEmissionsFromUrineAndDungOnPasture($S$38,$I$39,$I$40)</f>
        <v>2.7109609525562069E-2</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2.7109609525562069E-2</v>
      </c>
      <c r="O47" s="58" t="str" cm="1">
        <f t="array" ref="O47:P48">Common_Equations.Common_ConvertN2OToCO2e_Arguments()</f>
        <v>EN2O</v>
      </c>
      <c r="P47" s="59" t="str">
        <v>Nitrous oxide emissions (t N2O)</v>
      </c>
      <c r="Q47" s="107"/>
      <c r="R47" s="53">
        <f>VEERG_4_3_1_10__1_AtmosphericDepositionEmissionsFromUrineAndDungOnPasture_Result_Method2</f>
        <v>2.7109609525562069E-2</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102</v>
      </c>
      <c r="E50" s="46" cm="1">
        <f t="array" ref="E50">Common_Equations.Common_ConvertN2OToCO2e(G47,G48)</f>
        <v>7.1840465242739482</v>
      </c>
      <c r="F50" s="108" t="str" cm="1">
        <f t="array" ref="F50">Common_Equations.Common_ConvertN2OToCO2e_Unit()</f>
        <v>t CO2e</v>
      </c>
      <c r="O50" s="46" t="s">
        <v>102</v>
      </c>
      <c r="P50" s="46" cm="1">
        <f t="array" ref="P50">Common_Equations.Common_ConvertN2OToCO2e(R47,R48)</f>
        <v>7.1840465242739482</v>
      </c>
      <c r="Q50" s="108" t="str" cm="1">
        <f t="array" ref="Q50">Common_Equations.Common_ConvertN2OToCO2e_Unit()</f>
        <v>t CO2e</v>
      </c>
    </row>
    <row r="51" spans="4:17" ht="20.100000000000001" customHeight="1" x14ac:dyDescent="0.25">
      <c r="E51" s="1">
        <v>1.411695582894934</v>
      </c>
    </row>
    <row r="52" spans="4:17" ht="20.100000000000001" customHeight="1" x14ac:dyDescent="0.25">
      <c r="E52" s="1">
        <f>E50+E51</f>
        <v>8.5957421071688813</v>
      </c>
    </row>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364</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72</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Common_InputFunctions.CommonCropping_GetFracWET(I16,I18,#REF!,#REF!,Table_SourceData_FracWETIrrigation[Irrigation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YES -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350</v>
      </c>
      <c r="M20" s="57"/>
      <c r="O20" s="100" t="s">
        <v>352</v>
      </c>
    </row>
    <row r="21" spans="1:22" ht="20.100000000000001" customHeight="1" x14ac:dyDescent="0.25">
      <c r="A21" s="21" t="str">
        <f>HYPERLINK("#'4.3.1.12-13 Soil leach runoff'!A1", "4.3.1.12-13 Soil leach runoff")</f>
        <v>4.3.1.12-13 Soil leach runoff</v>
      </c>
      <c r="D21" s="99" t="s">
        <v>351</v>
      </c>
      <c r="M21" s="57"/>
      <c r="O21" s="99" t="s">
        <v>353</v>
      </c>
    </row>
    <row r="22" spans="1:22" ht="20.100000000000001" customHeight="1" x14ac:dyDescent="0.25">
      <c r="D22" s="52" t="s">
        <v>140</v>
      </c>
      <c r="E22" s="52" t="s">
        <v>65</v>
      </c>
      <c r="F22" s="52" t="s">
        <v>165</v>
      </c>
      <c r="G22" s="52" t="s">
        <v>182</v>
      </c>
      <c r="H22" s="52" t="s">
        <v>183</v>
      </c>
      <c r="I22" s="52" t="s">
        <v>184</v>
      </c>
      <c r="J22" s="52" t="s">
        <v>185</v>
      </c>
      <c r="M22" s="57"/>
      <c r="O22" s="52" t="s">
        <v>140</v>
      </c>
      <c r="P22" s="52" t="s">
        <v>65</v>
      </c>
      <c r="Q22" s="52" t="s">
        <v>165</v>
      </c>
      <c r="R22" s="52" t="s">
        <v>182</v>
      </c>
      <c r="S22" s="52" t="s">
        <v>183</v>
      </c>
      <c r="T22" s="52" t="s">
        <v>184</v>
      </c>
      <c r="U22" s="52" t="s">
        <v>185</v>
      </c>
    </row>
    <row r="23" spans="1:22" ht="20.100000000000001" customHeight="1" x14ac:dyDescent="0.25">
      <c r="D23" s="53" t="str">
        <f>INDEX(X_Table_Dairy_ProductionSystems_Method1,2,1)</f>
        <v>Pasture</v>
      </c>
      <c r="E23" s="53" t="str">
        <f>'Constants - Common Livestock'!$E$27</f>
        <v>Pasture range and paddock</v>
      </c>
      <c r="F23" s="53">
        <f>INDEX(M1_Table_MN_j_m14,2,3)</f>
        <v>13923.785067058076</v>
      </c>
      <c r="G23" s="53">
        <f>INDEX(M1_Table_MN_j_m14,2,4)</f>
        <v>0</v>
      </c>
      <c r="H23" s="53">
        <f>INDEX(M1_Table_MN_j_m14,2,5)</f>
        <v>0</v>
      </c>
      <c r="I23" s="53">
        <f>INDEX(M1_Table_MN_j_m14,2,6)</f>
        <v>0</v>
      </c>
      <c r="J23" s="53">
        <f>INDEX(M1_Table_MN_j_m14,2,7)</f>
        <v>0</v>
      </c>
      <c r="K23" s="2" t="str">
        <f>$E$11</f>
        <v>kg N</v>
      </c>
      <c r="M23" s="57"/>
      <c r="O23" s="53" t="str">
        <f>INDEX(X_Table_Dairy_ProductionSystems_Method1,2,1)</f>
        <v>Pasture</v>
      </c>
      <c r="P23" s="53" t="str">
        <f>'Constants - Common Livestock'!$E$27</f>
        <v>Pasture range and paddock</v>
      </c>
      <c r="Q23" s="53">
        <f>INDEX(M2_Table_MN_j_m14,2,3)</f>
        <v>13923.785067058076</v>
      </c>
      <c r="R23" s="53">
        <f>INDEX(M2_Table_MN_j_m14,2,4)</f>
        <v>0</v>
      </c>
      <c r="S23" s="53">
        <f>INDEX(M2_Table_MN_j_m14,2,5)</f>
        <v>0</v>
      </c>
      <c r="T23" s="53">
        <f>INDEX(M2_Table_MN_j_m14,2,6)</f>
        <v>0</v>
      </c>
      <c r="U23" s="53">
        <f>INDEX(M2_Table_MN_j_m14,2,7)</f>
        <v>0</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366</v>
      </c>
      <c r="O25" s="100" t="s">
        <v>368</v>
      </c>
    </row>
    <row r="26" spans="1:22" ht="20.100000000000001" customHeight="1" x14ac:dyDescent="0.25">
      <c r="A26" s="17" t="str">
        <f>HYPERLINK("#'Constants - Common'!A1", "Constants - Common")</f>
        <v>Constants - Common</v>
      </c>
      <c r="D26" s="99" t="s">
        <v>367</v>
      </c>
      <c r="O26" s="99" t="s">
        <v>369</v>
      </c>
    </row>
    <row r="27" spans="1:22" ht="20.100000000000001" customHeight="1" x14ac:dyDescent="0.25">
      <c r="A27" s="17" t="str">
        <f>HYPERLINK("#'Constants - Livestock'!A1", "Constants - Livestock")</f>
        <v>Constants - Livestock</v>
      </c>
      <c r="D27" s="52" t="s">
        <v>140</v>
      </c>
      <c r="E27" s="52" t="s">
        <v>65</v>
      </c>
      <c r="F27" s="52" t="s">
        <v>165</v>
      </c>
      <c r="G27" s="52" t="s">
        <v>182</v>
      </c>
      <c r="H27" s="52" t="s">
        <v>183</v>
      </c>
      <c r="I27" s="52" t="s">
        <v>184</v>
      </c>
      <c r="J27" s="52" t="s">
        <v>185</v>
      </c>
      <c r="O27" s="52" t="s">
        <v>140</v>
      </c>
      <c r="P27" s="52" t="s">
        <v>65</v>
      </c>
      <c r="Q27" s="52" t="s">
        <v>165</v>
      </c>
      <c r="R27" s="52" t="s">
        <v>182</v>
      </c>
      <c r="S27" s="52" t="s">
        <v>183</v>
      </c>
      <c r="T27" s="52" t="s">
        <v>184</v>
      </c>
      <c r="U27" s="52" t="s">
        <v>185</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3341.708416093938</v>
      </c>
      <c r="G28" s="53" cm="1">
        <f t="array" ref="G28">MMS_Dairy_Soil_LeachingAndRunoff.VEERG_4_3_1_12__2_MassOfNitrogenLostToLeachingAndRunoffOnPasture(G23,$I$14,$I$15)</f>
        <v>0</v>
      </c>
      <c r="H28" s="53" cm="1">
        <f t="array" ref="H28">MMS_Dairy_Soil_LeachingAndRunoff.VEERG_4_3_1_12__2_MassOfNitrogenLostToLeachingAndRunoffOnPasture(H23,$I$14,$I$15)</f>
        <v>0</v>
      </c>
      <c r="I28" s="53" cm="1">
        <f t="array" ref="I28">MMS_Dairy_Soil_LeachingAndRunoff.VEERG_4_3_1_12__2_MassOfNitrogenLostToLeachingAndRunoffOnPasture(I23,$I$14,$I$15)</f>
        <v>0</v>
      </c>
      <c r="J28" s="53" cm="1">
        <f t="array" ref="J28">MMS_Dairy_Soil_LeachingAndRunoff.VEERG_4_3_1_12__2_MassOfNitrogenLostToLeachingAndRunoffOnPasture(J23,$I$14,$I$15)</f>
        <v>0</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3341.708416093938</v>
      </c>
      <c r="R28" s="53" cm="1">
        <f t="array" ref="R28">MMS_Dairy_Soil_LeachingAndRunoff.VEERG_4_3_1_12__2_MassOfNitrogenLostToLeachingAndRunoffOnPasture(R23,$I$14,$I$15)</f>
        <v>0</v>
      </c>
      <c r="S28" s="53" cm="1">
        <f t="array" ref="S28">MMS_Dairy_Soil_LeachingAndRunoff.VEERG_4_3_1_12__2_MassOfNitrogenLostToLeachingAndRunoffOnPasture(S23,$I$14,$I$15)</f>
        <v>0</v>
      </c>
      <c r="T28" s="53" cm="1">
        <f t="array" ref="T28">MMS_Dairy_Soil_LeachingAndRunoff.VEERG_4_3_1_12__2_MassOfNitrogenLostToLeachingAndRunoffOnPasture(T23,$I$14,$I$15)</f>
        <v>0</v>
      </c>
      <c r="U28" s="53" cm="1">
        <f t="array" ref="U28">MMS_Dairy_Soil_LeachingAndRunoff.VEERG_4_3_1_12__2_MassOfNitrogenLostToLeachingAndRunoffOnPasture(U23,$I$14,$I$15)</f>
        <v>0</v>
      </c>
      <c r="V28" s="2" t="str">
        <f>$E$11</f>
        <v>kg N</v>
      </c>
    </row>
    <row r="29" spans="1:22" ht="20.100000000000001" customHeight="1" x14ac:dyDescent="0.25">
      <c r="A29" s="17" t="str">
        <f>HYPERLINK("#'Tab template'!A1", "Tab template")</f>
        <v>Tab template</v>
      </c>
    </row>
    <row r="30" spans="1:22" ht="20.100000000000001" customHeight="1" x14ac:dyDescent="0.25">
      <c r="D30" s="114" t="s">
        <v>371</v>
      </c>
      <c r="E30" s="46">
        <f>SUM(F28:J28)</f>
        <v>3341.708416093938</v>
      </c>
      <c r="F30" s="108" t="str">
        <f>$E$11</f>
        <v>kg N</v>
      </c>
      <c r="O30" s="114" t="s">
        <v>371</v>
      </c>
      <c r="P30" s="46">
        <f>SUM(Q28:U28)</f>
        <v>3341.708416093938</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3341.708416093938</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3341.708416093938</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370</v>
      </c>
      <c r="E47" s="105" cm="1">
        <f t="array" ref="E47">MMS_Dairy_Soil_LeachingAndRunoff.VEERG_4_3_1_12__1_LeachingAndRunoffEmissionsFromUrineAndDungOnPasture($J$43,$J$44,$J$45)</f>
        <v>5.7763816906766643E-2</v>
      </c>
      <c r="F47" s="106" t="str">
        <f>$E$41</f>
        <v>t N2O</v>
      </c>
      <c r="O47" s="104" t="s">
        <v>370</v>
      </c>
      <c r="P47" s="105" cm="1">
        <f t="array" ref="P47">MMS_Dairy_Soil_LeachingAndRunoff.VEERG_4_3_1_12__1_LeachingAndRunoffEmissionsFromUrineAndDungOnPasture($U$43,$J$44,$J$45)</f>
        <v>5.7763816906766643E-2</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5.7763816906766643E-2</v>
      </c>
      <c r="O49" s="58" t="str" cm="1">
        <f t="array" ref="O49:P50">Common_Equations.Common_ConvertN2OToCO2e_Arguments()</f>
        <v>EN2O</v>
      </c>
      <c r="P49" s="59" t="str">
        <v>Nitrous oxide emissions (t N2O)</v>
      </c>
      <c r="Q49" s="107"/>
      <c r="R49" s="53">
        <f>VEERG_4_3_1_12__1_LeachingAndRunoffEmissionsFromUrineAndDungOnPasture_Result_Method2</f>
        <v>5.7763816906766643E-2</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102</v>
      </c>
      <c r="E52" s="46" cm="1">
        <f t="array" ref="E52">Common_Equations.Common_ConvertN2OToCO2e(G49,G50)</f>
        <v>15.30741148029316</v>
      </c>
      <c r="F52" s="108" t="str" cm="1">
        <f t="array" ref="F52">Common_Equations.Common_ConvertN2OToCO2e_Unit()</f>
        <v>t CO2e</v>
      </c>
      <c r="O52" s="46" t="s">
        <v>102</v>
      </c>
      <c r="P52" s="46" cm="1">
        <f t="array" ref="P52">Common_Equations.Common_ConvertN2OToCO2e(R49,R50)</f>
        <v>15.30741148029316</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2" zoomScaleNormal="100" workbookViewId="0">
      <selection activeCell="A49" sqref="A49"/>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429</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162</v>
      </c>
      <c r="G5" s="6" t="s">
        <v>163</v>
      </c>
      <c r="J5" s="6" t="s">
        <v>141</v>
      </c>
      <c r="L5" s="6" t="s">
        <v>465</v>
      </c>
      <c r="M5" s="1"/>
    </row>
    <row r="6" spans="1:21" ht="20.100000000000001" customHeight="1" x14ac:dyDescent="0.25">
      <c r="L6" s="1" t="s">
        <v>467</v>
      </c>
      <c r="M6" s="1"/>
    </row>
    <row r="7" spans="1:21" ht="20.100000000000001" customHeight="1" x14ac:dyDescent="0.25">
      <c r="D7" s="98" t="s">
        <v>65</v>
      </c>
      <c r="E7" s="38" t="s">
        <v>76</v>
      </c>
      <c r="G7" s="38" t="s">
        <v>140</v>
      </c>
      <c r="J7" s="38" t="s">
        <v>138</v>
      </c>
      <c r="L7" s="38" t="s">
        <v>466</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142</v>
      </c>
      <c r="L8" s="38" t="s">
        <v>165</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143</v>
      </c>
      <c r="L9" s="38" t="s">
        <v>182</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144</v>
      </c>
      <c r="L10" s="38" t="s">
        <v>183</v>
      </c>
      <c r="M10" s="1"/>
    </row>
    <row r="11" spans="1:21" ht="20.100000000000001" customHeight="1" x14ac:dyDescent="0.25">
      <c r="D11" s="38" t="str">
        <f>'Constants - Common Livestock'!$E$15</f>
        <v>Solid storage</v>
      </c>
      <c r="E11" s="38" t="str">
        <f>'Constants - Common Livestock'!$F$15</f>
        <v>Solid storage (m=4)</v>
      </c>
      <c r="J11" s="1" t="s">
        <v>145</v>
      </c>
      <c r="L11" s="38" t="s">
        <v>184</v>
      </c>
      <c r="M11" s="1"/>
    </row>
    <row r="12" spans="1:21" ht="20.100000000000001" customHeight="1" x14ac:dyDescent="0.25">
      <c r="J12" s="1" t="s">
        <v>146</v>
      </c>
      <c r="L12" s="38" t="s">
        <v>185</v>
      </c>
      <c r="M12" s="1"/>
    </row>
    <row r="13" spans="1:21" ht="20.100000000000001" customHeight="1" x14ac:dyDescent="0.25">
      <c r="A13" s="18" t="s">
        <v>72</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164</v>
      </c>
      <c r="E21" s="38" t="s">
        <v>165</v>
      </c>
      <c r="F21" s="38" t="s">
        <v>166</v>
      </c>
      <c r="G21" s="38" t="s">
        <v>167</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164</v>
      </c>
      <c r="E38" s="38" t="s">
        <v>169</v>
      </c>
      <c r="F38" s="38" t="s">
        <v>168</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165</v>
      </c>
      <c r="E46" s="38" t="s">
        <v>166</v>
      </c>
      <c r="F46" s="38" t="s">
        <v>167</v>
      </c>
      <c r="G46" s="38" t="s">
        <v>169</v>
      </c>
      <c r="H46" s="38" t="s">
        <v>168</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165</v>
      </c>
      <c r="E54" s="121" t="s">
        <v>166</v>
      </c>
      <c r="F54" s="121" t="s">
        <v>167</v>
      </c>
      <c r="G54" s="121" t="s">
        <v>169</v>
      </c>
      <c r="H54" s="121" t="s">
        <v>168</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170</v>
      </c>
      <c r="E62" s="38" t="s">
        <v>171</v>
      </c>
      <c r="F62" s="38" t="s">
        <v>172</v>
      </c>
      <c r="G62" s="38" t="s">
        <v>173</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94</v>
      </c>
      <c r="E72" s="38" t="s">
        <v>77</v>
      </c>
      <c r="F72" s="38" t="s">
        <v>78</v>
      </c>
      <c r="G72" s="38" t="s">
        <v>79</v>
      </c>
      <c r="H72" s="38" t="s">
        <v>80</v>
      </c>
      <c r="I72" s="38" t="s">
        <v>81</v>
      </c>
      <c r="J72" s="38" t="s">
        <v>82</v>
      </c>
      <c r="K72" s="38" t="s">
        <v>83</v>
      </c>
      <c r="L72" s="38" t="s">
        <v>84</v>
      </c>
      <c r="M72" s="38" t="s">
        <v>181</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94</v>
      </c>
      <c r="E86" s="38" t="s">
        <v>174</v>
      </c>
      <c r="F86" s="38" t="s">
        <v>175</v>
      </c>
      <c r="G86" s="38" t="s">
        <v>181</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170</v>
      </c>
      <c r="E98" s="38" t="s">
        <v>176</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170</v>
      </c>
      <c r="E107" s="38" t="s">
        <v>177</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178</v>
      </c>
      <c r="E116" s="38" t="s">
        <v>139</v>
      </c>
      <c r="F116" s="38" t="s">
        <v>179</v>
      </c>
      <c r="G116" s="38" t="s">
        <v>180</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94</v>
      </c>
      <c r="E128" s="38" t="s">
        <v>174</v>
      </c>
      <c r="F128" s="38" t="s">
        <v>181</v>
      </c>
      <c r="G128" s="110" t="s">
        <v>196</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170</v>
      </c>
      <c r="E141" s="38" t="s">
        <v>191</v>
      </c>
      <c r="F141" s="38" t="s">
        <v>192</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D9BD9-2D5E-442D-A6F0-C7282DA04AC5}">
  <dimension ref="A1:BY259"/>
  <sheetViews>
    <sheetView showGridLines="0" topLeftCell="A86" zoomScaleNormal="100" workbookViewId="0">
      <selection activeCell="A28" sqref="A28"/>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7"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HYPERLINK("#'Overview'!A1", "Overview")</f>
        <v>Overview</v>
      </c>
      <c r="BM4" s="3"/>
    </row>
    <row r="5" spans="1:65" ht="20.100000000000001" customHeight="1" x14ac:dyDescent="0.25">
      <c r="A5" s="17" t="str">
        <f>HYPERLINK("#'Results'!A1", "Results")</f>
        <v>Results</v>
      </c>
      <c r="D5" s="6" t="str" cm="1">
        <f t="array" ref="D5">Common_SourceData.Common_SourceData_AustralianStatesTerritories_Title()</f>
        <v>Australian states and territories</v>
      </c>
      <c r="BM5" s="3"/>
    </row>
    <row r="6" spans="1:65" ht="20.100000000000001" customHeight="1" x14ac:dyDescent="0.25">
      <c r="A6"/>
      <c r="D6" s="38" t="s">
        <v>20</v>
      </c>
      <c r="E6" s="38" t="s">
        <v>21</v>
      </c>
      <c r="F6" s="38" t="s">
        <v>22</v>
      </c>
    </row>
    <row r="7" spans="1:65" ht="20.100000000000001" customHeight="1" x14ac:dyDescent="0.25">
      <c r="A7"/>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9" t="s">
        <v>0</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Site'!A1", "Site")</f>
        <v>Site</v>
      </c>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s="17" t="str">
        <f>HYPERLINK("#'Input - Dairy'!A1", "Dairy")</f>
        <v>Dairy</v>
      </c>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8" t="s">
        <v>72</v>
      </c>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HYPERLINK("#'4.3.1.1-2 Methane'!A1", "4.3.1.1-2 Methane")</f>
        <v>4.3.1.1-2 Methane</v>
      </c>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HYPERLINK("#'4.3.1.3-4 Direct N20'!A1", "4.3.1.3-4 Direct N20")</f>
        <v>4.3.1.3-4 Direct N20</v>
      </c>
    </row>
    <row r="16" spans="1:65" ht="20.100000000000001" customHeight="1" x14ac:dyDescent="0.25">
      <c r="A16" s="17" t="str">
        <f>HYPERLINK("#'4.3.1.5 Atmos deposition'!A1", "4.3.1.5 Atmos deposition")</f>
        <v>4.3.1.5 Atmos deposition</v>
      </c>
    </row>
    <row r="17" spans="1:4" ht="20.100000000000001" customHeight="1" x14ac:dyDescent="0.25">
      <c r="A17" s="17" t="str">
        <f>HYPERLINK("#'4.3.1.6-7 Leaching and runoff'!A1", "4.3.1.6-7 Leaching and runoff")</f>
        <v>4.3.1.6-7 Leaching and runoff</v>
      </c>
    </row>
    <row r="18" spans="1:4" ht="20.100000000000001" customHeight="1" x14ac:dyDescent="0.25">
      <c r="A18" s="17" t="str">
        <f>HYPERLINK("#'4.3.1.8 Manure applied to soils'!A1", "4.3.1.8 Manure applied to soils")</f>
        <v>4.3.1.8 Manure applied to soils</v>
      </c>
      <c r="D18" s="6" t="str" cm="1">
        <f t="array" ref="D18">Common_SourceData.Common_SourceData_WASA4Areas_Title()</f>
        <v>ABS Statistcal Areas Level 4 - Western Australia</v>
      </c>
    </row>
    <row r="19" spans="1:4" ht="20.100000000000001" customHeight="1" x14ac:dyDescent="0.25">
      <c r="A19" s="17" t="str">
        <f>HYPERLINK("#'4.3.1.9 Soil direct N2O'!A1", "4.3.1.9 Soil direct N2O")</f>
        <v>4.3.1.9 Soil direct N2O</v>
      </c>
      <c r="D19" s="5" t="str" cm="1">
        <f t="array" ref="D19">Common_SourceData.Common_SourceData_WASA4Areas_Source()</f>
        <v>Australian Bureau of Statistics (ABS) - Statistical Areas Level 2 - 2021 - Shapefile</v>
      </c>
    </row>
    <row r="20" spans="1:4" ht="20.100000000000001" customHeight="1" x14ac:dyDescent="0.25">
      <c r="A20" s="17" t="str">
        <f>HYPERLINK("#'4.3.1.10-11 Soil Atmos Dep'!A1", "4.3.1.10-11 Soil Atmos Dep")</f>
        <v>4.3.1.10-11 Soil Atmos Dep</v>
      </c>
      <c r="D20" s="38" t="s">
        <v>23</v>
      </c>
    </row>
    <row r="21" spans="1:4" ht="20.100000000000001" customHeight="1" x14ac:dyDescent="0.25">
      <c r="A21" s="17" t="str">
        <f>HYPERLINK("#'4.3.1.12-13 Soil leach runoff'!A1", "4.3.1.12-13 Soil leach runoff")</f>
        <v>4.3.1.12-13 Soil leach runoff</v>
      </c>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s="154" t="s">
        <v>1</v>
      </c>
      <c r="D24" s="38" t="str" cm="1">
        <f t="array" ref="D24">Common_InputFunctions.Utility_DisplayArrayInTable(Common_SourceData.Common_SourceData_WASA4Areas_Data(), Table_WASA4Areas[[#Headers],[SA 4 Name]], 0)</f>
        <v>Perth - North East</v>
      </c>
    </row>
    <row r="25" spans="1:4" ht="20.100000000000001" customHeight="1" x14ac:dyDescent="0.25">
      <c r="A25" s="17" t="str">
        <f>HYPERLINK("#'Constants - Dairy'!A1", "Constants - Dairy")</f>
        <v>Constants - Dairy</v>
      </c>
      <c r="D25" s="38" t="str" cm="1">
        <f t="array" ref="D25">Common_InputFunctions.Utility_DisplayArrayInTable(Common_SourceData.Common_SourceData_WASA4Areas_Data(), Table_WASA4Areas[[#Headers],[SA 4 Name]], 0)</f>
        <v>Perth - North West</v>
      </c>
    </row>
    <row r="26" spans="1:4" ht="20.100000000000001" customHeight="1" x14ac:dyDescent="0.25">
      <c r="A26" s="68" t="str">
        <f>HYPERLINK("#'Constants - Common'!A1", "Constants - Common")</f>
        <v>Constants - Common</v>
      </c>
      <c r="D26" s="38" t="str" cm="1">
        <f t="array" ref="D26">Common_InputFunctions.Utility_DisplayArrayInTable(Common_SourceData.Common_SourceData_WASA4Areas_Data(), Table_WASA4Areas[[#Headers],[SA 4 Name]], 0)</f>
        <v>Perth - South East</v>
      </c>
    </row>
    <row r="27" spans="1:4" ht="20.100000000000001" customHeight="1" x14ac:dyDescent="0.25">
      <c r="A27" s="17" t="str">
        <f>HYPERLINK("#'Constants - Livestock'!A1", "Constants - Livestock")</f>
        <v>Constants - Livestock</v>
      </c>
      <c r="D27" s="38" t="str" cm="1">
        <f t="array" ref="D27">Common_InputFunctions.Utility_DisplayArrayInTable(Common_SourceData.Common_SourceData_WASA4Areas_Data(), Table_WASA4Areas[[#Headers],[SA 4 Name]], 0)</f>
        <v>Perth - South West</v>
      </c>
    </row>
    <row r="28" spans="1:4" ht="20.100000000000001" customHeight="1" x14ac:dyDescent="0.25">
      <c r="A28" s="17" t="str">
        <f>HYPERLINK("#'Acknowledgements'!A1", "Acknowledgements")</f>
        <v>Acknowledgements</v>
      </c>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s="17" t="str">
        <f>HYPERLINK("#'Tab template'!A1", "Tab template")</f>
        <v>Tab template</v>
      </c>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46</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34</v>
      </c>
      <c r="F89" s="38" t="s">
        <v>35</v>
      </c>
      <c r="G89" s="38" t="s">
        <v>36</v>
      </c>
      <c r="H89" s="38" t="s">
        <v>37</v>
      </c>
      <c r="I89" s="38" t="s">
        <v>38</v>
      </c>
      <c r="J89" s="38" t="s">
        <v>39</v>
      </c>
      <c r="K89" s="38" t="s">
        <v>40</v>
      </c>
      <c r="L89" s="38" t="s">
        <v>41</v>
      </c>
      <c r="M89" s="38" t="s">
        <v>42</v>
      </c>
      <c r="N89" s="38" t="s">
        <v>43</v>
      </c>
      <c r="O89" s="38" t="s">
        <v>47</v>
      </c>
      <c r="P89" s="38" t="s">
        <v>44</v>
      </c>
      <c r="Q89" s="38" t="s">
        <v>48</v>
      </c>
      <c r="R89" s="38" t="s">
        <v>45</v>
      </c>
      <c r="S89" s="38" t="s">
        <v>49</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53</v>
      </c>
      <c r="E109" s="38" t="s">
        <v>34</v>
      </c>
      <c r="F109" s="38" t="s">
        <v>54</v>
      </c>
      <c r="G109" s="38" t="s">
        <v>55</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56</v>
      </c>
      <c r="E119" s="38" t="s">
        <v>57</v>
      </c>
      <c r="F119" s="38" t="s">
        <v>41</v>
      </c>
      <c r="G119" s="38" t="s">
        <v>42</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63</v>
      </c>
      <c r="E127" s="38" t="s">
        <v>64</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319</v>
      </c>
      <c r="E142" s="38" t="s">
        <v>89</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66</v>
      </c>
      <c r="E153" s="38" t="s">
        <v>67</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135</v>
      </c>
      <c r="E186" s="38" t="s">
        <v>136</v>
      </c>
      <c r="F186" s="38" t="s">
        <v>137</v>
      </c>
      <c r="G186" s="38" t="s">
        <v>138</v>
      </c>
      <c r="H186" s="38" t="s">
        <v>33</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354</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383</v>
      </c>
      <c r="E212" s="38" t="s">
        <v>384</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50</v>
      </c>
      <c r="E231" s="38" t="s">
        <v>392</v>
      </c>
      <c r="F231" s="37" t="s">
        <v>393</v>
      </c>
      <c r="G231" s="38" t="s">
        <v>394</v>
      </c>
      <c r="H231" s="38" t="s">
        <v>395</v>
      </c>
      <c r="I231" s="38" t="s">
        <v>396</v>
      </c>
      <c r="J231" s="38" t="s">
        <v>397</v>
      </c>
      <c r="K231" s="38" t="s">
        <v>398</v>
      </c>
      <c r="L231" s="38" t="s">
        <v>399</v>
      </c>
      <c r="M231" s="38" t="s">
        <v>400</v>
      </c>
      <c r="N231" s="38" t="s">
        <v>401</v>
      </c>
      <c r="O231" s="38" t="s">
        <v>402</v>
      </c>
      <c r="P231" s="38" t="s">
        <v>403</v>
      </c>
      <c r="Q231" s="38" t="s">
        <v>404</v>
      </c>
      <c r="R231" s="38" t="s">
        <v>405</v>
      </c>
      <c r="S231" s="38" t="s">
        <v>406</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5" x14ac:dyDescent="0.25">
      <c r="D257" s="38" t="s">
        <v>461</v>
      </c>
      <c r="E257" s="38" t="s">
        <v>462</v>
      </c>
    </row>
    <row r="258" spans="4:5"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75</v>
      </c>
      <c r="E9" s="38" t="s">
        <v>19</v>
      </c>
      <c r="F9" s="38" t="s">
        <v>76</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72</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9"/>
  <sheetViews>
    <sheetView zoomScaleNormal="100" workbookViewId="0">
      <selection activeCell="A29" sqref="A29"/>
    </sheetView>
  </sheetViews>
  <sheetFormatPr defaultRowHeight="15" x14ac:dyDescent="0.25"/>
  <sheetData>
    <row r="1" spans="1:1" ht="25.5" x14ac:dyDescent="0.35">
      <c r="A1" s="67" t="e" vm="1">
        <v>#VALUE!</v>
      </c>
    </row>
    <row r="3" spans="1:1" ht="15.75" x14ac:dyDescent="0.25">
      <c r="A3" s="17" t="str">
        <f>HYPERLINK("#'Home'!A1", "Home")</f>
        <v>Home</v>
      </c>
    </row>
    <row r="4" spans="1:1" ht="15.75" x14ac:dyDescent="0.25">
      <c r="A4" s="17" t="str">
        <f>HYPERLINK("#'Overview'!A1", "Overview")</f>
        <v>Overview</v>
      </c>
    </row>
    <row r="5" spans="1:1" ht="15.75" x14ac:dyDescent="0.25">
      <c r="A5" s="17" t="str">
        <f>HYPERLINK("#'Results'!A1", "Results")</f>
        <v>Results</v>
      </c>
    </row>
    <row r="8" spans="1:1" x14ac:dyDescent="0.25">
      <c r="A8" s="19" t="s">
        <v>0</v>
      </c>
    </row>
    <row r="9" spans="1:1" ht="15.75" x14ac:dyDescent="0.25">
      <c r="A9" s="17" t="str">
        <f>HYPERLINK("#'Input - Site'!A1", "Site")</f>
        <v>Site</v>
      </c>
    </row>
    <row r="10" spans="1:1" ht="15.75" x14ac:dyDescent="0.25">
      <c r="A10" s="17" t="str">
        <f>HYPERLINK("#'Input - Dairy'!A1", "Dairy")</f>
        <v>Dairy</v>
      </c>
    </row>
    <row r="13" spans="1:1" x14ac:dyDescent="0.25">
      <c r="A13" s="18" t="s">
        <v>72</v>
      </c>
    </row>
    <row r="14" spans="1:1" ht="15.75" x14ac:dyDescent="0.25">
      <c r="A14" s="17" t="str">
        <f>HYPERLINK("#'4.3.1.1-2 Methane'!A1", "4.3.1.1-2 Methane")</f>
        <v>4.3.1.1-2 Methane</v>
      </c>
    </row>
    <row r="15" spans="1:1" ht="15.75" x14ac:dyDescent="0.25">
      <c r="A15" s="17" t="str">
        <f>HYPERLINK("#'4.3.1.3-4 Direct N20'!A1", "4.3.1.3-4 Direct N20")</f>
        <v>4.3.1.3-4 Direct N20</v>
      </c>
    </row>
    <row r="16" spans="1:1" ht="15.75" x14ac:dyDescent="0.25">
      <c r="A16" s="17" t="str">
        <f>HYPERLINK("#'4.3.1.5 Atmos deposition'!A1", "4.3.1.5 Atmos deposition")</f>
        <v>4.3.1.5 Atmos deposition</v>
      </c>
    </row>
    <row r="17" spans="1:1" ht="15.75" x14ac:dyDescent="0.25">
      <c r="A17" s="17" t="str">
        <f>HYPERLINK("#'4.3.1.6-7 Leaching and runoff'!A1", "4.3.1.6-7 Leaching and runoff")</f>
        <v>4.3.1.6-7 Leaching and runoff</v>
      </c>
    </row>
    <row r="18" spans="1:1" ht="15.75" x14ac:dyDescent="0.25">
      <c r="A18" s="17" t="str">
        <f>HYPERLINK("#'4.3.1.8 Manure applied to soils'!A1", "4.3.1.8 Manure applied to soils")</f>
        <v>4.3.1.8 Manure applied to soils</v>
      </c>
    </row>
    <row r="19" spans="1:1" ht="15.75" x14ac:dyDescent="0.25">
      <c r="A19" s="17" t="str">
        <f>HYPERLINK("#'4.3.1.9 Soil direct N2O'!A1", "4.3.1.9 Soil direct N2O")</f>
        <v>4.3.1.9 Soil direct N2O</v>
      </c>
    </row>
    <row r="20" spans="1:1" ht="15.75" x14ac:dyDescent="0.25">
      <c r="A20" s="17" t="str">
        <f>HYPERLINK("#'4.3.1.10-11 Soil Atmos Dep'!A1", "4.3.1.10-11 Soil Atmos Dep")</f>
        <v>4.3.1.10-11 Soil Atmos Dep</v>
      </c>
    </row>
    <row r="21" spans="1:1" ht="15.75" x14ac:dyDescent="0.25">
      <c r="A21" s="17" t="str">
        <f>HYPERLINK("#'4.3.1.12-13 Soil leach runoff'!A1", "4.3.1.12-13 Soil leach runoff")</f>
        <v>4.3.1.12-13 Soil leach runoff</v>
      </c>
    </row>
    <row r="24" spans="1:1" x14ac:dyDescent="0.25">
      <c r="A24" s="154" t="s">
        <v>1</v>
      </c>
    </row>
    <row r="25" spans="1:1" ht="15.75" x14ac:dyDescent="0.25">
      <c r="A25" s="17" t="str">
        <f>HYPERLINK("#'Constants - Dairy'!A1", "Constants - Dairy")</f>
        <v>Constants - Dairy</v>
      </c>
    </row>
    <row r="26" spans="1:1" ht="15.75" x14ac:dyDescent="0.25">
      <c r="A26" s="17" t="str">
        <f>HYPERLINK("#'Constants - Common'!A1", "Constants - Common")</f>
        <v>Constants - Common</v>
      </c>
    </row>
    <row r="27" spans="1:1" ht="15.75" x14ac:dyDescent="0.25">
      <c r="A27" s="17" t="str">
        <f>HYPERLINK("#'Constants - Livestock'!A1", "Constants - Livestock")</f>
        <v>Constants - Livestock</v>
      </c>
    </row>
    <row r="28" spans="1:1" ht="15.75" x14ac:dyDescent="0.25">
      <c r="A28" s="68" t="str">
        <f>HYPERLINK("#'Acknowledgements'!A1", "Acknowledgements")</f>
        <v>Acknowledgements</v>
      </c>
    </row>
    <row r="29" spans="1:1" ht="15.75" x14ac:dyDescent="0.25">
      <c r="A29" s="17" t="str">
        <f>HYPERLINK("#'Tab template'!A1", "Tab template")</f>
        <v>Tab template</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72</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AmACAAXAAiACAAXAAiACAAJ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DAALgAwADMAMgAgACoAIABNAFAAXwBqACAAKgAgADEALgAwADMAKQAgAC8AIAA2AC4AMwA4ACkAIAArACAAKAAoADAALgAyADEAMgAgAC0AIAAwAC4AMAAwADgAIAAqACAAKABMAF8AagAgAC0AIAAyACkAIAAtACAAKAAoADAALgAxADQAMAAgAC0AIAAwAC4AMAAwADgAIAAqACAAKABMAF8AagAgAC0AIAAyACkAKQAgAC8AIAAoADEAIAArACAARQBYAFAAKAAtADYAIAAqACAAKABaAF8AagAgAC0AIAAwAC4ANAApACkAKQApACkAIAAqACAAKABMAFcARwBfAGoAIAAqACAAMAAuADkAMgApACkAIAAqACAAKAAxACAALwAgADYALgAyADUAKQBcAG4AIAAgACkAOwBcAG4AXABuAFYARQBFAFIARwBfADQAXwAzAF8AMQBfADMAXwBfADYAXwBOAGkAdAByAG8AZwBlAG4AUgBlAHQAYQBpAG4AZQBkAEIAeQBCAG8AZAB5AF8AVABpAHQAbABlAFwAbgAgACAAPQBMAEEATQBCAEQAQQAoAFwAIgBBAG0AbwB1AG4AdAAgAG8AZgAgAG4AaQB0AHIAbwBnAGUAbgAgAHIAZQB0AGEAaQBuAGUAZAAgAGIAeQAgAHQAaABlACAAYgBvAGQAeQBcACIAKQA7AFwAbgBcAG4AVgBFAEUAUgBHAF8ANABfADMAXwAxAF8AMwBfAF8ANgBfAE4AaQB0AHIAbwBnAGUAbgBSAGUAdABhAGkAbgBlAGQAQgB5AEIAbwBkAHkAXwBWAGEAcgBpAGEAYgBsAGUAXABuACAAIAA9AEwAQQBNAEIARABBACgAXAAiAE4AUgBfAGoAXAAiACkAOwBcAG4AXABuAFYARQBFAFIARwBfADQAXwAzAF8AMQBfADMAXwBfADYAXwBOAGkAdAByAG8AZwBlAG4AUgBlAHQAYQBpAG4AZQBkAEIAeQBCAG8AZAB5AF8AVQBuAGkAdABcAG4AIAAgAD0ATABBAE0AQgBEAEEAKABcACIAawBnACAATgAvAGgAZQBhAGQALwBkAGEAeQBcACIAKQA7AFwAbgBcAG4AVgBFAEUAUgBHAF8ANABfADMAXwAxAF8AMwBfAF8ANgBfAE4AaQB0AHIAbwBnAGUAbgBSAGUAdABhAGkAbgBlAGQAQgB5AEIAbwBkAHkAXwBTAG8AdQByAGMAZQBcAG4AIAAgAD0ATABBAE0AQgBEAEEAKABcACIAVgBFAEUAUgBHACAAMgAwADIANgA6ACAANAAuADMALgAxAC4AMwAsACAARQBxAHUAYQB0AGkAbwBuACAAKAA2ACkAXAAiACkAOwBcAG4AXABuAFYARQBFAFIARwBfADQAXwAzAF8AMQBfADMAXwBfADYAXwBOAGkAdAByAG8AZwBlAG4AUgBlAHQAYQBpAG4AZQBkAEIAeQBCAG8AZAB5AF8ATgBJAFIAUgBlAGYAZQByAGUAbgBjAGUAXABuACAAIAA9AEwAQQBNAEIARABBACgAXAAiAFwAIgApADsAXABuAFwAbgBWAEUARQBSAEcAXwA0AF8AMwBfADEAXwAzAF8AXwA2AF8ATgBpAHQAcgBvAGcAZQBuAFIAZQB0AGEAaQBuAGUAZABCAHkAQgBvAGQAeQBfAEwAYQB0AGUAeABFAHEAdQBhAHQAaQBvAG4AXABuACAAIAA9AEwAQQBNAEIARABBACgAXAAiAE4AUgBfAGoAPQBcAFwAbABlAGYAdAAoAFwAXABmAHIAYQBjAHsAMAAuADAAMwAyACAAXABcAHQAaQBtAGUAcwAgAE0AUABfAGoAIABcAFwAdABpAG0AZQBzACAAMQAuADAAMwB9AHsANgAuADMAOAB9AFwAXAByAGkAZwBoAHQAKQAgACsAIABcAFwAbABlAGYAdABcAFwAewBcAFwAbABlAGYAdAAoADAALgAyADEAMgAtADAALgAwADAAOAAgAFwAXAB0AGkAbQBlAHMAIAAoAEwAXwBqACAALQAgADIAKQAgAC0AIABcAFwAbABlAGYAdABbAFwAXABmAHIAYQBjAHsAMAAuADEANAAwAC0AMAAuADAAMAA4AFwAXAB0AGkAbQBlAHMAKABMAF8AagAtADIAKQB9AHsAMQArAGUAXgB7AC0ANgBcAFwAdABpAG0AZQBzACgAWgBfAGoALQAwAC4ANAApAH0AfQBcAFwAcgBpAGcAaAB0AF0AXABcAHIAaQBnAGgAdAApACAAXABcAHQAaQBtAGUAcwAgACgATABXAEcAXwBqACAAXABcAHQAaQBtAGUAcwAgADAALgA5ADIAKQBcAFwAcgBpAGcAaAB0AFwAXAB9ACAAXABcAHQAaQBtAGUAcwAgAFwAXABmAHIAYQBjAHsAMQB9AHsANgAuADIANQB9AFwAIgApADsAXABuAFwAbgBWAEUARQBSAEcAXwA0AF8AMwBfADEAXwAzAF8AXwA2AF8ATgBpAHQAcgBvAGcAZQBuAFIAZQB0AGEAaQBuAGUAZABCAHkAQgBvAGQAeQBfAEEAcgBnAHUAbQBlAG4AdABzAFwAbgAgACAAPQBMAEEATQBCAEQAQQAoAFwAbgAgACAAIAAgAE0AQQBLAEUAQQBSAFIAQQBZACgANg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AAXwBqAFwAIgAsACAAXAAiAG0AaQBsAGsAIABwAHIAbwBkAHUAYwB0AGkAbwBuACAAKABpAGYAIABpAG4AcAB1AHQAIABhAHMAIABsAGkAdAByAGUAcwAgAG8AZgAgAG0AaQBsAGsAKQBcACIALAAgAFwAIgBMAC8AaABlAGEAZAAvAGQAYQB5AFwAIgAsACAAXAAiAEkAbgBwAHUAdABcACIAOwBcAG4AIAAgACAAIAAgACAAIAAgACAAIABcACIATQBQAF8AagBcACIALAAgAFwAIgBtAGkAbABrACAAcAByAG8AZAB1AGMAdABpAG8AbgAgACgAaQBmACAAaQBuAHAAdQB0ACAAYQBzACAAbQBpAGwAawAgAHMAbwBsAGkAZABzACkAXAAiACwAIABcACIATAAvAGgAZQBhAGQALwBkAGEAeQBcACIALAAgAFwAIgBDAGEAbABjAHUAbABhAHQAZQBkACAAZgByAG8AbQAgADMALgAzAC4AMQAuADEAIAAoADUAKQBcACIAOwBcAG4AIAAgACAAIAAgACAAIAAgACAAIABcACIATABfAGoAXAAiACwAIABcACIAaQBuAHQAYQBrAGUAIAByAGUAbABhAHQAaQB2AGUAIAB0AG8AIABtAGEAaQBuAHQAZQBuAGEAbgBjAGUAXAAiACwAIABcACIAXAAiACwAIABcACIAQwBhAGwAYwB1AGwAYQB0AGUAZAAgAGYAcgBvAG0AIAA0AC4AMwAuADEALgAzACAAKAA3ACkAXAAiADsAXABuACAAIAAgACAAIAAgACAAIAAgACAAXAAiAFoAXwBqAFwAIgAsACAAXAAiAHIAZQBsAGEAdABpAHYAZQAgAHMAaQB6AGUAXAAiACwAIABcACIAXAAiACwAIABcACIAQwBhAGwAYwB1AGwAYQB0AGUAZAAgAGYAcgBvAG0AIAA0AC4AMwAuADEALgAzACAAKAA4ACkAXAAiADsAXABuACAAIAAgACAAIAAgACAAIAAgACAAXAAiAEwAVwBHAF8AagBcACIALAAgAFwAIgBsAGkAdgBlAHcAZQBpAGcAaAB0ACAAZwBhAGkAbgBcACIALAAgAFwAIgBrAGcALwBoAGUAYQBkAC8AZABhAHkAXAAiACwAIABcACIASQBuAHAAdQB0AFwAIgBcAG4AIAAgACAAIAAgACAAIAAgAH0ALAAgAHIALAAgAGMAKQBcAG4AIAAgACAAIAAgACAAKQBcAG4AIAAgACAAIAApAFwAbgAgACAAKQA7AFwAbgBcAG4AVgBFAEUAUgBHAF8ANABfADMAXwAxAF8AMwBfAF8ANgBfAE4AaQB0AHIAbwBnAGUAbgBSAGUAdABhAGkAbgBlAGQAQgB5AEIAbwBkAHkAXwBWAGEAcgBpAGEAdABpAG8AbgBcAG4AIAAgAD0ATABBAE0AQgBEAEEAKABcACIAVgBBAFIASQBBAFQASQBPAE4AIABPAE4AIABTAE8AVQBSAEMARQA6ACAAQQBkAGQAZQBkACAAYwBoAGUAYwBrACAAZgBvAHIAIABtAGkAbABrACAAcAByAG8AZAB1AGMAdABpAG8AbgAgAGkAbgBwAHUAdAAgAHUAbgBpAHQAIABhAG4AZAAgAGMAaABvAG8AcwBlACAAYwBvAHIAcgBlAHMAcABvAG4AZABpAG4AZwAgAE0AUABfAGoAIAB2AGEAbAB1AGUAIABhAGMAYwBvAHIAZABpAG4AZwBsAHkALgBcACIAKQA7AFwAbgBcAG4ALwAqAFwAbgAtAC0ALQAtAC0ALQAtAC0ALQAtAC0ALQAtAC0ALQAtAC0ALQAtAC0ALQAtAC0ALQAtAC0ALQAtAC0ALQAtAC0ALQAtAC0ALQAtAC0AXABuAFYARQBFAFIARwBfADQAXwAzAF8AMQBfADMAXwBfADcAXwBJAG4AdABhAGsAZQBSAGUAbABhAHQAaQB2AGUAVABvAE0AYQBpAG4AdABlAG4AYQBuAGMAZQBcAG4ASQBuAHQAYQBrAGUAIAByAGUAbABhAHQAaQB2AGUAIAB0AG8AIABtAGEAaQBuAHQAZQBuAGEAbgBjAGUAXABuAEwAXwBqAFwAbgByAGEAdABpAG8AXABuAEwAXwBqAD0ASQBfAGoALwAoACgAMQAuADEAOAA1ACsAMAAuADAAMAA0ADUANABcAFwAdABpAG0AZQBzACAAVwBfAGoALQAwAC4AMAAwADAAMAAwADIANgBcAFwAdABpAG0AZQBzACAAVwBfAGoAXgAyACkAXgAyAFwAXAB0AGkAbQBlAHMAIABNAFIAXwBqACsATQBJAF8AagApAFwAbgBJAF8AagAgAD0AIABkAHIAeQAgAG0AYQB0AHQAZQByACAAaQBuAHQAYQBrAGUAIAAoAGsAZwBEAE0ALwBoAGUAYQBkAC8AZABhAHkAKQBcAG4AVwBfAGoAIAA9ACAAbABpAHYAZQB3AGUAaQBnAGgAdAAgACgAawBnACkAXABuAE0AUgBfAGoAIAA9ACAAaQBuAGMAcgBlAGEAcwBlACAAaQBuACAAbQBlAHQAYQBiAG8AbABpAGMAIAByAGEAdABlACAAdwBoAGUAbgAgAHAAcgBvAGQAdQBjAGkAbgBnACAAbQBpAGwAawBcAG4ATQBJAF8AagAgAD0AIABhAGQAZABpAHQAaQBvAG4AYQBsACAAaQBuAHQAYQBrAGUAIAByAGUAcQB1AGkAcgBlAGQAIABmAG8AcgAgAG0AaQBsAGsAIABwAHIAbwBkAHUAYwB0AGkAbwBuACAAKABrAGcARABNAC8AaABlAGEAZAAvAGQAYQB5ACkAXABuAC0ALQAtAC0ALQAtAC0ALQAtAC0ALQAtAC0ALQAtAC0ALQAtAC0ALQAtAC0ALQAtAC0ALQAtAC0ALQAtAC0ALQAtAC0ALQAtAC0ALQBcAG4AKgAvAFwAbgBcAG4AVgBFAEUAUgBHAF8ANABfADMAXwAxAF8AMwBfAF8ANwBfAEkAbgB0AGEAawBlAFIAZQBsAGEAdABpAHYAZQBUAG8ATQBhAGkAbgB0AGUAbgBhAG4AYwBlAFwAbgAgACAAPQBMAEEATQBCAEQAQQAoAFwAbgAgACAAIAAgAEkAXwBqACwAIABXAF8AagAsACAATQBSAF8AagAsACAATQBJAF8AagAsAFwAbgAgACAAIAAgAEkAXwBqACAALwAgACgAKAAoADEALgAxADgANQAgACsAIAAwAC4AMAAwADQANQA0ACAAKgAgAFcAXwBqACAALQAgADAALgAwADAAMAAwADAAMgA2ACAAKgAgAFcAXwBqACAAXgAgADIAKQAgAF4AIAAyACAAKgAgAE0AUgBfAGoAKQAgACsAIABNAEkAXwBqACkAXABuACAAIAApADsAXABuAFwAbgBWAEUARQBSAEcAXwA0AF8AMwBfADEAXwAzAF8AXwA3AF8ASQBuAHQAYQBrAGUAUgBlAGwAYQB0AGkAdgBlAFQAbwBNAGEAaQBuAHQAZQBuAGEAbgBjAGUAXwBUAGkAdABsAGUAXABuACAAIAA9AEwAQQBNAEIARABBACgAXAAiAEkAbgB0AGEAawBlACAAcgBlAGwAYQB0AGkAdgBlACAAdABvACAAbQBhAGkAbgB0AGUAbgBhAG4AYwBlAFwAIgApADsAXABuAFwAbgBWAEUARQBSAEcAXwA0AF8AMwBfADEAXwAzAF8AXwA3AF8ASQBuAHQAYQBrAGUAUgBlAGwAYQB0AGkAdgBlAFQAbwBNAGEAaQBuAHQAZQBuAGEAbgBjAGUAXwBWAGEAcgBpAGEAYgBsAGUAXABuACAAIAA9AEwAQQBNAEIARABBACgAXAAiAEwAXwBqAFwAIgApADsAXABuAFwAbgBWAEUARQBSAEcAXwA0AF8AMwBfADEAXwAzAF8AXwA3AF8ASQBuAHQAYQBrAGUAUgBlAGwAYQB0AGkAdgBlAFQAbwBNAGEAaQBuAHQAZQBuAGEAbgBjAGUAXwBVAG4AaQB0AFwAbgAgACAAPQBMAEEATQBCAEQAQQAoAFwAIgByAGEAdABpAG8AXAAiACkAOwBcAG4AXABuAFYARQBFAFIARwBfADQAXwAzAF8AMQBfADMAXwBfADcAXwBJAG4AdABhAGsAZQBSAGUAbABhAHQAaQB2AGUAVABvAE0AYQBpAG4AdABlAG4AYQBuAGMAZQBfAFMAbwB1AHIAYwBlAFwAbgAgACAAPQBMAEEATQBCAEQAQQAoAFwAIgBWAEUARQBSAEcAIAAyADAAMgA2ADoAIAA0AC4AMwAuADEALgAzACwAIABFAHEAdQBhAHQAaQBvAG4AIAAoADcAKQBcACIAKQA7AFwAbgBcAG4AVgBFAEUAUgBHAF8ANABfADMAXwAxAF8AMwBfAF8ANwBfAEkAbgB0AGEAawBlAFIAZQBsAGEAdABpAHYAZQBUAG8ATQBhAGkAbgB0AGUAbgBhAG4AYwBlAF8ATgBJAFIAUgBlAGYAZQByAGUAbgBjAGUAXABuACAAIAA9AEwAQQBNAEIARABBACgAXAAiAFwAIgApADsAXABuAFwAbgBWAEUARQBSAEcAXwA0AF8AMwBfADEAXwAzAF8AXwA3AF8ASQBuAHQAYQBrAGUAUgBlAGwAYQB0AGkAdgBlAFQAbwBNAGEAaQBuAHQAZQBuAGEAbgBjAGUAXwBMAGEAdABlAHgARQBxAHUAYQB0AGkAbwBuAFwAbgAgACAAPQBMAEEATQBCAEQAQQAoAFwAIgBMAF8AagA9AFwAXABmAHIAYQBjAHsASQBfAGoAfQB7ACgAMQAuADEAOAA1ACsAMAAuADAAMAA0ADUANABcAFwAdABpAG0AZQBzACAAVwBfAGoALQAwAC4AMAAwADAAMAAwADIANgBcAFwAdABpAG0AZQBzACAAVwBfAGoAXgAyACkAXgAyAFwAXAB0AGkAbQBlAHMAIABNAFIAXwBqACsATQBJAF8AagB9AFwAIgApADsAXABuAFwAbgBWAEUARQBSAEcAXwA0AF8AMwBfADEAXwAzAF8AXwA3AF8ASQBuAHQAYQBrAGUAUgBlAGwAYQB0AGkAdgBlAFQAbwBNAGEAaQBuAHQAZQBuAGEAbgBjAGUAXwBBAHIAZwB1AG0AZQBuAHQAcwBcAG4AIAAgAD0ATABBAE0AQgBEAEEAKABcAG4AIAAgACAAIABNAEEASwBFAEEAUgBSAEEAWQAoADQ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FcAXwBqAFwAIgAsACAAXAAiAGwAaQB2AGUAdwBlAGkAZwBoAHQAXAAiACwAIABcACIAawBnAC8AaABlAGEAZABcACIALAAgAFwAIgBJAG4AcAB1AHQAXAAiADsAXABuACAAIAAgACAAIAAgACAAIAAgACAAXAAiAE0AUgBfAGoAXAAiACwAIABcACIAaQBuAGMAcgBlAGEAcwBlACAAaQBuACAAbQBlAHQAYQBiAG8AbABpAGMAIAByAGEAdABlACAAdwBoAGUAbgAgAHAAcgBvAGQAdQBjAGkAbgBnACAAbQBpAGwAawBcACIALAAgAFwAIgBcACIALAAgAFwAIgBDAG8AbgBzAHQAYQBuAHQAXAAiADsAXABuACAAIAAgACAAIAAgACAAIAAgACAAXAAiAE0ASQBfAGoAXAAiACwAIABcACIAYQBkAGQAaQB0AGkAbwBuAGEAbAAgAGkAbgB0AGEAawBlACAAcgBlAHEAdQBpAHIAZQBkACAAZgBvAHIAIABtAGkAbABrACAAcAByAG8AZAB1AGMAdABpAG8AbgBcACIALAAgAFwAIgBrAGc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gAXwBSAGUAbABhAHQAaQB2AGUAUwBpAHoAZQBcAG4AUgBlAGwAYQB0AGkAdgBlACAAcwBpAHoAZQBcAG4AWgBfAGoAXABuAHIAYQB0AGkAbwBcAG4AWgBfAGoAPQBXAF8AagAvAFcAUgBfAGoAXABuAFcAXwBqACAAPQAgAGwAaQB2AGUAdwBlAGkAZwBoAHQAIAAoAGsAZwApAFwAbgBXAFIAXwBqACAAPQAgAHIAZQBmAGUAcgBlAG4AYwBlACAAdwBlAGkAZwBoAHQAIAAoAGsAZwApAFwAbgAtAC0ALQAtAC0ALQAtAC0ALQAtAC0ALQAtAC0ALQAtAC0ALQAtAC0ALQAtAC0ALQAtAC0ALQAtAC0ALQAtAC0ALQAtAC0ALQAtAC0AXABuACoALwBcAG4AXABuAFYARQBFAFIARwBfADQAXwAzAF8AMQBfADMAXwBfADgAXwBSAGUAbABhAHQAaQB2AGUAUwBpAHoAZQBcAG4AIAAgAD0ATABBAE0AQgBEAEEAKABcAG4AIAAgACAAIABXAF8AagAsACAAVwBSAF8AagAsAFwAbgAgACAAIAAgAFcAXwBqACAALwAgAFcAUgBfAGoAXABuACAAIAApADsAXABuAFwAbgBWAEUARQBSAEcAXwA0AF8AMwBfADEAXwAzAF8AXwA4AF8AUgBlAGwAYQB0AGkAdgBlAFMAaQB6AGUAXwBUAGkAdABsAGUAXABuACAAIAA9AEwAQQBNAEIARABBACgAXAAiAFIAZQBsAGEAdABpAHYAZQAgAHMAaQB6AGUAXAAiACkAOwBcAG4AXABuAFYARQBFAFIARwBfADQAXwAzAF8AMQBfADMAXwBfADgAXwBSAGUAbABhAHQAaQB2AGUAUwBpAHoAZQBfAFYAYQByAGkAYQBiAGwAZQBcAG4AIAAgAD0ATABBAE0AQgBEAEEAKABcACIAWgBfAGoAXAAiACkAOwBcAG4AXABuAFYARQBFAFIARwBfADQAXwAzAF8AMQBfADMAXwBfADgAXwBSAGUAbABhAHQAaQB2AGUAUwBpAHoAZQBfAFUAbgBpAHQAXABuACAAIAA9AEwAQQBNAEIARABBACgAXAAiAHIAYQB0AGkAbwBcACIAKQA7AFwAbgBcAG4AVgBFAEUAUgBHAF8ANABfADMAXwAxAF8AMwBfAF8AOABfAFIAZQBsAGEAdABpAHYAZQBTAGkAegBlAF8AUwBvAHUAcgBjAGUAXABuACAAIAA9AEwAQQBNAEIARABBACgAXAAiAFYARQBFAFIARwAgADIAMAAyADYAOgAgADQALgAzAC4AMQAuADMALAAgAEUAcQB1AGEAdABpAG8AbgAgACgAOAApAFwAIgApADsAXABuAFwAbgBWAEUARQBSAEcAXwA0AF8AMwBfADEAXwAzAF8AXwA4AF8AUgBlAGwAYQB0AGkAdgBlAFMAaQB6AGUAXwBOAEkAUgBSAGUAZgBlAHIAZQBuAGMAZQBcAG4AIAAgAD0ATABBAE0AQgBEAEEAKABcACIAXAAiACkAOwBcAG4AXABuAFYARQBFAFIARwBfADQAXwAzAF8AMQBfADMAXwBfADgAXwBSAGUAbABhAHQAaQB2AGUAUwBpAHoAZQBfAEwAYQB0AGUAeABFAHEAdQBhAHQAaQBvAG4AXABuACAAIAA9AEwAQQBNAEIARABBACgAXAAiAFoAXwBqAD0AXABcAGYAcgBhAGMAewBXAF8AagB9AHsAVwBSAF8AagB9AFwAIgApADsAXABuAFwAbgBWAEUARQBSAEcAXwA0AF8AMwBfADEAXwAzAF8AXwA4AF8AUgBlAGwAYQB0AGkAdgBlAFMAaQB6AGUAXwBBAHIAZwB1AG0AZQBuAHQAcwBcAG4AIAAgAD0ATABBAE0AQgBEAEEAKABcAG4AIAAgACAAIABNAEEASwBFAEEAUgBSAEEAWQAoADIALAAgADQALABcAG4AIAAgACAAIAAgACAATABBAE0AQgBEAEEAKAByACwAYwAsAFwAbgAgACAAIAAgACAAIAAgACAASQBOAEQARQBYACgAewBcAG4AIAAgACAAIAAgACAAIAAgACAAIABcACIAVwBfAGoAXAAiACwAIABcACIAbABpAHYAZQB3AGUAaQBnAGgAdABcACIALAAgAFwAIgBrAGcALwBoAGUAYQBkAFwAIgAsACAAXAAiAEkAbgBwAHUAdABcACIAOwBcAG4AIAAgACAAIAAgACAAIAAgACAAIABcACIAVwBSAF8AagBcACIALAAgAFwAIgByAGUAZgBlAHIAZQBuAGMAZQAgAHcAZQBpAGcAaAB0AFwAIgAsACAAXAAiAGsAZwAvAGgAZQBhAGQAXAAiACwAIABcACIAQwBvAG4AcwB0AGEAbgB0AFwAIgBcAG4AIAAgACAAIAAgACAAIAAgAH0ALAAgAHIALAAgAGMAKQBcAG4AIAAgACAAIAAgACAAKQBcAG4AIAAgACAAIAApAFwAbgAgACAAKQA7AFwAbgAiAH0ALAB7ACIAcABhAHQAaAAiADoAIgAvAHAAcgBvAGoAZQBjAHQAcwAvAEUAbgB0AGUAcgBpAGMATQBlAHQAaABhAG4AZQBfAEQAYQBpAHIAeQBfAEUAcQB1AGEAdABpAG8AbgBzACIALAAiAHQAZQB4AHQAIgA6ACIALwAqAFwAbgA9AD0APQA9AD0APQA9AD0APQA9AD0APQA9AD0APQA9AD0APQA9AD0APQA9AD0APQA9AD0APQA9AD0APQA9AD0APQA9AD0APQA9AD0APQA9AD0APQA9AD0APQA9AD0APQA9AD0APQA9AD0APQA9AD0APQA9AD0APQA9AD0APQA9AD0APQA9AD0APQA9AD0APQA9AD0APQA9AFwAbgAzAC4AMwA6ACAARQBuAHQAZQByAGkAYwAgAE0AZQB0AGgAYQBuAGUAIAAtACAARABhAGkAcgB5ACAAQwBhAHQAdABsAGUAXABuAD0APQA9AD0APQA9AD0APQA9AD0APQA9AD0APQA9AD0APQA9AD0APQA9AD0APQA9AD0APQA9AD0APQA9AD0APQA9AD0APQA9AD0APQA9AD0APQA9AD0APQA9AD0APQA9AD0APQA9AD0APQA9AD0APQA9AD0APQA9AD0APQA9AD0APQA9AD0APQA9AD0APQA9AD0APQA9AD0AXABuADMALgAzAC4AMQAuADEAIABNAGUAdABoAG8AZAAgADEAIAAtACAARQBuAHQAZQByAGkAYwAgAEQAYQBpAHIAeQAgAEMAYQB0AHQAbA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M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kAGEAaQByAHkAIABjAGEAdAB0AGwAZQBcAG4ARQBfAGUAbgB0AGUAcgBpAGMAXABuAHQAIABDAEgANABcAG4ARQBfAHsAZQBuAHQAZQByAGkAYwB9AD0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bgBOAF8AagAxADIANAAgAD0AIABuAHUAbQBiAGUAcgAgAG8AZgAgAGQAYQBpAHIAeQAgAGMAYQB0AHQAbABlACAAaQBuACAAYwBsAGEAcwBzAGUAcwAgAGoAPQAxACwAMgAsADQAIAAoAGgAZQBhAGQAKQBcAG4ATQBfAGoAMQAyADQAIAA9ACAAZABhAGkAbAB5ACAAZQBuAHQAZQByAGkAYwAgAG0AZQB0AGgAYQBuAGUAIABwAHIAbwBkAHUAYwB0AGkAbwBuACAAZgBvAHIAIABjAGwAYQBzAHMAZQBzACAAagA9ADEALAAyACwANAAgACgAawBnACAAQwBIADQALwBoAGUAYQBkAC8AZABhAHkAKQBcAG4ARABfAGoAMQAyADQAIAA9ACAAZAB1AHIAYQB0AGkAbwBuACAAbwBmACAAcwB0AGEAeQAgAG8AbgAgAHQAaABlACAAZgBhAHIAbQAgAGYAbwByACAAYwBsAGEAcwBzAGUAcwAgAGoAPQAxACwAMgAsADQAIAAoAGQAYQB5AHMAKQBcAG4ATgBfAGoAMwA1ACAAPQAgAG4AdQBtAGIAZQByACAAbwBmACAAZABhAGkAcgB5ACAAYwBhAHQAdABsAGUAIABpAG4AIABjAGwAYQBzAHMAZQBzACAAagA9ADMALAA1ACAAKABoAGUAYQBkACkAXABuAE0AXwBqADMANQAgAD0AIABkAGEAaQBsAHkAIABlAG4AdABlAHIAaQBjACAAbQBlAHQAaABhAG4AZQAgAHAAcgBvAGQAdQBjAHQAaQBvAG4AIABmAG8AcgAgAGMAbABhAHMAcwBlAHMAIABqAD0AMwAsADUAIAAoAGsAZwAgAEMASAA0AC8AaABlAGEAZAAvAGQAYQB5ACkAXABuAEQAXwBqADMANQAgAD0AIABkAHUAcgBhAHQAaQBvAG4AIABvAGYAIABzAHQAYQB5ACAAbwBuACAAdABoAGUAIABmAGEAcgBtACAAZgBvAHIAIABjAGwAYQBzAHMAZQBzACAAagA9ADMALAA1ACAAKABkAGEAeQBzACkAXABuAE0AUABXAF8ARQBOAFQARQBSAEkAQwBfAGoAMwA1ACAAPQAgAGQAYQBpAGwAeQAgAG0AZQB0AGgAYQBuAGUAIABwAHIAbwBkAHUAYwB0AGkAbwBuACAAZgBvAHIAIABwAHIAZQAtAHcAZQBhAG4AZQBkACAAaABlAGkAZgBlAHIAIABhAG4AZAAgAGIAdQBsAGwAIABjAGEAbAB2AGUAcwAgACgAawBnACAAQwBIADQALwBoAGUAYQBkAC8AZABhAHkAKQBcAG4ALQAtAC0ALQAtAC0ALQAtAC0ALQAtAC0ALQAtAC0ALQAtAC0ALQAtAC0ALQAtAC0ALQAtAC0ALQAtAC0ALQAtAC0ALQAtAC0ALQAtAFwAbgAqAC8AXABuAFwAbgBWAEUARQBSAEcAXwAzAF8AMwBfADEAXwAxAF8AXwAxAF8AVABvAHQAYQBsAEEAbgBuAHUAYQBsAE0AZQB0AGgAYQBuAGUARgByAG8AbQBFAG4AdABlAHIAaQBjAEYAZQByAG0AZQBuAHQAYQB0AGkAbwBuAFwAbgAgACAAPQBMAEEATQBCAEQAQQAoAFwAbgAgACAAIAAgAE4AXwBqADEAMgA0ACwAIABNAF8AagAxADIANAAsACAARABfAGoAMQAyADQALAAgAE4AXwBqADMANQAsACAATQBfAGoAMwA1ACwAIABE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XwBqADMANQApACkAIAAqACAAMQAwACAAXgAgAC0AMwBcAG4AIAAgACkAOwBcAG4AXABuAFYARQBFAFIARwBfADMAXwAzAF8AMQBfADEAXwBfADEAXwBUAG8AdABhAGwAQQBuAG4AdQBhAGwATQBlAHQAaABhAG4AZQBGAHIAbwBtAEUAbgB0AGUAcgBpAGMARgBlAHIAbQBlAG4AdABhAHQAaQBvAG4AVgBhAHIAaQBhAHQAaQBvAG4AXABuACAAIAA9AEwAQQBNAEIARABBACgAXABuACAAIAAgACAATgBfAGoAMQAyADQALAAgAE0AXwBqADEAMgA0ACwAIABEAF8AagAxADIANAAsACAATgBfAGoAMwA1ACwAIABNAF8AagAzADUALAAgAEQAXwBqADMANQAsACAARABQAFc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QAFcAXwBqADMANQApACkAIAAqACAAMQAwACAAXgAgAC0AMwBcAG4AIAAgACkAOwBcAG4AXABuAFYARQBFAFIARwBfADMAXwAz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ABhAGkAcgB5ACAAYwBhAHQAdABsAGUAXAAiACkAOwBcAG4AXABuAFYARQBFAFIARwBfADMAXwAzAF8AMQBfADEAXwBfADEAXwBUAG8AdABhAGwAQQBuAG4AdQBhAGwATQBlAHQAaABhAG4AZQBGAHIAbwBtAEUAbgB0AGUAcgBpAGMARgBlAHIAbQBlAG4AdABhAHQAaQBvAG4AXwBWAGEAcgBpAGEAYgBsAGUAXABuACAAIAA9AEwAQQBNAEIARABBACgAXAAiAEUAXwBlAG4AdABlAHIAaQBjAFwAIgApADsAXABuAFwAbgBWAEUARQBSAEcAXwAzAF8AMwBfADEAXwAxAF8AXwAxAF8AVABvAHQAYQBsAEEAbgBuAHUAYQBsAE0AZQB0AGgAYQBuAGUARgByAG8AbQBFAG4AdABlAHIAaQBjAEYAZQByAG0AZQBuAHQAYQB0AGkAbwBuAF8AVQBuAGkAdABcAG4AIAAgAD0ATABBAE0AQgBEAEEAKABcACIAdAAgAEMASAA0AFwAIgApADsAXABuAFwAbgBWAEUARQBSAEcAXwAzAF8AMwBfADEAXwAxAF8AXwAxAF8AVABvAHQAYQBsAEEAbgBuAHUAYQBsAE0AZQB0AGgAYQBuAGUARgByAG8AbQBFAG4AdABlAHIAaQBjAEYAZQByAG0AZQBuAHQAYQB0AGkAbwBuAF8AUwBvAHUAcgBjAGUAXABuACAAIAA9AEwAQQBNAEIARABBACgAXAAiAFYARQBFAFIARwAgADIAMAAyADYAOgAgADMALgAzAC4AMQAuADEALAAgAEUAcQB1AGEAdABpAG8AbgAgACgAMQApAFwAIgApADsAXABuAFwAbgBWAEUARQBSAEcAXwAzAF8AMwBfADEAXwAxAF8AXwAxAF8AVABvAHQAYQBsAEEAbgBuAHUAYQBsAE0AZQB0AGgAYQBuAGUARgByAG8AbQBFAG4AdABlAHIAaQBjAEYAZQByAG0AZQBuAHQAYQB0AGkAbwBuAF8ATgBJAFIAUgBlAGYAZQByAGUAbgBjAGUAXABuACAAIAA9AEwAQQBNAEIARABBACgAXAAiAFwAIgApADsAXABuAFwAbgBWAEUARQBSAEcAXwAzAF8AMwBfADEAXwAxAF8AXwAxAF8AVABvAHQAYQBsAEEAbgBuAHUAYQBsAE0AZQB0AGgAYQBuAGUARgByAG8AbQBFAG4AdABlAHIAaQBjAEYAZQByAG0AZQBuAHQAYQB0AGkAbwBuAF8ATABhAHQAZQB4AEUAcQB1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CIAKQA7AFwAbgBcAG4AVgBFAEUAUgBHAF8AMwBfADMAXwAxAF8AMQBfAF8AMQBfAFQAbwB0AGEAbABBAG4AbgB1AGEAbABNAGUAdABoAGEAbgBlAEYAcgBvAG0ARQBuAHQAZQByAGkAYwBGAGUAcgBtAGUAbgB0AGEAdABpAG8AbgBfAEwAYQB0AGUAeABFAHEAdQBhAHQAaQBvAG4AVgBhAHIAa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AAVwBfAHsAagA9ADMALAA1AH0AKQApAFwAXAB0AGkAbQBlAHMAIAAxADAAXgB7AC0AMwB9AFwAIgApADsAXABuAFwAbgBWAEUARQBSAEcAXwAzAF8AMwBfADEAXwAxAF8AXwAxAF8AVABvAHQAYQBsAEEAbgBuAHUAYQBsAE0AZQB0AGgAYQBuAGUARgByAG8AbQBFAG4AdABlAHIAaQBjAEYAZQByAG0AZQBuAHQAYQB0AGkAbwBuAF8AQQByAGcAdQBtAGUAbgB0AHMAXABuACAAIAA9AEwAQQBNAEIARABBACgAXABuACAAIAAgACAATQBBAEsARQBBAFIAUgBBAFkAKAA4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QBfAGoAMQAyADQAXAAiACwAIABcACIAZABhAGkAbAB5ACAAZQBuAHQAZQByAGkAYwAgAG0AZQB0AGgAYQBuAGUAIABwAHIAbwBkAHUAYwB0AGkAbwBuACAAZgBvAHIAIABjAGwAYQBzAHMAZQBzACAAagA9ADEALAAyACwANABcACIALAAgAFwAIgBrAGcAIABDAEgANAAvAGgAZQBhAGQALwBkAGEAeQBcACIALAAgAFwAIgBDAGEAbABjAHUAbABhAHQAZQBkACAAZgByAG8AbQAgADMALgAzAC4AMQAuADEAIAAoADIAKQBcACIAOwBcAG4AIAAgACAAIAAgACAAIAAgACAAIABcACIARABfAGoAMQAyADQAXAAiACwAIABcACIAZAB1AHIAYQB0AGkAbwBuACAAbwBmACAAcwB0AGEAeQAgAG8AbgAgAHQAaABl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FwAIgAsACAAXAAiAGQAYQBpAGwAeQAgAGUAbgB0AGUAcgBpAGMAIABtAGUAdABoAGEAbgBlACAAcAByAG8AZAB1AGMAdABpAG8AbgAgAGYAbwByACAAdwBlAGEAbgBlAGQAIABjAGwAYQBzAHMAZQBzACAAagA9ADMALAA1AFwAIgAsACAAXAAiAGsAZwAgAEMASAA0AC8AaABlAGEAZAAvAGQAYQB5AFwAIgAsACAAXAAiAEMAYQBsAGMAdQBsAGEAdABlAGQAIABmAHIAbwBtACAAMwAuADMALgAxAC4AMQAgACgAMgApAFwAIgA7AFwAbgAgACAAIAAgACAAIAAgACAAIAAgAFwAIgBEAF8AagAzADUAXAAiACwAIABcACIAZAB1AHIAYQB0AGkAbwBuACAAbwBmACAAcwB0AGEAeQAgAG8AbgAgAHQAaABlACAAZgBhAHIAbQAgAGYAbwByACAAdwBlAGEAbgBlAGQAIABjAGwAYQBzAHMAZQBzACAAagA9ADMALAA1AFwAIgAsACAAXAAiAGQAYQB5AHMAXAAiACwAIABcACIASQBuAHAAdQB0AFwAIgA7AFwAbgAgACAAIAAgACAAIAAgACAAIAAgAFwAIgBEAFAAVwBfAGoAMwA1AFwAIgAsACAAXAAiAGQAdQByAGEAdABpAG8AbgAgAG8AZgAgAHMAdABhAHkAIABvAG4AIAB0AGgAZQAgAGYAYQByAG0AIABmAG8AcgAgAHAAcgBlAC0AdwBlAGEAbgBlAGQAIABoAGUAaQBmAGUAcgAgAGEAbgBkACAAYgB1AGwAbAAgAGMAYQBsAHYAZQBzAFwAIgAsACAAXAAiAGQAYQB5AHMAXAAiACwAIABcACIASQBuAHAAdQB0AFwAIgA7AFwAbgAgACAAIAAgACAAIAAgACAAIAAgAFwAIgBNAFAAVwBfAEUATgBUAEUAUgBJAEMAXwBqADMANQBcACIALAAgAFwAIgBkAGEAaQBsAHkAIABtAGUAdABoAGEAbgBlACAAcAByAG8AZAB1AGMAdABpAG8AbgAgAGYAbwByACAAcAByAGUALQB3AGUAYQBuAGUAZAAgAGgAZQBpAGYAZQByACAAYQBuAGQAIABiAHUAbABsACAAYwBhAGwAdgBlAHMAXAAiACwAIABcACIAawBnACAAQwBIADQALwBoAGUAYQBkAC8AZABhAHkAXAAiACwAIABcACIAQwBvAG4AcwB0AGEAbgB0AFwAIgBcAG4AXABuACAAIAAgACAAIAAgACAAIAB9ACwAIAByACwAIABjACkAXABuACAAIAAgACAAIAAgACkAXABuACAAIAAgACAAKQBcAG4AIAAgACkAOwBcAG4AXABuAFYARQBFAFIARwBfADMAXwAzAF8AMQBfADEAXwBfADEAXwBUAG8AdABhAGwAQQBuAG4AdQBhAGwATQBlAHQAaABhAG4AZQBGAHIAbwBtAEUAbgB0AGUAcgBpAGMARgBlAHIAbQBlAG4AdABhAHQAaQBvAG4AXwBWAGEAcgBpAGEAdABpAG8AbgBcAG4AIAAgAD0ATABBAE0AQgBEAEEAKABcACIAVgBBAFIASQBBAFQASQBPAE4AIABPAE4AIABTAE8AVQBSAEMARQA6ACAAQQBkAGQAZQBkACAAJwBEAFAAVwAnACAAdgBhAHIAaQBhAGIAbABlACAAdABvACAAYQBsAGwAbwB3ACAAZgBvAHIAIABhACAAcwBlAHAAYQByAGEAdABlACAAaABhAG4AZABsAGkAbgBnACAAbwBmACAAcAByAGUALQB3AGUAYQBuAGUAZAAgAGQAdQByAGEAdABpAG8AbgAuAFwAIgApADsAXABuAFwAbgAvACoAXABuAC0ALQAtAC0ALQAtAC0ALQAtAC0ALQAtAC0ALQAtAC0ALQAtAC0ALQAtAC0ALQAtAC0ALQAtAC0ALQAtAC0ALQAtAC0ALQAtAC0ALQBcAG4AVgBFAEUAUgBHAF8AMwBfADMAXwAxAF8AMQBfAF8AMgBfAEQAYQBpAGwAeQBFAG4AdABlAHIAaQBjAE0AZQB0AGgAYQBuAGUAUAByAG8AZAB1AGMAdABpAG8AbgBcAG4ARABhAGkAbAB5ACAAcAByAG8AZAB1AGMAdABpAG8AbgAgAG8AZgAgAGUAbgB0AGUAcgBpAGMAIABtAGUAdABoAGEAbgBlAFwAbgBNAF8AagBcAG4AawBnACAAQwBIADQALwBoAGUAYQBkAC8AZABhAHkAXABuAE0AXwBqAD0AMgAwAC4ANwBcAFwAdABpAG0AZQBzACAASQBfAGoAXABcAHQAaQBtAGUAcwAgADEAMABeAHsALQAzAH0AXABuAEkAXwBqACAAPQAgAGQAcgB5ACAAbQBhAHQAdABlAHIAIABmAGUAZQBkACAAaQBuAHQAYQBrAGUAIAAoAGsAZwAgAEQATQAvAGgAZQBhAGQALwBkAGEAeQApAFwAbgAtAC0ALQAtAC0ALQAtAC0ALQAtAC0ALQAtAC0ALQAtAC0ALQAtAC0ALQAtAC0ALQAtAC0ALQAtAC0ALQAtAC0ALQAtAC0ALQAtAC0AXABuACoALwBcAG4AXABuAFYARQBFAFIARwBfADMAXwAzAF8AMQBfADEAXwBfADIAXwBEAGEAaQBsAHkARQBuAHQAZQByAGkAYwBNAGUAdABoAGEAbgBlAFAAcgBvAGQAdQBjAHQAaQBvAG4AXABuACAAIAA9AEwAQQBNAEIARABBACgAXABuACAAIAAgACAASQBfAGoALABcAG4AIAAgACAAIAAyADAALgA3ACAAKgAgAEkAXwBqACAAKgAgADEAMAAgAF4AIAAtADMAXABuACAAIAApADsAXABuAFwAbgBWAEUARQBSAEcAXwAzAF8AMw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zAF8AMQBfADEAXwBfADIAXwBEAGEAaQBsAHkARQBuAHQAZQByAGkAYwBNAGUAdABoAGEAbgBlAFAAcgBvAGQAdQBjAHQAaQBvAG4AXwBWAGEAcgBpAGEAYgBsAGUAXABuACAAIAA9AEwAQQBNAEIARABBACgAXAAiAE0AXwBqAFwAIgApADsAXABuAFwAbgBWAEUARQBSAEcAXwAzAF8AMwBfADEAXwAxAF8AXwAyAF8ARABhAGkAbAB5AEUAbgB0AGUAcgBpAGMATQBlAHQAaABhAG4AZQBQAHIAbwBkAHUAYwB0AGkAbwBuAF8AVQBuAGkAdABcAG4AIAAgAD0ATABBAE0AQgBEAEEAKABcACIAawBnACAAQwBIADQALwBoAGUAYQBkAC8AZABhAHkAXAAiACkAOwBcAG4AXABuAFYARQBFAFIARwBfADMAXwAzAF8AMQBfADEAXwBfADIAXwBEAGEAaQBsAHkARQBuAHQAZQByAGkAYwBNAGUAdABoAGEAbgBlAFAAcgBvAGQAdQBjAHQAaQBvAG4AXwBTAG8AdQByAGMAZQBcAG4AIAAgAD0ATABBAE0AQgBEAEEAKABcACIAVgBFAEUAUgBHACAAMgAwADIANgA6ACAAMwAuADMALgAxAC4AMQAsACAARQBxAHUAYQB0AGkAbwBuACAAKAAyACkAXAAiACkAOwBcAG4AXABuAFYARQBFAFIARwBfADMAXwAzAF8AMQBfADEAXwBfADIAXwBEAGEAaQBsAHkARQBuAHQAZQByAGkAYwBNAGUAdABoAGEAbgBlAFAAcgBvAGQAdQBjAHQAaQBvAG4AXwBOAEkAUgBSAGUAZgBlAHIAZQBuAGMAZQBcAG4AIAAgAD0ATABBAE0AQgBEAEEAKABcACIAQwBoAGEAcgBtAGwAZQB5ACAAZQB0ACAAYQBsAC4AIAAoADIAMAAxADUAKQBcACIAKQA7AFwAbgBcAG4AVgBFAEUAUgBHAF8AMwBfADMAXwAxAF8AMQBfAF8AMgBfAEQAYQBpAGwAeQBFAG4AdABlAHIAaQBjAE0AZQB0AGgAYQBuAGUAUAByAG8AZAB1AGMAdABpAG8AbgBfAEwAYQB0AGUAeABFAHEAdQBhAHQAaQBvAG4AXABuACAAIAA9AEwAQQBNAEIARABBACgAXAAiAE0AXwBqAD0AMgAwAC4ANwBcAFwAdABpAG0AZQBzACAASQBfAGoAXABcAHQAaQBtAGUAcwAgADEAMABeAHsALQAzAH0AXAAiACkAOwBcAG4AXABuAFYARQBFAFIARwBfADMAXwAz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XAAiACwAIABcACIAZAByAHkAIABtAGEAdAB0AGUAcgAgAGYAZQBlAGQAIABpAG4AdABhAGsAZQBcACIALAAgAFwAIgBrAGcAIABEAE0ALwBoAGUAYQBkAC8AZABhAHkAXAAiACwAIABcACIAQwBhAGwAYwB1AGwAYQB0AGUAZAAgAGYAcgBvAG0AIAAzAC4AMwAuADEALgAxACAAKAAz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MwBfAEQAcgB5AE0AYQB0AHQAZQByAEYAZQBlAGQASQBuAHQAYQBrAGUAXABuAEYAZQBlAGQAIABpAG4AdABhAGsAZQBcAG4ASQBfAGoAXABuAGsAZwAgAEQATQAvAGgAZQBhAGQALwBkAGEAeQBcAG4ASQBfAGoAPQAoADEALgAxADgANQArADAALgAwADAANAA1ADQAXABcAHQAaQBtAGUAcwAgAFcAXwBqAC0AMAAuADAAMAAwADAAMAAyADYAXABcAHQAaQBtAGUAcwAgAFcAXwBqAF4AMgArADAALgAzADEANQBcAFwAdABpAG0AZQBzACAATABXAEcAXwBqACkAXgAyAFwAXAB0AGkAbQBlAHMAIABNAFIAXwBqACsATQBJAF8AagBcAG4AVwBfAGoAIAA9ACAAbABpAHYAZQB3AGUAaQBnAGgAdAAgACgAawBnACkAXABuAEwAVwBHAF8AagAgAD0AIABsAGkAdgBlAHcAZQBpAGcAaAB0ACAAZwBhAGkAbgAgACgAawBnAC8AaABlAGEAZAAvAGQAYQB5ACkAXABuAE0AUgBfAGoAIAA9ACAAaQBuAGMAcgBlAGEAcwBlACAAaQBuACAAbQBlAHQAYQBiAG8AbABpAGMAIAByAGEAdABlACAAdwBoAGUAbgAgAHAAcgBvAGQAdQBjAGkAbgBnACAAbQBpAGwAawAgACgAZgByAGEAYwB0AGkAbwBuACkAXABuAE0ASQBfAGoAIAA9ACAAYQBkAGQAaQB0AGkAbwBuAGEAbAAgAGkAbgB0AGEAawBlACAAcgBlAHEAdQBpAHIAZQBkACAAZgBvAHIAIABtAGkAbABrACAAcAByAG8AZAB1AGMAdABpAG8AbgAgACgAawBnACAARABNAC8AaABlAGEAZAAvAGQAYQB5ACkAXABuAC0ALQAtAC0ALQAtAC0ALQAtAC0ALQAtAC0ALQAtAC0ALQAtAC0ALQAtAC0ALQAtAC0ALQAtAC0ALQAtAC0ALQAtAC0ALQAtAC0ALQBcAG4AKgAvAFwAbgBcAG4AVgBFAEUAUgBHAF8AMwBfADMAXwAxAF8AMQBfAF8AMwBfAEQAcgB5AE0AYQB0AHQAZQByAEYAZQBlAGQASQBuAHQAYQBrAGUAXABuACAAIAA9AEwAQQBNAEIARABBACgAXABuACAAIAAgACAAVwBfAGoALAAgAEwAVwBHAF8AagAsACAATQBSAF8AagAsACAATQBJAF8AagAsAFwAbgAgACAAIAAgACgAMQAuADEAOAA1ACAAKwAgADAALgAwADAANAA1ADQAIAAqACAAVwBfAGoAIAAtACAAMAAuADAAMAAwADAAMAAyADYAIAAqACAAVwBfAGoAIABeACAAMgAgACsAIAAwAC4AMwAxADUAIAAqACAATABXAEcAXwBqACkAIABeACAAMgAgACoAIABNAFIAXwBqACAAKwAgAE0ASQBfAGoAXABuACAAIAApADsAXABuAFwAbgBWAEUARQBSAEcAXwAzAF8AMwBfADEAXwAxAF8AXwAzAF8ARAByAHkATQBhAHQAdABlAHIARgBlAGUAZABJAG4AdABhAGsAZQBfAFQAaQB0AGwAZQBcAG4AIAAgAD0ATABBAE0AQgBEAEEAKABcACIARgBlAGUAZAAgAGkAbgB0AGEAawBlAFwAIgApADsAXABuAFwAbgBWAEUARQBSAEcAXwAzAF8AMwBfADEAXwAxAF8AXwAzAF8ARAByAHkATQBhAHQAdABlAHIARgBlAGUAZABJAG4AdABhAGsAZQBfAFYAYQByAGkAYQBiAGwAZQBcAG4AIAAgAD0ATABBAE0AQgBEAEEAKABcACIASQBfAGoAXAAiACkAOwBcAG4AXABuAFYARQBFAFIARwBfADMAXwAzAF8AMQBfADEAXwBfADMAXwBEAHIAeQBNAGEAdAB0AGUAcgBGAGUAZQBkAEkAbgB0AGEAawBlAF8AVQBuAGkAdABcAG4AIAAgAD0ATABBAE0AQgBEAEEAKABcACIAawBnACAARABNAC8AaABlAGEAZAAvAGQAYQB5AFwAIgApADsAXABuAFwAbgBWAEUARQBSAEcAXwAzAF8AMwBfADEAXwAxAF8AXwAzAF8ARAByAHkATQBhAHQAdABlAHIARgBlAGUAZABJAG4AdABhAGsAZQBfAFMAbwB1AHIAYwBlAFwAbgAgACAAPQBMAEEATQBCAEQAQQAoAFwAIgBWAEUARQBSAEcAIAAyADAAMgA2ADoAIAAzAC4AMwAuADEALgAxACwAIABFAHEAdQBhAHQAaQBvAG4AIAAoADMAKQBcACIAKQA7AFwAbgBcAG4AVgBFAEUAUgBHAF8AMwBfADMAXwAxAF8AMQBfAF8AMwBfAEQAcgB5AE0AYQB0AHQAZQByAEYAZQBlAGQASQBuAHQAYQBrAGUAXwBOAEkAUgBSAGUAZgBlAHIAZQBuAGMAZQBcAG4AIAAgAD0ATABBAE0AQgBEAEEAKABcACIAXAAiACkAOwBcAG4AXABuAFYARQBFAFIARwBfADMAXwAzAF8AMQBfADEAXwBfADMAXwBEAHIAeQBNAGEAdAB0AGUAcgBGAGUAZQBkAEkAbgB0AGEAawBlAF8ATABhAHQAZQB4AEUAcQB1AGEAdABpAG8AbgBcAG4AIAAgAD0ATABBAE0AQgBEAEEAKABcACIASQBfAGoAPQAoADEALgAxADgANQArADAALgAwADAANAA1ADQAXABcAHQAaQBtAGUAcwAgAFcAXwBqAC0AMAAuADAAMAAwADAAMAAyADYAXABcAHQAaQBtAGUAcwAgAFcAXwBqAF4AMgArADAALgAzADEANQBcAFwAdABpAG0AZQBzACAATABXAEcAXwBqACkAXgAyAFwAXAB0AGkAbQBlAHMAIABNAFIAXwBqACsATQBJAF8AagBcACIAKQA7AFwAbgBcAG4AVgBFAEUAUgBHAF8AMwBfADMAXwAxAF8AMQBfAF8AMwBfAEQAcgB5AE0AYQB0AHQAZQByAEYAZQBlAGQASQBuAHQAYQBrAGUAXwBBAHIAZwB1AG0AZQBuAHQAcwBcAG4AIAAgAD0ATABBAE0AQgBEAEEAKABcAG4AIAAgACAAIABNAEEASwBFAEEAUgBSAEEAWQAoADQALAAgADQALABcAG4AIAAgACAAIAAgACAATABBAE0AQgBEAEEAKAByACwAYwAsAFwAbgAgACAAIAAgACAAIAAgACAASQBOAEQARQBYACgAewBcAG4AIAAgACAAIAAgACAAIAAgACAAIABcACIAVwBfAGoAXAAiACwAIABcACIAbABpAHYAZQB3AGUAaQBnAGgAdABcACIALAAgAFwAIgBrAGcAXAAiACwAIABcACIASQBuAHAAdQB0AFwAIgA7AFwAbgAgACAAIAAgACAAIAAgACAAIAAgAFwAIgBMAFcARwBfAGoAXAAiACwAIABcACIAbABpAHYAZQB3AGUAaQBnAGgAdAAgAGcAYQBpAG4AXAAiACwAIABcACIAawBnAC8AaABlAGEAZAAvAGQAYQB5AFwAIgAsACAAXAAiAEkAbgBwAHUAdABcACIAOwBcAG4AIAAgACAAIAAgACAAIAAgACAAIABcACIATQBSAF8AagBcACIALAAgAFwAIgBpAG4AYwByAGUAYQBzAGUAIABpAG4AIABtAGUAdABhAGIAbwBsAGkAYwAgAHIAYQB0AGUAIAB3AGgAZQBuACAAcAByAG8AZAB1AGMAaQBuAGcAIABtAGkAbABrAFwAIgAsACAAXAAiAGYAcgBhAGMAdABpAG8AbgBcACIALAAgAFwAIgBDAG8AbgBzAHQAYQBuAHQAXAAiADsAXABuACAAIAAgACAAIAAgACAAIAAgACAAXAAiAE0ASQBfAGoAXAAiACwAIABcACIAYQBkAGQAaQB0AGkAbwBuAGEAbAAgAGkAbgB0AGEAawBlACAAcgBlAHEAdQBpAHIAZQBkACAAZgBvAHIAIABtAGkAbABrACAAcAByAG8AZAB1AGMAdABpAG8AbgBcACIALAAgAFwAIgBrAGcAIA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MwBfADMAXwAxAF8AMQBfAF8ANABfAEEAZABkAGkAdABpAG8AbgBhAGwASQBuAHQAYQBrAGUARgBvAHIATQBpAGwAawBQAHIAbwBkAHUAYwB0AGkAbwBuAFwAbgBBAGQAZABpAHQAaQBvAG4AYQBsACAAaQBuAHQAYQBrAGUAIAByAGUAcQB1AGkAcgBlAGQAIABmAG8AcgAgAG0AaQBsAGsAIABwAHIAbwBkAHUAYwB0AGkAbwBuAFwAbgBNAEkAXwBqAFwAbgBrAGcAIABEAE0ALwBoAGUAYQBkAC8AZABhAHkAXABuAE0ASQBfAGoAPQAoAE0AUABfAGoAXABcAHQAaQBtAGUAcwAgADEALgAwADMAXABcAHQAaQBtAGUAcwAgAE4ARQApAC8AKABHAEUAQwBcAFwAdABpAG0AZQBzACAAawBcAFwAdABpAG0AZQBzACAAcQBtAF8AagApAFwAbgBNAFAAXwBqACAAPQAgAG0AaQBsAGsAIABwAHIAbwBkAHUAYwB0AGkAbwBuACAAKABMAC8AaABlAGEAZAAvAGQAYQB5ACkAXABuAE4ARQAgAD0AIABuAGUAdAAgAGUAbgBlAHIAZwB5ACAAKABNAEoAIABuAGUAdAAgAGUAbgBlAHIAZwB5AC8AawBnACAAbQBpAGwAawApAFwAbgBHAEUAQwAgAD0AIABnAHIAbwBzAHMAIABlAG4AZQByAGcAeQAgAGMAbwBuAHQAZQBuAHQAIAAoAE0ASgAvAGsAZwBEAE0AKQBcAG4AawAgAD0AIABlAGYAZgBpAGMAaQBlAG4AYwB5ACAAbwBmACAAbQBlAHQAYQBiAG8AbABpAHoAYQBiAGwAZQAgAGUAbgBlAHIAZwB5ACAAdQBzAGUAIABmAG8AcgAgAG0AaQBsAGsAIABwAHIAbwBkAHUAYwB0AGkAbwBuACAAKABmAHIAYQBjAHQAaQBvAG4AKQBcAG4AcQBtAF8AagAgAD0AIABtAGUAdABhAGIAbwBsAGkAcwBhAGIAaQBsAGkAdAB5ACAAbwBmACAAdABoAGUAIABkAGkAZQB0ACAAKABmAHIAYQBjAHQAaQBvAG4AKQBcAG4ALQAtAC0ALQAtAC0ALQAtAC0ALQAtAC0ALQAtAC0ALQAtAC0ALQAtAC0ALQAtAC0ALQAtAC0ALQAtAC0ALQAtAC0ALQAtAC0ALQAtAFwAbgAqAC8AXABuAFwAbgBWAEUARQBSAEcAXwAzAF8AMwBfADEAXwAxAF8AXwA0AF8AQQBkAGQAaQB0AGkAbwBuAGEAbABJAG4AdABhAGsAZQBGAG8AcgBNAGkAbABrAFAAcgBvAGQAdQBjAHQAaQBvAG4AXABuACAAIAA9AEwAQQBNAEIARABBACgAXABuACAAIAAgACAATQBQAF8AagAsACAATgBFACwAIABHAEUAQwAsACAAawAsACAAcQBtAF8AagAsAFwAbgAgACAAIAAgACgATQBQAF8AagAgACoAIAAxAC4AMAAzACAAKgAgAE4ARQApACAALwAgACgARwBFAEMAIAAqACAAawAgACoAIABxAG0AXwBqACkAXABuACAAIAApADsAXABuAFwAbgBWAEUARQBSAEcAXwAzAF8AMwBfADEAXwAxAF8AXwA0AF8AQQBkAGQAaQB0AGkAbwBuAGEAbABJAG4AdABhAGsAZQBGAG8AcgBNAGkAbABrAFAAcgBvAGQAdQBjAHQAaQBvAG4AXwBUAGkAdABsAGUAXABuACAAIAA9AEwAQQBNAEIARABBACgAXAAiAEEAZABkAGkAdABpAG8AbgBhAGwAIABpAG4AdABhAGsAZQAgAHIAZQBxAHUAaQByAGUAZAAgAGYAbwByACAAbQBpAGwAawAgAHAAcgBvAGQAdQBjAHQAaQBvAG4AXAAiACkAOwBcAG4AXABuAFYARQBFAFIARwBfADMAXwAzAF8AMQBfADEAXwBfADQAXwBBAGQAZABpAHQAaQBvAG4AYQBsAEkAbgB0AGEAawBlAEYAbwByAE0AaQBsAGsAUAByAG8AZAB1AGMAdABpAG8AbgBfAFYAYQByAGkAYQBiAGwAZQBcAG4AIAAgAD0ATABBAE0AQgBEAEEAKABcACIATQBJAF8AagBcACIAKQA7AFwAbgBcAG4AVgBFAEUAUgBHAF8AMwBfADMAXwAxAF8AMQBfAF8ANABfAEEAZABkAGkAdABpAG8AbgBhAGwASQBuAHQAYQBrAGUARgBvAHIATQBpAGwAawBQAHIAbwBkAHUAYwB0AGkAbwBuAF8AVQBuAGkAdABcAG4AIAAgAD0ATABBAE0AQgBEAEEAKABcACIAawBnACAARABNAC8AaABlAGEAZAAvAGQAYQB5AFwAIgApADsAXABuAFwAbgBWAEUARQBSAEcAXwAzAF8AMwBfADEAXwAxAF8AXwA0AF8AQQBkAGQAaQB0AGkAbwBuAGEAbABJAG4AdABhAGsAZQBGAG8AcgBNAGkAbABrAFAAcgBvAGQAdQBjAHQAaQBvAG4AXwBTAG8AdQByAGMAZQBcAG4AIAAgAD0ATABBAE0AQgBEAEEAKABcACIAVgBFAEUAUgBHACAAMgAwADIANgA6ACAAMwAuADMALgAxAC4AMQAsACAARQBxAHUAYQB0AGkAbwBuACAAKAA0ACkAXAAiACkAOwBcAG4AXABuAFYARQBFAFIARwBfADMAXwAzAF8AMQBfADEAXwBfADQAXwBBAGQAZABpAHQAaQBvAG4AYQBsAEkAbgB0AGEAawBlAEYAbwByAE0AaQBsAGsAUAByAG8AZAB1AGMAdABpAG8AbgBfAE4ASQBSAFIAZQBmAGUAcgBlAG4AYwBlAFwAbgAgACAAPQBMAEEATQBCAEQAQQAoAFwAIgBcACIAKQA7AFwAbgBcAG4AVgBFAEUAUgBHAF8AMwBfADMAXwAxAF8AMQBfAF8ANABfAEEAZABkAGkAdABpAG8AbgBhAGwASQBuAHQAYQBrAGUARgBvAHIATQBpAGwAawBQAHIAbwBkAHUAYwB0AGkAbwBuAF8ATABhAHQAZQB4AEUAcQB1AGEAdABpAG8AbgBcAG4AIAAgAD0ATABBAE0AQgBEAEEAKABcACIATQBJAF8AagA9AFwAXABmAHIAYQBjAHsATQBQAF8AagBcAFwAdABpAG0AZQBzACAAMQAuADAAMwBcAFwAdABpAG0AZQBzACAATgBFAH0AewBHAEUAQwBcAFwAdABpAG0AZQBzACAAawBcAFwAdABpAG0AZQBzACAAcQBtAF8AagB9AFwAIgApADsAXABuAFwAbgBWAEUARQBSAEcAXwAzAF8AMwBfADEAXwAxAF8AXwA0AF8AQQBkAGQAaQB0AGkAbwBuAGEAbABJAG4AdABhAGsAZQBGAG8AcgBNAGkAbABrAFAAcgBvAGQAdQBjAHQAaQBvAG4AXwBBAHIAZwB1AG0AZQBuAHQAcwBcAG4AIAAgAD0ATABBAE0AQgBEAEEAKABcAG4AIAAgACAAIABNAEEASwBFAEEAUgBSAEEAWQAoADc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4ARQBcACIALAAgAFwAIgBuAGUAdAAgAGUAbgBlAHIAZwB5AFwAIgAsACAAXAAiAE0ASgAgAG4AZQB0ACAAZQBuAGUAcgBnAHkALwBrAGcAIABtAGkAbABrAFwAIgAsACAAXAAiAEMAbwBuAHMAdABhAG4AdABcACIAOwBcAG4AIAAgACAAIAAgACAAIAAgACAAIABcACIARwBFAEMAXAAiACwAIABcACIAZwByAG8AcwBzACAAZQBuAGUAcgBnAHkAIABjAG8AbgB0AGUAbgB0AFwAIgAsACAAXAAiAE0ASgAvAGsAZwBEAE0AXAAiACwAIABcACIAQwBvAG4AcwB0AGEAbgB0AFwAIgA7AFwAbgAgACAAIAAgACAAIAAgACAAIAAgAFwAIgBrAFwAIgAsACAAXAAiAGUAZgBmAGkAYwBpAGUAbgBjAHkAIABvAGYAIABtAGUAdABhAGIAbwBsAGkAegBhAGIAbABlACAAZQBuAGUAcgBnAHkAIAB1AHMAZQAgAGYAbwByACAAbQBpAGwAawAgAHAAcgBvAGQAdQBjAHQAaQBvAG4AXAAiACwAIABcACIAZgByAGEAYwB0AGkAbwBuAFwAIgAsACAAXAAiAEMAbwBuAHMAdABhAG4AdABcACIAOwBcAG4AIAAgACAAIAAgACAAIAAgACAAIABcACIAcQBtAF8AagBcACIALAAgAFwAIgBtAGUAdABhAGIAbwBsAGkAcwBhAGIAaQBsAGkAdAB5ACAAbwBmACAAdABoAGUAIABkAGkAZQB0AFwAIgAsACAAXAAiAGYAcgBhAGMAdABpAG8AbgBcACIALAAgAFwAIgBDAGEAbABjAHUAbABhAHQAZQBkACAAZgByAG8AbQAgADMALgAzAC4AMQAuADEAIAAoADYAKQBcACIAXABuACAAIAAgACAAIAAgACAAIAB9ACwAIAByACwAIABjACkAXABuACAAIAAgACAAIAAgACkAXABuACAAIAAgACAAKQBcAG4AIAAgACkAOwBcAG4AXABuAFYARQBFAFIARwBfADMAXwAzAF8AMQBfADEAXwBfADQAXwBBAGQAZABpAHQAaQBvAG4AYQBsAEkAbgB0AGEAawBlAEYAbwByAE0AaQBsAGsAUAByAG8AZAB1AGMAdABpAG8Abg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XAAiACkAOwBcAG4AXABuAC8AKgBcAG4ALQAtAC0ALQAtAC0ALQAtAC0ALQAtAC0ALQAtAC0ALQAtAC0ALQAtAC0ALQAtAC0ALQAtAC0ALQAtAC0ALQAtAC0ALQAtAC0ALQAtAFwAbgBWAEUARQBSAEcAXwAzAF8AMwBfADEAXwAxAF8AXwA1AF8ATQBpAGwAawBQAHIAbwBkAHUAYwB0AGkAbwBuAEYAcgBvAG0ATQBpAGwAawBTAG8AbABpAGQAcwBcAG4ATQBpAGwAawAgAHAAcgBvAGQAdQBjAHQAaQBvAG4AIABjAG8AbgB2AGUAcgB0AGUAZAAgAGYAcgBvAG0AIABtAGkAbABrACAAcwBvAGwAaQBkAHMAXABuAE0AUABfAGoAXABuAEwALwBoAGUAYQBkAC8AZABhAHkAXABuAE0AUABfAGoAPQBNAFMAXwBqAC8AKAAwAC4AMAAxAFwAXAB0AGkAbQBlAHMAIAAoAEYAQwBfAGoAKwBQAEMAXwBqACkAKQBcAG4ATQBTAF8AagAgAD0AIABkAGEAaQBsAHkAIABwAHIAbwBkAHUAYwB0AGkAbwBuACAAbwBmACAAbQBpAGwAawAgAHMAbwBsAGkAZABzACAAKABrAGcAIABNAFMALwBoAGUAYQBkAC8AZABhAHkAKQBcAG4ARgBDAF8AagAgAD0AIABmAGEAdAAgAGMAbwBuAHQAZQBuAHQAIABpAG4AIABmAGEAdAAgAGEAbgBkACAAcAByAG8AdABlAGkAbgAgAGMAbwByAHIAZQBjAHQAZQBkACAAbQBpAGwAawAgACgAcABlAHIAIABjAGUAbgB0ACkAXABuAFAAQwBfAGoAIAA9ACAAcAByAG8AdABlAGkAbgAgAGMAbwBuAHQAZQBuAHQAIABpAG4AIABmAGEAdAAgAGEAbgBkACAAcAByAG8AdABlAGkAbgAgAGMAbwByAHIAZQBjAHQAZQBkACAAbQBpAGwAawAgACgAcABlAHIAIABjAGUAbgB0ACkAXABuAC0ALQAtAC0ALQAtAC0ALQAtAC0ALQAtAC0ALQAtAC0ALQAtAC0ALQAtAC0ALQAtAC0ALQAtAC0ALQAtAC0ALQAtAC0ALQAtAC0ALQBcAG4AKgAvAFwAbgBcAG4AVgBFAEUAUgBHAF8AMwBfADMAXwAxAF8AMQBfAF8ANQBfAE0AaQBsAGsAUAByAG8AZAB1AGMAdABpAG8AbgBGAHIAbwBtAE0AaQBsAGsAUwBvAGwAaQBkAHMAXABuACAAIAA9AEwAQQBNAEIARABBACgAXABuACAAIAAgACAATQBTAF8AagAsACAARgBDAF8AagAsACAAUABDAF8AagAsAFwAbgAgACAAIAAgAE0AUwBfAGoAIAAvACAAKAAwAC4AMAAxACAAKgAgACgARgBDAF8AagAgACsAIABQAEMAXwBqACkAKQBcAG4AIAAgACkAOwBcAG4AXABuAFYARQBFAFIARwBfADMAXwAzAF8AMQBfADEAXwBfADUAXwBNAGkAbABrAFAAcgBvAGQAdQBjAHQAaQBvAG4ARgByAG8AbQBNAGkAbABrAFMAbwBsAGkAZABzAF8AVABpAHQAbABlAFwAbgAgACAAPQBMAEEATQBCAEQAQQAoAFwAIgBNAGkAbABrACAAcAByAG8AZAB1AGMAdABpAG8AbgAgAGMAbwBuAHYAZQByAHQAZQBkACAAZgByAG8AbQAgAG0AaQBsAGsAIABzAG8AbABpAGQAcwBcACIAKQA7AFwAbgBcAG4AVgBFAEUAUgBHAF8AMwBfADMAXwAxAF8AMQBfAF8ANQBfAE0AaQBsAGsAUAByAG8AZAB1AGMAdABpAG8AbgBGAHIAbwBtAE0AaQBsAGsAUwBvAGwAaQBkAHMAXwBWAGEAcgBpAGEAYgBsAGUAXABuACAAIAA9AEwAQQBNAEIARABBACgAXAAiAE0AUABfAGoAXAAiACkAOwBcAG4AXABuAFYARQBFAFIARwBfADMAXwAzAF8AMQBfADEAXwBfADUAXwBNAGkAbABrAFAAcgBvAGQAdQBjAHQAaQBvAG4ARgByAG8AbQBNAGkAbABrAFMAbwBsAGkAZABzAF8AVQBuAGkAdABcAG4AIAAgAD0ATABBAE0AQgBEAEEAKABcACIATAAvAGgAZQBhAGQALwBkAGEAeQBcACIAKQA7AFwAbgBcAG4AVgBFAEUAUgBHAF8AMwBfADMAXwAxAF8AMQBfAF8ANQBfAE0AaQBsAGsAUAByAG8AZAB1AGMAdABpAG8AbgBGAHIAbwBtAE0AaQBsAGsAUwBvAGwAaQBkAHMAXwBTAG8AdQByAGMAZQBcAG4AIAAgAD0ATABBAE0AQgBEAEEAKABcACIAVgBFAEUAUgBHACAAMgAwADIANgA6ACAAMwAuADMALgAxAC4AMQAsACAARQBxAHUAYQB0AGkAbwBuACAAKAA1ACkAXAAiACkAOwBcAG4AXABuAFYARQBFAFIARwBfADMAXwAzAF8AMQBfADEAXwBfADUAXwBNAGkAbABrAFAAcgBvAGQAdQBjAHQAaQBvAG4ARgByAG8AbQBNAGkAbABrAFMAbwBsAGkAZABzAF8ATgBJAFIAUgBlAGYAZQByAGUAbgBjAGUAXABuACAAIAA9AEwAQQBNAEIARABBACgAXAAiAFwAIgApADsAXABuAFwAbgBWAEUARQBSAEcAXwAzAF8AMwBfADEAXwAxAF8AXwA1AF8ATQBpAGwAawBQAHIAbwBkAHUAYwB0AGkAbwBuAEYAcgBvAG0ATQBpAGwAawBTAG8AbABpAGQAcwBfAEwAYQB0AGUAeABFAHEAdQBhAHQAaQBvAG4AXABuACAAIAA9AEwAQQBNAEIARABBACgAXAAiAE0AUABfAGoAPQBcAFwAZgByAGEAYwB7AE0AUwBfAGoAfQB7ADAALgAwADEAXABcAHQAaQBtAGUAcwAgACgARgBDAF8AagArAFAAQwBfAGoAKQB9AFwAIgApADsAXABuAFwAbgBWAEUARQBSAEcAXwAzAF8AMwBfADEAXwAxAF8AXwA1AF8ATQBpAGwAawBQAHIAbwBkAHUAYwB0AGkAbwBuAEYAcgBvAG0ATQBpAGwAawBTAG8AbABpAGQAcwBfAEEAcgBnAHUAbQBlAG4AdABzAFwAbgAgACAAPQBMAEEATQBCAEQAQQAoAFwAbgAgACAAIAAgAE0AQQBLAEUAQQBSAFIAQQBZACgANAAsACAANAAsAFwAbgAgACAAIAAgACAAIABMAEEATQBCAEQAQQAoAHIALABjACwAXABuACAAIAAgACAAIAAgACAAIABJAE4ARABFAFgAKAB7AFwAbgAgACAAIAAgACAAIAAgACAAIAAgAFwAIgBNAFAAVQBcACIALAAgAFwAIgBpAG4AcAB1AHQAIA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QQByAGcAdQBtAGUAbgB0AHMAXwBNAGUAdABoAG8AZAAyAFwAbgAgACAAPQBMAEEATQBCAEQAQQAoAFwAbgAgACAAIAAgAE0AQQBLAEUAQQBSAFIAQQBZACgANAAsACAANAAsAFwAbgAgACAAIAAgACAAIABMAEEATQBCAEQAQQAoAHIALABjACwAXABuACAAIAAgACAAIAAgACAAIABJAE4ARABFAFgAKAB7AFwAbgAgACAAIAAgACAAIAAgACAAIAAgAFwAIgBNAFAAVQBcACIALAAgAFwAIgBtAGkAbABrACAAcAByAG8AZAB1AGMAdABpAG8AbgAgAHUAbgBpAHQAXAAiACwAIABcACIAXAAiACwAIABcACIASQBuAHAAdQB0AFwAIgA7AFwAbgAgACAAIAAgACAAIAAgACAAIAAgAFwAIgBNAFMAXwBqAFwAIgAsACAAXAAiAGQAYQBpAGwAeQAgAHAAcgBvAGQAdQBjAHQAaQBvAG4AIABvAGYAIABtAGkAbABrACAAcwBvAGwAaQBkAHMAXAAiACwAIABcACIAawBnACAATQBTAC8AaABlAGEAZAAvAGQAYQB5AFwAIgAsACAAXAAiAEkAbgBwAHUAdABcACIAOwBcAG4AIAAgACAAIAAgACAAIAAgACAAIABcACIARgBDAF8AagBcACIALAAgAFwAIgBmAGEAdAAgAGMAbwBuAHQAZQBuAHQAIABpAG4AIABmAGEAdAAgAGEAbgBkACAAcAByAG8AdABlAGkAbgAgAGMAbwByAHIAZQBjAHQAZQBkACAAbQBpAGwAawBcACIALAAgAFwAIgBwAGUAcgAgAGMAZQBuAHQAXAAiACwAIABcACIASQBuAHAAdQB0AFwAIgA7AFwAbgAgACAAIAAgACAAIAAgACAAIAAgAFwAIgBQAEMAXwBqAFwAIgAsACAAXAAiAHAAcgBvAHQAZQBpAG4AIABjAG8AbgB0AGUAbgB0ACAAaQBuACAAZgBhAHQAIABhAG4AZAAgAHAAcgBvAHQAZQBpAG4AIABjAG8AcgByAGUAYwB0AGUAZAAgAG0AaQBsAGsAXAAiACwAIABcACIAcABlAHIAIABjAGUAbgB0AFwAIgAsACAAXAAiAEkAbgBwAHUAdABcACIAXABuACAAIAAgACAAIAAgACAAIAB9ACwAIAByACwAIABjACkAXABuACAAIAAgACAAIAAgACkAXABuACAAIAAgACAAKQBcAG4AIAAgACkAOwBcAG4AXABuAFYARQBFAFIARwBfADMAXwAzAF8AMQBfADEAXwBfADUAXwBNAGkAbABrAFAAcgBvAGQAdQBjAHQAaQBvAG4ARgByAG8AbQBNAGkAbABrAFMAbwBsAGkAZABzAF8AVgBhAHIAaQBhAHQAaQBvAG4AXABuACAAIAA9AEwAQQBNAEIARABBACgAXAAiAFYAQQBSAEEAVABJAE8ATgAgAE8ATgAgAFMATwBVAFIAQwBFADoAIABBAGQAZABlAGQAIABtAGkAbABrACAAcAByAG8AZAB1AGMAdABpAG8AbgAgAHUAbgBpAHQAIAB2AGEAcgBpAGEAYgBsAGUAIAB0AG8AIABhAGwAbABvAHcAIABmAG8AcgAgAHUAcwBlACAAbwBmACAAZQBpAHQAaABlAHIAIABtAGkAbABrACAAcwBvAGwAaQBkAHMAIABvAHIAIABsAGkAdAByAGUAcwAgAG8AZgAgAG0AaQBsAGsALgAgAEMAbwBuAHYAZQByAHQAZQBkACAAaQBuAHAAdQB0ACAARgBDACAAYQBuAGQAIABQAEMAIABwAGUAcgBjAGUAbgB0ACAAdABvACAAaQBuAHQAZQBnAGUAcgAuAFwAIgApADsAXABuAFwAbgAvACoAXABuAC0ALQAtAC0ALQAtAC0ALQAtAC0ALQAtAC0ALQAtAC0ALQAtAC0ALQAtAC0ALQAtAC0ALQAtAC0ALQAtAC0ALQAtAC0ALQAtAC0ALQBcAG4AVgBFAEUAUgBHAF8AMwBfADMAXwAxAF8AMQBfAF8ANgBfAE0AZQB0AGEAYgBvAGwAaQBzAGEAYgBpAGwAaQB0AHkATwBmAEQAaQBlAHQAXABuAE0AZQB0AGEAYgBvAGwAaQBzAGEAYgBpAGwAaQB0AHkAIABvAGYAIABkAGkAZQB0AFwAbgBxAG0AXwBqAFwAbgBmAHIAYQBjAHQAaQBvAG4AXABuAHEAbQBfAGoAPQAwAC4ANwA5ADUAXABcAHQAaQBtAGUAcwAgACgARABNAEQAXwBqAFwAXAB0AGkAbQBlAHMAIAAxADAAMAApAC0AMAAuADAAMAAxADQAXABuAEQATQBEAF8AagAgAD0AIABkAHIAeQAgAG0AYQB0AHQAZQByACAAZABpAGcAZQBzAHQAaQBiAGkAbABpAHQAeQAgAGUAeABwAHIAZQBzAHMAZQBkACAAYQBzACAAYQAgAGYAcgBhAGMAdABpAG8AbgBcAG4ALQAtAC0ALQAtAC0ALQAtAC0ALQAtAC0ALQAtAC0ALQAtAC0ALQAtAC0ALQAtAC0ALQAtAC0ALQAtAC0ALQAtAC0ALQAtAC0ALQAtAFwAbgAqAC8AXABuAFwAbgBWAEUARQBSAEcAXwAzAF8AMwBfADEAXwAxAF8AXwA2AF8ATQBlAHQAYQBiAG8AbABpAHMAYQBiAGkAbABpAHQAeQBPAGYARABpAGUAdABcAG4AIAAgAD0ATABBAE0AQgBEAEEAKABcAG4AIAAgACAAIABEAE0ARABfAGoALABcAG4AIAAgACAAIAAwAC4ANwA5ADUAIAAqACAAKABEAE0ARABfAGoAIAAqACAAMQAwADAAKQAgAC0AIAAwAC4AMAAwADEANABcAG4AIAAgACkAOwBcAG4AXABuAFYARQBFAFIARwBfADMAXwAzAF8AMQBfADEAXwBfADYAXwBNAGUAdABhAGIAbwBsAGkAcwBhAGIAaQBsAGkAdAB5AE8AZgBEAGkAZQB0AFYAYQByAGkAYQB0AGkAbwBuAFwAbgAgACAAPQBMAEEATQBCAEQAQQAoAFwAbgAgACAAIAAgAEQATQBEAF8AagAsAFwAbgAgACAAIAAgADAALgAwADAANwA5ADUAIAAqACAAKABEAE0ARABfAGoAIAAqACAAMQAwADAAKQAgAC0AIAAwAC4AMAAwADEANABcAG4AIAAgACkAOwBcAG4AXABuAFwAbgBWAEUARQBSAEcAXwAzAF8AMwBfADEAXwAxAF8AXwA2AF8ATQBlAHQAYQBiAG8AbABpAHMAYQBiAGkAbABpAHQAeQBPAGYARABpAGUAdABfAFQAaQB0AGwAZQBcAG4AIAAgAD0ATABBAE0AQgBEAEEAKABcACIATQBlAHQAYQBiAG8AbABpAHMAYQBiAGkAbABpAHQAeQAgAG8AZgAgAGQAaQBlAHQAXAAiACkAOwBcAG4AXABuAFYARQBFAFIARwBfADMAXwAzAF8AMQBfADEAXwBfADYAXwBNAGUAdABhAGIAbwBsAGkAcwBhAGIAaQBsAGkAdAB5AE8AZgBEAGkAZQB0AF8AVgBhAHIAaQBhAGIAbABlAFwAbgAgACAAPQBMAEEATQBCAEQAQQAoAFwAIgBxAG0AXwBqAFwAIgApADsAXABuAFwAbgBWAEUARQBSAEcAXwAzAF8AMwBfADEAXwAxAF8AXwA2AF8ATQBlAHQAYQBiAG8AbABpAHMAYQBiAGkAbABpAHQAeQBPAGYARABpAGUAdABfAFUAbgBpAHQAXABuACAAIAA9AEwAQQBNAEIARABBACgAXAAiAGYAcgBhAGMAdABpAG8AbgBcACIAKQA7AFwAbgBcAG4AVgBFAEUAUgBHAF8AMwBfADMAXwAxAF8AMQBfAF8ANgBfAE0AZQB0AGEAYgBvAGwAaQBzAGEAYgBpAGwAaQB0AHkATwBmAEQAaQBlAHQAXwBTAG8AdQByAGMAZQBcAG4AIAAgAD0ATABBAE0AQgBEAEEAKABcACIAVgBFAEUAUgBHACAAMgAwADIANgA6ACAAMwAuADMALgAxAC4AMQAsACAARQBxAHUAYQB0AGkAbwBuACAAKAA2ACkAXAAiACkAOwBcAG4AXABuAFYARQBFAFIARwBfADMAXwAzAF8AMQBfADEAXwBfADYAXwBNAGUAdABhAGIAbwBsAGkAcwBhAGIAaQBsAGkAdAB5AE8AZgBEAGkAZQB0AF8ATgBJAFIAUgBlAGYAZQByAGUAbgBjAGUAXABuACAAIAA9AEwAQQBNAEIARABBACgAXAAiAFwAIgApADsAXABuAFwAbgBWAEUARQBSAEcAXwAzAF8AMwBfADEAXwAxAF8AXwA2AF8ATQBlAHQAYQBiAG8AbABpAHMAYQBiAGkAbABpAHQAeQBPAGYARABpAGUAdABfAEwAYQB0AGUAeABFAHEAdQBhAHQAaQBvAG4AXABuACAAIAA9AEwAQQBNAEIARABBACgAXAAiAHEAbQBfAGoAPQAwAC4ANwA5ADUAXABcAHQAaQBtAGUAcwAgACgARABNAEQAXwBqAFwAXAB0AGkAbQBlAHMAIAAxADAAMAApAC0AMAAuADAAMAAxADQAXAAiACkAOwBcAG4AXABuAFYARQBFAFIARwBfADMAXwAzAF8AMQBfADEAXwBfADYAXwBNAGUAdABhAGIAbwBsAGkAcwBhAGIAaQBsAGkAdAB5AE8AZgBEAGkAZQB0AF8ATABhAHQAZQB4AEUAcQB1AGEAdABpAG8AbgBWAGEAcgBpAGEAdABpAG8AbgBcAG4AIAAgAD0ATABBAE0AQgBEAEEAKABcACIAcQBtAF8AagA9ADAALgAwADAANwA5ADUAXABcAHQAaQBtAGUAcwAgACgARABNAEQAXwBqAFwAXAB0AGkAbQBlAHMAIAAxADAAMAApAC0AMAAuADAAMAAxADQAXAAiACkAOwBcAG4AXABuAFYARQBFAFIARwBfADMAXwAzAF8AMQBfADEAXwBfADYAXwBNAGUAdABhAGIAbwBsAGkAcwBhAGIAaQBsAGkAdAB5AE8AZgBEAGkAZQB0AF8AQQByAGcAdQBtAGUAbgB0AHMAXABuACAAIAA9AEwAQQBNAEIARABBACgAXABuACAAIAAgACAATQBBAEsARQBBAFIAUgBBAFkAKAAxACwAIAA0ACwAXABuACAAIAAgACAAIAAgAEwAQQBNAEIARABBACgAcgAsAGMALABcAG4AIAAgACAAIAAgACAAIAAgAEkATgBEAEUAWAAoAHsAXABuACAAIAAgACAAIAAgACAAIAAgACAAXAAiAEQATQBEAF8AagBcACIALAAgAFwAIgBkAHIAeQAgAG0AYQB0AHQAZQByACAAZABpAGcAZQBzAHQAaQBiAGkAbABpAHQAeQAgAGUAeABwAHIAZQBzAHMAZQBkACAAYQBzACAAYQAgAGYAcgBhAGMAdABpAG8AbgBcACIALAAgAFwAIgBmAHIAYQBjAHQAaQBvAG4AXAAiACwAIABcACIASQBuAHAAdQB0AFwAIgBcAG4AIAAgACAAIAAgACAAIAAgAH0ALAAgAHIALAAgAGMAKQBcAG4AIAAgACAAIAAgACAAKQBcAG4AIAAgACAAIAApAFwAbgAgACAAKQA7AFwAbgBcAG4AVgBFAEUAUgBHAF8AMwBfADMAXwAxAF8AMQBfAF8ANgBfAE0AZQB0AGEAYgBvAGwAaQBzAGEAYgBpAGwAaQB0AHkATwBmAEQAaQBlAHQAXwBWAGEAcgBpAGEAdABpAG8AbgBcAG4AIAAgAD0ATABBAE0AQgBEAEEAKABcACIAVgBBAFIASQBBAFQASQBPAE4AIABPAE4AIABTAE8AVQBSAEMARQA6ACAAYwBoAGEAbgBnAGUAZAAgADAALgA3ADkANQAgAHQAbwAgADAALgAwADAANwA5ADUAIAB3AGgAaQBjAGgAIABpAHMAIAB0AGgAZQAgAHYAYQBsAHUAZQAgAHUAcwBlAGQAIABpAG4AIAB0AGgAZQAgAE4AYQB0AGkAbwBuAGEAbAAgAEkAbgB2AGUAbgB0AG8AcgB5ACAAUgBlAHAAbwByAHQAXAAiACkAOwBcAG4AXABuACIAfQAsAHsAIgBwAGEAdABoACIAOgAiAC8AcAByAG8AagBlAGMAdABzAC8ASQBuAHAAdQB0AEYAdQBuAGMAdABpAG8AbgBzAF8ARABhAGkAcgB5ACIALAAiAHQAZQB4AHQAIgA6ACIAQwBhAGwAYwB1AGwAYQB0AGUARgByAGEAYwB0AGkAbwBuAEkAbgBNAE0AUwBBAGYAdABlAHIAUwBvAGwAaQBkAFMAZQBwAGEAcgBhAHQAaQBvAG4AXABuAD0ATABBAE0AQgBEAEEAKABcAG4AIAAgACAAIABQAHIAbwBkAHUAYwB0AGkAbwBuAFMAeQBzAHQAZQBtACwAIABNAE0AUwBGAHIAYQBjAHQAaQBvAG4ALAAgAEYAcgBhAGMAdABpAG8AbgBTAGUAcABhAHIAYQB0AGUAZAAsAFwAbgAgACAAIAAgAFAAcgBvAGQAdQBjAHQAaQBvAG4AUwB5AHMAdABlAG0AIAAqACAAKABNAE0AUwBGAHIAYQBjAHQAaQBvAG4ALQAoAE0ATQBTAEYAcgBhAGMAdABpAG8AbgAqAEYAcgBhAGMAdABpAG8AbgBTAGUAcABhAHIAYQB0AGUAZAApACkAXABuACkAOwBcAG4AXABuAEMAYQBsAGMAdQBsAGEAdABlAEYAcgBhAGMAdABpAG8AbgBJAG4AUwBvAGwAaQBkAFMAdABvAHIAYQBnAGUAXABuAD0ATABBAE0AQgBEAEEAKABcAG4AIAAgACAAIABQAHIAbwBkAHUAYwB0AGkAbwBuAFMAeQBzAHQAZQBtACwAIABJAG4AaQB0AGEAbABTAG8AbABpAGQAUwB0AG8AcgBhAGcAZQBGAHIAYQBjAHQAaQBvAG4ALABcAG4AIAAgACAAIABNAE0AUwAxAEYAcgBhAGMAdABpAG8AbgAsACAATQBNAFMAMQBTAGUAcABhAHIAYQB0AGUAZAAsACAAXABuACAAIAAgACAATQBNAFMAMgBGAHIAYQBjAHQAaQBvAG4ALAAgAE0ATQBTADIAUwBlAHAAYQByAGEAdABlAGQALAAgAFwAbgAgACAAIAAgAE0ATQBTADMARgByAGEAYwB0AGkAbwBuACwAIABNAE0AUwAzAFMAZQBwAGEAcgBhAHQAZQBkACwAXABuACAAIAAgACAAUAByAG8AZAB1AGMAdABpAG8AbgBTAHkAcwB0AGUAbQAgACoAIAAoAFwAbgAgACAAIAAgACAAIAAgACAASQBuAGkAdABhAGwAUwBvAGwAaQBkAFMAdABvAHIAYQBnAGUARgByAGEAYwB0AGkAbwBuACAAKwBcAG4AIAAgACAAIAAgACAAIAAgACgATQBNAFMAMQBGAHIAYQBjAHQAaQBvAG4AIAAqACAATQBNAFMAMQBTAGUAcABhAHIAYQB0AGUAZAApACAAKwBcAG4AIAAgACAAIAAgACAAIAAgACgATQBNAFMAMgBGAHIAYQBjAHQAaQBvAG4AIAAqACAATQBNAFMAMgBTAGUAcABhAHIAYQB0AGUAZAApACAAKwBcAG4AIAAgACAAIAAgACAAIAAgACgATQBNAFMAMwBGAHIAYQBjAHQAaQBvAG4AIAAqACAATQBNAFMAMwBTAGUAcABhAHIAYQB0AGUAZAApAFwAbgAgACAAIAAgACkAXABuACkAOwAiAH0ALAB7ACIAcABhAHQAaAAiADoAIgAvAHAAcgBvAGoAZQBjAHQAcwAvAE0ATQBTAF8ARABhAGkAcgB5AF8ATABlAGEAYwBoAGkAbgBnAEEAbgBkAFIAdQBuAG8AZgBm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YAIABNAGUAdABoAG8AZAAgADEAIAAtACAATQBhAG4AdQByAGU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2AF8AXwAxAF8AQQBuAG4AdQBhAGwARQBtAGkAcwBzAGkAbwBuAHMARgByAG8AbQBMAGUAYQBjAGgAaQBuAGcAQQBuAGQAUgB1AG4AbwBmAGYARgByAG8AbQBNAE0AUwBcAG4AQQBuAG4AdQBhAGwAIABlAG0AaQBzAHMAaQBvAG4AcwAgAGYAcgBvAG0AIABsAGUAYQBjAGgAaQBuAGcAIABhAG4AZAAgAHIAdQBuAG8AZgBmACAAZgByAG8AbQAgAGUAYQBjAGgAIABNAE0AUwBcAG4ARQBfAE4AMgBPAGwAZQBhAGMAaABcAG4AdAAgAE4AMgBPAFwAbgBFAF8AewBOADIATwAsAGwAZQBhAGMAaAB9AD0ATQBOAEwAZQBhAGMAaABfAHsAagBtAH0AXABcAHQAaQBtAGUAcwAgAEUARgBfAHsAbABlAGEAYwBoAH0AXABcAHQAaQBtAGUAcwAgAEMAXwB7AE4AMgBPAH0AXABcAHQAaQBtAGUAcwAgADEAMABeAHsALQAzAH0AXABuAE0ATgBMAGUAYQBjAGgAXwBqAG0AIAA9ACAAbQBhAHMAcwAgAG8AZgAgAE4AIABsAG8AcwB0ACAAdABoAHIAbwB1AGcAaAAgAGwAZQBhAGMAaABpAG4AZwAgAGEAbgBkACAAcgB1AG4AbwBmAGYAIABmAHIAbwBtACAAZQBhAGMAaAAgAE0ATQBT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BWAEEAUgBJAEEAVABJAE8ATgAgAE8ARgAgAFMATwBVAFIAQwBFADoAIABGAG8AcgAgAE0AZQB0AGgAbwBkACAAMQAsACAAZQBtAGkAcwBzAGkAbwBuAHMAIABhAHIAZQAgAGUAcwB0AGkAbQBhAHQAZQBkACAAbwBuAGwAeQAgAGYAbwByACAAcwBvAGwAaQBkACAAcwB0AG8AcgBhAGcAZQAgACgAbQA9ADQAKQAuAFwAbgAtAC0ALQAtAC0ALQAtAC0ALQAtAC0ALQAtAC0ALQAtAC0ALQAtAC0ALQAtAC0ALQAtAC0ALQAtAC0ALQAtAC0ALQAtAC0ALQAtAC0AXABuACoALwBcAG4AXABuAFYARQBFAFIARwBfADQAXwAzAF8AMQBfADYAXwBfADEAXwBBAG4AbgB1AGEAbABFAG0AaQBzAHMAaQBvAG4AcwBGAHIAbwBtAEwAZQBhAGMAaABpAG4AZwBBAG4AZABSAHUAbgBvAGYAZgBGAHIAbwBtAE0ATQBTAFwAbgAgACAAPQBMAEEATQBCAEQAQQAoAFwAbgAgACAAIAAgAE0ATgBMAGUAYQBjAGgAXwBqAG0ALAAgAEUARgBfAGwAZQBhAGMAaAAsACAAQwBfAE4AMgBPACwAXABuACAAIAAgACAAKABNAE4ATABlAGEAYwBoAF8AagBtACAAKgAgAEUARgBfAGwAZQBhAGMAaAAgACoAIABDAF8ATgAyAE8AKQAgACoAIAAxADAAIABeACAALQAzAFwAbgAgACAAKQA7AFwAbgBcAG4AVgBFAEUAUgBHAF8ANABfADMAXwAxAF8ANgBfAF8AMQBfAEEAbgBuAHUAYQBsAEUAbQBpAHMAcwBpAG8AbgBzAEYAcgBvAG0ATABlAGEAYwBoAGkAbgBnAEEAbgBkAFIAdQBuAG8AZgBmAEYAcgBvAG0ATQBNAFMAXwBUAGkAdABsAGUAXABuACAAIAA9AEwAQQBNAEIARABBACgAXAAiAEEAbgBuAHUAYQBsACAAZQBtAGkAcwBzAGkAbwBuAHMAIABmAHIAbwBtACAAbABlAGEAYwBoAGkAbgBnACAAYQBuAGQAIAByAHUAbgBvAGYAZgAgAGYAcgBvAG0AIABlAGEAYwBoACAATQBNAFMAXAAiACkAOwBcAG4AXABuAFYARQBFAFIARwBfADQAXwAzAF8AMQBfADYAXwBfADEAXwBBAG4AbgB1AGEAbABFAG0AaQBzAHMAaQBvAG4AcwBGAHIAbwBtAEwAZQBhAGMAaABpAG4AZwBBAG4AZABSAHUAbgBvAGYAZgBGAHIAbwBtAE0ATQBTAF8AVgBhAHIAaQBhAGIAbABlAFwAbgAgACAAPQBMAEEATQBCAEQAQQAoAFwAIgBFAF8ATgAyAE8AbABlAGEAYwBoAFwAIgApADsAXABuAFwAbgBWAEUARQBSAEcAXwA0AF8AMwBfADEAXwA2AF8AXwAxAF8AQQBuAG4AdQBhAGwARQBtAGkAcwBzAGkAbwBuAHMARgByAG8AbQBMAGUAYQBjAGgAaQBuAGcAQQBuAGQAUgB1AG4AbwBmAGYARgByAG8AbQBNAE0AUwBfAFUAbgBpAHQAXABuACAAIAA9AEwAQQBNAEIARABBACgAXAAiAHQAIABOADIATwBcACIAKQA7AFwAbgBcAG4AVgBFAEUAUgBHAF8ANABfADMAXwAxAF8ANgBfAF8AMQBfAEEAbgBuAHUAYQBsAEUAbQBpAHMAcwBpAG8AbgBzAEYAcgBvAG0ATABlAGEAYwBoAGkAbgBnAEEAbgBkAFIAdQBuAG8AZgBmAEYAcgBvAG0ATQBNAFMAXwBTAG8AdQByAGMAZQBcAG4AIAAgAD0ATABBAE0AQgBEAEEAKABcACIAVgBFAEUAUgBHACAAMgAwADIANgA6ACAANAAuADMALgAxAC4ANgAsACAARQBxAHUAYQB0AGkAbwBuACAAKAAxACkAXAAiACkAOwBcAG4AXABuAFYARQBFAFIARwBfADQAXwAzAF8AMQBfADYAXwBfADEAXwBBAG4AbgB1AGEAbABFAG0AaQBzAHMAaQBvAG4AcwBGAHIAbwBtAEwAZQBhAGMAaABpAG4AZwBBAG4AZABSAHUAbgBvAGYAZgBGAHIAbwBtAE0ATQBTAF8ATgBJAFIAUgBlAGYAZQByAGUAbgBjAGUAXABuACAAIAA9AEwAQQBNAEIARABBACgAXAAiAFwAIgApADsAXABuAFwAbgBWAEUARQBSAEcAXwA0AF8AMwBfADEAXwA2AF8AXwAxAF8AQQBuAG4AdQBhAGwARQBtAGkAcwBzAGkAbwBuAHMARgByAG8AbQBMAGUAYQBjAGgAaQBuAGcAQQBuAGQAUgB1AG4AbwBmAGYARgByAG8AbQBNAE0AUwBfAEwAYQB0AGUAeABFAHEAdQBhAHQAaQBvAG4AXABuACAAIAA9AEwAQQBNAEIARABBACgAXAAiAEUAXwB7AE4AMgBPACwAbABlAGEAYwBoAH0APQBcAFwAcwB1AG0AXABcAG4AbwBsAGkAbQBpAHQAcwBfAHsAagB9AFwAXABzAHUAbQBcAFwAbgBvAGwAaQBtAGkAdABzAF8AewBtAD0AMQAtADEAMwB9ACgATQBOAEwAZQBhAGMAaABfAHsAagBtAH0AXABcAHQAaQBtAGUAcwAgAEUARgBfAHsAbABlAGEAYwBoAH0AXABcAHQAaQBtAGUAcwAgAEMAXwB7AE4AMgBPAH0AKQBcAFwAdABpAG0AZQBzACAAMQAwAF4AewAtADMAfQBcACIAKQA7AFwAbgBcAG4AVgBFAEUAUgBHAF8ANABfADMAXwAxAF8ANgBfAF8AMQBfAEEAbgBuAHUAYQBsAEUAbQBpAHMAcwBpAG8AbgBzAEYAcgBvAG0ATABlAGEAYwBoAGkAbgBnAEEAbgBkAFIAdQBuAG8AZgBmAEYAcgBvAG0ATQBNAFMAXwBBAHIAZwB1AG0AZQBuAHQAcwBcAG4AIAAgAD0ATABBAE0AQgBEAEEAKABcAG4AIAAgACAAIABNAEEASwBFAEEAUgBSAEEAWQAoADMALAAgADQALABcAG4AIAAgACAAIAAgACAATABBAE0AQgBEAEEAKAByACwAYwAsAFwAbgAgACAAIAAgACAAIAAgACAASQBOAEQARQBYACgAewBcAG4AIAAgACAAIAAgACAAIAAgACAAIABcACIATQBOAEwAZQBhAGMAaABfAGoAbQBcACIALAAgAFwAIgBtAGEAcwBzACAAbwBmACAATgAgAGwAbwBzAHQAIAB0AGgAcgBvAHUAZwBoACAAbABlAGEAYwBoAGkAbgBnACAAYQBuAGQAIAByAHUAbgBvAGYAZgBcACIALAAgAFwAIgBrAGcAIABOAFwAIgAsACAAXAAiAEMAYQBsAGMAdQBsAGEAdABlAGQAIABmAHIAbwBtACAANAAuADMALgAxAC4AN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YAXwBfADIAXwBNAGEAcwBzAE8AZgBOAGkAdAByAG8AZwBlAG4ATABvAHMAdABUAG8ATABlAGEAYwBoAGkAbgBnAEEAbgBkAFIAdQBuAG8AZgBmAEYAcgBvAG0AUwBvAGwAaQBkAFMAdABvAHIAYQBnAGUAXABuAE0AYQBzAHMAIABvAGYAIABuAGkAdAByAG8AZwBlAG4AIABsAG8AcwB0ACAAdABvACAAbABlAGEAYwBoAGkAbgBnACAAYQBuAGQAIAByAHUAbgBvAGYAZgAgAGYAcgBvAG0AIABzAG8AbABpAGQAIABzAHQAbwByAGEAZwBlACAAcwB5AHMAdABlAG0AcwBcAG4ATQBOAEwAZQBhAGMAaABfAGoAbQA0AFwAbgBrAGcAIABOAFwAbgBNAE4ATABlAGEAYwBoAF8AewBqAG0APQA0AH0APQBNAE4AXwB7AGoAbQA9ADQAfQBcAFwAdABpAG0AZQBzACAARgByAGEAYwBXAEUAVABfAGkAXABcAHQAaQBtAGUAcwAgAEYAcgBhAGMATABFAEEAQwBIAF8ATQBTAFwAbgBNAE4AXwBqAG0ANAAgAD0AIAB0AG8AdABhAGwAIABuAGkAdAByAG8AZwBlAG4AIABpAG4AIABzAG8AbABpAGQAIABzAHQAbwByAGEAZwBlACAAcwB5AHMAdABlAG0AIABtAD0ANAAgACgAawBnACAATgApAFwAbgBGAHIAYQBjAFcARQBUAF8AaQ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NgBfAF8AMgBfAE0AYQBzAHMATwBmAE4AaQB0AHIAbwBnAGUAbgBMAG8AcwB0AFQAbwBMAGUAYQBjAGgAaQBuAGcAQQBuAGQAUgB1AG4AbwBmAGYARgByAG8AbQBTAG8AbABpAGQAUwB0AG8AcgBhAGcAZQBcAG4AIAAgAD0ATABBAE0AQgBEAEEAKABcAG4AIAAgACAAIABNAE4AXwBqAG0ANAAsACAARgByAGEAYwBXAEUAVABfAGkALAAgAEYAcgBhAGMATABFAEEAQwBIAF8ATQBTACwAXABuACAAIAAgACAATQBOAF8AagBtADQAIAAqACAARgByAGEAYwBXAEUAVABfAGkAIAAqACAARgByAGEAYwBMAEUAQQBDAEgAXwBNAFMAXABuACAAIAApADsAXABuAFwAbgBWAEUARQBSAEcAXwA0AF8AMwBfADEAXwA2AF8AXwAyAF8ATQBhAHMAcwBPAGYATgBpAHQAcgBvAGcAZQBuAEwAbwBzAHQAVABvAEwAZQBhAGMAaABpAG4AZwBBAG4AZABSAHUAbgBvAGYAZgBGAHIAbwBtAFMAbwBsAGkAZABTAHQAbwByAGEAZwBlAF8AVABpAHQAbABlAFwAbgAgACAAPQBMAEEATQBCAEQAQQAoAFwAIgBNAGEAcwBzACAAbwBmACAAbgBpAHQAcgBvAGcAZQBuACAAbABvAHMAdAAgAHQAbwAgAGwAZQBhAGMAaABpAG4AZwAgAGEAbgBkACAAcgB1AG4AbwBmAGYAIABmAHIAbwBtACAAcwBvAGwAaQBkACAAcwB0AG8AcgBhAGcAZQAgAHMAeQBzAHQAZQBtAHMAXAAiACkAOwBcAG4AXABuAFYARQBFAFIARwBfADQAXwAzAF8AMQBfADYAXwBfADIAXwBNAGEAcwBzAE8AZgBOAGkAdAByAG8AZwBlAG4ATABvAHMAdABUAG8ATABlAGEAYwBoAGkAbgBnAEEAbgBkAFIAdQBuAG8AZgBmAEYAcgBvAG0AUwBvAGwAaQBkAFMAdABvAHIAYQBnAGUAXwBWAGEAcgBpAGEAYgBsAGUAXABuACAAIAA9AEwAQQBNAEIARABBACgAXAAiAE0ATgBMAGUAYQBjAGgAXwBqAG0ANABcACIAKQA7AFwAbgBcAG4AVgBFAEUAUgBHAF8ANABfADMAXwAxAF8ANgBfAF8AMgBfAE0AYQBzAHMATwBmAE4AaQB0AHIAbwBnAGUAbgBMAG8AcwB0AFQAbwBMAGUAYQBjAGgAaQBuAGcAQQBuAGQAUgB1AG4AbwBmAGYARgByAG8AbQBTAG8AbABpAGQAUwB0AG8AcgBhAGcAZQBfAFUAbgBpAHQAXABuACAAIAA9AEwAQQBNAEIARABBACgAXAAiAGsAZwAgAE4AXAAiACkAOwBcAG4AXABuAFYARQBFAFIARwBfADQAXwAzAF8AMQBfADYAXwBfADIAXwBNAGEAcwBzAE8AZgBOAGkAdAByAG8AZwBlAG4ATABvAHMAdABUAG8ATABlAGEAYwBoAGkAbgBnAEEAbgBkAFIAdQBuAG8AZgBmAEYAcgBvAG0AUwBvAGwAaQBkAFMAdABvAHIAYQBnAGUAXwBTAG8AdQByAGMAZQBcAG4AIAAgAD0ATABBAE0AQgBEAEEAKABcACIAVgBFAEUAUgBHACAAMgAwADIANgA6ACAANAAuADMALgAxAC4ANgAsACAARQBxAHUAYQB0AGkAbwBuACAAKAAyACkAXAAiACkAOwBcAG4AXABuAFYARQBFAFIARwBfADQAXwAzAF8AMQBfADYAXwBfADIAXwBNAGEAcwBzAE8AZgBOAGkAdAByAG8AZwBlAG4ATABvAHMAdABUAG8ATABlAGEAYwBoAGkAbgBnAEEAbgBkAFIAdQBuAG8AZgBmAEYAcgBvAG0AUwBvAGwAaQBkAFMAdABvAHIAYQBnAGUAXwBOAEkAUgBSAGUAZgBlAHIAZQBuAGMAZQBcAG4AIAAgAD0ATABBAE0AQgBEAEEAKABcACIAXAAiACkAOwBcAG4AXABuAFYARQBFAFIARwBfADQAXwAzAF8AMQBfADYAXwBfADIAXwBNAGEAcwBzAE8AZgBOAGkAdAByAG8AZwBlAG4ATABvAHMAdABUAG8ATABlAGEAYwBoAGkAbgBnAEEAbgBkAFIAdQBuAG8AZgBmAEYAcgBvAG0AUwBvAGwAaQBkAFMAdABvAHIAYQBnAGUAXwBMAGEAdABlAHgARQBxAHUAYQB0AGkAbwBuAFwAbgAgACAAPQBMAEEATQBCAEQAQQAoAFwAIgBNAE4ATABlAGEAYwBoAF8AewBqAG0APQA0AH0APQBNAE4AXwB7AGoAbQA9ADQAfQBcAFwAdABpAG0AZQBzACAARgByAGEAYwBXAEUAVABfAGkAXABcAHQAaQBtAGUAcwAgAEYAcgBhAGMATABFAEEAQwBIAF8AewBNAFMAfQBcACIAKQA7AFwAbgBcAG4AVgBFAEUAUgBHAF8ANABfADMAXwAxAF8ANgBfAF8AMgBfAE0AYQBzAHMATwBmAE4AaQB0AHIAbwBnAGUAbgBMAG8AcwB0AFQAbwBMAGUAYQBjAGgAaQBuAGcAQQBuAGQAUgB1AG4AbwBmAGYARgByAG8AbQBTAG8AbABpAGQAUwB0AG8AcgBhAGcAZQBfAEEAcgBnAHUAbQBlAG4AdABzAFwAbgAgACAAPQBMAEEATQBCAEQAQQAoAFwAbgAgACAAIAAgAE0AQQBLAEUAQQBSAFIAQQBZACgANgAsACAANAAsAFwAbgAgACAAIAAgACAAIABMAEEATQBCAEQAQQAoAHIALABjACwAXABuACAAIAAgACAAIAAgACAAIABJAE4ARABFAFgAKAB7AFwAbgAgACAAIAAgACAAIAAgACAAIAAgAFwAIgBNAE4AXwBqAG0ANABcACIALAAgAFwAIgB0AG8AdABhAGwAIABuAGkAdAByAG8AZwBlAG4AIABpAG4AIABzAG8AbABpAGQAIABzAHQAbwByAGEAZwBlACAAcwB5AHMAdABlAG0AIABtAD0ANAAgACgAawBnACAATgApAFwAIgAsACAAXAAiAGsAZwAgAE4AXAAiACwAIABcACIAQwBhAGwAYwB1AGwAYQB0AGUAZAAgAGYAcgBvAG0AIAA0AC4AMwAuADEALgAzACAAKAAyACkAXAAiADsAXABuACAAIAAgACAAIAAgACAAIAAgACAAXAAiAEYAcgBhAGMAVwBFAFQAXwBpAFwAIgAsACA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wBNAFMAXAAiACwAI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CwAewAiAHAAYQB0AGgAIgA6ACIALwBwAHIAbwBqAGUAYwB0AHMALwBNAE0AUwBfAEQAYQBpAHIAeQ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5ACAATQBlAHQAaABvAGQAIAAxACAALQAgAFMAbwBpAGwAIABEAGkAcgBlAGMAdA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OQBfAF8AMQBfAEQAaQByAGUAYwB0AE4AaQB0AHIAbwB1AHMATwB4AGkAZABlAEUAbQBpAHMAcwBpAG8AbgBzAE8AbgBQAGEAcwB0AHUAcgBlAFwAbgBEAGkAcgBlAGMAdAAgAG4AaQB0AHIAbwB1AHMAIABvAHgAaQBkAGUAIABlAG0AaQBzAHMAaQBvAG4AcwAgAG8AbgAgAHAAYQBzAHQAdQByAGUAXABuAEUAXwBOADIATwBkAGkAcgBcAG4AdAAgAE4AMgBPAFwAbgBFAF8AewBOADIATwAsAGQAaQByAH0APQBNAE4AXwB7AGoAbQA9ADEANAB9AFwAXAB0AGkAbQBlAHMAIABFAEYAXwB7AFAAUgBQAH0AXABcAHQAaQBtAGUAcwAgAEMAXwB7AE4AMgBPAH0AXABcAHQAaQBtAGUAcwAgADEAMABeAHsALQAzAH0AXABuAE0ATgBfAGoAbQAxADQAIAA9ACAAbQBhAHMAcwAgAG8AZgAgAG4AaQB0AHIAbwBnAGUAbgAgAGUAeABjAHIAZQB0AGUAZAAgAG8AbgAgAHAAYQBzAHQAdQByAGUALAAgAHIAYQBuAGcAZQAsACAAYQBuAGQAIABwAGEAZABkAG8AYwBrACAAZgBvAHIAIABlAGEAYwBoACAAZABhAGkAcgB5ACAAYwBhAHQAdABsAGUAIABjAGwAYQBzAHMAIAAoAGsAZwAgAE4AKQBcAG4ARQBGAF8AUABSAFAAIAA9ACAAZQBtAGkAcwBzAGkAbwBuACAAZgBhAGMAdABvAHIAIABmAG8AcgAgAG4AaQB0AHIAbwB1AHMAIABvAHgAaQBkAGUAIABlAG0AaQBzAHMAaQBvAG4AcwAgAGYAbwByACAAdQByAGkAbgBlACAAYQBuAGQAIABkAHUAbgBnACAAZABlAHAAbwBzAGkAdABlAGQAIABvAG4AIABQAFIAUAAgACgAawBnACAATgAyAE8ALQBOAC8AawBnACAATgAgAGQAZQBwAG8AcwBpAHQAZQBk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5AF8AXwAxAF8ARABpAHIAZQBjAHQATgBpAHQAcgBvAHUAcwBPAHgAaQBkAGUARQBtAGkAcwBzAGkAbwBuAHMATwBuAFAAYQBzAHQAdQByAGUAXABuACAAIAA9AEwAQQBNAEIARABBACgAXABuACAAIAAgACAATQBOAF8AagBtADEANAAsACAARQBGAF8AUABSAFAALAAgAEMAXwBOADIATwAsAFwAbgAgACAAIAAgAE0ATgBfAGoAbQAxADQAIAAqACAARQBGAF8AUABSAFAAIAAqACAAQwBfAE4AMgBPACAAKgAgADEAMAAgAF4AIAAtADMAXABuACAAIAApADsAXABuAFwAbgBWAEUARQBSAEcAXwA0AF8AMwBfADEAXwA5AF8AXwAxAF8ARABpAHIAZQBjAHQATgBpAHQAcgBvAHUAcwBPAHgAaQBkAGUARQBtAGkAcwBzAGkAbwBuAHMATwBuAFAAYQBzAHQAdQByAGUAXwBUAGkAdABsAGUAXABuACAAIAA9AEwAQQBNAEIARABBACgAXAAiAEQAaQByAGUAYwB0ACAAbgBpAHQAcgBvAHUAcwAgAG8AeABpAGQAZQAgAGUAbQBpAHMAcwBpAG8AbgBzACAAbwBuACAAcABhAHMAdAB1AHIAZQBcACIAKQA7AFwAbgBcAG4AVgBFAEUAUgBHAF8ANABfADMAXwAxAF8AOQBfAF8AMQBfAEQAaQByAGUAYwB0AE4AaQB0AHIAbwB1AHMATwB4AGkAZABlAEUAbQBpAHMAcwBpAG8AbgBzAE8AbgBQAGEAcwB0AHUAcgBlAF8AVgBhAHIAaQBhAGIAbABlAFwAbgAgACAAPQBMAEEATQBCAEQAQQAoAFwAIgBFAF8ATgAyAE8AZABpAHIAXAAiACkAOwBcAG4AXABuAFYARQBFAFIARwBfADQAXwAzAF8AMQBfADkAXwBfADEAXwBEAGkAcgBlAGMAdABOAGkAdAByAG8AdQBzAE8AeABpAGQAZQBFAG0AaQBzAHMAaQBvAG4AcwBPAG4AUABhAHMAdAB1AHIAZQBfAFUAbgBpAHQAXABuACAAIAA9AEwAQQBNAEIARABBACgAXAAiAHQAIABOADIATwBcACIAKQA7AFwAbgBcAG4AVgBFAEUAUgBHAF8ANABfADMAXwAxAF8AOQBfAF8AMQBfAEQAaQByAGUAYwB0AE4AaQB0AHIAbwB1AHMATwB4AGkAZABlAEUAbQBpAHMAcwBpAG8AbgBzAE8AbgBQAGEAcwB0AHUAcgBlAF8AUwBvAHUAcgBjAGUAXABuACAAIAA9AEwAQQBNAEIARABBACgAXAAiAFYARQBFAFIARwAgADIAMAAyADYAOgAgADQALgAzAC4AMQAuADkALAAgAEUAcQB1AGEAdABpAG8AbgAgACgAMQApAFwAIgApADsAXABuAFwAbgBWAEUARQBSAEcAXwA0AF8AMwBfADEAXwA5AF8AXwAxAF8ARABpAHIAZQBjAHQATgBpAHQAcgBvAHUAcwBPAHgAaQBkAGUARQBtAGkAcwBzAGkAbwBuAHMATwBuAFAAYQBzAHQAdQByAGUAXwBOAEkAUgBSAGUAZgBlAHIAZQBuAGMAZQBcAG4AIAAgAD0ATABBAE0AQgBEAEEAKABcACIAXAAiACkAOwBcAG4AXABuAFYARQBFAFIARwBfADQAXwAzAF8AMQBfADkAXwBfADEAXwBEAGkAcgBlAGMAdABOAGkAdAByAG8AdQBzAE8AeABpAGQAZQBFAG0AaQBzAHMAaQBvAG4AcwBPAG4AUABhAHMAdAB1AHIAZQBfAEwAYQB0AGUAeABFAHEAdQBhAHQAaQBvAG4AXABuACAAIAA9AEwAQQBNAEIARABBACgAXAAiAEUAXwB7AE4AMgBPACwAZABpAHIAfQA9AFwAXABzAHUAbQBcAFwAbgBvAGwAaQBtAGkAdABzAF8AewBqAH0AKABNAE4AXwB7AGoAbQA9ADEANAB9AFwAXAB0AGkAbQBlAHMAIABFAEYAXwB7AFAAUgBQAH0AXABcAHQAaQBtAGUAcwAgAEMAXwB7AE4AMgBPAH0AXABcAHQAaQBtAGUAcwAgADEAMABeAHsALQAzAH0AKQBcACIAKQA7AFwAbgBcAG4AVgBFAEUAUgBHAF8ANABfADMAXwAxAF8AOQ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sACAAYQBuAGQAIABwAGEAZABkAG8AYwBrACAAZgBvAHIAIABlAGEAYwBoACAAZABhAGkAcgB5ACAAYwBhAHQAdABsAGUAIABjAGwAYQBzAHMAXAAiACwAIABcACIAawBnACAATgBcACIALAAgAFwAIgBDAGEAbABjAHUAbABhAHQAZQBkACAAZgByAG8AbQAgADQALgAzAC4AMQAuADMAIAAoADIAKQBcACIAOwBcAG4AIAAgACAAIAAgACAAIAAgACAAIABcACIARQBGAF8AUABSAFAAXAAiACwAIABcACIAZQBtAGkAcwBzAGkAbwBuACAAZgBhAGMAdABvAHIAIABmAG8AcgAgAG4AaQB0AHIAbwB1AHMAIABvAHgAaQBkAGUAIABlAG0AaQBzAHMAaQBvAG4AcwAgAGYAbwByACAAdQByAGkAbgBlACAAYQBuAGQAIABkAHUAbgBnACAAZABlAHAAbwBzAGkAdABlAGQAIABvAG4AIABQAFIAUABcACIALAAgAFwAIgBrAGcAIABOADIATwAtAE4ALwBrAGcAIABOACAAZABlAHAAbwBzAGkAdABlAGQ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6AFwAIgAsAFwAIgBXAGUAdAAgAG8AcgAgAGQAcgB5ACAAYwBsAGkAbQBhAHQAZQAgAHoAbwBuAGUAXAAiACwAIABcACIAXAAiACwAIABcACIASQBuAHAAdQB0AFwAIgBcAG4AIAAgACAAIAAgACAAIAAgAH0ALAAgAHIALAAgAGMAKQBcAG4AIAAgACAAIAAgACAAKQBcAG4AIAAgACAAIAApAFwAbgAgACAAKQA7AFwAbgAiAH0ALAB7ACIAcABhAHQAaAAiADoAIgAvAHAAcgBvAGoAZQBjAHQAcwAvAE0ATQBTAF8ARABhAGkAcgB5AF8AUwBvAGkAb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AAgAE0AZQB0AGgAbwBkACAAMQAgAC0AIABTAG8AaQBsACAAQQB0AG0AbwBzAHAAaABlAHIAaQBjACAARABlAHAAbwBzAGkAdABpAG8Ab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wAF8AXwAxAF8AQQB0AG0AbwBzAHAAaABlAHIAaQBjAEQAZQBwAG8AcwBpAHQAaQBvAG4ARQBtAGkAcwBzAGkAbwBuAHMARgByAG8AbQBVAHIAaQBuAGUAQQBuAGQARAB1AG4AZwBPAG4AUABhAHMAdAB1AHIAZQBcAG4AQQB0AG0AbwBzAHAAaABlAHIAaQBjACAAZABlAHAAbwBzAGkAdABpAG8AbgAgAGUAbQBpAHMAcwBpAG8AbgBzACAAZgByAG8AbQAgAHUAcgBpAG4AZQAgAGEAbgBkACAAZAB1AG4AZwAgAGQAZQBwAG8AcwBpAHQAZQBkACAAbwBuACAAcABhAHMAdAB1AHIAZQBcAG4ARQBfAE4AMgBPAGEAZABcAG4AdAAgAE4AMgBPAFwAbgBFAF8AewBOADIATwAsAGEAZAB9AD0ATQBfAHsAdgBvAGwALABtAD0AMQA0AH0AXABcAHQAaQBtAGUAcwAgAEUARgBfAHsATgAyAE8AfQBcAFwAdABpAG0AZQBzACAAQwBfAHsATgAyAE8AfQBcAFwAdABpAG0AZQBzACAAMQAwAF4AewAtADMAfQBcAG4ATQBfAHYAbwBsAF8AbQAxADQAIAA9ACAAbQBhAHMAcwAgAG8AZgAgAG4AaQB0AHIAbwBnAGUAbgAgAHYAbwBsAGEAdABpAGwAaQBzAGUAZAAgAGYAcgBvAG0AIAB1AHIAaQBuAGUAIABhAG4AZAAgAGYAYQBlAGMAZQBzACAAZABlAHAAbwBzAGkAdABlAGQAIABvAG4AIABwAGEAcwB0AHUAcgBlACAAKABrAGcAIABOACkAXABuAEUARgBfAE4AMgBPACAAPQAgAG4AaQB0AHIAbwB1AHMAIABvAHgAaQBkAGUAIABlAG0AaQBzAHMAaQBvAG4AIABmAGEAYwB0AG8AcgAgAGYAbwByACAAYQB0AG0AbwBzAHAAaABlAHIAaQBjACAAZABlAHAAbwBzAGkAdABpAG8Ab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wAF8AXwAxAF8AQQB0AG0AbwBzAHAAaABlAHIAaQBjAEQAZQBwAG8AcwBpAHQAaQBvAG4ARQBtAGkAcwBzAGkAbwBuAHMARgByAG8AbQBVAHIAaQBuAGUAQQBuAGQARAB1AG4AZwBPAG4AUABhAHMAdAB1AHIAZQBcAG4AIAAgAD0ATABBAE0AQgBEAEEAKABcAG4AIAAgACAAIABNAF8AdgBvAGwAXwBtADEANAAsACAARQBGAF8ATgAyAE8ALAAgAEMAXwBOADIATwAsAFwAbgAgACAAIAAgAE0AXwB2AG8AbABfAG0AMQA0ACAAKgAgAEUARgBfAE4AMgBPACAAKgAgAEMAXwBOADIATwAgACoAIAAxADAAIABeACAALQAzAFwAbgAgACAAKQA7AFwAbgBcAG4AVgBFAEUAUgBHAF8ANABfADMAXwAxAF8AMQAw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MAXwAxAF8AMQAw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MAXwAxAF8AMQAwAF8AXwAxAF8AQQB0AG0AbwBzAHAAaABlAHIAaQBjAEQAZQBwAG8AcwBpAHQAaQBvAG4ARQBtAGkAcwBzAGkAbwBuAHMARgByAG8AbQBVAHIAaQBuAGUAQQBuAGQARAB1AG4AZwBPAG4AUABhAHMAdAB1AHIAZQBfAFUAbgBpAHQAXABuACAAIAA9AEwAQQBNAEIARABBACgAXAAiAHQAIABOADIATwBcACIAKQA7AFwAbgBcAG4AVgBFAEUAUgBHAF8ANABfADMAXwAxAF8AMQAwAF8AXwAxAF8AQQB0AG0AbwBzAHAAaABlAHIAaQBjAEQAZQBwAG8AcwBpAHQAaQBvAG4ARQBtAGkAcwBzAGkAbwBuAHMARgByAG8AbQBVAHIAaQBuAGUAQQBuAGQARAB1AG4AZwBPAG4AUABhAHMAdAB1AHIAZQBfAFMAbwB1AHIAYwBlAFwAbgAgACAAPQBMAEEATQBCAEQAQQAoAFwAIgBWAEUARQBSAEcAIAAyADAAMgA2ADoAIAA0AC4AMwAuADEALgAxADAALAAgAEUAcQB1AGEAdABpAG8AbgAgACgAMQApAFwAIgApADsAXABuAFwAbgBWAEUARQBSAEcAXwA0AF8AMwBfADEAXwAxADAAXwBfADEAXwBBAHQAbQBvAHMAcABoAGUAcgBpAGMARABlAHAAbwBzAGkAdABpAG8AbgBFAG0AaQBzAHMAaQBvAG4AcwBGAHIAbwBtAFUAcgBpAG4AZQBBAG4AZABEAHUAbgBnAE8AbgBQAGEAcwB0AHUAcgBlAF8ATgBJAFIAUgBlAGYAZQByAGUAbgBjAGUAXABuACAAIAA9AEwAQQBNAEIARABBACgAXAAiAFwAIgApADsAXABuAFwAbgBWAEUARQBSAEcAXwA0AF8AMwBfADEAXwAxADAAXwBfADEAXwBBAHQAbQBvAHMAcABoAGUAcgBpAGMARABlAHAAbwBzAGkAdABpAG8AbgBFAG0AaQBzAHMAaQBvAG4AcwBGAHIAbwBtAFUAcgBpAG4AZQBBAG4AZABEAHUAbgBnAE8AbgBQAGEAcwB0AHUAcgBlAF8ATABhAHQAZQB4AEUAcQB1AGEAdABpAG8AbgBcAG4AIAAgAD0ATABBAE0AQgBEAEEAKABcACIARQBfAHsATgAyAE8ALABhAGQAfQA9AE0AXwB7AHYAbwBsACwAbQA9ADEANAB9AFwAXAB0AGkAbQBlAHMAIABFAEYAXwB7AE4AMgBPAH0AXABcAHQAaQBtAGUAcwAgAEMAXwB7AE4AMgBPAH0AXABcAHQAaQBtAGUAcwAgADEAMABeAHsALQAzAH0AXAAiACkAOwBcAG4AXABuAFYARQBFAFIARwBfADQAXwAzAF8AMQBfADEAMABfAF8AMQBfAEEAdABtAG8AcwBwAGgAZQByAGkAYwBEAGUAcABvAHMAaQB0AGkAbwBuAEUAbQBpAHMAcwBpAG8AbgBzAEYAcgBvAG0AVQByAGkAbgBlAEEAbgBkAEQAdQBuAGcATwBuAFAAYQBzAHQAdQByAGUAXwBBAHIAZwB1AG0AZQBuAHQAcwBcAG4AIAAgAD0ATABBAE0AQgBEAEEAKABcAG4AIAAgACAAIABNAEEASwBFAEEAUgBSAEEAWQAoADYALAAgADQALABcAG4AIAAgACAAIAAgACAATABBAE0AQgBEAEEAKAByACwAYwAsAFwAbgAgACAAIAAgACAAIAAgACAASQBOAEQARQBYACgAewBcAG4AIAAgACAAIAAgACAAIAAgACAAIABcACIATQBfAHYAbwBsAF8AbQAxADQ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wAuADEALgAxADAAIAAoADIAKQBcACIAOwBcAG4AIAAgACAAIAAgACAAIAAgACAAIABcACIARQBGAF8ATgAyAE8AXAAiACwAIABcACIAbgBpAHQAcgBvAHUAcwAgAG8AeABpAGQAZQAgAGUAbQBpAHMAcwBpAG8AbgAgAGYAYQBjAHQAbwByACAAZgBvAHIAIABhAHQAbQBvAHMAcABoAGUAcgBpAGMAIABkAGUAcABvAHMAaQB0AGkAbwBu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A7AFwAbgAgACAAIAAgACAAIAAgACAAIAAgAFwAIgByAFwAIgAsACAAXAAiAHIAYQBpAG4AZgBhAGwAbAAgAHIAZQBnAGkAbwBu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xADAAXwBfADIAXwBNAGEAcwBzAE8AZgBOAGkAdAByAG8AZwBlAG4AVgBvAGwAYQB0AGkAbABpAHMAZQBkAE8AbgBQAGEAcwB0AHUAcgBlAFwAbgBNAGEAcwBzACAAbwBmACAAbgBpAHQAcgBvAGcAZQBuACAAdgBvAGwAYQB0AGkAbABpAHMAZQBkACAAZgByAG8AbQAgAHUAcgBpAG4AZQAgAGEAbgBkACAAZgBhAGUAYwBlAHMAIABkAGUAcABvAHMAaQB0AGUAZAAgAG8AbgAgAHAAYQBzAHQAdQByAGUAXABuAE0AXwB2AG8AbABfAG0AMQA0AFwAbgBrAGcAIABOAFwAbgBNAF8AewB2AG8AbAAsAG0APQAxADQAfQA9AE0ATgBfAHsAagBtAD0AMQA0AH0AXABcAHQAaQBtAGUAcwAgAEYAcgBhAGMARwBBAFMATQBzAG8AaQBsAFwAbgBNAE4AXwBqAG0AMQA0ACAAPQAgAG0AYQBzAHMAIABvAGYAIABuAGkAdAByAG8AZwBlAG4AIABlAHgAYwByAGUAdABlAGQAIABvAG4AIABwAGEAcwB0AHUAcgBlACwAIAByAGEAbgBnAGUAIABhAG4AZAAgAHAAYQBkAGQAbwBjAGsAIABmAG8AcgAgAGUAYQBjAGgAIABkAGEAaQByAHkAIABjAGwAYQBzAHMAIAAoAGsAZwAgAE4AKQBcAG4ARgByAGEAYwBHAEEAUwBNAHMAbwBpAGwAIAA9ACAAZgByAGEAYwB0AGkAbwBuACAAbwBmACAAbgBpAHQAcgBvAGcAZQBuACAAdgBvAGwAYQB0AGkAbABpAHMAZQBkACAAZgByAG8AbQAgAHUAcgBpAG4AZQAgAGEAbgBkACAAZgBhAGUAYwBlAHMAIABkAGUAcABvAHMAaQB0AGUAZAAgAG8AbgAgAHAAYQBzAHQAdQByAGUAIAAoACgAawBnACAATgBIADMALQBOACAAKwAgAE4ATwB4AC0ATgApAC8AawBnACAATgApAFwAbgAtAC0ALQAtAC0ALQAtAC0ALQAtAC0ALQAtAC0ALQAtAC0ALQAtAC0ALQAtAC0ALQAtAC0ALQAtAC0ALQAtAC0ALQAtAC0ALQAtAC0AXABuACoALwBcAG4AXABuAFYARQBFAFIARwBfADQAXwAzAF8AMQBfADEAMABfAF8AMgBfAE0AYQBzAHMATwBmAE4AaQB0AHIAbwBnAGUAbgBWAG8AbABhAHQAaQBsAGkAcwBlAGQATwBuAFAAYQBzAHQAdQByAGUAXABuACAAIAA9AEwAQQBNAEIARABBACgAXABuACAAIAAgACAATQBOAF8AagBtADEANAAsACAARgByAGEAYwBHAEEAUwBNAHMAbwBpAGwALABcAG4AIAAgACAAIABNAE4AXwBqAG0AMQA0ACAAKgAgAEYAcgBhAGMARwBBAFMATQBzAG8AaQBsAFwAbgAgACAAKQA7AFwAbgBcAG4AVgBFAEUAUgBHAF8ANABfADMAXwAxAF8AMQAwAF8AXwAyAF8ATQBhAHMAcwBPAGYATgBpAHQAcgBvAGcAZQBuAFYAbwBsAGEAdABpAGwAaQBzAGUAZABPAG4AUABhAHMAdAB1AHIAZQBfAFQAaQB0AGwAZQBcAG4AIAAgAD0ATABBAE0AQgBEAEEAKABcACIATQBhAHMAcwAgAG8AZgAgAG4AaQB0AHIAbwBnAGUAbgAgAHYAbwBsAGEAdABpAGwAaQBzAGUAZAAgAGYAcgBvAG0AIAB1AHIAaQBuAGUAIABhAG4AZAAgAGYAYQBlAGMAZQBzACAAZABlAHAAbwBzAGkAdABlAGQAIABvAG4AIABwAGEAcwB0AHUAcgBlAFwAIgApADsAXABuAFwAbgBWAEUARQBSAEcAXwA0AF8AMwBfADEAXwAxADAAXwBfADIAXwBNAGEAcwBzAE8AZgBOAGkAdAByAG8AZwBlAG4AVgBvAGwAYQB0AGkAbABpAHMAZQBkAE8AbgBQAGEAcwB0AHUAcgBlAF8AVgBhAHIAaQBhAGIAbABlAFwAbgAgACAAPQBMAEEATQBCAEQAQQAoAFwAIgBNAF8AdgBvAGwAXwBtADEANABcACIAKQA7AFwAbgBcAG4AVgBFAEUAUgBHAF8ANABfADMAXwAxAF8AMQAwAF8AXwAyAF8ATQBhAHMAcwBPAGYATgBpAHQAcgBvAGcAZQBuAFYAbwBsAGEAdABpAGwAaQBzAGUAZABPAG4AUABhAHMAdAB1AHIAZQBfAFUAbgBpAHQAXABuACAAIAA9AEwAQQBNAEIARABBACgAXAAiAGsAZwAgAE4AXAAiACkAOwBcAG4AXABuAFYARQBFAFIARwBfADQAXwAzAF8AMQBfADEAMABfAF8AMgBfAE0AYQBzAHMATwBmAE4AaQB0AHIAbwBnAGUAbgBWAG8AbABhAHQAaQBsAGkAcwBlAGQATwBuAFAAYQBzAHQAdQByAGUAXwBTAG8AdQByAGMAZQBcAG4AIAAgAD0ATABBAE0AQgBEAEEAKABcACIAVgBFAEUAUgBHACAAMgAwADIANgA6ACAANAAuADMALgAxAC4AMQAwACwAIABFAHEAdQBhAHQAaQBvAG4AIAAoADIAKQBcACIAKQA7AFwAbgBcAG4AVgBFAEUAUgBHAF8ANABfADMAXwAxAF8AMQAwAF8AXwAyAF8ATQBhAHMAcwBPAGYATgBpAHQAcgBvAGcAZQBuAFYAbwBsAGEAdABpAGwAaQBzAGUAZABPAG4AUABhAHMAdAB1AHIAZQBfAE4ASQBSAFIAZQBmAGUAcgBlAG4AYwBlAFwAbgAgACAAPQBMAEEATQBCAEQAQQAoAFwAIgBcACIAKQA7AFwAbgBcAG4AVgBFAEUAUgBHAF8ANABfADMAXwAxAF8AMQAwAF8AXwAyAF8ATQBhAHMAcwBPAGYATgBpAHQAcgBvAGcAZQBuAFYAbwBsAGEAdABpAGwAaQBzAGUAZABPAG4AUABhAHMAdAB1AHIAZQBfAEwAYQB0AGUAeABFAHEAdQBhAHQAaQBvAG4AXABuACAAIAA9AEwAQQBNAEIARABBACgAXAAiAE0AXwB7AHYAbwBsACwAbQA9ADEANAB9AD0AXABcAHMAdQBtAFwAXABuAG8AbABpAG0AaQB0AHMAXwB7AGoAfQAoAE0ATgBfAHsAagBtAD0AMQA0AH0AXABcAHQAaQBtAGUAcwAgAEYAcgBhAGMARwBBAFMATQBzAG8AaQBsACkAXAAiACkAOwBcAG4AXABuAFYARQBFAFIARwBfADQAXwAzAF8AMQBfADEAMA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FwAIgAsACAAXAAiACgAawBnACAATgBIADMALQBOACAAKwAgAE4ATwB4AC0ATgApAC8AawBnACAATgApAFwAIgAsACAAXAAiAEMAbwBuAHMAdABhAG4AdABcACIAXABuACAAIAAgACAAIAAgACAAIAB9ACwAIAByACwAIABjACkAXABuACAAIAAgACAAIAAgACkAXABuACAAIAAgACAAKQBcAG4AIAAgACkAOwBcAG4AIgB9ACwAewAiAHAAYQB0AGgAIgA6ACIALwBwAHIAbwBqAGUAYwB0AHMALwBNAE0AUwBfAEQAYQBpAHIAeQBfAFMAbwBpAGwAXwBMAGUAYQBjAGgAaQBuAGcAQQBuAGQAUgB1AG4AbwBmAGY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EAMgAgAE0AZQB0AGgAbwBkACAAMQAgAC0AIABTAG8AaQBs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MQAyAF8AXwAxAF8ATABlAGEAYwBoAGkAbgBnAEEAbgBkAFIAdQBuAG8AZgBmAEUAbQBpAHMAcwBpAG8AbgBzAEYAcgBvAG0AVQByAGkAbgBlAEEAbgBkAEQAdQBuAGcATwBuAFAAYQBzAHQAdQByAGUAXABuAEwAZQBhAGMAaABpAG4AZwAgAGEAbgBkACAAcgB1AG4AbwBmAGYAIABlAG0AaQBzAHMAaQBvAG4AcwAgAGYAcgBvAG0AIAB1AHIAaQBuAGUAIABhAG4AZAAgAGQAdQBuAGcAIABkAGUAcABvAHMAaQB0AGUAZAAgAG8AbgAgAHAAYQBzAHQAdQByAGUAXABuAEUAXwBOADIATwBsAGUAYQBjAGgAXABuAHQAIABOADIATwBcAG4ARQBfAHsATgAyAE8ALABsAGUAYQBjAGgAfQA9AE0AXwB7AGwAZQBhAGMAaAAsAG0APQAxADQAfQBcAFwAdABpAG0AZQBzACAARQBGAF8AewBsAGUAYQBjAGgAfQBcAFwAdABpAG0AZQBzACAAQwBfAHsATgAyAE8AfQBcAFwAdABpAG0AZQBzACAAMQAwAF4AewAtADMAfQBcAG4ATQBfAGwAZQBhAGMAaABfAG0AMQA0ACAAPQAgAG0AYQBzAHMAIABvAGYAIABuAGkAdAByAG8AZwBlAG4AIABsAG8AcwB0ACAAdABvACAAbABlAGEAYwBoAGkAbgBnACAAYQBuAGQAIAByAHUAbgBvAGYAZgAgAGYAcgBvAG0AIAB1AHIAaQBuAGUAIABhAG4AZAAgAGYAYQBlAGMAZQBzACAAZABlAHAAbwBzAGkAdABlAGQAIABvAG4AIABwAGEAcwB0AHUAcgBlACAAKABrAGcAIABOACkAXABuAEUARgBfAGwAZQBhAGMAaAAgAD0AIABuAGkAdAByAG8AdQBzACAAbwB4AGkAZABlACAAZQBtAGkAcwBzAGkAbwBuACAAZgBhAGMAdABvAHIAIABmAG8AcgAgAGwAZQBhAGMAaABpAG4AZwAgAGEAbgBkACAAcgB1AG4AbwBmAGY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gBfAF8AMQBfAEwAZQBhAGMAaABpAG4AZwBBAG4AZABSAHUAbgBvAGYAZgBFAG0AaQBzAHMAaQBvAG4AcwBGAHIAbwBtAFUAcgBpAG4AZQBBAG4AZABEAHUAbgBnAE8AbgBQAGEAcwB0AHUAcgBlAFwAbgAgACAAPQBMAEEATQBCAEQAQQAoAFwAbgAgACAAIAAgAE0AXwBsAGUAYQBjAGgAXwBtADEANAAsACAARQBGAF8AbABlAGEAYwBoACwAIABDAF8ATgAyAE8ALABcAG4AIAAgACAAIABNAF8AbABlAGEAYwBoAF8AbQAxADQAIAAqACAARQBGAF8AbABlAGEAYwBoACAAKgAgAEMAXwBOADIATwAgACoAIAAxADAAIABeACAALQAzAFwAbgAgACAAKQA7AFwAbgBcAG4AVgBFAEUAUgBHAF8ANABfADMAXwAxAF8AMQAy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zAF8AMQBfADEAMgBfAF8AMQBfAEwAZQBhAGMAaABpAG4AZwBBAG4AZABSAHUAbgBvAGYAZgBFAG0AaQBzAHMAaQBvAG4AcwBGAHIAbwBtAFUAcgBpAG4AZQBBAG4AZABEAHUAbgBnAE8AbgBQAGEAcwB0AHUAcgBlAF8AVgBhAHIAaQBhAGIAbABlAFwAbgAgACAAPQBMAEEATQBCAEQAQQAoAFwAIgBFAF8ATgAyAE8AbABlAGEAYwBoAFwAIgApADsAXABuAFwAbgBWAEUARQBSAEcAXwA0AF8AMwBfADEAXwAxADIAXwBfADEAXwBMAGUAYQBjAGgAaQBuAGcAQQBuAGQAUgB1AG4AbwBmAGYARQBtAGkAcwBzAGkAbwBuAHMARgByAG8AbQBVAHIAaQBuAGUAQQBuAGQARAB1AG4AZwBPAG4AUABhAHMAdAB1AHIAZQBfAFUAbgBpAHQAXABuACAAIAA9AEwAQQBNAEIARABBACgAXAAiAHQAIABOADIATwBcACIAKQA7AFwAbgBcAG4AVgBFAEUAUgBHAF8ANABfADMAXwAxAF8AMQAyAF8AXwAxAF8ATABlAGEAYwBoAGkAbgBnAEEAbgBkAFIAdQBuAG8AZgBmAEUAbQBpAHMAcwBpAG8AbgBzAEYAcgBvAG0AVQByAGkAbgBlAEEAbgBkAEQAdQBuAGcATwBuAFAAYQBzAHQAdQByAGUAXwBTAG8AdQByAGMAZQBcAG4AIAAgAD0ATABBAE0AQgBEAEEAKABcACIAVgBFAEUAUgBHACAAMgAwADIANgA6ACAANAAuADMALgAxAC4AMQAyACwAIABFAHEAdQBhAHQAaQBvAG4AIAAoADEAKQBcACIAKQA7AFwAbgBcAG4AVgBFAEUAUgBHAF8ANABfADMAXwAxAF8AMQAyAF8AXwAxAF8ATABlAGEAYwBoAGkAbgBnAEEAbgBkAFIAdQBuAG8AZgBmAEUAbQBpAHMAcwBpAG8AbgBzAEYAcgBvAG0AVQByAGkAbgBlAEEAbgBkAEQAdQBuAGcATwBuAFAAYQBzAHQAdQByAGUAXwBOAEkAUgBSAGUAZgBlAHIAZQBuAGMAZQBcAG4AIAAgAD0ATABBAE0AQgBEAEEAKABcACIAXAAiACkAOwBcAG4AXABuAFYARQBFAFIARwBfADQAXwAzAF8AMQBfADEAMg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AsAG0APQAxADQAfQBcAFwAdABpAG0AZQBzACAARQBGAF8AewBsAGUAYQBjAGgAfQBcAFwAdABpAG0AZQBzACAAQwBfAHsATgAyAE8AfQBcAFwAdABpAG0AZQBzACAAMQAwAF4AewAtADMAfQBcACIAKQA7AFwAbgBcAG4AVgBFAEUAUgBHAF8ANABfADMAXwAxAF8AMQAy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fAG0AMQA0AFwAIgAsACAAXAAiAG0AYQBzAHMAIABvAGYAIABuAGkAdAByAG8AZwBlAG4AIABsAG8AcwB0ACAAdABvACAAbABlAGEAYwBoAGkAbgBnACAAYQBuAGQAIAByAHUAbgBvAGYAZgAgAGYAcgBvAG0AIAB1AHIAaQBuAGUAIABhAG4AZAAgAGYAYQBlAGMAZQBzACAAZABlAHAAbwBzAGkAdABlAGQAIABvAG4AIABwAGEAcwB0AHUAcgBlAFwAIgAsACAAXAAiAGsAZwAgAE4AXAAiACwAIABcACIAQwBhAGwAYwB1AGwAYQB0AGUAZAAgAGYAcgBvAG0AIAA0AC4AMwAuADEALgAxADI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xADIAXwBfADIAXwBNAGEAcwBzAE8AZgBOAGkAdAByAG8AZwBlAG4ATABvAHMAdABUAG8ATABlAGEAYwBoAGkAbgBnAEEAbgBkAFIAdQBuAG8AZgBmAE8AbgBQAGEAcwB0AHUAcgBlAFwAbgBNAGEAcwBzACAAbwBmACAAbgBpAHQAcgBvAGcAZQBuACAAbABvAHMAdAAgAHQAbwAgAGwAZQBhAGMAaABpAG4AZwAgAGEAbgBkACAAcgB1AG4AbwBmAGYAIABmAHIAbwBtACAAdQByAGkAbgBlACAAYQBuAGQAIABmAGEAZQBjAGUAcwAgAG8AbgAgAHAAYQBzAHQAdQByAGUAXABuAE0AXwBsAGUAYQBjAGgAXwBtADEANABcAG4AawBnACAATgBcAG4ATQBfAHsAbABlAGEAYwBoACwAbQA9ADEANAB9AD0ATQBOAF8AewBqAG0APQAxADQAfQBcAFwAdABpAG0AZQBzACAARgByAGEAYwBXAGUAdABcAFwAdABpAG0AZQBzACAARgByAGEAYwBMAEUAQQBDAEgAXABuAE0ATgBfAGoAbQAxADQAIAA9ACAAbQBhAHMAcwAgAG8AZgAgAG4AaQB0AHIAbwBnAGUAbgAgAGUAeABjAHIAZQB0AGUAZAAgAG8AbgAgAHAAYQBzAHQAdQByAGUALAAgAHIAYQBuAGcAZQAgAGEAbgBkACAAcABhAGQAZABvAGMAawAgAGYAbwByACAAZQBhAGMAaAAgAGQAYQBpAHIAeQAgAGMAbABhAHMAcwAgACgAawBnACAATgApAFwAbgBGAHIAYQBjAFcAZQB0ACAAPQAgAGYAcgBhAGMAdABpAG8AbgAgAG8AZgAgAE4AIABhAHYAYQBpAGwAYQBiAGwAZQAgAGYAbwByACAAbABlAGEAYwBoAGkAbgBnACAAYQBuAGQAIAByAHUAbgBvAGYAZgBcAG4ARgByAGEAYwBMAEUAQQBDAEg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xADIAXwBfADIAXwBNAGEAcwBzAE8AZgBOAGkAdAByAG8AZwBlAG4ATABvAHMAdABUAG8ATABlAGEAYwBoAGkAbgBnAEEAbgBkAFIAdQBuAG8AZgBmAE8AbgBQAGEAcwB0AHUAcgBlAFwAbgAgACAAPQBMAEEATQBCAEQAQQAoAFwAbgAgACAAIAAgAE0ATgBfAGoAbQAxADQALAAgAEYAcgBhAGMAVwBlAHQALAAgAEYAcgBhAGMATABFAEEAQwBIACwAXABuACAAIAAgACAATQBOAF8AagBtADEANAAgACoAIABGAHIAYQBjAFcAZQB0ACAAKgAgAEYAcgBhAGMATABFAEEAQwBIAFwAbgAgACAAKQA7AFwAbgBcAG4AVgBFAEUAUgBHAF8ANABfADMAXwAxAF8AMQAy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CAAZgByAG8AbQAgAHUAcgBpAG4AZQAgAGEAbgBkACAAZgBhAGUAYwBlAHMAIABvAG4AIABwAGEAcwB0AHUAcgBlAFwAIgApADsAXABuAFwAbgBWAEUARQBSAEcAXwA0AF8AMwBfADEAXwAxADIAXwBfADIAXwBNAGEAcwBzAE8AZgBOAGkAdAByAG8AZwBlAG4ATABvAHMAdABUAG8ATABlAGEAYwBoAGkAbgBnAEEAbgBkAFIAdQBuAG8AZgBmAE8AbgBQAGEAcwB0AHUAcgBlAF8AVgBhAHIAaQBhAGIAbABlAFwAbgAgACAAPQBMAEEATQBCAEQAQQAoAFwAIgBNAF8AbABlAGEAYwBoAF8AbQAxADQAXAAiACkAOwBcAG4AXABuAFYARQBFAFIARwBfADQAXwAzAF8AMQBfADEAMgBfAF8AMgBfAE0AYQBzAHMATwBmAE4AaQB0AHIAbwBnAGUAbgBMAG8AcwB0AFQAbwBMAGUAYQBjAGgAaQBuAGcAQQBuAGQAUgB1AG4AbwBmAGYATwBuAFAAYQBzAHQAdQByAGUAXwBVAG4AaQB0AFwAbgAgACAAPQBMAEEATQBCAEQAQQAoAFwAIgBrAGcAIABOAFwAIgApADsAXABuAFwAbgBWAEUARQBSAEcAXwA0AF8AMwBfADEAXwAxADIAXwBfADIAXwBNAGEAcwBzAE8AZgBOAGkAdAByAG8AZwBlAG4ATABvAHMAdABUAG8ATABlAGEAYwBoAGkAbgBnAEEAbgBkAFIAdQBuAG8AZgBmAE8AbgBQAGEAcwB0AHUAcgBlAF8AUwBvAHUAcgBjAGUAXABuACAAIAA9AEwAQQBNAEIARABBACgAXAAiAFYARQBFAFIARwAgADIAMAAyADYAOgAgADQALgAzAC4AMQAuADEAMgAsACAARQBxAHUAYQB0AGkAbwBuACAAKAAyACkAXAAiACkAOwBcAG4AXABuAFYARQBFAFIARwBfADQAXwAzAF8AMQBfADEAMgBfAF8AMgBfAE0AYQBzAHMATwBmAE4AaQB0AHIAbwBnAGUAbgBMAG8AcwB0AFQAbwBMAGUAYQBjAGgAaQBuAGcAQQBuAGQAUgB1AG4AbwBmAGYATwBuAFAAYQBzAHQAdQByAGUAXwBOAEkAUgBSAGUAZgBlAHIAZQBuAGMAZQBcAG4AIAAgAD0ATABBAE0AQgBEAEEAKABcACIAXAAiACkAOwBcAG4AXABuAFYARQBFAFIARwBfADQAXwAzAF8AMQBfADEAMgBfAF8AMgBfAE0AYQBzAHMATwBmAE4AaQB0AHIAbwBnAGUAbgBMAG8AcwB0AFQAbwBMAGUAYQBjAGgAaQBuAGcAQQBuAGQAUgB1AG4AbwBmAGYATwBuAFAAYQBzAHQAdQByAGUAXwBMAGEAdABlAHgARQBxAHUAYQB0AGkAbwBuAFwAbgAgACAAPQBMAEEATQBCAEQAQQAoAFwAIgBNAF8AewBsAGUAYQBjAGgALABtAD0AMQA0AH0APQBcAFwAcwB1AG0AXABcAG4AbwBsAGkAbQBpAHQAcwBfAHsAagB9ACgATQBOAF8AewBqAG0APQAxADQAfQBcAFwAdABpAG0AZQBzACAARgByAGEAYwBXAGUAdABcAFwAdABpAG0AZQBzACAARgByAGEAYwBMAEUAQQBDAEgAKQBcACIAKQA7AFwAbgBcAG4AVgBFAEUAUgBHAF8ANABfADMAXwAxAF8AMQAyAF8AXwAyAF8ATQBhAHMAcwBPAGYATgBpAHQAcgBvAGcAZQBuAEwAbwBzAHQAVABvAEwAZQBhAGMAaABpAG4AZwBBAG4AZABSAHUAbgBvAGYAZgBPAG4AUABhAHMAdAB1AHIAZQBfAEEAcgBnAHUAbQBlAG4AdABzAFwAbgAgACAAPQBMAEEATQBCAEQAQQAoAFwAbgAgACAAIAAgAE0AQQBLAEUAQQBSAFIAQQBZACgAN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XAGUAdABcACIALAAgAFwAIgBmAHIAYQBjAHQAaQBvAG4AIABvAGYAIABOACAAYQB2AGEAaQBsAGEAYgBsAGUAIABmAG8AcgAgAGwAZQBhAGMAaABpAG4AZwAgAGEAbgBkACAAcgB1AG4AbwBmAGYAXAAiACwAIABcACIAXAAiACwAIABcACIAQwBvAG4AcwB0AGEAbgB0AFwAIgA7AFwAbgAgACAAIAAgACAAIAAgACAAIAAgAFwAIgBGAHIAYQBjAEwARQBBAEMASABcACIALAAgAFwAIgBmAHIAYQBjAHQAaQBvAG4AIABvAGYAIABOACAAbABvAHMAdAAgAHQAaAByAG8AdQBnAGgAIABsAGUAYQBjAGgAaQBuAGcAIABhAG4AZAAgAHIAdQBuAG8AZgBmAFwAIgAsACAAXAAiAFwAIgAsACAAXAAiAEMAbwBuAHMAdABhAG4AdABcACIAOwBcAG4AIAAgACAAIAAgACAAIAAgACAAIABcACIAegBcACIALAAgAFwAIgBsAG8AYwBhAHQAaQBvAG4AIABpAG4AIABsAGUAYQBjAGgAaQBuAGcAIAB6AG8AbgBlAFwAIgAsACAAXAAiAFwAIgAsACAAXAAiAEkAbgBwAHU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XABuACAAIAAgACAAIAAgACAAIAB9ACwAIAByACwAIABjACkAXABuACAAIAAgACAAIAAgACkAXABuACAAIAAgACAAKQBcAG4AIAAgACkAOw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TABpAHYAZQBzAHQAbwBjAGsAXwBTAG8AdQByAGMAZQBEAGEAdABhAC4AUwBvAHUAcgBjAGUARABhAHQAYQBfAEwAaQB2AGUAcwB0AG8AYwBrAF8AUAByAG8AZAB1AGMAdABfAEIAZQBlAGYAQwBhAHQAdABsAGUAXwBUAGkAdABsAGUAIgAsACIAQwBvAG0AbQBvAG4ATABpAHYAZQBzAHQAbwBjAGsAXwBTAG8AdQByAGMAZQBEAGEAdABhAC4AUwBvAHUAcgBjAGUARABhAHQAYQBfAEwAaQB2AGUAcwB0AG8AYwBrAF8AUAByAG8AZAB1AGMAdABfAEIAZQBlAGYAQwBhAHQAdABsAGUAXwBWAGEAaQByAGEAYgBsAGUAIgAsACIAQwBvAG0AbQBvAG4ATABpAHYAZQBzAHQAbwBjAGsAXwBTAG8AdQByAGMAZQBEAGEAdABhAC4AUwBvAHUAcgBjAGUARABhAHQAYQBfAEwAaQB2AGUAcwB0AG8AYwBrAF8AUAByAG8AZAB1AGMAdABfAEIAZQBlAGYAQwBhAHQAdABsAGUAXwBVAG4AaQB0ACIALAAiAEMAbwBtAG0AbwBuAEwAaQB2AGUAcwB0AG8AYwBrAF8AUwBvAHUAcgBjAGUARABhAHQAYQAuAFMAbwB1AHIAYwBlAEQAYQB0AGEAXwBMAGkAdgBlAHMAdABvAGMAawBfAFAAcgBvAGQAdQBjAHQAXwBCAGUAZQBmAEMAYQB0AHQAbABlAF8AUwBvAHUAcgBjAGUAIgAsACIAQwBvAG0AbQBvAG4ATABpAHYAZQBzAHQAbwBjAGsAXwBTAG8AdQByAGMAZQBEAGEAdABhAC4AUwBvAHUAcgBjAGUARABhAHQAYQBfAEwAaQB2AGUAcwB0AG8AYwBrAF8AUAByAG8AZAB1AGMAdABfAEIAZQBlAGYAQwBhAHQAdABsAGUAXwBEAGEAdABhACIALAAiAEMAbwBtAG0AbwBuAEwAaQB2AGUAcwB0AG8AYwBrAF8AUwBvAHUAcgBjAGUARABhAHQAYQAuAFMAbwB1AHIAYwBlAEQAYQB0AGEAXwBMAGkAdgBlAHMAdABvAGMAawBfAFAAcgBvAGQAdQBjAHQAXwBDAGgAaQBjAGsAZQBuAHMAXwBUAGkAdABsAGUAIgAsACIAQwBvAG0AbQBvAG4ATABpAHYAZQBzAHQAbwBjAGsAXwBTAG8AdQByAGMAZQBEAGEAdABhAC4AUwBvAHUAcgBjAGUARABhAHQAYQBfAEwAaQB2AGUAcwB0AG8AYwBrAF8AUAByAG8AZAB1AGMAdABfAEMAaABpAGMAawBlAG4AcwBfAFYAYQBpAHIAYQBiAGwAZQAiACwAIgBDAG8AbQBtAG8AbgBMAGkAdgBlAHMAdABvAGMAawBfAFMAbwB1AHIAYwBlAEQAYQB0AGEALgBTAG8AdQByAGMAZQBEAGEAdABhAF8ATABpAHYAZQBzAHQAbwBjAGsAXwBQAHIAbwBkAHUAYwB0AF8AQwBoAGkAYwBrAGUAbgBzAF8AVQBuAGkAdAAiACwAIgBDAG8AbQBtAG8AbgBMAGkAdgBlAHMAdABvAGMAawBfAFMAbwB1AHIAYwBlAEQAYQB0AGEALgBTAG8AdQByAGMAZQBEAGEAdABhAF8ATABpAHYAZQBzAHQAbwBjAGsAXwBQAHIAbwBkAHUAYwB0AF8AQwBoAGkAYwBrAGUAbgBzAF8AUwBvAHUAcgBjAGUAIgAsACIAQwBvAG0AbQBvAG4ATABpAHYAZQBzAHQAbwBjAGsAXwBTAG8AdQByAGMAZQBEAGEAdABhAC4AUwBvAHUAcgBjAGUARABhAHQAYQBfAEwAaQB2AGUAcwB0AG8AYwBrAF8AUAByAG8AZAB1AGMAdABfAEMAaABpAGMAawBlAG4AcwBfAEQAYQB0AGEAIgAsACIAQwBvAG0AbQBvAG4ATABpAHYAZQBzAHQAbwBjAGsAXwBTAG8AdQByAGMAZQBEAGEAdABhAC4AUwBvAHUAcgBjAGUARABhAHQAYQBfAEwAaQB2AGUAcwB0AG8AYwBrAF8AUAByAG8AZAB1AGMAdABfAEQAYQBpAHIAeQBjAGEAdAB0AGwAZQBfAFQAaQB0AGwAZQAiACwAIgBDAG8AbQBtAG8AbgBMAGkAdgBlAHMAdABvAGMAawBfAFMAbwB1AHIAYwBlAEQAYQB0AGEALgBTAG8AdQByAGMAZQBEAGEAdABhAF8ATABpAHYAZQBzAHQAbwBjAGsAXwBQAHIAbwBkAHUAYwB0AF8ARABhAGkAcgB5AGMAYQB0AHQAbABlAF8AVgBhAGkAcgBhAGIAbABlACIALAAiAEMAbwBtAG0AbwBuAEwAaQB2AGUAcwB0AG8AYwBrAF8AUwBvAHUAcgBjAGUARABhAHQAYQAuAFMAbwB1AHIAYwBlAEQAYQB0AGEAXwBMAGkAdgBlAHMAdABvAGMAawBfAFAAcgBvAGQAdQBjAHQAXwBEAGEAaQByAHkAYwBhAHQAdABsAGUAXwBVAG4AaQB0ACIALAAiAEMAbwBtAG0AbwBuAEwAaQB2AGUAcwB0AG8AYwBrAF8AUwBvAHUAcgBjAGUARABhAHQAYQAuAFMAbwB1AHIAYwBlAEQAYQB0AGEAXwBMAGkAdgBlAHMAdABvAGMAawBfAFAAcgBvAGQAdQBjAHQAXwBEAGEAaQByAHkAYwBhAHQAdABsAGUAXwBTAG8AdQByAGMAZQAiACwAIgBDAG8AbQBtAG8AbgBMAGkAdgBlAHMAdABvAGMAawBfAFMAbwB1AHIAYwBlAEQAYQB0AGEALgBTAG8AdQByAGMAZQBEAGEAdABhAF8ATABpAHYAZQBzAHQAbwBjAGsAXwBQAHIAbwBkAHUAYwB0AF8ARABhAGkAcgB5AGMAYQB0AHQAbABlAF8ARABhAHQAYQAiACwAIgBDAG8AbQBtAG8AbgBMAGkAdgBlAHMAdABvAGMAawBfAFMAbwB1AHIAYwBlAEQAYQB0AGEALgBTAG8AdQByAGMAZQBEAGEAdABhAF8ATABpAHYAZQBzAHQAbwBjAGsAXwBQAHIAbwBkAHUAYwB0AF8AUABpAGcAcwBfAFQAaQB0AGwAZQAiACwAIgBDAG8AbQBtAG8AbgBMAGkAdgBlAHMAdABvAGMAawBfAFMAbwB1AHIAYwBlAEQAYQB0AGEALgBTAG8AdQByAGMAZQBEAGEAdABhAF8ATABpAHYAZQBzAHQAbwBjAGsAXwBQAHIAbwBkAHUAYwB0AF8AUABpAGcAcwBfAFYAYQBpAHIAYQBiAGwAZQAiACwAIgBDAG8AbQBtAG8AbgBMAGkAdgBlAHMAdABvAGMAawBfAFMAbwB1AHIAYwBlAEQAYQB0AGEALgBTAG8AdQByAGMAZQBEAGEAdABhAF8ATABpAHYAZQBzAHQAbwBjAGsAXwBQAHIAbwBkAHUAYwB0AF8AUABpAGcAcwBfAFUAbgBpAHQAIgAsACIAQwBvAG0AbQBvAG4ATABpAHYAZQBzAHQAbwBjAGsAXwBTAG8AdQByAGMAZQBEAGEAdABhAC4AUwBvAHUAcgBjAGUARABhAHQAYQBfAEwAaQB2AGUAcwB0AG8AYwBrAF8AUAByAG8AZAB1AGMAdABfAFAAaQBnAHMAXwBTAG8AdQByAGMAZQAiACwAIgBDAG8AbQBtAG8AbgBMAGkAdgBlAHMAdABvAGMAawBfAFMAbwB1AHIAYwBlAEQAYQB0AGEALgBTAG8AdQByAGMAZQBEAGEAdABhAF8ATABpAHYAZQBzAHQAbwBjAGsAXwBQAHIAbwBkAHUAYwB0AF8AUABpAGcAcwBfAEQAYQB0AGEAIgAsACIAQwBvAG0AbQBvAG4ATABpAHYAZQBzAHQAbwBjAGsAXwBTAG8AdQByAGMAZQBEAGEAdABhAC4AUwBvAHUAcgBjAGUARABhAHQAYQBfAEwAaQB2AGUAcwB0AG8AYwBrAF8AUAByAG8AZAB1AGMAdABfAFMAaABlAGUAcABfAFQAaQB0AGwAZQAiACwAIgBDAG8AbQBtAG8AbgBMAGkAdgBlAHMAdABvAGMAawBfAFMAbwB1AHIAYwBlAEQAYQB0AGEALgBTAG8AdQByAGMAZQBEAGEAdABhAF8ATABpAHYAZQBzAHQAbwBjAGsAXwBQAHIAbwBkAHUAYwB0AF8AUwBoAGUAZQBwAF8AVgBhAGkAcgBhAGIAbABlACIALAAiAEMAbwBtAG0AbwBuAEwAaQB2AGUAcwB0AG8AYwBrAF8AUwBvAHUAcgBjAGUARABhAHQAYQAuAFMAbwB1AHIAYwBlAEQAYQB0AGEAXwBMAGkAdgBlAHMAdABvAGMAawBfAFAAcgBvAGQAdQBjAHQAXwBTAGgAZQBlAHAAXwBVAG4AaQB0ACIALAAiAEMAbwBtAG0AbwBuAEwAaQB2AGUAcwB0AG8AYwBrAF8AUwBvAHUAcgBjAGUARABhAHQAYQAuAFMAbwB1AHIAYwBlAEQAYQB0AGEAXwBMAGkAdgBlAHMAdABvAGMAawBfAFAAcgBvAGQAdQBjAHQAXwBTAGgAZQBlAHAAXwBTAG8AdQByAGMAZQAiACwAIgBDAG8AbQBtAG8AbgBMAGkAdgBlAHMAdABvAGMAawBfAFMAbwB1AHIAYwBlAEQAYQB0AGEALgBTAG8AdQByAGMAZQBEAGEAdABhAF8ATABpAHYAZQBzAHQAbwBjAGsAXwBQAHIAbwBkAHUAYwB0AF8AUwBoAGUAZQBw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MAbwBsAGkAZABTAHQAbwByAGEAZwBlAF8AVABpAHQAbABlACIALAAiAFMAbwB1AHIAYwBlAEQAYQB0AGEAXwBEAGEAaQByAHkALgBTAG8AdQByAGMAZQBEAGEAdABhAF8ARABhAGkAcgB5AF8ARgByAGEAYwB0AGkAbwBuAE8AZgBOAGkAdAByAG8AZwBlAG4ATABvAHMAdABUAGgAcgBvAHUAZwBoAEwAZQBhAGMAaABpAG4AZwBBAG4AZABSAHUAbgBvAGYAZgBTAG8AbABpAGQAUwB0AG8AcgBhAGcAZQBfAFYAYQByAGkAYQBiAGwAZQAiACwAIgBTAG8AdQByAGMAZQBEAGEAdABhAF8ARABhAGkAcgB5AC4AUwBvAHUAcgBjAGUARABhAHQAYQBfAEQAYQBpAHIAeQBfAEYAcgBhAGMAdABpAG8AbgBPAGYATgBpAHQAcgBvAGcAZQBuAEwAbwBzAHQAVABoAHIAbwB1AGcAaABMAGUAYQBjAGgAaQBuAGcAQQBuAGQAUgB1AG4AbwBmAGYAUwBvAGwAaQBkAFMAdABvAHIAYQBnAGUAXwBVAG4AaQB0ACIALAAiAFMAbwB1AHIAYwBlAEQAYQB0AGEAXwBEAGEAaQByAHkALgBTAG8AdQByAGMAZQBEAGEAdABhAF8ARABhAGkAcgB5AF8ARgByAGEAYwB0AGkAbwBuAE8AZgBOAGkAdAByAG8AZwBlAG4ATABvAHMAdABUAGgAcgBvAHUAZwBoAEwAZQBhAGMAaABpAG4AZwBBAG4AZABSAHUAbgBvAGYAZgBTAG8AbABpAGQAUwB0AG8AcgBhAGcAZQBfAFMAbwB1AHIAYwBlACIALAAiAFMAbwB1AHIAYwBlAEQAYQB0AGEAXwBEAGEAaQByAHkALgBTAG8AdQByAGMAZQBEAGEAdABhAF8ARABhAGkAcgB5AF8ARgByAGEAYwB0AGkAbwBuAE8AZgBOAGkAdAByAG8AZwBlAG4ATABvAHMAdABUAGgAcgBvAHUAZwBoAEwAZQBhAGMAaABpAG4AZwBBAG4AZABSAHUAbgBvAGYAZgBTAG8AbABpAGQAUwB0AG8AcgBhAGcAZQBfAFYAYQByAGkAYQB0AGkAbwBuACIALAAiAFMAbwB1AHIAYwBlAEQAYQB0AGEAXwBEAGEAaQByAHkALgBTAG8AdQByAGMAZQBEAGEAdABhAF8ARABhAGkAcgB5AF8ARgByAGEAYwB0AGkAbwBuAE8AZgBOAGkAdAByAG8AZwBlAG4ATABvAHMAdABUAGgAcgBvAHUAZwBoAEwAZQBhAGMAaABpAG4AZwBBAG4AZABSAHUAbgBvAGYAZgBTAG8AbABpAGQAUwB0AG8AcgBhAGcAZQ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2026-08-04T06:22:14Z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