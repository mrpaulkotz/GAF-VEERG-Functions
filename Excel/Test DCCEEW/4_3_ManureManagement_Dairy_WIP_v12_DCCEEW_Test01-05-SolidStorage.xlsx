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C56CEE8-D111-40FA-A3CF-D587AB712F64}" xr6:coauthVersionLast="47" xr6:coauthVersionMax="47" xr10:uidLastSave="{00000000-0000-0000-0000-000000000000}"/>
  <bookViews>
    <workbookView xWindow="3405" yWindow="1365" windowWidth="28410" windowHeight="16890" firstSheet="3"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95" l="1"/>
  <c r="E50" i="70"/>
  <c r="H120" i="70"/>
  <c r="E106" i="70"/>
  <c r="G120" i="70" s="1"/>
  <c r="E105" i="70"/>
  <c r="I119" i="70" s="1"/>
  <c r="I96" i="70"/>
  <c r="H96" i="70"/>
  <c r="G96" i="70"/>
  <c r="F96" i="70"/>
  <c r="E96" i="70"/>
  <c r="I95" i="70"/>
  <c r="F50" i="70"/>
  <c r="D29" i="70"/>
  <c r="D28" i="70"/>
  <c r="D25" i="70"/>
  <c r="D24" i="70"/>
  <c r="E18" i="70"/>
  <c r="E14" i="70"/>
  <c r="D10" i="70"/>
  <c r="E33" i="15"/>
  <c r="E30" i="15"/>
  <c r="E29" i="15"/>
  <c r="E31" i="15" s="1"/>
  <c r="E32" i="15" s="1"/>
  <c r="E13" i="15"/>
  <c r="I223" i="69"/>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36" i="95" a="1"/>
  <c r="E37" i="98"/>
  <c r="E32" i="97"/>
  <c r="E55" i="82"/>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D214" i="79" a="1"/>
  <c r="D214" i="79" s="1"/>
  <c r="D213" i="79" a="1"/>
  <c r="D213" i="79" s="1"/>
  <c r="D212" i="79" a="1"/>
  <c r="D212" i="79" s="1"/>
  <c r="D211" i="79" a="1"/>
  <c r="D211" i="79" s="1"/>
  <c r="F163" i="69"/>
  <c r="F165" i="69"/>
  <c r="F164" i="69"/>
  <c r="P231" i="69" l="1"/>
  <c r="P230" i="69"/>
  <c r="J14" i="95"/>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5" a="1"/>
  <c r="E7" i="98" a="1"/>
  <c r="E37" i="96" a="1"/>
  <c r="E7" i="96" a="1"/>
  <c r="E7" i="97" a="1"/>
  <c r="E7" i="81" a="1"/>
  <c r="E91" i="81"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7" i="76" a="1"/>
  <c r="E109" i="76" a="1"/>
  <c r="E212" i="69" a="1"/>
  <c r="E35" i="76" a="1"/>
  <c r="E132" i="76" a="1"/>
  <c r="E256" i="76" a="1"/>
  <c r="E186" i="69" a="1"/>
  <c r="E8" i="69" a="1"/>
  <c r="E85" i="69" a="1"/>
  <c r="E7" i="82" a="1"/>
  <c r="E219" i="76" a="1"/>
  <c r="E72" i="76" a="1"/>
  <c r="E252" i="69" a="1"/>
  <c r="E139" i="69" a="1"/>
  <c r="E183" i="76" a="1"/>
  <c r="E56" i="69" a="1"/>
  <c r="E153" i="76" a="1"/>
  <c r="E120" i="69"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E50" i="97" a="1"/>
  <c r="E50" i="97" s="1"/>
  <c r="H12" i="13"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<sst xmlns="http://schemas.openxmlformats.org/spreadsheetml/2006/main" count="1643" uniqueCount="471">
  <si>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</si>
  <si>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</si>
  <si>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</si>
  <si>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</si>
  <si>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</si>
  <si>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</si>
  <si>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</si>
  <si>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</si>
  <si>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</si>
  <si>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</si>
  <si>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</si>
  <si>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</si>
  <si>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</si>
  <si>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</si>
  <si>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</si>
  <si>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</si>
  <si>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</si>
  <si>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</si>
  <si>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</si>
  <si>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</si>
  <si>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</si>
  <si>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</si>
  <si>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</si>
  <si>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</si>
  <si>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</si>
  <si>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</si>
  <si>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</si>
  <si>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</si>
  <si>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</si>
  <si>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</si>
  <si>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</si>
  <si>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</si>
  <si>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</si>
  <si>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</si>
  <si>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</si>
  <si>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</si>
  <si>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</si>
  <si>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</si>
  <si>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</si>
  <si>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</si>
  <si>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</si>
  <si>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</si>
  <si>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</si>
  <si>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</si>
  <si>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</si>
  <si>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</si>
  <si>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</si>
  <si>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</si>
  <si>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</si>
  <si>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</si>
  <si>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</si>
  <si>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</si>
  <si>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</si>
  <si>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</si>
  <si>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</si>
  <si>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</si>
  <si>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</si>
  <si>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</si>
  <si>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</si>
  <si>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</si>
  <si>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</si>
  <si>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</si>
  <si>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</si>
  <si>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</si>
  <si>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</si>
  <si>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</si>
  <si>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</si>
  <si>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</si>
  <si>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</si>
  <si>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</si>
  <si>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</si>
  <si>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</si>
  <si>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</si>
  <si>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</si>
  <si>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</si>
  <si>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</si>
  <si>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</si>
  <si>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</si>
  <si>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</si>
  <si>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</si>
  <si>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</si>
  <si>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</si>
  <si>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</si>
  <si>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</si>
  <si>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</si>
  <si>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</si>
  <si>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</si>
  <si>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</si>
  <si>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</si>
  <si>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</si>
  <si>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</si>
  <si>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</si>
  <si>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</si>
  <si>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</si>
  <si>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</si>
  <si>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</si>
  <si>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</si>
  <si>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</si>
  <si>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</si>
  <si>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</si>
  <si>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</si>
  <si>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</si>
  <si>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</si>
  <si>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</si>
  <si>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</si>
  <si>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</si>
  <si>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</si>
  <si>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</si>
  <si>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</si>
  <si>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</si>
  <si>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</si>
  <si>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</si>
  <si>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</si>
  <si>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</si>
  <si>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</si>
  <si>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</si>
  <si>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</si>
  <si>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</si>
  <si>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</si>
  <si>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</si>
  <si>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</si>
  <si>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</si>
  <si>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</si>
  <si>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</si>
  <si>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</si>
  <si>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</si>
  <si>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</si>
  <si>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</si>
  <si>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</si>
  <si>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</si>
  <si>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</si>
  <si>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</si>
  <si>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</si>
  <si>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</si>
  <si>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</si>
  <si>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</si>
  <si>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</si>
  <si>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</si>
  <si>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</si>
  <si>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</si>
  <si>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</si>
  <si>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</si>
  <si>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</si>
  <si>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</si>
  <si>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</si>
  <si>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</si>
  <si>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</si>
  <si>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</si>
  <si>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</si>
  <si>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</si>
  <si>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</si>
  <si>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</si>
  <si>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</si>
  <si>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</si>
  <si>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</si>
  <si>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</si>
  <si>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</si>
  <si>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</si>
  <si>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</si>
  <si>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</si>
  <si>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</si>
  <si>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</si>
  <si>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</si>
  <si>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</si>
  <si>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</si>
  <si>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</si>
  <si>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</si>
  <si>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</si>
  <si>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</si>
  <si>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</si>
  <si>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</si>
  <si>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</si>
  <si>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</si>
  <si>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</si>
  <si>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</si>
  <si>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</si>
  <si>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</si>
  <si>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</si>
  <si>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</si>
  <si>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</si>
  <si>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</si>
  <si>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</si>
  <si>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</si>
  <si>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</si>
  <si>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</si>
  <si>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</si>
  <si>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</si>
  <si>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</si>
  <si>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</si>
  <si>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</si>
  <si>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</si>
  <si>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</si>
  <si>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</si>
  <si>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</si>
  <si>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</si>
  <si>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</si>
  <si>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</si>
  <si>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</si>
  <si>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</si>
  <si>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</si>
  <si>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</si>
  <si>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</si>
  <si>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</si>
  <si>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</si>
  <si>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</si>
  <si>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</si>
  <si>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</si>
  <si>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</si>
  <si>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</si>
  <si>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</si>
  <si>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</si>
  <si>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</si>
  <si>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</si>
  <si>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</si>
  <si>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</si>
  <si>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</si>
  <si>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</si>
  <si>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</si>
  <si>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</si>
  <si>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</si>
  <si>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</si>
  <si>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</si>
  <si>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</si>
  <si>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</si>
  <si>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</si>
  <si>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</si>
  <si>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</si>
  <si>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</si>
  <si>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</si>
  <si>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</si>
  <si>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</si>
  <si>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</si>
  <si>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</si>
  <si>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</si>
  <si>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</si>
  <si>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</si>
  <si>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</si>
  <si>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</si>
  <si>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</si>
  <si>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</si>
  <si>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</si>
  <si>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</si>
  <si>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</si>
  <si>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</si>
  <si>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</si>
  <si>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</si>
  <si>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</si>
  <si>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</si>
  <si>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</si>
  <si>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</si>
  <si>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</si>
  <si>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</si>
  <si>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</si>
  <si>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</si>
  <si>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</si>
  <si>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</si>
  <si>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</si>
  <si>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</si>
  <si>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</si>
  <si>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</si>
  <si>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</si>
  <si>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</si>
  <si>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</si>
  <si>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</si>
  <si>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</si>
  <si>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</si>
  <si>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</si>
  <si>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</si>
  <si>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</si>
  <si>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</si>
  <si>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</si>
  <si>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</si>
  <si>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</si>
  <si>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</si>
  <si>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</si>
  <si>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</si>
  <si>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</si>
  <si>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</si>
  <si>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</si>
  <si>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</si>
  <si>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</si>
  <si>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</si>
  <si>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</si>
  <si>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</si>
  <si>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</si>
  <si>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</si>
  <si>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</si>
  <si>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</si>
  <si>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</si>
  <si>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</si>
  <si>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</si>
  <si>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</si>
  <si>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</si>
  <si>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</si>
  <si>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</si>
  <si>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</si>
  <si>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</si>
  <si>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</si>
  <si>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</si>
  <si>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</si>
  <si>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</si>
  <si>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</si>
  <si>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</si>
  <si>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</si>
  <si>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</si>
  <si>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</si>
  <si>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</si>
  <si>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</si>
  <si>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</si>
  <si>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</si>
  <si>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</si>
  <si>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</si>
  <si>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</si>
  <si>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</si>
  <si>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</si>
  <si>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</si>
  <si>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</si>
  <si>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</si>
  <si>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</si>
  <si>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</si>
  <si>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</si>
  <si>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</si>
  <si>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</si>
  <si>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</si>
  <si>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</si>
  <si>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</si>
  <si>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</si>
  <si>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</si>
  <si>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</si>
  <si>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</si>
  <si>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</si>
  <si>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</si>
  <si>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</si>
  <si>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</si>
  <si>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</si>
  <si>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</si>
  <si>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</si>
  <si>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</si>
  <si>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</si>
  <si>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</si>
  <si>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</si>
  <si>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</si>
  <si>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</si>
  <si>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</si>
  <si>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</si>
  <si>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</si>
  <si>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</si>
  <si>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</si>
  <si>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</si>
  <si>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</si>
  <si>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</si>
  <si>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</si>
  <si>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</si>
  <si>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</si>
  <si>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</si>
  <si>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</si>
  <si>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</si>
  <si>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</si>
  <si>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</si>
  <si>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</si>
  <si>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</si>
  <si>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</si>
  <si>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</si>
  <si>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</si>
  <si>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</si>
  <si>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</si>
  <si>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</si>
  <si>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</si>
  <si>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</si>
  <si>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</si>
  <si>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</si>
  <si>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</si>
  <si>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</si>
  <si>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</si>
  <si>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</si>
  <si>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</si>
  <si>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</si>
  <si>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</si>
  <si>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</si>
  <si>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</si>
  <si>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</si>
  <si>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</si>
  <si>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</si>
  <si>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</si>
  <si>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</si>
  <si>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</si>
  <si>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</si>
  <si>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</si>
  <si>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</si>
  <si>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</si>
  <si>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</si>
  <si>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</si>
  <si>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</si>
  <si>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</si>
  <si>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</si>
  <si>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</si>
  <si>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</si>
  <si>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</si>
  <si>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</si>
  <si>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</si>
  <si>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</si>
  <si>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</si>
  <si>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</si>
  <si>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</si>
  <si>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</si>
  <si>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</si>
  <si>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</si>
  <si>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</si>
  <si>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</si>
  <si>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</si>
  <si>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</si>
  <si>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</si>
  <si>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</si>
  <si>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</si>
  <si>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</si>
  <si>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</si>
  <si>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</si>
  <si>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</si>
  <si>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</si>
  <si>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</si>
  <si>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</si>
  <si>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</si>
  <si>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</si>
  <si>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</si>
  <si>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</si>
  <si>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</si>
  <si>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</si>
  <si>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</si>
  <si>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</si>
  <si>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</si>
  <si>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</si>
  <si>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</si>
  <si>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</si>
  <si>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</si>
  <si>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</si>
  <si>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</si>
  <si>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</si>
  <si>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</si>
  <si>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</si>
  <si>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</si>
  <si>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</si>
  <si>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</si>
  <si>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</si>
  <si>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</si>
  <si>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</si>
  <si>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</si>
  <si>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</si>
  <si>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</si>
  <si>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</si>
  <si>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</si>
  <si>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</si>
  <si>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</si>
  <si>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</si>
  <si>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</si>
  <si>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</si>
  <si>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</si>
  <si>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</si>
  <si>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</si>
  <si>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</si>
  <si>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</si>
  <si>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</si>
  <si>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</si>
  <si>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</si>
  <si>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</si>
  <si>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</si>
  <si>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</si>
  <si>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</si>
  <si>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</si>
  <si>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</si>
  <si>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</si>
  <si>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Edited 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</si>
</sst>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6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55" applyFill="1">
      <alignment horizontal="center" vertical="center"/>
    </xf>
    <xf numFmtId="0" fontId="39" fillId="18" borderId="1" xfId="8" applyFill="1" applyBorder="1">
      <alignment horizontal="left" vertical="center"/>
    </xf>
    <xf numFmtId="0" fontId="35" fillId="17" borderId="2" xfId="55" applyFill="1">
      <alignment horizontal="center" vertical="center"/>
    </xf>
    <xf numFmtId="0" fontId="50" fillId="17" borderId="1" xfId="8" applyFont="1"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0.56682925646720683</v>
      </c>
      <c r="F7" s="113">
        <f ca="1">VEERG_4_3_1_1__1_TotalAnnualMethaneFromManureManagement_Result_Method2</f>
        <v>0.56682925646720683</v>
      </c>
      <c r="G7" s="55" t="str">
        <f>'4.3.1.1-2 Methane'!$F$300</f>
        <v>t CH4</v>
      </c>
      <c r="H7" s="113">
        <f ca="1">'4.3.1.1-2 Methane'!$E$305</f>
        <v>15.871219181081791</v>
      </c>
      <c r="I7" s="113">
        <f ca="1">'4.3.1.1-2 Methane'!$P$305</f>
        <v>15.871219181081791</v>
      </c>
      <c r="J7" s="55" t="str">
        <f>'4.3.1.1-2 Methane'!$F$305</f>
        <v>t CO2e</v>
      </c>
      <c r="K7" s="23"/>
    </row>
    <row r="8" spans="1:11" ht="20.100000000000001" customHeight="1" x14ac:dyDescent="0.25">
      <c r="A8" s="19" t="s">
        <v>0</v>
      </c>
      <c r="C8" s="23"/>
      <c r="D8" s="1" t="s">
        <v>377</v>
      </c>
      <c r="E8" s="113">
        <f>VEERG_4_3_1_3__1_TotalAnnualDirectNitrousOxideEmissionsFromMMS_Result_Method1</f>
        <v>0.13675146048003467</v>
      </c>
      <c r="F8" s="113">
        <f>VEERG_4_3_1_3__1_TotalAnnualDirectNitrousOxideEmissionsFromMMS_Result_Method2</f>
        <v>0.13675146048003467</v>
      </c>
      <c r="G8" s="55" t="str">
        <f>'4.3.1.3-4 Direct N20'!$F$287</f>
        <v>t N2O</v>
      </c>
      <c r="H8" s="113">
        <f>'4.3.1.3-4 Direct N20'!$E$292</f>
        <v>36.239137027209189</v>
      </c>
      <c r="I8" s="113">
        <f>'4.3.1.3-4 Direct N20'!$O$292</f>
        <v>36.239137027209189</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4.841001700993227E-2</v>
      </c>
      <c r="F9" s="113">
        <f>VEERG_4_3_1_5__1_AnnualAtmosphericDepositionEmissionsFromMMS_Result_Method2</f>
        <v>4.841001700993227E-2</v>
      </c>
      <c r="G9" s="55" t="str">
        <f>'4.3.1.5 Atmos deposition'!$F$68</f>
        <v>t N2O</v>
      </c>
      <c r="H9" s="113">
        <f>'4.3.1.5 Atmos deposition'!$E$73</f>
        <v>12.828654507632052</v>
      </c>
      <c r="I9" s="113">
        <f>'4.3.1.5 Atmos deposition'!$P$73</f>
        <v>12.828654507632052</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6.0170642611215236E-3</v>
      </c>
      <c r="F10" s="113">
        <f>VEERG_4_3_1_6__1_AnnualEmissionsFromLeachingAndRunoffFromMMS_Result_Method2</f>
        <v>6.0170642611215236E-3</v>
      </c>
      <c r="G10" s="55" t="str">
        <f>'4.3.1.6-7 Leaching and runoff'!$F$52</f>
        <v>t N2O</v>
      </c>
      <c r="H10" s="113">
        <f>'4.3.1.6-7 Leaching and runoff'!$E$57</f>
        <v>1.5945220291972038</v>
      </c>
      <c r="I10" s="113">
        <f>'4.3.1.6-7 Leaching and runoff'!$P$57</f>
        <v>1.5945220291972038</v>
      </c>
      <c r="J10" s="55" t="str">
        <f>'4.3.1.6-7 Leaching and runoff'!$F$57</f>
        <v>t CO2e</v>
      </c>
      <c r="K10" s="23"/>
    </row>
    <row r="11" spans="1:11" ht="20.100000000000001" customHeight="1" x14ac:dyDescent="0.25">
      <c r="C11" s="23"/>
      <c r="D11" s="1" t="s">
        <v>346</v>
      </c>
      <c r="E11" s="113">
        <f>VEERG_4_3_1_9__1_DirectNitrousOxideEmissionsOnPasture_Result_Method1</f>
        <v>0</v>
      </c>
      <c r="F11" s="113">
        <f>VEERG_4_3_1_9__1_DirectNitrousOxideEmissionsOnPasture_Result_Method2</f>
        <v>0</v>
      </c>
      <c r="G11" s="55" t="str">
        <f>'4.3.1.9 Soil direct N2O'!$F$53</f>
        <v>t N2O</v>
      </c>
      <c r="H11" s="113">
        <f>'4.3.1.9 Soil direct N2O'!$E$58</f>
        <v>0</v>
      </c>
      <c r="I11" s="113">
        <f>'4.3.1.9 Soil direct N2O'!$P$58</f>
        <v>0</v>
      </c>
      <c r="J11" s="55" t="str">
        <f>'4.3.1.9 Soil direct N2O'!$F$58</f>
        <v>t CO2e</v>
      </c>
      <c r="K11" s="23"/>
    </row>
    <row r="12" spans="1:11" ht="20.100000000000001" customHeight="1" x14ac:dyDescent="0.25">
      <c r="C12" s="23"/>
      <c r="D12" s="1" t="s">
        <v>362</v>
      </c>
      <c r="E12" s="113">
        <f>VEERG_4_3_1_10__1_AtmosphericDepositionEmissionsFromUrineAndDungOnPasture_Result_Method1</f>
        <v>0</v>
      </c>
      <c r="F12" s="113">
        <f>VEERG_4_3_1_10__1_AtmosphericDepositionEmissionsFromUrineAndDungOnPasture_Result_Method2</f>
        <v>0</v>
      </c>
      <c r="G12" s="55" t="str">
        <f>'4.3.1.10-11 Soil Atmos Dep'!$F$45</f>
        <v>t N2O</v>
      </c>
      <c r="H12" s="113">
        <f>'4.3.1.10-11 Soil Atmos Dep'!$E$50</f>
        <v>0</v>
      </c>
      <c r="I12" s="113">
        <f>'4.3.1.10-11 Soil Atmos Dep'!$P$50</f>
        <v>0</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0</v>
      </c>
      <c r="F13" s="113">
        <f>VEERG_4_3_1_12__1_LeachingAndRunoffEmissionsFromUrineAndDungOnPasture_Result_Method2</f>
        <v>0</v>
      </c>
      <c r="G13" s="55" t="str">
        <f>'4.3.1.12-13 Soil leach runoff'!$F$47</f>
        <v>t N2O</v>
      </c>
      <c r="H13" s="113">
        <f>'4.3.1.12-13 Soil leach runoff'!$E$52</f>
        <v>0</v>
      </c>
      <c r="I13" s="113">
        <f>'4.3.1.12-13 Soil leach runoff'!$P$52</f>
        <v>0</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66.53353274512024</v>
      </c>
      <c r="I14" s="115">
        <f ca="1">SUM(I7:I13)</f>
        <v>66.53353274512024</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11748.193650330253</v>
      </c>
      <c r="F20" s="117">
        <f ca="1">VEERG_4_3_1_8__1_MassOfNitrogenAppliedToSoilsScope1_Result_Method2</f>
        <v>11748.193650330253</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11" zoomScaleNormal="100" workbookViewId="0">
      <selection activeCell="E26" sqref="E26"/>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999</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2000</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6</v>
      </c>
      <c r="F28" s="2" t="s">
        <v>52</v>
      </c>
    </row>
    <row r="29" spans="1:25" ht="20.100000000000001" customHeight="1" x14ac:dyDescent="0.25">
      <c r="A29" s="17" t="str">
        <f>HYPERLINK("#'Tab template'!A1", "Tab template")</f>
        <v>Tab template</v>
      </c>
      <c r="D29" s="10" t="s">
        <v>58</v>
      </c>
      <c r="E29" s="53">
        <f>X_Cell_Site_TotalRainfall/X_Cell_Site_PotentialEvapotranspiration</f>
        <v>1.5082956259426847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moist</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Wet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disablePrompts="1"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C16" zoomScaleNormal="100" workbookViewId="0">
      <selection activeCell="E95" sqref="E95"/>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0</v>
      </c>
      <c r="F63" s="136">
        <v>0</v>
      </c>
      <c r="G63" s="136">
        <v>0</v>
      </c>
      <c r="H63" s="136">
        <v>0</v>
      </c>
      <c r="I63" s="136">
        <v>0</v>
      </c>
      <c r="J63" s="2" t="s">
        <v>17</v>
      </c>
      <c r="K63" s="2"/>
      <c r="L63" s="2"/>
      <c r="M63" s="2"/>
      <c r="N63" s="2"/>
      <c r="O63" s="3"/>
      <c r="S63" s="7"/>
    </row>
    <row r="64" spans="3:19" ht="20.100000000000001" customHeight="1" x14ac:dyDescent="0.25">
      <c r="D64" s="1" t="s">
        <v>179</v>
      </c>
      <c r="E64" s="136">
        <v>1</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0</v>
      </c>
      <c r="F68" s="135">
        <v>0</v>
      </c>
      <c r="G68" s="135">
        <v>0</v>
      </c>
      <c r="H68" s="135">
        <v>0</v>
      </c>
      <c r="I68" s="135">
        <v>0</v>
      </c>
      <c r="J68" s="2" t="s">
        <v>17</v>
      </c>
      <c r="K68" s="2"/>
      <c r="L68" s="2"/>
      <c r="M68" s="2"/>
      <c r="N68" s="2"/>
      <c r="O68" s="3"/>
    </row>
    <row r="69" spans="3:19" ht="20.100000000000001" customHeight="1" x14ac:dyDescent="0.25">
      <c r="D69" s="1" t="s">
        <v>179</v>
      </c>
      <c r="E69" s="135">
        <v>1</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0</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0</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0</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201</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1</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1</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1</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abSelected="1" topLeftCell="A278" zoomScaleNormal="100" workbookViewId="0">
      <selection activeCell="F275" sqref="F27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0</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0</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0</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0</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0</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0</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0</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0</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0</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0</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0</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0</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1</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1</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1</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1</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156" cm="1">
        <f t="array" ref="E229">CommonLivestock_InputFunctions.Livestock_LookupMCFState(D229,Table_SourceData_Dairy_MCFjm[NIR reference],$I$223,Table_SourceData_Dairy_MCFjm[#Headers],Table_SourceData_Dairy_MCFjm[])</f>
        <v>0.73</v>
      </c>
      <c r="F229" s="1" t="s">
        <v>470</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0</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0</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0</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0</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0</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0</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1.5529568670334433E-2</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1.5529568670334433E-2</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0.56682925646720683</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0.56682925646720683</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0.56682925646720683</v>
      </c>
      <c r="F300" s="106" t="str">
        <f>$E$256</f>
        <v>t CH4</v>
      </c>
      <c r="O300" s="104" t="s">
        <v>413</v>
      </c>
      <c r="P300" s="105">
        <f ca="1">SUM(Q290:U298)</f>
        <v>0.56682925646720683</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0.56682925646720683</v>
      </c>
      <c r="H302" s="2"/>
      <c r="O302" s="58" t="str" cm="1">
        <f t="array" ref="O302:P303">Common_Equations.Common_ConvertCH4ToCO2e_Arguments()</f>
        <v>ECH4</v>
      </c>
      <c r="P302" s="59" t="str">
        <v>Methane emissions (t CH4)</v>
      </c>
      <c r="Q302" s="107"/>
      <c r="R302" s="53">
        <f ca="1">VEERG_4_3_1_1__1_TotalAnnualMethaneFromManureManagement_Result_Method2</f>
        <v>0.56682925646720683</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15.871219181081791</v>
      </c>
      <c r="F305" s="108" t="str" cm="1">
        <f t="array" ref="F305">Common_Equations.Common_ConvertN2OToCO2e_Unit()</f>
        <v>t CO2e</v>
      </c>
      <c r="O305" s="46" t="s">
        <v>412</v>
      </c>
      <c r="P305" s="46" cm="1">
        <f t="array" aca="1" ref="P305" ca="1">Common_Equations.Common_ConvertCH4ToCO2e(R302,R303)</f>
        <v>15.871219181081791</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51" zoomScaleNormal="100" workbookViewId="0">
      <selection activeCell="E287" sqref="E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53">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53">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53"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53"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0</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0</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0</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0</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0</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0</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1</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1</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0</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0</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0</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0</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0</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0</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17404.731333822594</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17404.731333822594</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0.13675146048003467</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0.13675146048003467</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0.13675146048003467</v>
      </c>
      <c r="F287" s="106" t="str">
        <f>$E$260</f>
        <v>t N2O</v>
      </c>
      <c r="N287" s="104" t="s">
        <v>115</v>
      </c>
      <c r="O287" s="105">
        <f>SUM(P278:T285)</f>
        <v>0.13675146048003467</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0.13675146048003467</v>
      </c>
      <c r="N289" s="58" t="str" cm="1">
        <f t="array" ref="N289:O290">Common_Equations.Common_ConvertN2OToCO2e_Arguments()</f>
        <v>EN2O</v>
      </c>
      <c r="O289" s="59" t="str">
        <v>Nitrous oxide emissions (t N2O)</v>
      </c>
      <c r="P289" s="107"/>
      <c r="Q289" s="53">
        <f>VEERG_4_3_1_3__1_TotalAnnualDirectNitrousOxideEmissionsFromMMS_Result_Method2</f>
        <v>0.13675146048003467</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157" cm="1">
        <f t="array" ref="E292">Common_Equations.Common_ConvertN2OToCO2e(G289,G290)</f>
        <v>36.239137027209189</v>
      </c>
      <c r="F292" s="108" t="str" cm="1">
        <f t="array" ref="F292">Common_Equations.Common_ConvertN2OToCO2e_Unit()</f>
        <v>t CO2e</v>
      </c>
      <c r="N292" s="46" t="s">
        <v>102</v>
      </c>
      <c r="O292" s="46" cm="1">
        <f t="array" ref="O292">Common_Equations.Common_ConvertN2OToCO2e(Q289,Q290)</f>
        <v>36.239137027209189</v>
      </c>
      <c r="P292" s="108"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F75" sqref="F7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0</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0</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0</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0</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0</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0</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17404.731333822594</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17404.731333822594</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0</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0</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0</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0</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0</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0</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5221.4194001467777</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5221.4194001467777</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5221.4194001467777</v>
      </c>
      <c r="F49" s="108" t="str">
        <f>$E$11</f>
        <v>kg N</v>
      </c>
      <c r="O49" s="114" t="s">
        <v>373</v>
      </c>
      <c r="P49" s="46">
        <f>SUM(Q40:U47)</f>
        <v>5221.4194001467777</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5221.4194001467777</v>
      </c>
      <c r="O61" s="58" t="str">
        <f>D61</f>
        <v>MN_ATMOS</v>
      </c>
      <c r="P61" s="59" t="str">
        <f>E61</f>
        <v>mass of N volatilised from MMS</v>
      </c>
      <c r="Q61" s="60"/>
      <c r="R61" s="58">
        <f>$P$49</f>
        <v>5221.4194001467777</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4.841001700993227E-2</v>
      </c>
      <c r="F68" s="106" t="str">
        <f>$E$59</f>
        <v>t N2O</v>
      </c>
      <c r="O68" s="104" t="s">
        <v>318</v>
      </c>
      <c r="P68" s="105" cm="1">
        <f t="array" ref="P68">MMS_Dairy_AtmosphericDeposition_Equations.VEERG_4_3_1_5__1_AnnualAtmosphericDepositionEmissionsFromMMS($R$61,$I$62,$I$63)</f>
        <v>4.841001700993227E-2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4.841001700993227E-2</v>
      </c>
      <c r="O70" s="58" t="str" cm="1">
        <f t="array" ref="O70:P71">Common_Equations.Common_ConvertN2OToCO2e_Arguments()</f>
        <v>EN2O</v>
      </c>
      <c r="P70" s="59" t="str">
        <v>Nitrous oxide emissions (t N2O)</v>
      </c>
      <c r="Q70" s="107"/>
      <c r="R70" s="53">
        <f>VEERG_4_3_1_5__1_AnnualAtmosphericDepositionEmissionsFromMMS_Result_Method2</f>
        <v>4.841001700993227E-2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157" cm="1">
        <f t="array" ref="E73">Common_Equations.Common_ConvertN2OToCO2e(G70,G71)</f>
        <v>12.828654507632052</v>
      </c>
      <c r="F73" s="108" t="str" cm="1">
        <f t="array" ref="F73">Common_Equations.Common_ConvertN2OToCO2e_Unit()</f>
        <v>t CO2e</v>
      </c>
      <c r="O73" s="46" t="s">
        <v>102</v>
      </c>
      <c r="P73" s="46" cm="1">
        <f t="array" ref="P73">Common_Equations.Common_ConvertN2OToCO2e(R70,R71)</f>
        <v>12.828654507632052</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32" zoomScaleNormal="100" workbookViewId="0">
      <selection activeCell="E57" sqref="E5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17404.731333822594</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17404.731333822594</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348.09462667645187</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348.09462667645187</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6.0170642611215236E-3</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6.0170642611215236E-3</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6.0170642611215236E-3</v>
      </c>
      <c r="F52" s="106" t="str">
        <f>$E$40</f>
        <v>t N2O</v>
      </c>
      <c r="O52" s="104" t="s">
        <v>318</v>
      </c>
      <c r="P52" s="105">
        <f>SUM(Q49:U50)</f>
        <v>6.0170642611215236E-3</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6.0170642611215236E-3</v>
      </c>
      <c r="O54" s="58" t="str" cm="1">
        <f t="array" ref="O54:P55">Common_Equations.Common_ConvertN2OToCO2e_Arguments()</f>
        <v>EN2O</v>
      </c>
      <c r="P54" s="59" t="str">
        <v>Nitrous oxide emissions (t N2O)</v>
      </c>
      <c r="Q54" s="107"/>
      <c r="R54" s="53">
        <f>VEERG_4_3_1_6__1_AnnualEmissionsFromLeachingAndRunoffFromMMS_Result_Method2</f>
        <v>6.0170642611215236E-3</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157" cm="1">
        <f t="array" ref="E57">Common_Equations.Common_ConvertN2OToCO2e(G54,G55)</f>
        <v>1.5945220291972038</v>
      </c>
      <c r="F57" s="108" t="str" cm="1">
        <f t="array" ref="F57">Common_Equations.Common_ConvertN2OToCO2e_Unit()</f>
        <v>t CO2e</v>
      </c>
      <c r="O57" s="46" t="s">
        <v>102</v>
      </c>
      <c r="P57" s="46" cm="1">
        <f t="array" ref="P57">Common_Equations.Common_ConvertN2OToCO2e(R54,R55)</f>
        <v>1.5945220291972038</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A75" zoomScaleNormal="100" workbookViewId="0">
      <selection activeCell="E85" sqref="E8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0</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0</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0</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0</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0</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0</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158">
        <f>INDEX(M1_Table_MN_j_m,5,3)</f>
        <v>17404.731333822594</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17404.731333822594</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158">
        <f>INDEX(M1_Table_MN_leach_j_m4,2,3)</f>
        <v>348.09462667645187</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348.09462667645187</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0</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0</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0</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0</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0</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0</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11748.193650330253</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11748.193650330253</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59">
        <f ca="1">SUM(F76:J83)</f>
        <v>11748.193650330253</v>
      </c>
      <c r="F85" s="106" t="str">
        <f>$E$11</f>
        <v>kg N</v>
      </c>
      <c r="O85" s="104" t="s">
        <v>125</v>
      </c>
      <c r="P85" s="105">
        <f ca="1">SUM(Q76:U83)</f>
        <v>11748.193650330253</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8"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0</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0</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0</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6.0000000000000001E-3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Wet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0</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0</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0</v>
      </c>
      <c r="F53" s="106" t="str">
        <f>$E$41</f>
        <v>t N2O</v>
      </c>
      <c r="O53" s="104" t="s">
        <v>115</v>
      </c>
      <c r="P53" s="105">
        <f>SUM(Q51:U51)</f>
        <v>0</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0</v>
      </c>
      <c r="O55" s="58" t="str" cm="1">
        <f t="array" ref="O55:P56">Common_Equations.Common_ConvertN2OToCO2e_Arguments()</f>
        <v>EN2O</v>
      </c>
      <c r="P55" s="59" t="str">
        <v>Nitrous oxide emissions (t N2O)</v>
      </c>
      <c r="Q55" s="107"/>
      <c r="R55" s="53">
        <f>VEERG_4_3_1_9__1_DirectNitrousOxideEmissionsOnPasture_Result_Method2</f>
        <v>0</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46" cm="1">
        <f t="array" ref="E58">Common_Equations.Common_ConvertN2OToCO2e(G55,G56)</f>
        <v>0</v>
      </c>
      <c r="F58" s="108" t="str" cm="1">
        <f t="array" ref="F58">Common_Equations.Common_ConvertN2OToCO2e_Unit()</f>
        <v>t CO2e</v>
      </c>
      <c r="O58" s="46" t="s">
        <v>102</v>
      </c>
      <c r="P58" s="46" cm="1">
        <f t="array" ref="P58">Common_Equations.Common_ConvertN2OToCO2e(R55,R56)</f>
        <v>0</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6" zoomScaleNormal="100" workbookViewId="0">
      <selection activeCell="E51" sqref="E5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0</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0</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0</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0</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0</v>
      </c>
      <c r="F26" s="108" t="str">
        <f>$E$11</f>
        <v>kg N</v>
      </c>
      <c r="O26" s="114" t="s">
        <v>372</v>
      </c>
      <c r="P26" s="46">
        <f>SUM(Q24:U24)</f>
        <v>0</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0</v>
      </c>
      <c r="O38" s="58" t="str">
        <f>D38</f>
        <v>M_vol_m14</v>
      </c>
      <c r="P38" s="58" t="str">
        <f>E38</f>
        <v>mass of nitrogen volatilised from urine and faeces deposited on pasture</v>
      </c>
      <c r="Q38" s="59"/>
      <c r="R38" s="60"/>
      <c r="S38" s="58">
        <f>$P$26</f>
        <v>0</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0</v>
      </c>
      <c r="F45" s="106" t="str">
        <f>$E$36</f>
        <v>t N2O</v>
      </c>
      <c r="O45" s="104" t="s">
        <v>147</v>
      </c>
      <c r="P45" s="105" cm="1">
        <f t="array" ref="P45">MMS_Dairy_Soil_AtmosphericDeposition_Equations.VEERG_4_3_1_10__1_AtmosphericDepositionEmissionsFromUrineAndDungOnPasture($S$38,$I$39,$I$40)</f>
        <v>0</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0</v>
      </c>
      <c r="O47" s="58" t="str" cm="1">
        <f t="array" ref="O47:P48">Common_Equations.Common_ConvertN2OToCO2e_Arguments()</f>
        <v>EN2O</v>
      </c>
      <c r="P47" s="59" t="str">
        <v>Nitrous oxide emissions (t N2O)</v>
      </c>
      <c r="Q47" s="107"/>
      <c r="R47" s="53">
        <f>VEERG_4_3_1_10__1_AtmosphericDepositionEmissionsFromUrineAndDungOnPasture_Result_Method2</f>
        <v>0</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46" cm="1">
        <f t="array" ref="E50">Common_Equations.Common_ConvertN2OToCO2e(G47,G48)</f>
        <v>0</v>
      </c>
      <c r="F50" s="108" t="str" cm="1">
        <f t="array" ref="F50">Common_Equations.Common_ConvertN2OToCO2e_Unit()</f>
        <v>t CO2e</v>
      </c>
      <c r="O50" s="46" t="s">
        <v>102</v>
      </c>
      <c r="P50" s="46" cm="1">
        <f t="array" ref="P50">Common_Equations.Common_ConvertN2OToCO2e(R47,R48)</f>
        <v>0</v>
      </c>
      <c r="Q50" s="108" t="str" cm="1">
        <f t="array" ref="Q50">Common_Equations.Common_ConvertN2OToCO2e_Unit()</f>
        <v>t CO2e</v>
      </c>
    </row>
    <row r="51" spans="4:17" ht="20.100000000000001" customHeight="1" x14ac:dyDescent="0.25">
      <c r="E51" s="46">
        <v>7.1916567430496645</v>
      </c>
    </row>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0</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0</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0</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0</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0</v>
      </c>
      <c r="F30" s="108" t="str">
        <f>$E$11</f>
        <v>kg N</v>
      </c>
      <c r="O30" s="114" t="s">
        <v>371</v>
      </c>
      <c r="P30" s="46">
        <f>SUM(Q28:U28)</f>
        <v>0</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0</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0</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0</v>
      </c>
      <c r="F47" s="106" t="str">
        <f>$E$41</f>
        <v>t N2O</v>
      </c>
      <c r="O47" s="104" t="s">
        <v>370</v>
      </c>
      <c r="P47" s="105" cm="1">
        <f t="array" ref="P47">MMS_Dairy_Soil_LeachingAndRunoff.VEERG_4_3_1_12__1_LeachingAndRunoffEmissionsFromUrineAndDungOnPasture($U$43,$J$44,$J$45)</f>
        <v>0</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0</v>
      </c>
      <c r="O49" s="58" t="str" cm="1">
        <f t="array" ref="O49:P50">Common_Equations.Common_ConvertN2OToCO2e_Arguments()</f>
        <v>EN2O</v>
      </c>
      <c r="P49" s="59" t="str">
        <v>Nitrous oxide emissions (t N2O)</v>
      </c>
      <c r="Q49" s="107"/>
      <c r="R49" s="53">
        <f>VEERG_4_3_1_12__1_LeachingAndRunoffEmissionsFromUrineAndDungOnPasture_Result_Method2</f>
        <v>0</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46" cm="1">
        <f t="array" ref="E52">Common_Equations.Common_ConvertN2OToCO2e(G49,G50)</f>
        <v>0</v>
      </c>
      <c r="F52" s="108" t="str" cm="1">
        <f t="array" ref="F52">Common_Equations.Common_ConvertN2OToCO2e_Unit()</f>
        <v>t CO2e</v>
      </c>
      <c r="O52" s="46" t="s">
        <v>102</v>
      </c>
      <c r="P52" s="46" cm="1">
        <f t="array" ref="P52">Common_Equations.Common_ConvertN2OToCO2e(R49,R50)</f>
        <v>0</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2026-08-04T23:27:54Z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