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4680EFA3-9520-4E8C-92C0-77E528AF96A4}" xr6:coauthVersionLast="47" xr6:coauthVersionMax="47" xr10:uidLastSave="{00000000-0000-0000-0000-000000000000}"/>
  <bookViews>
    <workbookView xWindow="4680" yWindow="4680" windowWidth="28800" windowHeight="15345"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5"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125" l="1"/>
  <c r="A17" i="125"/>
  <c r="A13" i="125"/>
  <c r="A9" i="125"/>
  <c r="A5" i="125"/>
  <c r="A4" i="125"/>
  <c r="A3" i="125"/>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A18" i="71"/>
  <c r="A17" i="71"/>
  <c r="A13" i="71"/>
  <c r="A9" i="71"/>
  <c r="A5" i="71"/>
  <c r="A4" i="71"/>
  <c r="A3" i="71"/>
  <c r="E259" i="125" a="1"/>
  <c r="E259" i="125" s="1"/>
  <c r="D259" i="125" a="1"/>
  <c r="D259" i="125" s="1"/>
  <c r="E258" i="125" a="1"/>
  <c r="E258" i="125" s="1"/>
  <c r="D258" i="125" a="1"/>
  <c r="D258" i="125" s="1"/>
  <c r="D256" i="125" a="1"/>
  <c r="D256" i="125" s="1"/>
  <c r="D255" i="125"/>
  <c r="D255" i="125" a="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c r="D228" i="125" a="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c r="D204" i="125" a="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c r="D175" i="125" a="1"/>
  <c r="D174" i="125" a="1"/>
  <c r="D174" i="125" s="1"/>
  <c r="D173" i="125" a="1"/>
  <c r="D173" i="125" s="1"/>
  <c r="D170" i="125" a="1"/>
  <c r="D170" i="125" s="1"/>
  <c r="D169" i="125" a="1"/>
  <c r="D169" i="125" s="1"/>
  <c r="D168" i="125" a="1"/>
  <c r="D168" i="125" s="1"/>
  <c r="D167" i="125" a="1"/>
  <c r="D167" i="125" s="1"/>
  <c r="D164" i="125" a="1"/>
  <c r="D164" i="125" s="1"/>
  <c r="D163" i="125"/>
  <c r="D163" i="125" a="1"/>
  <c r="D162" i="125"/>
  <c r="D162" i="125" a="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c r="D133" i="125" a="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c r="D82" i="125" a="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a="1"/>
  <c r="D46" i="125" s="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a="1"/>
  <c r="D35" i="125" s="1"/>
  <c r="D34" i="125"/>
  <c r="D34" i="125" a="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a="1"/>
  <c r="D19" i="125" s="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c r="D5" i="125" a="1"/>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H51" i="125" l="1"/>
  <c r="H50" i="125"/>
  <c r="H48" i="125"/>
  <c r="H52" i="125"/>
  <c r="H54" i="125"/>
  <c r="H53" i="125"/>
  <c r="H49" i="125"/>
  <c r="O21" i="110"/>
  <c r="O20" i="110"/>
  <c r="O19" i="110"/>
  <c r="O18" i="110"/>
  <c r="M21" i="110"/>
  <c r="M20" i="110"/>
  <c r="M19" i="110"/>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7" i="69" a="1"/>
  <c r="E99" i="69" a="1"/>
  <c r="F151" i="69" l="1"/>
  <c r="E99" i="69"/>
  <c r="D157" i="69" a="1"/>
  <c r="D116" i="69" a="1"/>
  <c r="D59" i="69" a="1"/>
  <c r="E116" i="69" a="1"/>
  <c r="E59" i="69" a="1"/>
  <c r="E157" i="69" a="1"/>
  <c r="E7" i="69"/>
  <c r="D21" i="69" a="1"/>
  <c r="E21" i="69" a="1"/>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K132" i="69" s="1" a="1"/>
  <c r="K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44" i="69" l="1"/>
  <c r="K144" i="69" s="1" a="1"/>
  <c r="K144" i="69" s="1"/>
  <c r="I185" i="69"/>
  <c r="K185" i="69" s="1" a="1"/>
  <c r="K185" i="69" s="1"/>
  <c r="I179" i="69"/>
  <c r="K179" i="69" s="1" a="1"/>
  <c r="K179" i="69" s="1"/>
  <c r="I168" i="69"/>
  <c r="K168" i="69" s="1" a="1"/>
  <c r="K168" i="69" s="1"/>
  <c r="I127" i="69"/>
  <c r="K127" i="69" s="1" a="1"/>
  <c r="K127" i="69" s="1"/>
  <c r="I138" i="69"/>
  <c r="K138" i="69" s="1" a="1"/>
  <c r="K138" i="69" s="1"/>
  <c r="I116" i="69"/>
  <c r="K116" i="69" s="1" a="1"/>
  <c r="K116" i="69" s="1"/>
  <c r="I157" i="69"/>
  <c r="K157" i="69" s="1" a="1"/>
  <c r="K157" i="69" s="1"/>
  <c r="E192" i="69" l="1"/>
  <c r="E151"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<sst xmlns="http://schemas.openxmlformats.org/spreadsheetml/2006/main" count="405" uniqueCount="161">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</sst>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cellStyleXfs>
  <cellXfs count="74">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43" fontId="30"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49" fillId="4" borderId="1" xfId="53" applyFont="1" applyBorder="1">
      <alignment horizontal="left" vertical="center"/>
    </xf>
    <xf numFmtId="0" fontId="37" fillId="4" borderId="0" xfId="57">
      <alignment horizontal="left" vertical="center"/>
    </xf>
    <xf numFmtId="0" fontId="38"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0" fillId="2" borderId="0" xfId="8" applyFont="1" applyFill="1">
      <alignment horizontal="left" vertical="center"/>
    </xf>
    <xf numFmtId="0" fontId="2" fillId="0" borderId="2" xfId="56">
      <alignment horizontal="center" vertical="center"/>
    </xf>
    <xf numFmtId="0" fontId="43" fillId="4" borderId="2" xfId="64">
      <alignment horizontal="left" vertical="center"/>
    </xf>
    <xf numFmtId="0" fontId="52" fillId="0" borderId="0" xfId="8" applyFont="1" applyFill="1">
      <alignment horizontal="left" vertical="center"/>
    </xf>
    <xf numFmtId="0" fontId="54" fillId="9" borderId="4" xfId="34" applyFont="1">
      <alignment horizontal="left" vertical="center" indent="1"/>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3"/>
      <tableStyleElement type="headerRow" dxfId="72"/>
      <tableStyleElement type="totalRow" dxfId="71"/>
      <tableStyleElement type="firstColumn" dxfId="70"/>
      <tableStyleElement type="firstRowStripe" dxfId="69"/>
      <tableStyleElement type="secondRowStripe" dxfId="68"/>
    </tableStyle>
    <tableStyle name="Equation table" pivot="0" count="6" xr9:uid="{B247698E-E41D-4CCD-AA0A-C14817E9DE65}">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Table Style 1" pivot="0" count="0" xr9:uid="{97B370DB-5463-4A31-9160-5A96BD6A559D}"/>
  </tableStyles>
  <colors>
    <mruColors>
      <color rgb="FF0C769E"/>
      <color rgb="FF008000"/>
      <color rgb="FFCC6600"/>
      <color rgb="FFFFCCCC"/>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2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2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2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22"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21"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20" headerRowCellStyle="Content normal" dataCellStyle="Content normal">
  <autoFilter ref="M16:M21" xr:uid="{5C8D39D3-1330-49EB-B431-1B2B8C8238DC}">
    <filterColumn colId="0" hiddenButton="1"/>
  </autoFilter>
  <tableColumns count="1">
    <tableColumn id="1" xr3:uid="{5B9ABACD-52AE-4D64-BCA6-1DA86A1A3FC3}" name="Waste type w" totalsRowDxfId="19"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18" headerRowCellStyle="Content normal" dataCellStyle="Content normal">
  <autoFilter ref="O16:O21" xr:uid="{331EC43E-DF68-429F-A2A4-58BFE6216EC3}">
    <filterColumn colId="0" hiddenButton="1"/>
  </autoFilter>
  <tableColumns count="1">
    <tableColumn id="1" xr3:uid="{2D7DB5DA-05BB-4621-B5A8-576415999BBC}" name="Waste type w" totalsRowDxfId="17"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1F67CF4-5591-4DC0-B306-D83BD3E482C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158765B-443E-42C2-9E63-9F7AEA602C0B}" name="State/Territory">
      <calculatedColumnFormula array="1">Common_InputFunctions.Utility_DisplayArrayInTable(Common_SourceData.Common_SourceData_AustralianStatesTerritories_Data(),Table_AustralianStates[[#Headers],[State/Territory]],0)</calculatedColumnFormula>
    </tableColumn>
    <tableColumn id="2" xr3:uid="{3FEBCA67-3E2C-46E6-BC85-6D8140C6D9AE}" name="Common Name">
      <calculatedColumnFormula array="1">Common_InputFunctions.Utility_DisplayArrayInTable(Common_SourceData.Common_SourceData_AustralianStatesTerritories_Data(),Table_AustralianStates[[#Headers],[State/Territory]],0)</calculatedColumnFormula>
    </tableColumn>
    <tableColumn id="3" xr3:uid="{8BFB088F-D5F4-4612-A3ED-F6B89DA2007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BB81E9F-A1D7-4D39-B4A5-98D132FD2B61}" name="Table_WASA4Areas" displayName="Table_WASA4Areas" ref="D20:D30" totalsRowShown="0">
  <autoFilter ref="D20:D30" xr:uid="{5FA81339-C6C8-4D36-BEEA-6C4AEDD9E676}">
    <filterColumn colId="0" hiddenButton="1"/>
  </autoFilter>
  <tableColumns count="1">
    <tableColumn id="1" xr3:uid="{0CDB4F2B-DAD6-44D4-AC05-B0F44B8D989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E60EFF-1EA1-4C7A-89BC-E02F987DBBC8}" name="Table_GWPData" displayName="Table_GWPData" ref="D36:E43" totalsRowShown="0">
  <autoFilter ref="D36:E43" xr:uid="{B8E87A66-3E41-4AD3-925D-01EE21B43D7A}">
    <filterColumn colId="0" hiddenButton="1"/>
    <filterColumn colId="1" hiddenButton="1"/>
  </autoFilter>
  <tableColumns count="2">
    <tableColumn id="1" xr3:uid="{AB50E32D-A916-4801-92C7-0FCF20960CD9}" name="Gas">
      <calculatedColumnFormula array="1">Common_InputFunctions.Utility_DisplayArrayInTable(Common_SourceData.Common_SourceData_GWP_Data(), Table_GWPData[[#Headers],[Gas]], 0)</calculatedColumnFormula>
    </tableColumn>
    <tableColumn id="2" xr3:uid="{1966E2C5-CBB9-46C8-B1BF-EF1167814AA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FE78A78-CF48-4757-AADA-95BDA790F13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EDC6E53-A4A6-4106-A518-DFAF65D83D7A}" name="Gas">
      <calculatedColumnFormula array="1">Common_InputFunctions.Utility_DisplayArrayInTable(Common_SourceData.Common_SourceData_ConvertGasElementalToMolecular_Data(),Table_GasToMolecularConversionFactor[[#Headers],[Gas]], 0)</calculatedColumnFormula>
    </tableColumn>
    <tableColumn id="5" xr3:uid="{E3D258C8-02F4-445A-8921-A92693E5E0F7}" name="Conversion factor">
      <calculatedColumnFormula array="1">Common_InputFunctions.Utility_DisplayArrayInTable(Common_SourceData.Common_SourceData_ConvertGasElementalToMolecular_Data(),Table_GasToMolecularConversionFactor[[#Headers],[Gas]], 0)</calculatedColumnFormula>
    </tableColumn>
    <tableColumn id="2" xr3:uid="{C28E625E-9FD2-4578-B4AA-E8A81C012DD0}"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C9C1115-3F39-4887-A7B9-214A8010BA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95BE3CB-D41F-4A41-A6A8-67D4C827E71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EE2E9B0-CB6B-46CD-AB8F-1565EAA42F9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1AD31C2-222E-4203-AB79-4AE1B7722F0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F7EC01F-AE07-49E9-9441-45922CBE6114}" name="MAT"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3" xr3:uid="{581BABDE-82D6-446A-9071-BCA1C1E40BC3}" name="MA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4" xr3:uid="{F34AC3E4-E53B-4604-A8DA-45DEF26A6E82}" name="Frost days per year"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5" xr3:uid="{0895F24E-AAD7-408E-B612-3D581AD80DF9}" name="Elevation"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6" xr3:uid="{918D7B00-0110-48E8-AD9C-D31724B4783E}" name="MAP:PET"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7" xr3:uid="{68C8FAA3-A87C-4CBA-9853-85C1CB1597C6}" name="Min temp"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8" xr3:uid="{0EAD5DCC-C795-459A-8820-2C2E89D9C6B6}" name="Max tem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9" xr3:uid="{30FE0BAC-9697-4787-AEB0-75F9FCD5AE32}" name="Min rainfall"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0" xr3:uid="{22609E04-F91A-4706-BF03-3A1821B04EFE}" name="Max rainfall"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1" xr3:uid="{14F0DEEB-5FA1-4BD6-AE13-791D12D24F4F}" name="Min frost days"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5" xr3:uid="{8ED18250-E62D-4810-B4D2-291CC16FA7F0}" name="Max frost days"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2" xr3:uid="{04556D12-4AB9-4892-8184-C215A2623153}" name="Min 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6" xr3:uid="{A31B38B1-BE7A-4AD4-AA00-DAF2EC3A9026}" name="Max 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3" xr3:uid="{914D09DC-516A-4EC4-8695-330CAFAABEA4}" name="Min 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7" xr3:uid="{5309E391-9596-47A3-9F4E-A1D6B26C7C04}" name="Max MAP:PET" totalsRowDxfId="4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06ED7CB-0750-4067-8C0B-D9A727A543A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6A576D-B2B7-4D78-835E-4F61589A29B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11C20-3B8E-4130-B4C5-9202DB915746}" name="Wet or Dry Zone" totalsRowDxfId="4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D270AFA-91E0-4F15-9190-B60763F2F7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2F433E0-6BAA-4A96-86EB-27B777C4FD31}" name="Temperature Zone">
      <calculatedColumnFormula array="1">Common_InputFunctions.Utility_DisplayArrayInTable(Common_SourceData.Common_SourceData_TemperatureZones_Data(),Table_SourceData_TemperatureZones[[#Headers],[Temperature Zone]],0)</calculatedColumnFormula>
    </tableColumn>
    <tableColumn id="2" xr3:uid="{16DE0101-5869-4D82-9134-21A662A9B96A}" name="MAT">
      <calculatedColumnFormula array="1">Common_InputFunctions.Utility_DisplayArrayInTable(Common_SourceData.Common_SourceData_TemperatureZones_Data(),Table_SourceData_TemperatureZones[[#Headers],[Temperature Zone]],0)</calculatedColumnFormula>
    </tableColumn>
    <tableColumn id="3" xr3:uid="{48047BB8-8FE6-489A-97F0-3D7D1E51D995}" name="Min MAT">
      <calculatedColumnFormula array="1">Common_InputFunctions.Utility_DisplayArrayInTable(Common_SourceData.Common_SourceData_TemperatureZones_Data(),Table_SourceData_TemperatureZones[[#Headers],[Temperature Zone]],0)</calculatedColumnFormula>
    </tableColumn>
    <tableColumn id="4" xr3:uid="{D423FE0E-7BE4-48EB-97B5-0A1853B4FBF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8B0313-0C90-48D6-A8DE-86AAD3F1AB5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DC052E-BDF6-4BFD-BE9C-48FDFBCD5C94}" name="Rainfall Zone">
      <calculatedColumnFormula array="1">Common_InputFunctions.Utility_DisplayArrayInTable(Common_SourceData.Common_SourceData_RainfallZones_Data(),Table_SourceData_RainfallZones[[#Headers],[Rainfall Zone]],0)</calculatedColumnFormula>
    </tableColumn>
    <tableColumn id="2" xr3:uid="{5FD4EA9D-3F59-488A-A4A8-A7A48FD5E7AE}" name="Annual rainfall">
      <calculatedColumnFormula array="1">Common_InputFunctions.Utility_DisplayArrayInTable(Common_SourceData.Common_SourceData_RainfallZones_Data(),Table_SourceData_RainfallZones[[#Headers],[Rainfall Zone]],0)</calculatedColumnFormula>
    </tableColumn>
    <tableColumn id="3" xr3:uid="{23593446-36F6-4AAA-9297-2F5B5BD91D2E}" name="Min rainfall">
      <calculatedColumnFormula array="1">Common_InputFunctions.Utility_DisplayArrayInTable(Common_SourceData.Common_SourceData_RainfallZones_Data(),Table_SourceData_RainfallZones[[#Headers],[Rainfall Zone]],0)</calculatedColumnFormula>
    </tableColumn>
    <tableColumn id="4" xr3:uid="{1ACADE75-1B7F-4537-8000-E180522C9CA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42FDED9-9DEF-470D-86BF-1843E3338A6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E6DAA90-62D8-4949-985D-F23ABC9DD7BE}" name="Leaching Zone">
      <calculatedColumnFormula array="1">Common_InputFunctions.Utility_DisplayArrayInTable(Common_SourceData.Common_SourceData_LeachingZones_Data(), Table_SourceData_LeachingZones[[#Headers],[Leaching Zone]], 0)</calculatedColumnFormula>
    </tableColumn>
    <tableColumn id="2" xr3:uid="{20E59849-2FD3-4764-AEB0-A8D678C1663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793B70C-FE15-4FCA-B016-52CC6ECBE10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DB8E0D7-D8EF-48F3-9E92-29744200D721}" name="Data source">
      <calculatedColumnFormula array="1">Common_InputFunctions.Utility_DisplayArrayInTable(Common_SourceData.Common_SourceData_DataScores_Scope3_Data(), Table_SourceData_DataScores_Scope3[[#Headers],[Data source]], 0)</calculatedColumnFormula>
    </tableColumn>
    <tableColumn id="2" xr3:uid="{D43F6DD7-C37B-4B42-9918-4104D17068A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3DB115E-9E81-48D5-B93B-D85C48AF9D56}" name="Table_SourceData_FracWET" displayName="Table_SourceData_FracWET" ref="D134:E136" totalsRowShown="0">
  <autoFilter ref="D134:E136" xr:uid="{308E99BE-FE1F-47A4-B2CA-97217277C4E9}">
    <filterColumn colId="0" hiddenButton="1"/>
    <filterColumn colId="1" hiddenButton="1"/>
  </autoFilter>
  <tableColumns count="2">
    <tableColumn id="1" xr3:uid="{45C7EEF5-2D76-432E-9AB3-2CCF20D96CC4}" name="Is in leaching zone">
      <calculatedColumnFormula array="1">Common_InputFunctions.Utility_DisplayArrayInTable(Common_SourceData.Common_SourceData_FracWET_Data(),Table_SourceData_FracWET[[#Headers],[Is in leaching zone]],0)</calculatedColumnFormula>
    </tableColumn>
    <tableColumn id="2" xr3:uid="{805D4875-B508-476D-9520-35538202DE62}" name="FracWET" dataDxfId="4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ABAA9DA-1B86-4BEA-95AC-71B6E46DCB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13828AC-85A2-4536-AEE0-9CD065E956D9}" name="Production system j">
      <calculatedColumnFormula array="1">Common_InputFunctions.Utility_DisplayArrayInTable(Common_SourceData.Common_SourceData_EFN2O_Data(), Table_SourceData_Common_EFN2O[[#Headers],[Production system j]], 0)</calculatedColumnFormula>
    </tableColumn>
    <tableColumn id="2" xr3:uid="{FEEAB6AA-BD99-4D5D-9363-90D35CECAE7B}" name="EFN2O">
      <calculatedColumnFormula array="1">Common_InputFunctions.Utility_DisplayArrayInTable(Common_SourceData.Common_SourceData_EFN2O_Data(), Table_SourceData_Common_EFN2O[[#Headers],[Production system j]], 0)</calculatedColumnFormula>
    </tableColumn>
    <tableColumn id="3" xr3:uid="{B0D3E48C-3631-490F-93E5-67320ADDB67F}" name="Production system only">
      <calculatedColumnFormula array="1">Common_InputFunctions.Utility_DisplayArrayInTable(Common_SourceData.Common_SourceData_EFN2O_Data(), Table_SourceData_Common_EFN2O[[#Headers],[Production system j]], 0)</calculatedColumnFormula>
    </tableColumn>
    <tableColumn id="4" xr3:uid="{3E04A8E3-4F94-4C91-9715-8EF50729A06E}" name="Irrigation method">
      <calculatedColumnFormula array="1">Common_InputFunctions.Utility_DisplayArrayInTable(Common_SourceData.Common_SourceData_EFN2O_Data(), Table_SourceData_Common_EFN2O[[#Headers],[Production system j]], 0)</calculatedColumnFormula>
    </tableColumn>
    <tableColumn id="5" xr3:uid="{C29138EC-5989-46C0-A6EF-1DF59B89322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E59EC3F-6E4D-4DF4-86DC-5F37B215CF3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6C6CF89-0895-4496-B260-975EDDE66F43}" name="Irrigation type i">
      <calculatedColumnFormula array="1">Common_InputFunctions.Utility_DisplayArrayInTable(Common_SourceData.Common_SourceData_FracWETIrrigation_Data(), Table_SourceData_FracWETIrrigation[[#Headers],[Irrigation type i]], 0)</calculatedColumnFormula>
    </tableColumn>
    <tableColumn id="2" xr3:uid="{65257743-5E74-4B22-91DB-3D2E171C0562}" name="FracWET" dataDxfId="4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879353A-3255-4257-BCF7-D777B58DED4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893B6C1-E916-4A7E-97C2-CF70CA9EA2A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BAD82A9-AE37-4590-805C-2B3CC2381C9A}" name="EFPRP" dataDxfId="4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F10F6A1-FE99-4FA6-9C07-19EAC397770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1E87281-FD70-4777-BB64-21908A3B7A0F}" name="Month">
      <calculatedColumnFormula array="1">Common_InputFunctions.Utility_DisplayArrayInTable(Common_SourceData.Common_SourceData_MonthsToSeasons_Data(), Table_SourceData_Common_MonthToSeason[[#Headers],[Month]], 0)</calculatedColumnFormula>
    </tableColumn>
    <tableColumn id="2" xr3:uid="{45807656-3C84-4037-B0E3-29092D3B5AE1}" name="Season" dataDxfId="4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1B8269B-D064-4939-B49A-2FBF82CD8E9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66FFE72-1919-4001-A8C1-B50F1B32785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896456D-9798-47E1-B33D-42D3227E1C58}" name="MAT (ºC)"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9A17CE5-6B6E-432D-BB0F-E166785B3835}" name="Anaerobic lagoon"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B746B36E-2DB9-4A5A-8ED5-3D01E7C27149}" name="Digester / covered lagoons"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103677F-98E6-4B81-933E-782382272D67}" name="Liquid systems"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5AF51F0-1F56-4071-87BF-55E630E50B10}" name="Daily spread"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E182D3B-654F-4747-BB3F-DEDE497496B4}" name="Composting (passive windrow)"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69BD40D-F086-416B-A820-75F37ABA5198}" name="Solid storage"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FCCBA77-4B2D-4A9B-A4F9-E5B3C667415D}" name="Pit storage"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FC5E424-F954-46A3-A7E2-BC4244A5275A}" name="Deep litter"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844977C-EBF6-4837-B7A9-81D3A93457A4}" name="Poultry manure with bedd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A8150F46-62C5-4A43-A256-E9630EA71C79}" name="Poultry manure without bedding"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036AC1-5946-4C80-A7A2-EE87D193F90F}" name="Direct process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26A2153-745E-4EA9-8280-BF3B7E476FF1}" name="Direct application"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391D537-6E9F-4FBE-99CC-39D278B4C8EA}" name="Pasture range and paddock"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3CCB745-C5B3-4DFE-BD61-A4D02CA55182}" name="MAT ra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438D211-341E-4780-A262-E993419AF92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3447C239-7AB2-4C34-A553-096ADC63C59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712239C-E043-49D7-94AA-19C6C38B44B9}" name="EFNi &amp; EFN2Oi" dataDxfId="2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18"/>
  <sheetViews>
    <sheetView zoomScaleNormal="100" workbookViewId="0">
      <selection activeCell="A18" sqref="A18"/>
    </sheetView>
  </sheetViews>
  <sheetFormatPr defaultRowHeight="15" x14ac:dyDescent="0.25"/>
  <sheetData>
    <row r="1" spans="1:1" ht="25.5" x14ac:dyDescent="0.35">
      <c r="A1" s="30" t="e" vm="1">
        <v>#VALUE!</v>
      </c>
    </row>
    <row r="3" spans="1:1" ht="15.75" x14ac:dyDescent="0.25">
      <c r="A3" s="40" t="str">
        <f>HYPERLINK("#'Home'!A1", "Home")</f>
        <v>Home</v>
      </c>
    </row>
    <row r="4" spans="1:1" ht="15.75" x14ac:dyDescent="0.25">
      <c r="A4" s="12" t="str">
        <f>HYPERLINK("#'Overview'!A1", "Overview")</f>
        <v>Overview</v>
      </c>
    </row>
    <row r="5" spans="1:1" ht="15.75" x14ac:dyDescent="0.25">
      <c r="A5" s="12" t="str">
        <f>HYPERLINK("#'Results'!A1", "Results")</f>
        <v>Results</v>
      </c>
    </row>
    <row r="8" spans="1:1" x14ac:dyDescent="0.25">
      <c r="A8" s="14" t="s">
        <v>0</v>
      </c>
    </row>
    <row r="9" spans="1:1" ht="15.75" x14ac:dyDescent="0.25">
      <c r="A9" s="12" t="str">
        <f>HYPERLINK("#'Input - Solid waste'!A1", "Solid waste")</f>
        <v>Solid waste</v>
      </c>
    </row>
    <row r="12" spans="1:1" x14ac:dyDescent="0.25">
      <c r="A12" s="13" t="s">
        <v>44</v>
      </c>
    </row>
    <row r="13" spans="1:1" ht="15.75" x14ac:dyDescent="0.25">
      <c r="A13" s="12" t="str">
        <f>HYPERLINK("#'10.1.1-2 Solid waste treatment'!A1", "10.1.1-2 Solid waste treatment")</f>
        <v>10.1.1-2 Solid waste treatment</v>
      </c>
    </row>
    <row r="16" spans="1:1" x14ac:dyDescent="0.25">
      <c r="A16" s="73" t="s">
        <v>1</v>
      </c>
    </row>
    <row r="17" spans="1:1" ht="15.75" x14ac:dyDescent="0.25">
      <c r="A17" s="12" t="str">
        <f>HYPERLINK("#'Constants - Solid Waste'!A1", "Constants - Solid Waste")</f>
        <v>Constants - Solid Waste</v>
      </c>
    </row>
    <row r="18" spans="1:1" ht="15.75" x14ac:dyDescent="0.25">
      <c r="A18" s="12"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9" t="s">
        <v>129</v>
      </c>
      <c r="D1" s="50"/>
      <c r="E1" s="50"/>
      <c r="F1" s="50"/>
      <c r="G1" s="50"/>
      <c r="H1" s="50"/>
      <c r="I1" s="50"/>
      <c r="J1" s="50"/>
      <c r="K1" s="50"/>
      <c r="L1" s="50"/>
      <c r="M1" s="50"/>
      <c r="N1" s="50"/>
      <c r="O1" s="50"/>
      <c r="P1" s="50"/>
    </row>
    <row r="2" spans="1:17" ht="20.100000000000001" customHeight="1" x14ac:dyDescent="0.25">
      <c r="C2" s="50"/>
      <c r="D2" s="50"/>
      <c r="E2" s="50"/>
      <c r="F2" s="50"/>
      <c r="G2" s="50"/>
      <c r="H2" s="50"/>
      <c r="I2" s="50"/>
      <c r="J2" s="50"/>
      <c r="K2" s="50"/>
      <c r="L2" s="50"/>
      <c r="M2" s="50"/>
      <c r="N2" s="50"/>
      <c r="O2" s="50"/>
      <c r="P2" s="50"/>
      <c r="Q2" s="51"/>
    </row>
    <row r="3" spans="1:17" ht="20.100000000000001" customHeight="1" x14ac:dyDescent="0.25">
      <c r="A3" s="12" t="str">
        <f>HYPERLINK("#'Home'!A1", "Home")</f>
        <v>Home</v>
      </c>
      <c r="C3" s="52"/>
      <c r="D3" s="52"/>
      <c r="E3" s="52"/>
      <c r="F3" s="52"/>
      <c r="G3" s="52"/>
      <c r="H3" s="52"/>
      <c r="I3" s="52"/>
      <c r="J3" s="52"/>
      <c r="K3" s="52"/>
      <c r="L3" s="52"/>
      <c r="M3" s="52"/>
      <c r="N3" s="52"/>
      <c r="O3" s="52"/>
      <c r="P3" s="52"/>
    </row>
    <row r="4" spans="1:17" ht="20.100000000000001" customHeight="1" x14ac:dyDescent="0.25">
      <c r="A4" s="40" t="str">
        <f>HYPERLINK("#'Overview'!A1", "Overview")</f>
        <v>Overview</v>
      </c>
    </row>
    <row r="5" spans="1:17" ht="20.100000000000001" customHeight="1" x14ac:dyDescent="0.25">
      <c r="A5" s="12" t="str">
        <f>HYPERLINK("#'Results'!A1", "Results")</f>
        <v>Results</v>
      </c>
      <c r="D5" s="38" t="s">
        <v>82</v>
      </c>
      <c r="E5" s="34"/>
      <c r="F5" s="34"/>
      <c r="G5" s="34"/>
      <c r="H5" s="34"/>
      <c r="I5" s="34"/>
      <c r="J5" s="34"/>
      <c r="K5" s="34"/>
      <c r="L5" s="34"/>
      <c r="M5" s="34"/>
      <c r="N5" s="34"/>
      <c r="O5" s="31"/>
    </row>
    <row r="6" spans="1:17" ht="20.100000000000001" customHeight="1" x14ac:dyDescent="0.25">
      <c r="D6" s="53"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Solid waste'!A1", "Solid waste")</f>
        <v>Solid waste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HYPERLINK("#'10.1.1-2 Solid waste treatment'!A1", "10.1.1-2 Solid waste treatment")</f>
        <v>10.1.1-2 Solid waste treatment</v>
      </c>
    </row>
    <row r="14" spans="1:17" ht="20.100000000000001" customHeight="1" x14ac:dyDescent="0.25">
      <c r="O14" s="1" t="s">
        <v>84</v>
      </c>
    </row>
    <row r="15" spans="1:17" ht="20.100000000000001" customHeight="1" x14ac:dyDescent="0.25"/>
    <row r="16" spans="1:17" ht="20.100000000000001" customHeight="1" x14ac:dyDescent="0.25">
      <c r="A16" s="73" t="s">
        <v>1</v>
      </c>
    </row>
    <row r="17" spans="1:1" ht="20.100000000000001" customHeight="1" x14ac:dyDescent="0.25">
      <c r="A17" s="12" t="str">
        <f>HYPERLINK("#'Constants - Solid Waste'!A1", "Constants - Solid Waste")</f>
        <v>Constants - Solid Waste</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0" t="e" vm="1">
        <v>#VALUE!</v>
      </c>
      <c r="C1" s="49" t="s">
        <v>130</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0"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6" t="s">
        <v>49</v>
      </c>
      <c r="E8" s="36" t="s">
        <v>59</v>
      </c>
      <c r="F8" s="36" t="s">
        <v>60</v>
      </c>
      <c r="G8" s="36" t="s">
        <v>54</v>
      </c>
      <c r="H8" s="16"/>
    </row>
    <row r="9" spans="1:8" ht="20.100000000000001" customHeight="1" x14ac:dyDescent="0.25">
      <c r="A9" s="12" t="str">
        <f>HYPERLINK("#'Input - Solid waste'!A1", "Solid waste")</f>
        <v>Solid waste</v>
      </c>
      <c r="C9" s="16"/>
      <c r="D9" s="1" t="s">
        <v>122</v>
      </c>
      <c r="E9" s="48">
        <f>VEERG_10_1_1_1__1_EmissionsFromWasteManagement_Scope1_Result_Method1</f>
        <v>438.82805000000002</v>
      </c>
      <c r="F9" s="48">
        <f>E9</f>
        <v>438.82805000000002</v>
      </c>
      <c r="G9" s="28" t="s">
        <v>57</v>
      </c>
      <c r="H9" s="16"/>
    </row>
    <row r="10" spans="1:8" ht="20.100000000000001" customHeight="1" x14ac:dyDescent="0.25">
      <c r="C10" s="16"/>
      <c r="D10" s="1"/>
      <c r="E10" s="48"/>
      <c r="F10" s="48"/>
      <c r="G10" s="28"/>
      <c r="H10" s="16"/>
    </row>
    <row r="11" spans="1:8" ht="20.100000000000001" customHeight="1" x14ac:dyDescent="0.25">
      <c r="C11" s="16"/>
      <c r="D11" s="1"/>
      <c r="E11" s="1"/>
      <c r="F11" s="1"/>
      <c r="G11" s="1"/>
      <c r="H11" s="16"/>
    </row>
    <row r="12" spans="1:8" ht="20.100000000000001" customHeight="1" x14ac:dyDescent="0.25">
      <c r="A12" s="13" t="s">
        <v>44</v>
      </c>
      <c r="C12" s="16"/>
      <c r="D12" s="36" t="s">
        <v>123</v>
      </c>
      <c r="E12" s="36" t="s">
        <v>59</v>
      </c>
      <c r="F12" s="36" t="s">
        <v>60</v>
      </c>
      <c r="G12" s="36" t="s">
        <v>54</v>
      </c>
      <c r="H12" s="16"/>
    </row>
    <row r="13" spans="1:8" ht="20.100000000000001" customHeight="1" x14ac:dyDescent="0.25">
      <c r="A13" s="12" t="str">
        <f>HYPERLINK("#'10.1.1-2 Solid waste treatment'!A1", "10.1.1-2 Solid waste treatment")</f>
        <v>10.1.1-2 Solid waste treatment</v>
      </c>
      <c r="C13" s="16"/>
      <c r="D13" s="1" t="s">
        <v>122</v>
      </c>
      <c r="E13" s="48">
        <f>VEERG_10_1_1_1__1_EmissionsFromWasteManagement_Scope3_Result_Method1</f>
        <v>441.15000000000003</v>
      </c>
      <c r="F13" s="48">
        <f>E13</f>
        <v>441.15000000000003</v>
      </c>
      <c r="G13" s="28" t="s">
        <v>57</v>
      </c>
      <c r="H13" s="16"/>
    </row>
    <row r="14" spans="1:8" ht="20.100000000000001" customHeight="1" x14ac:dyDescent="0.25">
      <c r="C14" s="16"/>
      <c r="D14" s="1"/>
      <c r="E14" s="37"/>
      <c r="F14" s="28"/>
      <c r="G14" s="1"/>
      <c r="H14" s="16"/>
    </row>
    <row r="15" spans="1:8" ht="20.100000000000001" customHeight="1" x14ac:dyDescent="0.25">
      <c r="C15" s="16"/>
      <c r="D15" s="1"/>
      <c r="E15" s="37"/>
      <c r="F15" s="28"/>
      <c r="G15" s="1"/>
      <c r="H15" s="16"/>
    </row>
    <row r="16" spans="1:8" ht="20.100000000000001" customHeight="1" x14ac:dyDescent="0.25">
      <c r="A16" s="73" t="s">
        <v>1</v>
      </c>
      <c r="C16" s="16"/>
      <c r="D16" s="1"/>
      <c r="E16" s="1"/>
      <c r="F16" s="1"/>
      <c r="G16" s="1"/>
      <c r="H16" s="16"/>
    </row>
    <row r="17" spans="1:8" ht="20.100000000000001" customHeight="1" x14ac:dyDescent="0.25">
      <c r="A17" s="12" t="str">
        <f>HYPERLINK("#'Constants - Solid Waste'!A1", "Constants - Solid Waste")</f>
        <v>Constants - Solid Waste</v>
      </c>
      <c r="C17" s="16"/>
      <c r="D17" s="1"/>
      <c r="E17" s="1"/>
      <c r="F17" s="1"/>
      <c r="G17" s="1"/>
      <c r="H17" s="16"/>
    </row>
    <row r="18" spans="1:8" ht="20.100000000000001" customHeight="1" x14ac:dyDescent="0.25">
      <c r="A18" s="12" t="str">
        <f>HYPERLINK("#'Constants - Common'!A1", "Constants - Common")</f>
        <v>Constants - Common</v>
      </c>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1"/>
      <c r="F21" s="1"/>
      <c r="G21" s="1"/>
      <c r="H21" s="16"/>
    </row>
    <row r="22" spans="1:8" ht="20.100000000000001" customHeight="1" x14ac:dyDescent="0.25">
      <c r="C22" s="16"/>
      <c r="D22" s="1"/>
      <c r="E22" s="1"/>
      <c r="F22" s="1"/>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2"/>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8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98</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112</v>
      </c>
    </row>
    <row r="6" spans="1:10" ht="20.100000000000001" customHeight="1" x14ac:dyDescent="0.25"/>
    <row r="7" spans="1:10" ht="20.100000000000001" customHeight="1" x14ac:dyDescent="0.25">
      <c r="D7" s="55" t="s">
        <v>86</v>
      </c>
      <c r="E7" s="56"/>
    </row>
    <row r="8" spans="1:10" ht="20.100000000000001" customHeight="1" x14ac:dyDescent="0.25">
      <c r="A8" s="14" t="s">
        <v>0</v>
      </c>
    </row>
    <row r="9" spans="1:10" ht="20.100000000000001" customHeight="1" x14ac:dyDescent="0.25">
      <c r="A9" s="39" t="str">
        <f>HYPERLINK("#'Input - Solid waste'!A1", "Solid waste")</f>
        <v>Solid waste</v>
      </c>
      <c r="D9" s="62" t="s">
        <v>85</v>
      </c>
      <c r="E9" s="62" t="s">
        <v>103</v>
      </c>
      <c r="F9" s="62" t="s">
        <v>102</v>
      </c>
      <c r="G9" s="62" t="s">
        <v>101</v>
      </c>
      <c r="H9" s="62" t="s">
        <v>104</v>
      </c>
      <c r="I9" s="62" t="s">
        <v>100</v>
      </c>
    </row>
    <row r="10" spans="1:10" ht="20.100000000000001" customHeight="1" x14ac:dyDescent="0.25">
      <c r="D10" s="24" t="s">
        <v>147</v>
      </c>
      <c r="E10" s="25" t="s">
        <v>131</v>
      </c>
      <c r="F10" s="25" t="s">
        <v>115</v>
      </c>
      <c r="G10" s="25" t="s">
        <v>110</v>
      </c>
      <c r="H10" s="70">
        <v>50</v>
      </c>
      <c r="I10" s="25" t="s">
        <v>99</v>
      </c>
    </row>
    <row r="11" spans="1:10" ht="20.100000000000001" customHeight="1" x14ac:dyDescent="0.25">
      <c r="D11" s="24" t="s">
        <v>148</v>
      </c>
      <c r="E11" s="25" t="s">
        <v>131</v>
      </c>
      <c r="F11" s="25" t="s">
        <v>115</v>
      </c>
      <c r="G11" s="25" t="s">
        <v>113</v>
      </c>
      <c r="H11" s="70">
        <v>50</v>
      </c>
      <c r="I11" s="25" t="s">
        <v>111</v>
      </c>
    </row>
    <row r="12" spans="1:10" ht="20.100000000000001" customHeight="1" x14ac:dyDescent="0.25">
      <c r="A12" s="13" t="s">
        <v>44</v>
      </c>
      <c r="D12" s="24" t="s">
        <v>146</v>
      </c>
      <c r="E12" s="25" t="s">
        <v>131</v>
      </c>
      <c r="F12" s="25" t="s">
        <v>121</v>
      </c>
      <c r="G12" s="25" t="s">
        <v>110</v>
      </c>
      <c r="H12" s="70">
        <v>50</v>
      </c>
      <c r="I12" s="25" t="s">
        <v>99</v>
      </c>
    </row>
    <row r="13" spans="1:10" ht="20.100000000000001" customHeight="1" x14ac:dyDescent="0.25">
      <c r="A13" s="12" t="str">
        <f>HYPERLINK("#'10.1.1-2 Solid waste treatment'!A1", "10.1.1-2 Solid waste treatment")</f>
        <v>10.1.1-2 Solid waste treatment</v>
      </c>
      <c r="D13" s="24" t="s">
        <v>145</v>
      </c>
      <c r="E13" s="25" t="s">
        <v>131</v>
      </c>
      <c r="F13" s="25" t="s">
        <v>121</v>
      </c>
      <c r="G13" s="25" t="s">
        <v>113</v>
      </c>
      <c r="H13" s="70">
        <v>50</v>
      </c>
      <c r="I13" s="25" t="s">
        <v>111</v>
      </c>
    </row>
    <row r="14" spans="1:10" ht="20.100000000000001" customHeight="1" x14ac:dyDescent="0.25">
      <c r="D14" s="24" t="s">
        <v>134</v>
      </c>
      <c r="E14" s="25" t="s">
        <v>105</v>
      </c>
      <c r="F14" s="25" t="s">
        <v>121</v>
      </c>
      <c r="G14" s="25" t="s">
        <v>110</v>
      </c>
      <c r="H14" s="70">
        <v>50</v>
      </c>
      <c r="I14" s="25" t="s">
        <v>99</v>
      </c>
    </row>
    <row r="15" spans="1:10" ht="20.100000000000001" customHeight="1" x14ac:dyDescent="0.25">
      <c r="D15" s="24" t="s">
        <v>135</v>
      </c>
      <c r="E15" s="25" t="s">
        <v>105</v>
      </c>
      <c r="F15" s="25" t="s">
        <v>121</v>
      </c>
      <c r="G15" s="25" t="s">
        <v>110</v>
      </c>
      <c r="H15" s="70">
        <v>50</v>
      </c>
      <c r="I15" s="25" t="s">
        <v>111</v>
      </c>
    </row>
    <row r="16" spans="1:10" ht="20.100000000000001" customHeight="1" x14ac:dyDescent="0.25">
      <c r="A16" s="73" t="s">
        <v>1</v>
      </c>
      <c r="D16" s="24" t="s">
        <v>132</v>
      </c>
      <c r="E16" s="25" t="s">
        <v>105</v>
      </c>
      <c r="F16" s="25" t="s">
        <v>121</v>
      </c>
      <c r="G16" s="25" t="s">
        <v>113</v>
      </c>
      <c r="H16" s="70">
        <v>50</v>
      </c>
      <c r="I16" s="25" t="s">
        <v>99</v>
      </c>
    </row>
    <row r="17" spans="1:11" ht="20.100000000000001" customHeight="1" x14ac:dyDescent="0.25">
      <c r="A17" s="12" t="str">
        <f>HYPERLINK("#'Constants - Solid Waste'!A1", "Constants - Solid Waste")</f>
        <v>Constants - Solid Waste</v>
      </c>
      <c r="D17" s="24" t="s">
        <v>133</v>
      </c>
      <c r="E17" s="25" t="s">
        <v>105</v>
      </c>
      <c r="F17" s="25" t="s">
        <v>121</v>
      </c>
      <c r="G17" s="25" t="s">
        <v>113</v>
      </c>
      <c r="H17" s="70">
        <v>50</v>
      </c>
      <c r="I17" s="25" t="s">
        <v>111</v>
      </c>
    </row>
    <row r="18" spans="1:11" ht="20.100000000000001" customHeight="1" x14ac:dyDescent="0.25">
      <c r="A18" s="12" t="str">
        <f>HYPERLINK("#'Constants - Common'!A1", "Constants - Common")</f>
        <v>Constants - Common</v>
      </c>
      <c r="D18" s="24" t="s">
        <v>136</v>
      </c>
      <c r="E18" s="25" t="s">
        <v>105</v>
      </c>
      <c r="F18" s="25" t="s">
        <v>115</v>
      </c>
      <c r="G18" s="25" t="s">
        <v>110</v>
      </c>
      <c r="H18" s="70">
        <v>50</v>
      </c>
      <c r="I18" s="25" t="s">
        <v>99</v>
      </c>
    </row>
    <row r="19" spans="1:11" ht="20.100000000000001" customHeight="1" x14ac:dyDescent="0.25">
      <c r="D19" s="24" t="s">
        <v>137</v>
      </c>
      <c r="E19" s="25" t="s">
        <v>105</v>
      </c>
      <c r="F19" s="25" t="s">
        <v>115</v>
      </c>
      <c r="G19" s="25" t="s">
        <v>110</v>
      </c>
      <c r="H19" s="70">
        <v>50</v>
      </c>
      <c r="I19" s="25" t="s">
        <v>111</v>
      </c>
    </row>
    <row r="20" spans="1:11" ht="20.100000000000001" customHeight="1" x14ac:dyDescent="0.25">
      <c r="D20" s="24" t="s">
        <v>138</v>
      </c>
      <c r="E20" s="25" t="s">
        <v>105</v>
      </c>
      <c r="F20" s="25" t="s">
        <v>115</v>
      </c>
      <c r="G20" s="25" t="s">
        <v>113</v>
      </c>
      <c r="H20" s="70">
        <v>50</v>
      </c>
      <c r="I20" s="25" t="s">
        <v>99</v>
      </c>
    </row>
    <row r="21" spans="1:11" ht="20.100000000000001" customHeight="1" x14ac:dyDescent="0.25">
      <c r="D21" s="24" t="s">
        <v>139</v>
      </c>
      <c r="E21" s="25" t="s">
        <v>105</v>
      </c>
      <c r="F21" s="25" t="s">
        <v>115</v>
      </c>
      <c r="G21" s="25" t="s">
        <v>113</v>
      </c>
      <c r="H21" s="70">
        <v>50</v>
      </c>
      <c r="I21" s="25" t="s">
        <v>111</v>
      </c>
    </row>
    <row r="22" spans="1:11" ht="20.100000000000001" customHeight="1" x14ac:dyDescent="0.25">
      <c r="D22" s="24" t="s">
        <v>140</v>
      </c>
      <c r="E22" s="25" t="s">
        <v>105</v>
      </c>
      <c r="F22" s="25" t="s">
        <v>144</v>
      </c>
      <c r="G22" s="25" t="s">
        <v>110</v>
      </c>
      <c r="H22" s="70">
        <v>50</v>
      </c>
      <c r="I22" s="25" t="s">
        <v>99</v>
      </c>
    </row>
    <row r="23" spans="1:11" ht="20.100000000000001" customHeight="1" x14ac:dyDescent="0.25">
      <c r="D23" s="24" t="s">
        <v>141</v>
      </c>
      <c r="E23" s="25" t="s">
        <v>105</v>
      </c>
      <c r="F23" s="25" t="s">
        <v>144</v>
      </c>
      <c r="G23" s="25" t="s">
        <v>110</v>
      </c>
      <c r="H23" s="70">
        <v>50</v>
      </c>
      <c r="I23" s="25" t="s">
        <v>111</v>
      </c>
    </row>
    <row r="24" spans="1:11" ht="20.100000000000001" customHeight="1" x14ac:dyDescent="0.25">
      <c r="D24" s="24" t="s">
        <v>142</v>
      </c>
      <c r="E24" s="25" t="s">
        <v>105</v>
      </c>
      <c r="F24" s="25" t="s">
        <v>144</v>
      </c>
      <c r="G24" s="25" t="s">
        <v>113</v>
      </c>
      <c r="H24" s="70">
        <v>50</v>
      </c>
      <c r="I24" s="25" t="s">
        <v>99</v>
      </c>
    </row>
    <row r="25" spans="1:11" ht="20.100000000000001" customHeight="1" x14ac:dyDescent="0.25">
      <c r="D25" s="24" t="s">
        <v>143</v>
      </c>
      <c r="E25" s="25" t="s">
        <v>105</v>
      </c>
      <c r="F25" s="25" t="s">
        <v>144</v>
      </c>
      <c r="G25" s="25" t="s">
        <v>113</v>
      </c>
      <c r="H25" s="70">
        <v>50</v>
      </c>
      <c r="I25" s="25" t="s">
        <v>111</v>
      </c>
    </row>
    <row r="26" spans="1:11" ht="20.100000000000001" customHeight="1" x14ac:dyDescent="0.25">
      <c r="D26" s="24" t="s">
        <v>155</v>
      </c>
      <c r="E26" s="25" t="s">
        <v>114</v>
      </c>
      <c r="F26" s="25" t="s">
        <v>115</v>
      </c>
      <c r="G26" s="25" t="s">
        <v>113</v>
      </c>
      <c r="H26" s="70">
        <v>50</v>
      </c>
      <c r="I26" s="25" t="s">
        <v>99</v>
      </c>
    </row>
    <row r="27" spans="1:11" ht="20.100000000000001" customHeight="1" x14ac:dyDescent="0.25">
      <c r="D27" s="24" t="s">
        <v>156</v>
      </c>
      <c r="E27" s="25" t="s">
        <v>114</v>
      </c>
      <c r="F27" s="25" t="s">
        <v>115</v>
      </c>
      <c r="G27" s="25" t="s">
        <v>113</v>
      </c>
      <c r="H27" s="70">
        <v>50</v>
      </c>
      <c r="I27" s="25" t="s">
        <v>111</v>
      </c>
    </row>
    <row r="28" spans="1:11" ht="20.100000000000001" customHeight="1" x14ac:dyDescent="0.25">
      <c r="D28" s="24" t="s">
        <v>157</v>
      </c>
      <c r="E28" s="25" t="s">
        <v>114</v>
      </c>
      <c r="F28" s="25" t="s">
        <v>144</v>
      </c>
      <c r="G28" s="25" t="s">
        <v>113</v>
      </c>
      <c r="H28" s="70">
        <v>50</v>
      </c>
      <c r="I28" s="25" t="s">
        <v>99</v>
      </c>
    </row>
    <row r="29" spans="1:11" ht="20.100000000000001" customHeight="1" x14ac:dyDescent="0.25">
      <c r="D29" s="24" t="s">
        <v>158</v>
      </c>
      <c r="E29" s="25" t="s">
        <v>114</v>
      </c>
      <c r="F29" s="25" t="s">
        <v>144</v>
      </c>
      <c r="G29" s="25" t="s">
        <v>113</v>
      </c>
      <c r="H29" s="70">
        <v>50</v>
      </c>
      <c r="I29" s="25" t="s">
        <v>111</v>
      </c>
      <c r="K29" s="44"/>
    </row>
    <row r="30" spans="1:11" ht="20.100000000000001" customHeight="1" x14ac:dyDescent="0.25">
      <c r="D30" s="24" t="s">
        <v>159</v>
      </c>
      <c r="E30" s="25" t="s">
        <v>114</v>
      </c>
      <c r="F30" s="25" t="s">
        <v>144</v>
      </c>
      <c r="G30" s="25" t="s">
        <v>110</v>
      </c>
      <c r="H30" s="70">
        <v>50</v>
      </c>
      <c r="I30" s="25" t="s">
        <v>99</v>
      </c>
      <c r="K30" s="44"/>
    </row>
    <row r="31" spans="1:11" ht="20.100000000000001" customHeight="1" x14ac:dyDescent="0.25">
      <c r="D31" s="24" t="s">
        <v>160</v>
      </c>
      <c r="E31" s="25" t="s">
        <v>114</v>
      </c>
      <c r="F31" s="25" t="s">
        <v>144</v>
      </c>
      <c r="G31" s="25" t="s">
        <v>110</v>
      </c>
      <c r="H31" s="70">
        <v>50</v>
      </c>
      <c r="I31" s="25" t="s">
        <v>111</v>
      </c>
      <c r="K31" s="44"/>
    </row>
    <row r="32" spans="1:11" ht="20.100000000000001" customHeight="1" x14ac:dyDescent="0.25">
      <c r="D32" s="24" t="s">
        <v>158</v>
      </c>
      <c r="E32" s="25" t="s">
        <v>114</v>
      </c>
      <c r="F32" s="25" t="s">
        <v>144</v>
      </c>
      <c r="G32" s="25" t="s">
        <v>113</v>
      </c>
      <c r="H32" s="70">
        <v>50</v>
      </c>
      <c r="I32" s="25" t="s">
        <v>111</v>
      </c>
      <c r="K32" s="44"/>
    </row>
    <row r="33" spans="1:12" ht="20.100000000000001" customHeight="1" x14ac:dyDescent="0.25">
      <c r="K33" s="44"/>
    </row>
    <row r="34" spans="1:12" ht="20.100000000000001" customHeight="1" x14ac:dyDescent="0.25">
      <c r="K34" s="44"/>
    </row>
    <row r="35" spans="1:12" ht="20.100000000000001" customHeight="1" x14ac:dyDescent="0.25"/>
    <row r="36" spans="1:12" ht="20.100000000000001" customHeight="1" x14ac:dyDescent="0.25">
      <c r="L36" s="44"/>
    </row>
    <row r="37" spans="1:12" ht="20.100000000000001" customHeight="1" x14ac:dyDescent="0.25">
      <c r="L37" s="44"/>
    </row>
    <row r="38" spans="1:12" ht="20.100000000000001" customHeight="1" x14ac:dyDescent="0.25">
      <c r="C38" s="43"/>
    </row>
    <row r="39" spans="1:12" ht="20.100000000000001" customHeight="1" x14ac:dyDescent="0.25">
      <c r="C39" s="43"/>
      <c r="J39" s="43"/>
    </row>
    <row r="40" spans="1:12" s="44" customFormat="1" ht="20.100000000000001" customHeight="1" x14ac:dyDescent="0.25">
      <c r="A40"/>
      <c r="C40" s="1"/>
      <c r="D40" s="1"/>
      <c r="E40" s="1"/>
      <c r="F40" s="1"/>
      <c r="G40" s="1"/>
      <c r="H40" s="1"/>
      <c r="I40" s="1"/>
      <c r="J40" s="1"/>
    </row>
    <row r="41" spans="1:12" s="44" customFormat="1" ht="20.100000000000001" customHeight="1" x14ac:dyDescent="0.25">
      <c r="A41"/>
      <c r="C41" s="1"/>
      <c r="D41" s="1"/>
      <c r="E41" s="1"/>
      <c r="F41" s="1"/>
      <c r="G41" s="1"/>
      <c r="H41" s="1"/>
      <c r="I41" s="1"/>
      <c r="J41" s="1"/>
      <c r="L41" s="44"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1"/>
    </row>
    <row r="74" spans="4:4" ht="20.100000000000001" customHeight="1" x14ac:dyDescent="0.25"/>
    <row r="75" spans="4:4" ht="20.100000000000001" customHeight="1" x14ac:dyDescent="0.25">
      <c r="D75" s="61"/>
    </row>
    <row r="76" spans="4:4" ht="20.100000000000001" customHeight="1" x14ac:dyDescent="0.25">
      <c r="D76" s="61"/>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5"/>
    </row>
  </sheetData>
  <conditionalFormatting sqref="F162:F163">
    <cfRule type="cellIs" dxfId="16" priority="20" operator="lessThan">
      <formula>0</formula>
    </cfRule>
  </conditionalFormatting>
  <conditionalFormatting sqref="F174:F175">
    <cfRule type="cellIs" dxfId="15" priority="19" operator="lessThan">
      <formula>0</formula>
    </cfRule>
  </conditionalFormatting>
  <conditionalFormatting sqref="F186:F187">
    <cfRule type="cellIs" dxfId="14" priority="18" operator="lessThan">
      <formula>0</formula>
    </cfRule>
  </conditionalFormatting>
  <conditionalFormatting sqref="F274:F275">
    <cfRule type="cellIs" dxfId="13" priority="93" operator="lessThan">
      <formula>0</formula>
    </cfRule>
  </conditionalFormatting>
  <conditionalFormatting sqref="F279:F280">
    <cfRule type="cellIs" dxfId="12" priority="92" operator="lessThan">
      <formula>0</formula>
    </cfRule>
  </conditionalFormatting>
  <conditionalFormatting sqref="F284:F285">
    <cfRule type="cellIs" dxfId="11" priority="91" operator="lessThan">
      <formula>0</formula>
    </cfRule>
  </conditionalFormatting>
  <conditionalFormatting sqref="F308:F309">
    <cfRule type="cellIs" dxfId="10" priority="85" operator="lessThan">
      <formula>0</formula>
    </cfRule>
  </conditionalFormatting>
  <conditionalFormatting sqref="F313:F314">
    <cfRule type="cellIs" dxfId="9" priority="84" operator="lessThan">
      <formula>0</formula>
    </cfRule>
  </conditionalFormatting>
  <conditionalFormatting sqref="F318:F319">
    <cfRule type="cellIs" dxfId="8" priority="83" operator="lessThan">
      <formula>0</formula>
    </cfRule>
  </conditionalFormatting>
  <conditionalFormatting sqref="I33 F71">
    <cfRule type="cellIs" dxfId="7" priority="62" operator="lessThan">
      <formula>0</formula>
    </cfRule>
  </conditionalFormatting>
  <conditionalFormatting sqref="I79:I83">
    <cfRule type="cellIs" dxfId="6" priority="5" operator="lessThan">
      <formula>0</formula>
    </cfRule>
  </conditionalFormatting>
  <conditionalFormatting sqref="I87 I146">
    <cfRule type="cellIs" dxfId="5" priority="74" operator="lessThan">
      <formula>0</formula>
    </cfRule>
  </conditionalFormatting>
  <conditionalFormatting sqref="I98:I100">
    <cfRule type="cellIs" dxfId="4" priority="4" operator="lessThan">
      <formula>0</formula>
    </cfRule>
  </conditionalFormatting>
  <conditionalFormatting sqref="I104:I107">
    <cfRule type="cellIs" dxfId="3" priority="3"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79" operator="lessThan">
      <formula>0</formula>
    </cfRule>
  </conditionalFormatting>
  <conditionalFormatting sqref="J37 I59 F150:F151">
    <cfRule type="cellIs" dxfId="0"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topLeftCell="A174"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92</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WasteSolid_Equations.VEERG_10_1_1_1__2_MassOfWasteFromVolume_Title()</f>
        <v>Mass of waste from waste volume</v>
      </c>
    </row>
    <row r="6" spans="1:12" ht="20.100000000000001" customHeight="1" x14ac:dyDescent="0.25">
      <c r="D6" s="4" t="str" cm="1">
        <f t="array" ref="D6">WasteSolid_Equations.VEERG_10_1_1_1__2_MassOfWasteFromVolume_Source()</f>
        <v>VEERG 2026: 10.1.1.1, Equation (2)</v>
      </c>
    </row>
    <row r="7" spans="1:12" ht="20.100000000000001" customHeight="1" x14ac:dyDescent="0.25">
      <c r="D7" s="10" t="s">
        <v>9</v>
      </c>
      <c r="E7" s="10" t="str" cm="1">
        <f t="array" aca="1" ref="E7" ca="1">Common_InputFunctions.Utility_DisplayFunctionName(I21)</f>
        <v>=WasteSolid_Equations.VEERG_10_1_1_1__2_MassOfWasteFromVolume</v>
      </c>
    </row>
    <row r="8" spans="1:12" ht="20.100000000000001" customHeight="1" x14ac:dyDescent="0.25">
      <c r="A8" s="14" t="s">
        <v>0</v>
      </c>
    </row>
    <row r="9" spans="1:12" ht="20.100000000000001" customHeight="1" x14ac:dyDescent="0.25">
      <c r="A9" s="12" t="str">
        <f>HYPERLINK("#'Input - Solid waste'!A1", "Solid waste")</f>
        <v>Solid waste</v>
      </c>
    </row>
    <row r="10" spans="1:12" ht="20.100000000000001" customHeight="1" x14ac:dyDescent="0.25">
      <c r="D10" s="27" t="s">
        <v>12</v>
      </c>
      <c r="E10" s="1" t="str" cm="1">
        <f t="array" ref="E10">WasteSolid_Equations.VEERG_10_1_1_1__2_MassOfWasteFromVolume_Variable()</f>
        <v>Q_wt</v>
      </c>
    </row>
    <row r="11" spans="1:12" ht="20.100000000000001" customHeight="1" x14ac:dyDescent="0.25">
      <c r="D11" s="27" t="s">
        <v>4</v>
      </c>
      <c r="E11" s="28" t="str" cm="1">
        <f t="array" ref="E11">WasteSolid_Equations.VEERG_10_1_1_1__2_MassOfWasteFromVolume_Unit()</f>
        <v>t</v>
      </c>
    </row>
    <row r="12" spans="1:12" ht="20.100000000000001" customHeight="1" x14ac:dyDescent="0.25">
      <c r="A12" s="13" t="s">
        <v>44</v>
      </c>
    </row>
    <row r="13" spans="1:12" ht="20.100000000000001" customHeight="1" x14ac:dyDescent="0.25">
      <c r="A13" s="63" t="str">
        <f>HYPERLINK("#'10.1.1-2 Solid waste treatment'!A1", "10.1.1-2 Solid waste treatment")</f>
        <v>10.1.1-2 Solid waste treatment</v>
      </c>
      <c r="D13" s="45" t="str" cm="1">
        <f t="array" ref="D13:E16">_xlfn.CHOOSECOLS(WasteSolid_Equations.VEERG_10_1_1_1__2_MassOfWasteFromVolume_Arguments(),1,2)</f>
        <v>V_wt</v>
      </c>
      <c r="E13" s="47" t="str">
        <v>volume of solid waste type w being sent to treatment facility t</v>
      </c>
      <c r="F13" s="46"/>
      <c r="G13" s="45" t="str" cm="1">
        <f t="array" ref="G13:H16">_xlfn.CHOOSECOLS(WasteSolid_Equations.VEERG_10_1_1_1__2_MassOfWasteFromVolume_Arguments(),3,4)</f>
        <v>m3</v>
      </c>
      <c r="H13" s="42" t="str">
        <v>Input</v>
      </c>
      <c r="I13" s="71" t="str" cm="1">
        <f t="array" aca="1" ref="I13" ca="1">HYPERLINK(Common_InputFunctions.Utility_SourceHyperlink($D$18),$D$18)</f>
        <v>Table_V_w_t_onsite</v>
      </c>
      <c r="J13" s="71" t="str" cm="1">
        <f t="array" aca="1" ref="J13" ca="1">HYPERLINK(Common_InputFunctions.Utility_SourceHyperlink($D$56),$D$56)</f>
        <v>Table_V_w_t_offsite</v>
      </c>
    </row>
    <row r="14" spans="1:12" ht="20.100000000000001" customHeight="1" x14ac:dyDescent="0.25">
      <c r="D14" s="45" t="str">
        <v>VTM_w</v>
      </c>
      <c r="E14" s="47" t="str">
        <v>conversion factor of volume to mass for waste type w</v>
      </c>
      <c r="F14" s="46"/>
      <c r="G14" s="45" t="str">
        <v>t/m3</v>
      </c>
      <c r="H14" s="41" t="str">
        <v>Constant</v>
      </c>
      <c r="I14" s="71" t="str" cm="1">
        <f t="array" aca="1" ref="I14" ca="1">HYPERLINK(Common_InputFunctions.Utility_SourceHyperlink($D$18),$D$18)</f>
        <v>Table_V_w_t_onsite</v>
      </c>
      <c r="J14" s="71" t="str" cm="1">
        <f t="array" aca="1" ref="J14" ca="1">HYPERLINK(Common_InputFunctions.Utility_SourceHyperlink($D$56),$D$56)</f>
        <v>Table_V_w_t_offsite</v>
      </c>
    </row>
    <row r="15" spans="1:12" ht="20.100000000000001" customHeight="1" x14ac:dyDescent="0.25">
      <c r="D15" s="45" t="str">
        <v>w</v>
      </c>
      <c r="E15" s="47" t="str">
        <v>waste type</v>
      </c>
      <c r="F15" s="46"/>
      <c r="G15" s="45" t="str">
        <v/>
      </c>
      <c r="H15" s="42" t="str">
        <v>Input</v>
      </c>
      <c r="I15" s="71" t="str" cm="1">
        <f t="array" aca="1" ref="I15" ca="1">HYPERLINK(Common_InputFunctions.Utility_SourceHyperlink($D$18),$D$18)</f>
        <v>Table_V_w_t_onsite</v>
      </c>
      <c r="J15" s="71" t="str" cm="1">
        <f t="array" aca="1" ref="J15" ca="1">HYPERLINK(Common_InputFunctions.Utility_SourceHyperlink($D$56),$D$56)</f>
        <v>Table_V_w_t_offsite</v>
      </c>
    </row>
    <row r="16" spans="1:12" ht="20.100000000000001" customHeight="1" x14ac:dyDescent="0.25">
      <c r="A16" s="73" t="s">
        <v>1</v>
      </c>
      <c r="D16" s="45" t="str">
        <v>t</v>
      </c>
      <c r="E16" s="47" t="str">
        <v>treatment facility</v>
      </c>
      <c r="F16" s="46"/>
      <c r="G16" s="45" t="str">
        <v/>
      </c>
      <c r="H16" s="42" t="str">
        <v>Input</v>
      </c>
      <c r="I16" s="71" t="str" cm="1">
        <f t="array" aca="1" ref="I16" ca="1">HYPERLINK(Common_InputFunctions.Utility_SourceHyperlink($D$18),$D$18)</f>
        <v>Table_V_w_t_onsite</v>
      </c>
      <c r="J16" s="71" t="str" cm="1">
        <f t="array" aca="1" ref="J16" ca="1">HYPERLINK(Common_InputFunctions.Utility_SourceHyperlink($D$56),$D$56)</f>
        <v>Table_V_w_t_offsite</v>
      </c>
    </row>
    <row r="17" spans="1:9" ht="20.100000000000001" customHeight="1" x14ac:dyDescent="0.25">
      <c r="A17" s="12" t="str">
        <f>HYPERLINK("#'Constants - Solid Waste'!A1", "Constants - Solid Waste")</f>
        <v>Constants - Solid Waste</v>
      </c>
    </row>
    <row r="18" spans="1:9" ht="20.100000000000001" customHeight="1" x14ac:dyDescent="0.25">
      <c r="A18" s="12" t="str">
        <f>HYPERLINK("#'Constants - Common'!A1", "Constants - Common")</f>
        <v>Constants - Common</v>
      </c>
      <c r="D18" s="65" t="s">
        <v>116</v>
      </c>
    </row>
    <row r="19" spans="1:9" ht="20.100000000000001" customHeight="1" x14ac:dyDescent="0.25">
      <c r="D19" s="66" t="s">
        <v>119</v>
      </c>
    </row>
    <row r="20" spans="1:9" ht="20.100000000000001" customHeight="1" x14ac:dyDescent="0.25">
      <c r="D20" s="62" t="s">
        <v>93</v>
      </c>
      <c r="E20" s="62" t="s">
        <v>94</v>
      </c>
      <c r="F20" s="62"/>
      <c r="G20" s="62" t="s">
        <v>95</v>
      </c>
      <c r="H20" s="67" t="s">
        <v>97</v>
      </c>
      <c r="I20" s="67" t="s">
        <v>96</v>
      </c>
    </row>
    <row r="21" spans="1:9" ht="20.100000000000001" customHeight="1" x14ac:dyDescent="0.25">
      <c r="D21" s="45" t="str" cm="1">
        <f t="array" ref="D21:D54">Table_SourceData_WasteSolid_WasteTreatmentEFs[Treatment type t]</f>
        <v>Landfill</v>
      </c>
      <c r="E21" s="47" t="str" cm="1">
        <f t="array" ref="E21:E54">Table_SourceData_WasteSolid_WasteTreatmentEFs[Waste type w]</f>
        <v>Food waste (including animal carcasses, spoiled animal feed or crop)</v>
      </c>
      <c r="F21" s="68"/>
      <c r="G21" s="26"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6" cm="1">
        <f t="array" ref="H21">Common_InputFunctions.Utility_LookupValueInTableNumber(E21,Table_SourceData_WasteSolid_VolumeToMassConversion[Waste type w],Table_SourceData_WasteSolid_VolumeToMassConversion[VTMw])</f>
        <v>0.5</v>
      </c>
      <c r="I21" s="26" cm="1">
        <f t="array" ref="I21">WasteSolid_Equations.VEERG_10_1_1_1__2_MassOfWasteFromVolume(G21,H21)</f>
        <v>25</v>
      </c>
    </row>
    <row r="22" spans="1:9" ht="20.100000000000001" customHeight="1" x14ac:dyDescent="0.25">
      <c r="D22" s="45" t="str">
        <v>Landfill</v>
      </c>
      <c r="E22" s="47" t="str">
        <v>Paper and cardboard</v>
      </c>
      <c r="F22" s="68"/>
      <c r="G22" s="26"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6" cm="1">
        <f t="array" ref="H22">Common_InputFunctions.Utility_LookupValueInTableNumber(E22,Table_SourceData_WasteSolid_VolumeToMassConversion[Waste type w],Table_SourceData_WasteSolid_VolumeToMassConversion[VTMw])</f>
        <v>0.09</v>
      </c>
      <c r="I22" s="26" cm="1">
        <f t="array" ref="I22">WasteSolid_Equations.VEERG_10_1_1_1__2_MassOfWasteFromVolume(G22,H22)</f>
        <v>4.5</v>
      </c>
    </row>
    <row r="23" spans="1:9" ht="20.100000000000001" customHeight="1" x14ac:dyDescent="0.25">
      <c r="D23" s="45" t="str">
        <v>Landfill</v>
      </c>
      <c r="E23" s="47" t="str">
        <v>Green waste (including crop residues or prunings)</v>
      </c>
      <c r="F23" s="68"/>
      <c r="G23" s="26"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6" cm="1">
        <f t="array" ref="H23">Common_InputFunctions.Utility_LookupValueInTableNumber(E23,Table_SourceData_WasteSolid_VolumeToMassConversion[Waste type w],Table_SourceData_WasteSolid_VolumeToMassConversion[VTMw])</f>
        <v>0.24</v>
      </c>
      <c r="I23" s="26" cm="1">
        <f t="array" ref="I23">WasteSolid_Equations.VEERG_10_1_1_1__2_MassOfWasteFromVolume(G23,H23)</f>
        <v>12</v>
      </c>
    </row>
    <row r="24" spans="1:9" ht="20.100000000000001" customHeight="1" x14ac:dyDescent="0.25">
      <c r="D24" s="45" t="str">
        <v>Landfill</v>
      </c>
      <c r="E24" s="47" t="str">
        <v>Wood</v>
      </c>
      <c r="F24" s="68"/>
      <c r="G24" s="26"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6" cm="1">
        <f t="array" ref="H24">Common_InputFunctions.Utility_LookupValueInTableNumber(E24,Table_SourceData_WasteSolid_VolumeToMassConversion[Waste type w],Table_SourceData_WasteSolid_VolumeToMassConversion[VTMw])</f>
        <v>0.15</v>
      </c>
      <c r="I24" s="26" cm="1">
        <f t="array" ref="I24">WasteSolid_Equations.VEERG_10_1_1_1__2_MassOfWasteFromVolume(G24,H24)</f>
        <v>0</v>
      </c>
    </row>
    <row r="25" spans="1:9" ht="20.100000000000001" customHeight="1" x14ac:dyDescent="0.25">
      <c r="D25" s="45" t="str">
        <v>Landfill</v>
      </c>
      <c r="E25" s="47" t="str">
        <v>Textiles</v>
      </c>
      <c r="F25" s="68"/>
      <c r="G25" s="26"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6" cm="1">
        <f t="array" ref="H25">Common_InputFunctions.Utility_LookupValueInTableNumber(E25,Table_SourceData_WasteSolid_VolumeToMassConversion[Waste type w],Table_SourceData_WasteSolid_VolumeToMassConversion[VTMw])</f>
        <v>0.14000000000000001</v>
      </c>
      <c r="I25" s="26" cm="1">
        <f t="array" ref="I25">WasteSolid_Equations.VEERG_10_1_1_1__2_MassOfWasteFromVolume(G25,H25)</f>
        <v>0</v>
      </c>
    </row>
    <row r="26" spans="1:9" ht="20.100000000000001" customHeight="1" x14ac:dyDescent="0.25">
      <c r="D26" s="45" t="str">
        <v>Landfill</v>
      </c>
      <c r="E26" s="47" t="str">
        <v>Sludge</v>
      </c>
      <c r="F26" s="68"/>
      <c r="G26" s="26"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6" cm="1">
        <f t="array" ref="H26">Common_InputFunctions.Utility_LookupValueInTableNumber(E26,Table_SourceData_WasteSolid_VolumeToMassConversion[Waste type w],Table_SourceData_WasteSolid_VolumeToMassConversion[VTMw])</f>
        <v>0.72</v>
      </c>
      <c r="I26" s="26" cm="1">
        <f t="array" ref="I26">WasteSolid_Equations.VEERG_10_1_1_1__2_MassOfWasteFromVolume(G26,H26)</f>
        <v>0</v>
      </c>
    </row>
    <row r="27" spans="1:9" ht="20.100000000000001" customHeight="1" x14ac:dyDescent="0.25">
      <c r="D27" s="45" t="str">
        <v>Landfill</v>
      </c>
      <c r="E27" s="47" t="str">
        <v>Rubber and leather</v>
      </c>
      <c r="F27" s="68"/>
      <c r="G27" s="26"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6" cm="1">
        <f t="array" ref="H27">Common_InputFunctions.Utility_LookupValueInTableNumber(E27,Table_SourceData_WasteSolid_VolumeToMassConversion[Waste type w],Table_SourceData_WasteSolid_VolumeToMassConversion[VTMw])</f>
        <v>0.14000000000000001</v>
      </c>
      <c r="I27" s="26" cm="1">
        <f t="array" ref="I27">WasteSolid_Equations.VEERG_10_1_1_1__2_MassOfWasteFromVolume(G27,H27)</f>
        <v>0</v>
      </c>
    </row>
    <row r="28" spans="1:9" ht="20.100000000000001" customHeight="1" x14ac:dyDescent="0.25">
      <c r="D28" s="45" t="str">
        <v>Landfill</v>
      </c>
      <c r="E28" s="47" t="str">
        <v>Inert waste (including concrete, metal, plastic or glass)</v>
      </c>
      <c r="F28" s="68"/>
      <c r="G28" s="26"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6" cm="1">
        <f t="array" ref="H28">Common_InputFunctions.Utility_LookupValueInTableNumber(E28,Table_SourceData_WasteSolid_VolumeToMassConversion[Waste type w],Table_SourceData_WasteSolid_VolumeToMassConversion[VTMw])</f>
        <v>0.42</v>
      </c>
      <c r="I28" s="26" cm="1">
        <f t="array" ref="I28">WasteSolid_Equations.VEERG_10_1_1_1__2_MassOfWasteFromVolume(G28,H28)</f>
        <v>0</v>
      </c>
    </row>
    <row r="29" spans="1:9" ht="20.100000000000001" customHeight="1" x14ac:dyDescent="0.25">
      <c r="D29" s="45" t="str">
        <v>Landfill</v>
      </c>
      <c r="E29" s="47" t="str">
        <v>Municipal solid waste</v>
      </c>
      <c r="F29" s="68"/>
      <c r="G29" s="26"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6" cm="1">
        <f t="array" ref="H29">Common_InputFunctions.Utility_LookupValueInTableNumber(E29,Table_SourceData_WasteSolid_VolumeToMassConversion[Waste type w],Table_SourceData_WasteSolid_VolumeToMassConversion[VTMw])</f>
        <v>0.36</v>
      </c>
      <c r="I29" s="26" cm="1">
        <f t="array" ref="I29">WasteSolid_Equations.VEERG_10_1_1_1__2_MassOfWasteFromVolume(G29,H29)</f>
        <v>0</v>
      </c>
    </row>
    <row r="30" spans="1:9" ht="20.100000000000001" customHeight="1" x14ac:dyDescent="0.25">
      <c r="D30" s="45" t="str">
        <v>Landfill</v>
      </c>
      <c r="E30" s="47" t="str">
        <v>Commercial and industrial waste</v>
      </c>
      <c r="F30" s="68"/>
      <c r="G30" s="26"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6" cm="1">
        <f t="array" ref="H30">Common_InputFunctions.Utility_LookupValueInTableNumber(E30,Table_SourceData_WasteSolid_VolumeToMassConversion[Waste type w],Table_SourceData_WasteSolid_VolumeToMassConversion[VTMw])</f>
        <v>0.33</v>
      </c>
      <c r="I30" s="26" cm="1">
        <f t="array" ref="I30">WasteSolid_Equations.VEERG_10_1_1_1__2_MassOfWasteFromVolume(G30,H30)</f>
        <v>0</v>
      </c>
    </row>
    <row r="31" spans="1:9" ht="20.100000000000001" customHeight="1" x14ac:dyDescent="0.25">
      <c r="D31" s="45" t="str">
        <v>Landfill</v>
      </c>
      <c r="E31" s="47" t="str">
        <v>Construction and demolition waste</v>
      </c>
      <c r="F31" s="68"/>
      <c r="G31" s="26"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6" cm="1">
        <f t="array" ref="H31">Common_InputFunctions.Utility_LookupValueInTableNumber(E31,Table_SourceData_WasteSolid_VolumeToMassConversion[Waste type w],Table_SourceData_WasteSolid_VolumeToMassConversion[VTMw])</f>
        <v>0.39</v>
      </c>
      <c r="I31" s="26" cm="1">
        <f t="array" ref="I31">WasteSolid_Equations.VEERG_10_1_1_1__2_MassOfWasteFromVolume(G31,H31)</f>
        <v>0</v>
      </c>
    </row>
    <row r="32" spans="1:9" ht="20.100000000000001" customHeight="1" x14ac:dyDescent="0.25">
      <c r="D32" s="45" t="str">
        <v>Incineration</v>
      </c>
      <c r="E32" s="47" t="str">
        <v>Food waste, green waste, wood, sludge</v>
      </c>
      <c r="F32" s="68"/>
      <c r="G32" s="26" t="s">
        <v>149</v>
      </c>
      <c r="H32" s="26" t="s">
        <v>149</v>
      </c>
      <c r="I32" s="26" t="s">
        <v>149</v>
      </c>
    </row>
    <row r="33" spans="4:9" ht="20.100000000000001" customHeight="1" x14ac:dyDescent="0.25">
      <c r="D33" s="45" t="str">
        <v>Incineration</v>
      </c>
      <c r="E33" s="47" t="str">
        <v>Food waste (including animal carcasses, spoiled animal feed or crop)</v>
      </c>
      <c r="F33" s="68"/>
      <c r="G33" s="26"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6" cm="1">
        <f t="array" ref="H33">Common_InputFunctions.Utility_LookupValueInTableNumber(E33,Table_SourceData_WasteSolid_VolumeToMassConversion[Waste type w],Table_SourceData_WasteSolid_VolumeToMassConversion[VTMw])</f>
        <v>0.5</v>
      </c>
      <c r="I33" s="26" cm="1">
        <f t="array" ref="I33">WasteSolid_Equations.VEERG_10_1_1_1__2_MassOfWasteFromVolume(G33,H33)</f>
        <v>0</v>
      </c>
    </row>
    <row r="34" spans="4:9" ht="20.100000000000001" customHeight="1" x14ac:dyDescent="0.25">
      <c r="D34" s="45" t="str">
        <v>Incineration</v>
      </c>
      <c r="E34" s="47" t="str">
        <v>Green waste (including crop residues or prunings)</v>
      </c>
      <c r="F34" s="68"/>
      <c r="G34" s="26"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6" cm="1">
        <f t="array" ref="H34">Common_InputFunctions.Utility_LookupValueInTableNumber(E34,Table_SourceData_WasteSolid_VolumeToMassConversion[Waste type w],Table_SourceData_WasteSolid_VolumeToMassConversion[VTMw])</f>
        <v>0.24</v>
      </c>
      <c r="I34" s="26" cm="1">
        <f t="array" ref="I34">WasteSolid_Equations.VEERG_10_1_1_1__2_MassOfWasteFromVolume(G34,H34)</f>
        <v>24</v>
      </c>
    </row>
    <row r="35" spans="4:9" ht="20.100000000000001" customHeight="1" x14ac:dyDescent="0.25">
      <c r="D35" s="45" t="str">
        <v>Incineration</v>
      </c>
      <c r="E35" s="47" t="str">
        <v>Wood</v>
      </c>
      <c r="F35" s="68"/>
      <c r="G35" s="26"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6" cm="1">
        <f t="array" ref="H35">Common_InputFunctions.Utility_LookupValueInTableNumber(E35,Table_SourceData_WasteSolid_VolumeToMassConversion[Waste type w],Table_SourceData_WasteSolid_VolumeToMassConversion[VTMw])</f>
        <v>0.15</v>
      </c>
      <c r="I35" s="26" cm="1">
        <f t="array" ref="I35">WasteSolid_Equations.VEERG_10_1_1_1__2_MassOfWasteFromVolume(G35,H35)</f>
        <v>0</v>
      </c>
    </row>
    <row r="36" spans="4:9" ht="20.100000000000001" customHeight="1" x14ac:dyDescent="0.25">
      <c r="D36" s="45" t="str">
        <v>Incineration</v>
      </c>
      <c r="E36" s="47" t="str">
        <v>Sludge</v>
      </c>
      <c r="F36" s="68"/>
      <c r="G36" s="26"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6" cm="1">
        <f t="array" ref="H36">Common_InputFunctions.Utility_LookupValueInTableNumber(E36,Table_SourceData_WasteSolid_VolumeToMassConversion[Waste type w],Table_SourceData_WasteSolid_VolumeToMassConversion[VTMw])</f>
        <v>0.72</v>
      </c>
      <c r="I36" s="26" cm="1">
        <f t="array" ref="I36">WasteSolid_Equations.VEERG_10_1_1_1__2_MassOfWasteFromVolume(G36,H36)</f>
        <v>0</v>
      </c>
    </row>
    <row r="37" spans="4:9" ht="20.100000000000001" customHeight="1" x14ac:dyDescent="0.25">
      <c r="D37" s="45" t="str">
        <v>Incineration</v>
      </c>
      <c r="E37" s="47" t="str">
        <v>Paper and cardboard</v>
      </c>
      <c r="F37" s="68"/>
      <c r="G37" s="26"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6" cm="1">
        <f t="array" ref="H37">Common_InputFunctions.Utility_LookupValueInTableNumber(E37,Table_SourceData_WasteSolid_VolumeToMassConversion[Waste type w],Table_SourceData_WasteSolid_VolumeToMassConversion[VTMw])</f>
        <v>0.09</v>
      </c>
      <c r="I37" s="26" cm="1">
        <f t="array" ref="I37">WasteSolid_Equations.VEERG_10_1_1_1__2_MassOfWasteFromVolume(G37,H37)</f>
        <v>4.5</v>
      </c>
    </row>
    <row r="38" spans="4:9" ht="20.100000000000001" customHeight="1" x14ac:dyDescent="0.25">
      <c r="D38" s="45" t="str">
        <v>Incineration</v>
      </c>
      <c r="E38" s="47" t="str">
        <v>Textiles</v>
      </c>
      <c r="F38" s="68"/>
      <c r="G38" s="26"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6" cm="1">
        <f t="array" ref="H38">Common_InputFunctions.Utility_LookupValueInTableNumber(E38,Table_SourceData_WasteSolid_VolumeToMassConversion[Waste type w],Table_SourceData_WasteSolid_VolumeToMassConversion[VTMw])</f>
        <v>0.14000000000000001</v>
      </c>
      <c r="I38" s="26" cm="1">
        <f t="array" ref="I38">WasteSolid_Equations.VEERG_10_1_1_1__2_MassOfWasteFromVolume(G38,H38)</f>
        <v>0</v>
      </c>
    </row>
    <row r="39" spans="4:9" ht="20.100000000000001" customHeight="1" x14ac:dyDescent="0.25">
      <c r="D39" s="45" t="str">
        <v>Incineration</v>
      </c>
      <c r="E39" s="47" t="str">
        <v>Rubber and leather</v>
      </c>
      <c r="F39" s="68"/>
      <c r="G39" s="26"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6" cm="1">
        <f t="array" ref="H39">Common_InputFunctions.Utility_LookupValueInTableNumber(E39,Table_SourceData_WasteSolid_VolumeToMassConversion[Waste type w],Table_SourceData_WasteSolid_VolumeToMassConversion[VTMw])</f>
        <v>0.14000000000000001</v>
      </c>
      <c r="I39" s="26" cm="1">
        <f t="array" ref="I39">WasteSolid_Equations.VEERG_10_1_1_1__2_MassOfWasteFromVolume(G39,H39)</f>
        <v>0</v>
      </c>
    </row>
    <row r="40" spans="4:9" ht="20.100000000000001" customHeight="1" x14ac:dyDescent="0.25">
      <c r="D40" s="45" t="str">
        <v>Incineration</v>
      </c>
      <c r="E40" s="45" t="str">
        <v>Inert waste (including concrete, metal, plastic or glass)</v>
      </c>
      <c r="F40" s="45"/>
      <c r="G40" s="26"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6" cm="1">
        <f t="array" ref="H40">Common_InputFunctions.Utility_LookupValueInTableNumber(E40,Table_SourceData_WasteSolid_VolumeToMassConversion[Waste type w],Table_SourceData_WasteSolid_VolumeToMassConversion[VTMw])</f>
        <v>0.42</v>
      </c>
      <c r="I40" s="26" cm="1">
        <f t="array" ref="I40">WasteSolid_Equations.VEERG_10_1_1_1__2_MassOfWasteFromVolume(G40,H40)</f>
        <v>0</v>
      </c>
    </row>
    <row r="41" spans="4:9" ht="20.100000000000001" customHeight="1" x14ac:dyDescent="0.25">
      <c r="D41" s="45" t="str">
        <v>Incineration</v>
      </c>
      <c r="E41" s="47" t="str">
        <v>Municipal solid waste</v>
      </c>
      <c r="F41" s="46"/>
      <c r="G41" s="26"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6" cm="1">
        <f t="array" ref="H41">Common_InputFunctions.Utility_LookupValueInTableNumber(E41,Table_SourceData_WasteSolid_VolumeToMassConversion[Waste type w],Table_SourceData_WasteSolid_VolumeToMassConversion[VTMw])</f>
        <v>0.36</v>
      </c>
      <c r="I41" s="26" cm="1">
        <f t="array" ref="I41">WasteSolid_Equations.VEERG_10_1_1_1__2_MassOfWasteFromVolume(G41,H41)</f>
        <v>0</v>
      </c>
    </row>
    <row r="42" spans="4:9" ht="20.100000000000001" customHeight="1" x14ac:dyDescent="0.25">
      <c r="D42" s="45" t="str">
        <v>Incineration</v>
      </c>
      <c r="E42" s="47" t="str">
        <v>Commercial and industrial waste</v>
      </c>
      <c r="F42" s="46"/>
      <c r="G42" s="26"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6" cm="1">
        <f t="array" ref="H42">Common_InputFunctions.Utility_LookupValueInTableNumber(E42,Table_SourceData_WasteSolid_VolumeToMassConversion[Waste type w],Table_SourceData_WasteSolid_VolumeToMassConversion[VTMw])</f>
        <v>0.33</v>
      </c>
      <c r="I42" s="26" cm="1">
        <f t="array" ref="I42">WasteSolid_Equations.VEERG_10_1_1_1__2_MassOfWasteFromVolume(G42,H42)</f>
        <v>0</v>
      </c>
    </row>
    <row r="43" spans="4:9" ht="20.100000000000001" customHeight="1" x14ac:dyDescent="0.25">
      <c r="D43" s="45" t="str">
        <v>Composting</v>
      </c>
      <c r="E43" s="47" t="str">
        <v>All organic waste</v>
      </c>
      <c r="F43" s="46"/>
      <c r="G43" s="26" t="s">
        <v>149</v>
      </c>
      <c r="H43" s="26" t="s">
        <v>149</v>
      </c>
      <c r="I43" s="26" t="s">
        <v>149</v>
      </c>
    </row>
    <row r="44" spans="4:9" ht="20.100000000000001" customHeight="1" x14ac:dyDescent="0.25">
      <c r="D44" s="45" t="str">
        <v>Composting</v>
      </c>
      <c r="E44" s="47" t="str">
        <v>Food waste (including animal carcasses, spoiled animal feed or crop)</v>
      </c>
      <c r="F44" s="46"/>
      <c r="G44" s="26"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6" cm="1">
        <f t="array" ref="H44">Common_InputFunctions.Utility_LookupValueInTableNumber(E44,Table_SourceData_WasteSolid_VolumeToMassConversion[Waste type w],Table_SourceData_WasteSolid_VolumeToMassConversion[VTMw])</f>
        <v>0.5</v>
      </c>
      <c r="I44" s="26" cm="1">
        <f t="array" ref="I44">WasteSolid_Equations.VEERG_10_1_1_1__2_MassOfWasteFromVolume(G44,H44)</f>
        <v>25</v>
      </c>
    </row>
    <row r="45" spans="4:9" ht="20.100000000000001" customHeight="1" x14ac:dyDescent="0.25">
      <c r="D45" s="45" t="str">
        <v>Composting</v>
      </c>
      <c r="E45" s="47" t="str">
        <v>Green waste (including crop residues or prunings)</v>
      </c>
      <c r="F45" s="46"/>
      <c r="G45" s="26"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6" cm="1">
        <f t="array" ref="H45">Common_InputFunctions.Utility_LookupValueInTableNumber(E45,Table_SourceData_WasteSolid_VolumeToMassConversion[Waste type w],Table_SourceData_WasteSolid_VolumeToMassConversion[VTMw])</f>
        <v>0.24</v>
      </c>
      <c r="I45" s="26" cm="1">
        <f t="array" ref="I45">WasteSolid_Equations.VEERG_10_1_1_1__2_MassOfWasteFromVolume(G45,H45)</f>
        <v>0</v>
      </c>
    </row>
    <row r="46" spans="4:9" ht="20.100000000000001" customHeight="1" x14ac:dyDescent="0.25">
      <c r="D46" s="45" t="str">
        <v>Composting</v>
      </c>
      <c r="E46" s="47" t="str">
        <v>Wood</v>
      </c>
      <c r="F46" s="46"/>
      <c r="G46" s="26"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6" cm="1">
        <f t="array" ref="H46">Common_InputFunctions.Utility_LookupValueInTableNumber(E46,Table_SourceData_WasteSolid_VolumeToMassConversion[Waste type w],Table_SourceData_WasteSolid_VolumeToMassConversion[VTMw])</f>
        <v>0.15</v>
      </c>
      <c r="I46" s="26" cm="1">
        <f t="array" ref="I46">WasteSolid_Equations.VEERG_10_1_1_1__2_MassOfWasteFromVolume(G46,H46)</f>
        <v>0</v>
      </c>
    </row>
    <row r="47" spans="4:9" ht="20.100000000000001" customHeight="1" x14ac:dyDescent="0.25">
      <c r="D47" s="45" t="str">
        <v>Composting</v>
      </c>
      <c r="E47" s="47" t="str">
        <v>Sludge</v>
      </c>
      <c r="F47" s="46"/>
      <c r="G47" s="26"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6" cm="1">
        <f t="array" ref="H47">Common_InputFunctions.Utility_LookupValueInTableNumber(E47,Table_SourceData_WasteSolid_VolumeToMassConversion[Waste type w],Table_SourceData_WasteSolid_VolumeToMassConversion[VTMw])</f>
        <v>0.72</v>
      </c>
      <c r="I47" s="26" cm="1">
        <f t="array" ref="I47">WasteSolid_Equations.VEERG_10_1_1_1__2_MassOfWasteFromVolume(G47,H47)</f>
        <v>0</v>
      </c>
    </row>
    <row r="48" spans="4:9" ht="20.100000000000001" customHeight="1" x14ac:dyDescent="0.25">
      <c r="D48" s="45" t="str">
        <v>Composting</v>
      </c>
      <c r="E48" s="47" t="str">
        <v>Paper and cardboard</v>
      </c>
      <c r="F48" s="46"/>
      <c r="G48" s="26"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6" cm="1">
        <f t="array" ref="H48">Common_InputFunctions.Utility_LookupValueInTableNumber(E48,Table_SourceData_WasteSolid_VolumeToMassConversion[Waste type w],Table_SourceData_WasteSolid_VolumeToMassConversion[VTMw])</f>
        <v>0.09</v>
      </c>
      <c r="I48" s="26" cm="1">
        <f t="array" ref="I48">WasteSolid_Equations.VEERG_10_1_1_1__2_MassOfWasteFromVolume(G48,H48)</f>
        <v>4.5</v>
      </c>
    </row>
    <row r="49" spans="4:9" ht="20.100000000000001" customHeight="1" x14ac:dyDescent="0.25">
      <c r="D49" s="45" t="str">
        <v>Anaerobic digestion</v>
      </c>
      <c r="E49" s="47" t="str">
        <v>All organic waste</v>
      </c>
      <c r="F49" s="46"/>
      <c r="G49" s="26" t="s">
        <v>149</v>
      </c>
      <c r="H49" s="26" t="s">
        <v>149</v>
      </c>
      <c r="I49" s="26" t="s">
        <v>149</v>
      </c>
    </row>
    <row r="50" spans="4:9" ht="20.100000000000001" customHeight="1" x14ac:dyDescent="0.25">
      <c r="D50" s="45" t="str">
        <v>Anaerobic digestion</v>
      </c>
      <c r="E50" s="47" t="str">
        <v>Food waste (including animal carcasses, spoiled animal feed or crop)</v>
      </c>
      <c r="F50" s="46"/>
      <c r="G50" s="26"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6" cm="1">
        <f t="array" ref="H50">Common_InputFunctions.Utility_LookupValueInTableNumber(E50,Table_SourceData_WasteSolid_VolumeToMassConversion[Waste type w],Table_SourceData_WasteSolid_VolumeToMassConversion[VTMw])</f>
        <v>0.5</v>
      </c>
      <c r="I50" s="26" cm="1">
        <f t="array" ref="I50">WasteSolid_Equations.VEERG_10_1_1_1__2_MassOfWasteFromVolume(G50,H50)</f>
        <v>0</v>
      </c>
    </row>
    <row r="51" spans="4:9" ht="20.100000000000001" customHeight="1" x14ac:dyDescent="0.25">
      <c r="D51" s="45" t="str">
        <v>Anaerobic digestion</v>
      </c>
      <c r="E51" s="47" t="str">
        <v>Green waste (including crop residues or prunings)</v>
      </c>
      <c r="F51" s="46"/>
      <c r="G51" s="26"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6" cm="1">
        <f t="array" ref="H51">Common_InputFunctions.Utility_LookupValueInTableNumber(E51,Table_SourceData_WasteSolid_VolumeToMassConversion[Waste type w],Table_SourceData_WasteSolid_VolumeToMassConversion[VTMw])</f>
        <v>0.24</v>
      </c>
      <c r="I51" s="26" cm="1">
        <f t="array" ref="I51">WasteSolid_Equations.VEERG_10_1_1_1__2_MassOfWasteFromVolume(G51,H51)</f>
        <v>0</v>
      </c>
    </row>
    <row r="52" spans="4:9" ht="20.100000000000001" customHeight="1" x14ac:dyDescent="0.25">
      <c r="D52" s="45" t="str">
        <v>Anaerobic digestion</v>
      </c>
      <c r="E52" s="47" t="str">
        <v>Wood</v>
      </c>
      <c r="F52" s="46"/>
      <c r="G52" s="26"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6" cm="1">
        <f t="array" ref="H52">Common_InputFunctions.Utility_LookupValueInTableNumber(E52,Table_SourceData_WasteSolid_VolumeToMassConversion[Waste type w],Table_SourceData_WasteSolid_VolumeToMassConversion[VTMw])</f>
        <v>0.15</v>
      </c>
      <c r="I52" s="26" cm="1">
        <f t="array" ref="I52">WasteSolid_Equations.VEERG_10_1_1_1__2_MassOfWasteFromVolume(G52,H52)</f>
        <v>0</v>
      </c>
    </row>
    <row r="53" spans="4:9" ht="20.100000000000001" customHeight="1" x14ac:dyDescent="0.25">
      <c r="D53" s="45" t="str">
        <v>Anaerobic digestion</v>
      </c>
      <c r="E53" s="47" t="str">
        <v>Sludge</v>
      </c>
      <c r="F53" s="46"/>
      <c r="G53" s="26"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6" cm="1">
        <f t="array" ref="H53">Common_InputFunctions.Utility_LookupValueInTableNumber(E53,Table_SourceData_WasteSolid_VolumeToMassConversion[Waste type w],Table_SourceData_WasteSolid_VolumeToMassConversion[VTMw])</f>
        <v>0.72</v>
      </c>
      <c r="I53" s="26" cm="1">
        <f t="array" ref="I53">WasteSolid_Equations.VEERG_10_1_1_1__2_MassOfWasteFromVolume(G53,H53)</f>
        <v>0</v>
      </c>
    </row>
    <row r="54" spans="4:9" ht="20.100000000000001" customHeight="1" x14ac:dyDescent="0.25">
      <c r="D54" s="45" t="str">
        <v>Anaerobic digestion</v>
      </c>
      <c r="E54" s="47" t="str">
        <v>Paper and cardboard</v>
      </c>
      <c r="F54" s="46"/>
      <c r="G54" s="26"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6" cm="1">
        <f t="array" ref="H54">Common_InputFunctions.Utility_LookupValueInTableNumber(E54,Table_SourceData_WasteSolid_VolumeToMassConversion[Waste type w],Table_SourceData_WasteSolid_VolumeToMassConversion[VTMw])</f>
        <v>0.09</v>
      </c>
      <c r="I54" s="26" cm="1">
        <f t="array" ref="I54">WasteSolid_Equations.VEERG_10_1_1_1__2_MassOfWasteFromVolume(G54,H54)</f>
        <v>0</v>
      </c>
    </row>
    <row r="55" spans="4:9" ht="20.100000000000001" customHeight="1" x14ac:dyDescent="0.25"/>
    <row r="56" spans="4:9" ht="20.100000000000001" customHeight="1" x14ac:dyDescent="0.25">
      <c r="D56" s="65" t="s">
        <v>117</v>
      </c>
    </row>
    <row r="57" spans="4:9" ht="20.100000000000001" customHeight="1" x14ac:dyDescent="0.25">
      <c r="D57" s="66" t="s">
        <v>120</v>
      </c>
    </row>
    <row r="58" spans="4:9" ht="20.100000000000001" customHeight="1" x14ac:dyDescent="0.25">
      <c r="D58" s="62" t="s">
        <v>93</v>
      </c>
      <c r="E58" s="62" t="s">
        <v>94</v>
      </c>
      <c r="F58" s="62"/>
      <c r="G58" s="62" t="s">
        <v>95</v>
      </c>
      <c r="H58" s="67" t="s">
        <v>97</v>
      </c>
      <c r="I58" s="67" t="s">
        <v>96</v>
      </c>
    </row>
    <row r="59" spans="4:9" ht="20.100000000000001" customHeight="1" x14ac:dyDescent="0.25">
      <c r="D59" s="45" t="str" cm="1">
        <f t="array" ref="D59:D92">Table_SourceData_WasteSolid_WasteTreatmentEFs[Treatment type t]</f>
        <v>Landfill</v>
      </c>
      <c r="E59" s="47" t="str" cm="1">
        <f t="array" ref="E59:E92">Table_SourceData_WasteSolid_WasteTreatmentEFs[Waste type w]</f>
        <v>Food waste (including animal carcasses, spoiled animal feed or crop)</v>
      </c>
      <c r="F59" s="68"/>
      <c r="G59" s="26"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6" cm="1">
        <f t="array" ref="H59">Common_InputFunctions.Utility_LookupValueInTableNumber(E59,Table_SourceData_WasteSolid_VolumeToMassConversion[Waste type w],Table_SourceData_WasteSolid_VolumeToMassConversion[VTMw])</f>
        <v>0.5</v>
      </c>
      <c r="I59" s="26" cm="1">
        <f t="array" ref="I59">WasteSolid_Equations.VEERG_10_1_1_1__2_MassOfWasteFromVolume(G59,H59)</f>
        <v>25</v>
      </c>
    </row>
    <row r="60" spans="4:9" ht="20.100000000000001" customHeight="1" x14ac:dyDescent="0.25">
      <c r="D60" s="45" t="str">
        <v>Landfill</v>
      </c>
      <c r="E60" s="47" t="str">
        <v>Paper and cardboard</v>
      </c>
      <c r="F60" s="68"/>
      <c r="G60" s="26"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6" cm="1">
        <f t="array" ref="H60">Common_InputFunctions.Utility_LookupValueInTableNumber(E60,Table_SourceData_WasteSolid_VolumeToMassConversion[Waste type w],Table_SourceData_WasteSolid_VolumeToMassConversion[VTMw])</f>
        <v>0.09</v>
      </c>
      <c r="I60" s="26" cm="1">
        <f t="array" ref="I60">WasteSolid_Equations.VEERG_10_1_1_1__2_MassOfWasteFromVolume(G60,H60)</f>
        <v>4.5</v>
      </c>
    </row>
    <row r="61" spans="4:9" ht="20.100000000000001" customHeight="1" x14ac:dyDescent="0.25">
      <c r="D61" s="45" t="str">
        <v>Landfill</v>
      </c>
      <c r="E61" s="47" t="str">
        <v>Green waste (including crop residues or prunings)</v>
      </c>
      <c r="F61" s="68"/>
      <c r="G61" s="26"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6" cm="1">
        <f t="array" ref="H61">Common_InputFunctions.Utility_LookupValueInTableNumber(E61,Table_SourceData_WasteSolid_VolumeToMassConversion[Waste type w],Table_SourceData_WasteSolid_VolumeToMassConversion[VTMw])</f>
        <v>0.24</v>
      </c>
      <c r="I61" s="26" cm="1">
        <f t="array" ref="I61">WasteSolid_Equations.VEERG_10_1_1_1__2_MassOfWasteFromVolume(G61,H61)</f>
        <v>12</v>
      </c>
    </row>
    <row r="62" spans="4:9" ht="20.100000000000001" customHeight="1" x14ac:dyDescent="0.25">
      <c r="D62" s="45" t="str">
        <v>Landfill</v>
      </c>
      <c r="E62" s="47" t="str">
        <v>Wood</v>
      </c>
      <c r="F62" s="68"/>
      <c r="G62" s="26"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6" cm="1">
        <f t="array" ref="H62">Common_InputFunctions.Utility_LookupValueInTableNumber(E62,Table_SourceData_WasteSolid_VolumeToMassConversion[Waste type w],Table_SourceData_WasteSolid_VolumeToMassConversion[VTMw])</f>
        <v>0.15</v>
      </c>
      <c r="I62" s="26" cm="1">
        <f t="array" ref="I62">WasteSolid_Equations.VEERG_10_1_1_1__2_MassOfWasteFromVolume(G62,H62)</f>
        <v>0</v>
      </c>
    </row>
    <row r="63" spans="4:9" ht="20.100000000000001" customHeight="1" x14ac:dyDescent="0.25">
      <c r="D63" s="45" t="str">
        <v>Landfill</v>
      </c>
      <c r="E63" s="47" t="str">
        <v>Textiles</v>
      </c>
      <c r="F63" s="68"/>
      <c r="G63" s="26"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6" cm="1">
        <f t="array" ref="H63">Common_InputFunctions.Utility_LookupValueInTableNumber(E63,Table_SourceData_WasteSolid_VolumeToMassConversion[Waste type w],Table_SourceData_WasteSolid_VolumeToMassConversion[VTMw])</f>
        <v>0.14000000000000001</v>
      </c>
      <c r="I63" s="26" cm="1">
        <f t="array" ref="I63">WasteSolid_Equations.VEERG_10_1_1_1__2_MassOfWasteFromVolume(G63,H63)</f>
        <v>0</v>
      </c>
    </row>
    <row r="64" spans="4:9" ht="20.100000000000001" customHeight="1" x14ac:dyDescent="0.25">
      <c r="D64" s="45" t="str">
        <v>Landfill</v>
      </c>
      <c r="E64" s="47" t="str">
        <v>Sludge</v>
      </c>
      <c r="F64" s="68"/>
      <c r="G64" s="26"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6" cm="1">
        <f t="array" ref="H64">Common_InputFunctions.Utility_LookupValueInTableNumber(E64,Table_SourceData_WasteSolid_VolumeToMassConversion[Waste type w],Table_SourceData_WasteSolid_VolumeToMassConversion[VTMw])</f>
        <v>0.72</v>
      </c>
      <c r="I64" s="26" cm="1">
        <f t="array" ref="I64">WasteSolid_Equations.VEERG_10_1_1_1__2_MassOfWasteFromVolume(G64,H64)</f>
        <v>0</v>
      </c>
    </row>
    <row r="65" spans="4:9" ht="20.100000000000001" customHeight="1" x14ac:dyDescent="0.25">
      <c r="D65" s="45" t="str">
        <v>Landfill</v>
      </c>
      <c r="E65" s="47" t="str">
        <v>Rubber and leather</v>
      </c>
      <c r="F65" s="68"/>
      <c r="G65" s="26"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6" cm="1">
        <f t="array" ref="H65">Common_InputFunctions.Utility_LookupValueInTableNumber(E65,Table_SourceData_WasteSolid_VolumeToMassConversion[Waste type w],Table_SourceData_WasteSolid_VolumeToMassConversion[VTMw])</f>
        <v>0.14000000000000001</v>
      </c>
      <c r="I65" s="26" cm="1">
        <f t="array" ref="I65">WasteSolid_Equations.VEERG_10_1_1_1__2_MassOfWasteFromVolume(G65,H65)</f>
        <v>0</v>
      </c>
    </row>
    <row r="66" spans="4:9" ht="20.100000000000001" customHeight="1" x14ac:dyDescent="0.25">
      <c r="D66" s="45" t="str">
        <v>Landfill</v>
      </c>
      <c r="E66" s="47" t="str">
        <v>Inert waste (including concrete, metal, plastic or glass)</v>
      </c>
      <c r="F66" s="68"/>
      <c r="G66" s="26"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6" cm="1">
        <f t="array" ref="H66">Common_InputFunctions.Utility_LookupValueInTableNumber(E66,Table_SourceData_WasteSolid_VolumeToMassConversion[Waste type w],Table_SourceData_WasteSolid_VolumeToMassConversion[VTMw])</f>
        <v>0.42</v>
      </c>
      <c r="I66" s="26" cm="1">
        <f t="array" ref="I66">WasteSolid_Equations.VEERG_10_1_1_1__2_MassOfWasteFromVolume(G66,H66)</f>
        <v>0</v>
      </c>
    </row>
    <row r="67" spans="4:9" ht="20.100000000000001" customHeight="1" x14ac:dyDescent="0.25">
      <c r="D67" s="45" t="str">
        <v>Landfill</v>
      </c>
      <c r="E67" s="47" t="str">
        <v>Municipal solid waste</v>
      </c>
      <c r="F67" s="68"/>
      <c r="G67" s="26"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6" cm="1">
        <f t="array" ref="H67">Common_InputFunctions.Utility_LookupValueInTableNumber(E67,Table_SourceData_WasteSolid_VolumeToMassConversion[Waste type w],Table_SourceData_WasteSolid_VolumeToMassConversion[VTMw])</f>
        <v>0.36</v>
      </c>
      <c r="I67" s="26" cm="1">
        <f t="array" ref="I67">WasteSolid_Equations.VEERG_10_1_1_1__2_MassOfWasteFromVolume(G67,H67)</f>
        <v>0</v>
      </c>
    </row>
    <row r="68" spans="4:9" ht="20.100000000000001" customHeight="1" x14ac:dyDescent="0.25">
      <c r="D68" s="45" t="str">
        <v>Landfill</v>
      </c>
      <c r="E68" s="47" t="str">
        <v>Commercial and industrial waste</v>
      </c>
      <c r="F68" s="68"/>
      <c r="G68" s="26"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6" cm="1">
        <f t="array" ref="H68">Common_InputFunctions.Utility_LookupValueInTableNumber(E68,Table_SourceData_WasteSolid_VolumeToMassConversion[Waste type w],Table_SourceData_WasteSolid_VolumeToMassConversion[VTMw])</f>
        <v>0.33</v>
      </c>
      <c r="I68" s="26" cm="1">
        <f t="array" ref="I68">WasteSolid_Equations.VEERG_10_1_1_1__2_MassOfWasteFromVolume(G68,H68)</f>
        <v>0</v>
      </c>
    </row>
    <row r="69" spans="4:9" ht="20.100000000000001" customHeight="1" x14ac:dyDescent="0.25">
      <c r="D69" s="45" t="str">
        <v>Landfill</v>
      </c>
      <c r="E69" s="47" t="str">
        <v>Construction and demolition waste</v>
      </c>
      <c r="F69" s="68"/>
      <c r="G69" s="26"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6" cm="1">
        <f t="array" ref="H69">Common_InputFunctions.Utility_LookupValueInTableNumber(E69,Table_SourceData_WasteSolid_VolumeToMassConversion[Waste type w],Table_SourceData_WasteSolid_VolumeToMassConversion[VTMw])</f>
        <v>0.39</v>
      </c>
      <c r="I69" s="26" cm="1">
        <f t="array" ref="I69">WasteSolid_Equations.VEERG_10_1_1_1__2_MassOfWasteFromVolume(G69,H69)</f>
        <v>0</v>
      </c>
    </row>
    <row r="70" spans="4:9" ht="20.100000000000001" customHeight="1" x14ac:dyDescent="0.25">
      <c r="D70" s="45" t="str">
        <v>Incineration</v>
      </c>
      <c r="E70" s="47" t="str">
        <v>Food waste, green waste, wood, sludge</v>
      </c>
      <c r="F70" s="68"/>
      <c r="G70" s="26" t="s">
        <v>149</v>
      </c>
      <c r="H70" s="26" t="s">
        <v>149</v>
      </c>
      <c r="I70" s="26" t="s">
        <v>149</v>
      </c>
    </row>
    <row r="71" spans="4:9" ht="20.100000000000001" customHeight="1" x14ac:dyDescent="0.25">
      <c r="D71" s="45" t="str">
        <v>Incineration</v>
      </c>
      <c r="E71" s="47" t="str">
        <v>Food waste (including animal carcasses, spoiled animal feed or crop)</v>
      </c>
      <c r="F71" s="68"/>
      <c r="G71" s="26"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6" cm="1">
        <f t="array" ref="H71">Common_InputFunctions.Utility_LookupValueInTableNumber(E71,Table_SourceData_WasteSolid_VolumeToMassConversion[Waste type w],Table_SourceData_WasteSolid_VolumeToMassConversion[VTMw])</f>
        <v>0.5</v>
      </c>
      <c r="I71" s="26" cm="1">
        <f t="array" ref="I71">WasteSolid_Equations.VEERG_10_1_1_1__2_MassOfWasteFromVolume(G71,H71)</f>
        <v>0</v>
      </c>
    </row>
    <row r="72" spans="4:9" ht="20.100000000000001" customHeight="1" x14ac:dyDescent="0.25">
      <c r="D72" s="45" t="str">
        <v>Incineration</v>
      </c>
      <c r="E72" s="47" t="str">
        <v>Green waste (including crop residues or prunings)</v>
      </c>
      <c r="F72" s="68"/>
      <c r="G72" s="26"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6" cm="1">
        <f t="array" ref="H72">Common_InputFunctions.Utility_LookupValueInTableNumber(E72,Table_SourceData_WasteSolid_VolumeToMassConversion[Waste type w],Table_SourceData_WasteSolid_VolumeToMassConversion[VTMw])</f>
        <v>0.24</v>
      </c>
      <c r="I72" s="26" cm="1">
        <f t="array" ref="I72">WasteSolid_Equations.VEERG_10_1_1_1__2_MassOfWasteFromVolume(G72,H72)</f>
        <v>12</v>
      </c>
    </row>
    <row r="73" spans="4:9" ht="20.100000000000001" customHeight="1" x14ac:dyDescent="0.25">
      <c r="D73" s="45" t="str">
        <v>Incineration</v>
      </c>
      <c r="E73" s="47" t="str">
        <v>Wood</v>
      </c>
      <c r="F73" s="68"/>
      <c r="G73" s="26"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6" cm="1">
        <f t="array" ref="H73">Common_InputFunctions.Utility_LookupValueInTableNumber(E73,Table_SourceData_WasteSolid_VolumeToMassConversion[Waste type w],Table_SourceData_WasteSolid_VolumeToMassConversion[VTMw])</f>
        <v>0.15</v>
      </c>
      <c r="I73" s="26" cm="1">
        <f t="array" ref="I73">WasteSolid_Equations.VEERG_10_1_1_1__2_MassOfWasteFromVolume(G73,H73)</f>
        <v>0</v>
      </c>
    </row>
    <row r="74" spans="4:9" ht="20.100000000000001" customHeight="1" x14ac:dyDescent="0.25">
      <c r="D74" s="45" t="str">
        <v>Incineration</v>
      </c>
      <c r="E74" s="47" t="str">
        <v>Sludge</v>
      </c>
      <c r="F74" s="68"/>
      <c r="G74" s="26"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6" cm="1">
        <f t="array" ref="H74">Common_InputFunctions.Utility_LookupValueInTableNumber(E74,Table_SourceData_WasteSolid_VolumeToMassConversion[Waste type w],Table_SourceData_WasteSolid_VolumeToMassConversion[VTMw])</f>
        <v>0.72</v>
      </c>
      <c r="I74" s="26" cm="1">
        <f t="array" ref="I74">WasteSolid_Equations.VEERG_10_1_1_1__2_MassOfWasteFromVolume(G74,H74)</f>
        <v>0</v>
      </c>
    </row>
    <row r="75" spans="4:9" ht="20.100000000000001" customHeight="1" x14ac:dyDescent="0.25">
      <c r="D75" s="45" t="str">
        <v>Incineration</v>
      </c>
      <c r="E75" s="47" t="str">
        <v>Paper and cardboard</v>
      </c>
      <c r="F75" s="68"/>
      <c r="G75" s="26"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6" cm="1">
        <f t="array" ref="H75">Common_InputFunctions.Utility_LookupValueInTableNumber(E75,Table_SourceData_WasteSolid_VolumeToMassConversion[Waste type w],Table_SourceData_WasteSolid_VolumeToMassConversion[VTMw])</f>
        <v>0.09</v>
      </c>
      <c r="I75" s="26" cm="1">
        <f t="array" ref="I75">WasteSolid_Equations.VEERG_10_1_1_1__2_MassOfWasteFromVolume(G75,H75)</f>
        <v>0</v>
      </c>
    </row>
    <row r="76" spans="4:9" ht="20.100000000000001" customHeight="1" x14ac:dyDescent="0.25">
      <c r="D76" s="45" t="str">
        <v>Incineration</v>
      </c>
      <c r="E76" s="47" t="str">
        <v>Textiles</v>
      </c>
      <c r="F76" s="68"/>
      <c r="G76" s="26"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6" cm="1">
        <f t="array" ref="H76">Common_InputFunctions.Utility_LookupValueInTableNumber(E76,Table_SourceData_WasteSolid_VolumeToMassConversion[Waste type w],Table_SourceData_WasteSolid_VolumeToMassConversion[VTMw])</f>
        <v>0.14000000000000001</v>
      </c>
      <c r="I76" s="26" cm="1">
        <f t="array" ref="I76">WasteSolid_Equations.VEERG_10_1_1_1__2_MassOfWasteFromVolume(G76,H76)</f>
        <v>0</v>
      </c>
    </row>
    <row r="77" spans="4:9" ht="20.100000000000001" customHeight="1" x14ac:dyDescent="0.25">
      <c r="D77" s="45" t="str">
        <v>Incineration</v>
      </c>
      <c r="E77" s="47" t="str">
        <v>Rubber and leather</v>
      </c>
      <c r="F77" s="68"/>
      <c r="G77" s="26"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6" cm="1">
        <f t="array" ref="H77">Common_InputFunctions.Utility_LookupValueInTableNumber(E77,Table_SourceData_WasteSolid_VolumeToMassConversion[Waste type w],Table_SourceData_WasteSolid_VolumeToMassConversion[VTMw])</f>
        <v>0.14000000000000001</v>
      </c>
      <c r="I77" s="26" cm="1">
        <f t="array" ref="I77">WasteSolid_Equations.VEERG_10_1_1_1__2_MassOfWasteFromVolume(G77,H77)</f>
        <v>0</v>
      </c>
    </row>
    <row r="78" spans="4:9" ht="20.100000000000001" customHeight="1" x14ac:dyDescent="0.25">
      <c r="D78" s="45" t="str">
        <v>Incineration</v>
      </c>
      <c r="E78" s="47" t="str">
        <v>Inert waste (including concrete, metal, plastic or glass)</v>
      </c>
      <c r="F78" s="68"/>
      <c r="G78" s="26"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6" cm="1">
        <f t="array" ref="H78">Common_InputFunctions.Utility_LookupValueInTableNumber(E78,Table_SourceData_WasteSolid_VolumeToMassConversion[Waste type w],Table_SourceData_WasteSolid_VolumeToMassConversion[VTMw])</f>
        <v>0.42</v>
      </c>
      <c r="I78" s="26" cm="1">
        <f t="array" ref="I78">WasteSolid_Equations.VEERG_10_1_1_1__2_MassOfWasteFromVolume(G78,H78)</f>
        <v>0</v>
      </c>
    </row>
    <row r="79" spans="4:9" ht="20.100000000000001" customHeight="1" x14ac:dyDescent="0.25">
      <c r="D79" s="45" t="str">
        <v>Incineration</v>
      </c>
      <c r="E79" s="47" t="str">
        <v>Municipal solid waste</v>
      </c>
      <c r="F79" s="46"/>
      <c r="G79" s="26"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6" cm="1">
        <f t="array" ref="H79">Common_InputFunctions.Utility_LookupValueInTableNumber(E79,Table_SourceData_WasteSolid_VolumeToMassConversion[Waste type w],Table_SourceData_WasteSolid_VolumeToMassConversion[VTMw])</f>
        <v>0.36</v>
      </c>
      <c r="I79" s="26" cm="1">
        <f t="array" ref="I79">WasteSolid_Equations.VEERG_10_1_1_1__2_MassOfWasteFromVolume(G79,H79)</f>
        <v>0</v>
      </c>
    </row>
    <row r="80" spans="4:9" ht="20.100000000000001" customHeight="1" x14ac:dyDescent="0.25">
      <c r="D80" s="45" t="str">
        <v>Incineration</v>
      </c>
      <c r="E80" s="47" t="str">
        <v>Commercial and industrial waste</v>
      </c>
      <c r="F80" s="46"/>
      <c r="G80" s="26"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6" cm="1">
        <f t="array" ref="H80">Common_InputFunctions.Utility_LookupValueInTableNumber(E80,Table_SourceData_WasteSolid_VolumeToMassConversion[Waste type w],Table_SourceData_WasteSolid_VolumeToMassConversion[VTMw])</f>
        <v>0.33</v>
      </c>
      <c r="I80" s="26" cm="1">
        <f t="array" ref="I80">WasteSolid_Equations.VEERG_10_1_1_1__2_MassOfWasteFromVolume(G80,H80)</f>
        <v>0</v>
      </c>
    </row>
    <row r="81" spans="3:12" ht="20.100000000000001" customHeight="1" x14ac:dyDescent="0.25">
      <c r="D81" s="45" t="str">
        <v>Composting</v>
      </c>
      <c r="E81" s="47" t="str">
        <v>All organic waste</v>
      </c>
      <c r="F81" s="46"/>
      <c r="G81" s="26" t="s">
        <v>149</v>
      </c>
      <c r="H81" s="26" t="s">
        <v>149</v>
      </c>
      <c r="I81" s="26" t="s">
        <v>149</v>
      </c>
    </row>
    <row r="82" spans="3:12" ht="20.100000000000001" customHeight="1" x14ac:dyDescent="0.25">
      <c r="D82" s="45" t="str">
        <v>Composting</v>
      </c>
      <c r="E82" s="47" t="str">
        <v>Food waste (including animal carcasses, spoiled animal feed or crop)</v>
      </c>
      <c r="F82" s="46"/>
      <c r="G82" s="26"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6" cm="1">
        <f t="array" ref="H82">Common_InputFunctions.Utility_LookupValueInTableNumber(E82,Table_SourceData_WasteSolid_VolumeToMassConversion[Waste type w],Table_SourceData_WasteSolid_VolumeToMassConversion[VTMw])</f>
        <v>0.5</v>
      </c>
      <c r="I82" s="26" cm="1">
        <f t="array" ref="I82">WasteSolid_Equations.VEERG_10_1_1_1__2_MassOfWasteFromVolume(G82,H82)</f>
        <v>0</v>
      </c>
    </row>
    <row r="83" spans="3:12" ht="20.100000000000001" customHeight="1" x14ac:dyDescent="0.25">
      <c r="D83" s="45" t="str">
        <v>Composting</v>
      </c>
      <c r="E83" s="47" t="str">
        <v>Green waste (including crop residues or prunings)</v>
      </c>
      <c r="F83" s="46"/>
      <c r="G83" s="26"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6" cm="1">
        <f t="array" ref="H83">Common_InputFunctions.Utility_LookupValueInTableNumber(E83,Table_SourceData_WasteSolid_VolumeToMassConversion[Waste type w],Table_SourceData_WasteSolid_VolumeToMassConversion[VTMw])</f>
        <v>0.24</v>
      </c>
      <c r="I83" s="26" cm="1">
        <f t="array" ref="I83">WasteSolid_Equations.VEERG_10_1_1_1__2_MassOfWasteFromVolume(G83,H83)</f>
        <v>0</v>
      </c>
    </row>
    <row r="84" spans="3:12" ht="20.100000000000001" customHeight="1" x14ac:dyDescent="0.25">
      <c r="D84" s="45" t="str">
        <v>Composting</v>
      </c>
      <c r="E84" s="47" t="str">
        <v>Wood</v>
      </c>
      <c r="F84" s="46"/>
      <c r="G84" s="26"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6" cm="1">
        <f t="array" ref="H84">Common_InputFunctions.Utility_LookupValueInTableNumber(E84,Table_SourceData_WasteSolid_VolumeToMassConversion[Waste type w],Table_SourceData_WasteSolid_VolumeToMassConversion[VTMw])</f>
        <v>0.15</v>
      </c>
      <c r="I84" s="26" cm="1">
        <f t="array" ref="I84">WasteSolid_Equations.VEERG_10_1_1_1__2_MassOfWasteFromVolume(G84,H84)</f>
        <v>0</v>
      </c>
    </row>
    <row r="85" spans="3:12" ht="20.100000000000001" customHeight="1" x14ac:dyDescent="0.25">
      <c r="D85" s="45" t="str">
        <v>Composting</v>
      </c>
      <c r="E85" s="47" t="str">
        <v>Sludge</v>
      </c>
      <c r="F85" s="46"/>
      <c r="G85" s="26"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6" cm="1">
        <f t="array" ref="H85">Common_InputFunctions.Utility_LookupValueInTableNumber(E85,Table_SourceData_WasteSolid_VolumeToMassConversion[Waste type w],Table_SourceData_WasteSolid_VolumeToMassConversion[VTMw])</f>
        <v>0.72</v>
      </c>
      <c r="I85" s="26" cm="1">
        <f t="array" ref="I85">WasteSolid_Equations.VEERG_10_1_1_1__2_MassOfWasteFromVolume(G85,H85)</f>
        <v>0</v>
      </c>
    </row>
    <row r="86" spans="3:12" ht="20.100000000000001" customHeight="1" x14ac:dyDescent="0.25">
      <c r="D86" s="45" t="str">
        <v>Composting</v>
      </c>
      <c r="E86" s="47" t="str">
        <v>Paper and cardboard</v>
      </c>
      <c r="F86" s="46"/>
      <c r="G86" s="26"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6" cm="1">
        <f t="array" ref="H86">Common_InputFunctions.Utility_LookupValueInTableNumber(E86,Table_SourceData_WasteSolid_VolumeToMassConversion[Waste type w],Table_SourceData_WasteSolid_VolumeToMassConversion[VTMw])</f>
        <v>0.09</v>
      </c>
      <c r="I86" s="26" cm="1">
        <f t="array" ref="I86">WasteSolid_Equations.VEERG_10_1_1_1__2_MassOfWasteFromVolume(G86,H86)</f>
        <v>0</v>
      </c>
    </row>
    <row r="87" spans="3:12" ht="20.100000000000001" customHeight="1" x14ac:dyDescent="0.25">
      <c r="D87" s="45" t="str">
        <v>Anaerobic digestion</v>
      </c>
      <c r="E87" s="47" t="str">
        <v>All organic waste</v>
      </c>
      <c r="F87" s="46"/>
      <c r="G87" s="26" t="s">
        <v>149</v>
      </c>
      <c r="H87" s="26" t="s">
        <v>149</v>
      </c>
      <c r="I87" s="26" t="s">
        <v>149</v>
      </c>
    </row>
    <row r="88" spans="3:12" ht="20.100000000000001" customHeight="1" x14ac:dyDescent="0.25">
      <c r="D88" s="45" t="str">
        <v>Anaerobic digestion</v>
      </c>
      <c r="E88" s="47" t="str">
        <v>Food waste (including animal carcasses, spoiled animal feed or crop)</v>
      </c>
      <c r="F88" s="46"/>
      <c r="G88" s="26"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6" cm="1">
        <f t="array" ref="H88">Common_InputFunctions.Utility_LookupValueInTableNumber(E88,Table_SourceData_WasteSolid_VolumeToMassConversion[Waste type w],Table_SourceData_WasteSolid_VolumeToMassConversion[VTMw])</f>
        <v>0.5</v>
      </c>
      <c r="I88" s="26" cm="1">
        <f t="array" ref="I88">WasteSolid_Equations.VEERG_10_1_1_1__2_MassOfWasteFromVolume(G88,H88)</f>
        <v>0</v>
      </c>
    </row>
    <row r="89" spans="3:12" ht="20.100000000000001" customHeight="1" x14ac:dyDescent="0.25">
      <c r="D89" s="45" t="str">
        <v>Anaerobic digestion</v>
      </c>
      <c r="E89" s="47" t="str">
        <v>Green waste (including crop residues or prunings)</v>
      </c>
      <c r="F89" s="46"/>
      <c r="G89" s="26"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6" cm="1">
        <f t="array" ref="H89">Common_InputFunctions.Utility_LookupValueInTableNumber(E89,Table_SourceData_WasteSolid_VolumeToMassConversion[Waste type w],Table_SourceData_WasteSolid_VolumeToMassConversion[VTMw])</f>
        <v>0.24</v>
      </c>
      <c r="I89" s="26" cm="1">
        <f t="array" ref="I89">WasteSolid_Equations.VEERG_10_1_1_1__2_MassOfWasteFromVolume(G89,H89)</f>
        <v>0</v>
      </c>
    </row>
    <row r="90" spans="3:12" ht="20.100000000000001" customHeight="1" x14ac:dyDescent="0.25">
      <c r="D90" s="45" t="str">
        <v>Anaerobic digestion</v>
      </c>
      <c r="E90" s="47" t="str">
        <v>Wood</v>
      </c>
      <c r="F90" s="46"/>
      <c r="G90" s="26"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6" cm="1">
        <f t="array" ref="H90">Common_InputFunctions.Utility_LookupValueInTableNumber(E90,Table_SourceData_WasteSolid_VolumeToMassConversion[Waste type w],Table_SourceData_WasteSolid_VolumeToMassConversion[VTMw])</f>
        <v>0.15</v>
      </c>
      <c r="I90" s="26" cm="1">
        <f t="array" ref="I90">WasteSolid_Equations.VEERG_10_1_1_1__2_MassOfWasteFromVolume(G90,H90)</f>
        <v>0</v>
      </c>
    </row>
    <row r="91" spans="3:12" ht="20.100000000000001" customHeight="1" x14ac:dyDescent="0.25">
      <c r="D91" s="45" t="str">
        <v>Anaerobic digestion</v>
      </c>
      <c r="E91" s="47" t="str">
        <v>Sludge</v>
      </c>
      <c r="F91" s="46"/>
      <c r="G91" s="26"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6" cm="1">
        <f t="array" ref="H91">Common_InputFunctions.Utility_LookupValueInTableNumber(E91,Table_SourceData_WasteSolid_VolumeToMassConversion[Waste type w],Table_SourceData_WasteSolid_VolumeToMassConversion[VTMw])</f>
        <v>0.72</v>
      </c>
      <c r="I91" s="26" cm="1">
        <f t="array" ref="I91">WasteSolid_Equations.VEERG_10_1_1_1__2_MassOfWasteFromVolume(G91,H91)</f>
        <v>0</v>
      </c>
    </row>
    <row r="92" spans="3:12" ht="20.100000000000001" customHeight="1" x14ac:dyDescent="0.25">
      <c r="D92" s="45" t="str">
        <v>Anaerobic digestion</v>
      </c>
      <c r="E92" s="47" t="str">
        <v>Paper and cardboard</v>
      </c>
      <c r="F92" s="46"/>
      <c r="G92" s="26"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6" cm="1">
        <f t="array" ref="H92">Common_InputFunctions.Utility_LookupValueInTableNumber(E92,Table_SourceData_WasteSolid_VolumeToMassConversion[Waste type w],Table_SourceData_WasteSolid_VolumeToMassConversion[VTMw])</f>
        <v>0.09</v>
      </c>
      <c r="I92" s="26"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58"/>
      <c r="D95" s="58"/>
      <c r="E95" s="58"/>
      <c r="F95" s="58"/>
      <c r="G95" s="58"/>
      <c r="H95" s="58"/>
      <c r="I95" s="58"/>
      <c r="J95" s="58"/>
      <c r="K95" s="58"/>
      <c r="L95" s="58"/>
    </row>
    <row r="96" spans="3:12" ht="20.100000000000001" customHeight="1" x14ac:dyDescent="0.25">
      <c r="D96" s="5" t="str" cm="1">
        <f t="array" ref="D96">WasteSolid_Equations.VEERG_10_1_1_1__1_EmissionsFromWasteManagement_Title()</f>
        <v>Emissions from waste management by greenhouse gas</v>
      </c>
    </row>
    <row r="97" spans="4:9" ht="20.100000000000001" customHeight="1" x14ac:dyDescent="0.25">
      <c r="D97" s="4" t="str" cm="1">
        <f t="array" ref="D97">WasteSolid_Equations.VEERG_10_1_1_1__1_EmissionsFromWasteManagement_Source()</f>
        <v>VEERG 2026: 10.1.1.1, Equation (1)</v>
      </c>
    </row>
    <row r="98" spans="4:9" ht="20.100000000000001" customHeight="1" x14ac:dyDescent="0.25">
      <c r="D98" s="29"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 t="s">
        <v>9</v>
      </c>
      <c r="E99" s="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12</v>
      </c>
      <c r="E102" s="1" t="str" cm="1">
        <f t="array" ref="E102">WasteSolid_Equations.VEERG_10_1_1_1__1_EmissionsFromWasteManagement_Variable()</f>
        <v>E_g</v>
      </c>
    </row>
    <row r="103" spans="4:9" ht="20.100000000000001" customHeight="1" x14ac:dyDescent="0.25">
      <c r="D103" s="27" t="s">
        <v>4</v>
      </c>
      <c r="E103" s="28" t="str" cm="1">
        <f t="array" ref="E103">WasteSolid_Equations.VEERG_10_1_1_1__1_EmissionsFromWasteManagement_Unit()</f>
        <v>t CO2e</v>
      </c>
    </row>
    <row r="104" spans="4:9" ht="20.100000000000001" customHeight="1" x14ac:dyDescent="0.25"/>
    <row r="105" spans="4:9" ht="20.100000000000001" customHeight="1" x14ac:dyDescent="0.25">
      <c r="D105" s="45" t="str" cm="1">
        <f t="array" ref="D105:E111">_xlfn.CHOOSECOLS(WasteSolid_Equations.VEERG_10_1_1_1__1_EmissionsFromWasteManagement_Arguments(),1,2)</f>
        <v>Q_wt</v>
      </c>
      <c r="E105" s="47" t="str">
        <v>quantity of solid waste of type w being sent to treatment facility t, on a wet weight basis</v>
      </c>
      <c r="F105" s="60"/>
      <c r="G105" s="46"/>
      <c r="H105" s="45" t="str" cm="1">
        <f t="array" ref="H105:I111">_xlfn.CHOOSECOLS(WasteSolid_Equations.VEERG_10_1_1_1__1_EmissionsFromWasteManagement_Arguments(),3,4)</f>
        <v>t</v>
      </c>
      <c r="I105" s="41" t="str">
        <v>Sum of Q_volwt and Q_masswt</v>
      </c>
    </row>
    <row r="106" spans="4:9" ht="20.100000000000001" customHeight="1" x14ac:dyDescent="0.25">
      <c r="D106" s="45" t="str">
        <v>EF_wtg</v>
      </c>
      <c r="E106" s="47" t="str">
        <v>emission factor for greenhouse gas g for the management of waste at treatment facility t</v>
      </c>
      <c r="F106" s="60"/>
      <c r="G106" s="46"/>
      <c r="H106" s="45" t="str">
        <v>t CO2e/t</v>
      </c>
      <c r="I106" s="41" t="str">
        <v>Constant</v>
      </c>
    </row>
    <row r="107" spans="4:9" ht="20.100000000000001" customHeight="1" x14ac:dyDescent="0.25">
      <c r="D107" s="45" t="str">
        <v>w</v>
      </c>
      <c r="E107" s="47" t="str">
        <v>waste type</v>
      </c>
      <c r="F107" s="60"/>
      <c r="G107" s="46"/>
      <c r="H107" s="45" t="str">
        <v/>
      </c>
      <c r="I107" s="42" t="str">
        <v>Input</v>
      </c>
    </row>
    <row r="108" spans="4:9" ht="20.100000000000001" customHeight="1" x14ac:dyDescent="0.25">
      <c r="D108" s="45" t="str">
        <v>t</v>
      </c>
      <c r="E108" s="47" t="str">
        <v>treatment facility</v>
      </c>
      <c r="F108" s="60"/>
      <c r="G108" s="46"/>
      <c r="H108" s="45" t="str">
        <v/>
      </c>
      <c r="I108" s="42" t="str">
        <v>Input</v>
      </c>
    </row>
    <row r="109" spans="4:9" ht="20.100000000000001" customHeight="1" x14ac:dyDescent="0.25">
      <c r="D109" s="45" t="str">
        <v>g</v>
      </c>
      <c r="E109" s="47" t="str">
        <v>greenhouse gas</v>
      </c>
      <c r="F109" s="60"/>
      <c r="G109" s="46"/>
      <c r="H109" s="45" t="str">
        <v/>
      </c>
      <c r="I109" s="42" t="str">
        <v>Input</v>
      </c>
    </row>
    <row r="110" spans="4:9" ht="20.100000000000001" customHeight="1" x14ac:dyDescent="0.25">
      <c r="D110" s="45" t="str">
        <v>Q_volwt</v>
      </c>
      <c r="E110" s="47" t="str">
        <v>quantity of sold waste input as volume and converted to tonnes</v>
      </c>
      <c r="F110" s="60"/>
      <c r="G110" s="46"/>
      <c r="H110" s="45" t="str">
        <v>tonnes</v>
      </c>
      <c r="I110" s="41" t="str">
        <v>Calculated from 10.1.1.1 (2)</v>
      </c>
    </row>
    <row r="111" spans="4:9" ht="20.100000000000001" customHeight="1" x14ac:dyDescent="0.25">
      <c r="D111" s="45" t="str">
        <v>Q_masswt</v>
      </c>
      <c r="E111" s="47" t="str">
        <v>quantity of solid waste input as mass</v>
      </c>
      <c r="F111" s="60"/>
      <c r="G111" s="46"/>
      <c r="H111" s="45" t="str">
        <v>tonnes</v>
      </c>
      <c r="I111" s="42" t="str">
        <v>Input</v>
      </c>
    </row>
    <row r="112" spans="4:9" ht="20.100000000000001" customHeight="1" x14ac:dyDescent="0.25"/>
    <row r="113" spans="4:11" ht="20.100000000000001" customHeight="1" x14ac:dyDescent="0.25">
      <c r="D113" s="65" t="s">
        <v>126</v>
      </c>
    </row>
    <row r="114" spans="4:11" ht="20.100000000000001" customHeight="1" x14ac:dyDescent="0.25">
      <c r="D114" s="66" t="s">
        <v>127</v>
      </c>
    </row>
    <row r="115" spans="4:11" ht="20.100000000000001" customHeight="1" x14ac:dyDescent="0.25">
      <c r="D115" s="62" t="s">
        <v>93</v>
      </c>
      <c r="E115" s="62" t="s">
        <v>94</v>
      </c>
      <c r="F115" s="62"/>
      <c r="G115" s="62" t="s">
        <v>153</v>
      </c>
      <c r="H115" s="67" t="s">
        <v>152</v>
      </c>
      <c r="I115" s="67" t="s">
        <v>96</v>
      </c>
      <c r="J115" s="67" t="s">
        <v>151</v>
      </c>
      <c r="K115" s="67" t="s">
        <v>150</v>
      </c>
    </row>
    <row r="116" spans="4:11" ht="20.100000000000001" customHeight="1" x14ac:dyDescent="0.25">
      <c r="D116" s="45" t="str" cm="1">
        <f t="array" ref="D116:D149">Table_SourceData_WasteSolid_WasteTreatmentEFs[Treatment type t]</f>
        <v>Landfill</v>
      </c>
      <c r="E116" s="47" t="str" cm="1">
        <f t="array" ref="E116:E149">Table_SourceData_WasteSolid_WasteTreatmentEFs[Waste type w]</f>
        <v>Food waste (including animal carcasses, spoiled animal feed or crop)</v>
      </c>
      <c r="F116" s="68"/>
      <c r="G116" s="26"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6">
        <f t="shared" ref="H116:H135" si="0">I21</f>
        <v>25</v>
      </c>
      <c r="I116" s="26">
        <f>G116+H116</f>
        <v>75</v>
      </c>
      <c r="J116" s="26" cm="1">
        <f t="array" ref="J116">Common_InputFunctions.Utility_LookupValueInTableTwoColumns(D116,E116,Table_SourceData_WasteSolid_WasteTreatmentEFs[Treatment type t],Table_SourceData_WasteSolid_WasteTreatmentEFs[Waste type w],Table_SourceData_WasteSolid_WasteTreatmentEFs[EFwt])</f>
        <v>2.1</v>
      </c>
      <c r="K116" s="26" cm="1">
        <f t="array" ref="K116">WasteSolid_Equations.VEERG_10_1_1_1__1_EmissionsFromWasteManagement(I116, J116)</f>
        <v>157.5</v>
      </c>
    </row>
    <row r="117" spans="4:11" ht="20.100000000000001" customHeight="1" x14ac:dyDescent="0.25">
      <c r="D117" s="45" t="str">
        <v>Landfill</v>
      </c>
      <c r="E117" s="47" t="str">
        <v>Paper and cardboard</v>
      </c>
      <c r="F117" s="68"/>
      <c r="G117" s="26"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6">
        <f t="shared" si="0"/>
        <v>4.5</v>
      </c>
      <c r="I117" s="26">
        <f t="shared" ref="I117:I135" si="1">G117+H117</f>
        <v>54.5</v>
      </c>
      <c r="J117" s="26" cm="1">
        <f t="array" ref="J117">Common_InputFunctions.Utility_LookupValueInTableTwoColumns(D117,E117,Table_SourceData_WasteSolid_WasteTreatmentEFs[Treatment type t],Table_SourceData_WasteSolid_WasteTreatmentEFs[Waste type w],Table_SourceData_WasteSolid_WasteTreatmentEFs[EFwt])</f>
        <v>3.3</v>
      </c>
      <c r="K117" s="26" cm="1">
        <f t="array" ref="K117">WasteSolid_Equations.VEERG_10_1_1_1__1_EmissionsFromWasteManagement(I117, J117)</f>
        <v>179.85</v>
      </c>
    </row>
    <row r="118" spans="4:11" ht="20.100000000000001" customHeight="1" x14ac:dyDescent="0.25">
      <c r="D118" s="45" t="str">
        <v>Landfill</v>
      </c>
      <c r="E118" s="47" t="str">
        <v>Green waste (including crop residues or prunings)</v>
      </c>
      <c r="F118" s="68"/>
      <c r="G118" s="26"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6">
        <f t="shared" si="0"/>
        <v>12</v>
      </c>
      <c r="I118" s="26">
        <f t="shared" si="1"/>
        <v>62</v>
      </c>
      <c r="J118" s="26" cm="1">
        <f t="array" ref="J118">Common_InputFunctions.Utility_LookupValueInTableTwoColumns(D118,E118,Table_SourceData_WasteSolid_WasteTreatmentEFs[Treatment type t],Table_SourceData_WasteSolid_WasteTreatmentEFs[Waste type w],Table_SourceData_WasteSolid_WasteTreatmentEFs[EFwt])</f>
        <v>1.6</v>
      </c>
      <c r="K118" s="26" cm="1">
        <f t="array" ref="K118">WasteSolid_Equations.VEERG_10_1_1_1__1_EmissionsFromWasteManagement(I118, J118)</f>
        <v>99.2</v>
      </c>
    </row>
    <row r="119" spans="4:11" ht="20.100000000000001" customHeight="1" x14ac:dyDescent="0.25">
      <c r="D119" s="45" t="str">
        <v>Landfill</v>
      </c>
      <c r="E119" s="47" t="str">
        <v>Wood</v>
      </c>
      <c r="F119" s="68"/>
      <c r="G119" s="26"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6">
        <f t="shared" si="0"/>
        <v>0</v>
      </c>
      <c r="I119" s="26">
        <f t="shared" si="1"/>
        <v>0</v>
      </c>
      <c r="J119" s="26" cm="1">
        <f t="array" ref="J119">Common_InputFunctions.Utility_LookupValueInTableTwoColumns(D119,E119,Table_SourceData_WasteSolid_WasteTreatmentEFs[Treatment type t],Table_SourceData_WasteSolid_WasteTreatmentEFs[Waste type w],Table_SourceData_WasteSolid_WasteTreatmentEFs[EFwt])</f>
        <v>0.7</v>
      </c>
      <c r="K119" s="26" cm="1">
        <f t="array" ref="K119">WasteSolid_Equations.VEERG_10_1_1_1__1_EmissionsFromWasteManagement(I119, J119)</f>
        <v>0</v>
      </c>
    </row>
    <row r="120" spans="4:11" ht="20.100000000000001" customHeight="1" x14ac:dyDescent="0.25">
      <c r="D120" s="45" t="str">
        <v>Landfill</v>
      </c>
      <c r="E120" s="47" t="str">
        <v>Textiles</v>
      </c>
      <c r="F120" s="68"/>
      <c r="G120" s="26"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6">
        <f t="shared" si="0"/>
        <v>0</v>
      </c>
      <c r="I120" s="26">
        <f t="shared" si="1"/>
        <v>0</v>
      </c>
      <c r="J120" s="26" cm="1">
        <f t="array" ref="J120">Common_InputFunctions.Utility_LookupValueInTableTwoColumns(D120,E120,Table_SourceData_WasteSolid_WasteTreatmentEFs[Treatment type t],Table_SourceData_WasteSolid_WasteTreatmentEFs[Waste type w],Table_SourceData_WasteSolid_WasteTreatmentEFs[EFwt])</f>
        <v>2</v>
      </c>
      <c r="K120" s="26" cm="1">
        <f t="array" ref="K120">WasteSolid_Equations.VEERG_10_1_1_1__1_EmissionsFromWasteManagement(I120, J120)</f>
        <v>0</v>
      </c>
    </row>
    <row r="121" spans="4:11" ht="20.100000000000001" customHeight="1" x14ac:dyDescent="0.25">
      <c r="D121" s="45" t="str">
        <v>Landfill</v>
      </c>
      <c r="E121" s="47" t="str">
        <v>Sludge</v>
      </c>
      <c r="F121" s="68"/>
      <c r="G121" s="26"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6">
        <f t="shared" si="0"/>
        <v>0</v>
      </c>
      <c r="I121" s="26">
        <f t="shared" si="1"/>
        <v>0</v>
      </c>
      <c r="J121" s="26" cm="1">
        <f t="array" ref="J121">Common_InputFunctions.Utility_LookupValueInTableTwoColumns(D121,E121,Table_SourceData_WasteSolid_WasteTreatmentEFs[Treatment type t],Table_SourceData_WasteSolid_WasteTreatmentEFs[Waste type w],Table_SourceData_WasteSolid_WasteTreatmentEFs[EFwt])</f>
        <v>0.4</v>
      </c>
      <c r="K121" s="26" cm="1">
        <f t="array" ref="K121">WasteSolid_Equations.VEERG_10_1_1_1__1_EmissionsFromWasteManagement(I121, J121)</f>
        <v>0</v>
      </c>
    </row>
    <row r="122" spans="4:11" ht="20.100000000000001" customHeight="1" x14ac:dyDescent="0.25">
      <c r="D122" s="45" t="str">
        <v>Landfill</v>
      </c>
      <c r="E122" s="47" t="str">
        <v>Rubber and leather</v>
      </c>
      <c r="F122" s="68"/>
      <c r="G122" s="26"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6">
        <f t="shared" si="0"/>
        <v>0</v>
      </c>
      <c r="I122" s="26">
        <f t="shared" si="1"/>
        <v>0</v>
      </c>
      <c r="J122" s="26" cm="1">
        <f t="array" ref="J122">Common_InputFunctions.Utility_LookupValueInTableTwoColumns(D122,E122,Table_SourceData_WasteSolid_WasteTreatmentEFs[Treatment type t],Table_SourceData_WasteSolid_WasteTreatmentEFs[Waste type w],Table_SourceData_WasteSolid_WasteTreatmentEFs[EFwt])</f>
        <v>3.3</v>
      </c>
      <c r="K122" s="26" cm="1">
        <f t="array" ref="K122">WasteSolid_Equations.VEERG_10_1_1_1__1_EmissionsFromWasteManagement(I122, J122)</f>
        <v>0</v>
      </c>
    </row>
    <row r="123" spans="4:11" ht="20.100000000000001" customHeight="1" x14ac:dyDescent="0.25">
      <c r="D123" s="45" t="str">
        <v>Landfill</v>
      </c>
      <c r="E123" s="47" t="str">
        <v>Inert waste (including concrete, metal, plastic or glass)</v>
      </c>
      <c r="F123" s="68"/>
      <c r="G123" s="26"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6">
        <f t="shared" si="0"/>
        <v>0</v>
      </c>
      <c r="I123" s="26">
        <f t="shared" si="1"/>
        <v>0</v>
      </c>
      <c r="J123" s="26" cm="1">
        <f t="array" ref="J123">Common_InputFunctions.Utility_LookupValueInTableTwoColumns(D123,E123,Table_SourceData_WasteSolid_WasteTreatmentEFs[Treatment type t],Table_SourceData_WasteSolid_WasteTreatmentEFs[Waste type w],Table_SourceData_WasteSolid_WasteTreatmentEFs[EFwt])</f>
        <v>0</v>
      </c>
      <c r="K123" s="26" cm="1">
        <f t="array" ref="K123">WasteSolid_Equations.VEERG_10_1_1_1__1_EmissionsFromWasteManagement(I123, J123)</f>
        <v>0</v>
      </c>
    </row>
    <row r="124" spans="4:11" ht="20.100000000000001" customHeight="1" x14ac:dyDescent="0.25">
      <c r="D124" s="45" t="str">
        <v>Landfill</v>
      </c>
      <c r="E124" s="47" t="str">
        <v>Municipal solid waste</v>
      </c>
      <c r="F124" s="68"/>
      <c r="G124" s="26"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6">
        <f t="shared" si="0"/>
        <v>0</v>
      </c>
      <c r="I124" s="26">
        <f t="shared" si="1"/>
        <v>0</v>
      </c>
      <c r="J124" s="26" cm="1">
        <f t="array" ref="J124">Common_InputFunctions.Utility_LookupValueInTableTwoColumns(D124,E124,Table_SourceData_WasteSolid_WasteTreatmentEFs[Treatment type t],Table_SourceData_WasteSolid_WasteTreatmentEFs[Waste type w],Table_SourceData_WasteSolid_WasteTreatmentEFs[EFwt])</f>
        <v>1.6</v>
      </c>
      <c r="K124" s="26" cm="1">
        <f t="array" ref="K124">WasteSolid_Equations.VEERG_10_1_1_1__1_EmissionsFromWasteManagement(I124, J124)</f>
        <v>0</v>
      </c>
    </row>
    <row r="125" spans="4:11" ht="20.100000000000001" customHeight="1" x14ac:dyDescent="0.25">
      <c r="D125" s="45" t="str">
        <v>Landfill</v>
      </c>
      <c r="E125" s="47" t="str">
        <v>Commercial and industrial waste</v>
      </c>
      <c r="F125" s="68"/>
      <c r="G125" s="26"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6">
        <f t="shared" si="0"/>
        <v>0</v>
      </c>
      <c r="I125" s="26">
        <f t="shared" si="1"/>
        <v>0</v>
      </c>
      <c r="J125" s="26" cm="1">
        <f t="array" ref="J125">Common_InputFunctions.Utility_LookupValueInTableTwoColumns(D125,E125,Table_SourceData_WasteSolid_WasteTreatmentEFs[Treatment type t],Table_SourceData_WasteSolid_WasteTreatmentEFs[Waste type w],Table_SourceData_WasteSolid_WasteTreatmentEFs[EFwt])</f>
        <v>1.3</v>
      </c>
      <c r="K125" s="26" cm="1">
        <f t="array" ref="K125">WasteSolid_Equations.VEERG_10_1_1_1__1_EmissionsFromWasteManagement(I125, J125)</f>
        <v>0</v>
      </c>
    </row>
    <row r="126" spans="4:11" ht="20.100000000000001" customHeight="1" x14ac:dyDescent="0.25">
      <c r="D126" s="45" t="str">
        <v>Landfill</v>
      </c>
      <c r="E126" s="47" t="str">
        <v>Construction and demolition waste</v>
      </c>
      <c r="F126" s="68"/>
      <c r="G126" s="26"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6">
        <f t="shared" si="0"/>
        <v>0</v>
      </c>
      <c r="I126" s="26">
        <f t="shared" si="1"/>
        <v>0</v>
      </c>
      <c r="J126" s="26" cm="1">
        <f t="array" ref="J126">Common_InputFunctions.Utility_LookupValueInTableTwoColumns(D126,E126,Table_SourceData_WasteSolid_WasteTreatmentEFs[Treatment type t],Table_SourceData_WasteSolid_WasteTreatmentEFs[Waste type w],Table_SourceData_WasteSolid_WasteTreatmentEFs[EFwt])</f>
        <v>0.2</v>
      </c>
      <c r="K126" s="26" cm="1">
        <f t="array" ref="K126">WasteSolid_Equations.VEERG_10_1_1_1__1_EmissionsFromWasteManagement(I126, J126)</f>
        <v>0</v>
      </c>
    </row>
    <row r="127" spans="4:11" ht="20.100000000000001" customHeight="1" x14ac:dyDescent="0.25">
      <c r="D127" s="45" t="str">
        <v>Incineration</v>
      </c>
      <c r="E127" s="47" t="str">
        <v>Food waste, green waste, wood, sludge</v>
      </c>
      <c r="F127" s="68"/>
      <c r="G127" s="26" t="s">
        <v>149</v>
      </c>
      <c r="H127" s="26" t="str">
        <f t="shared" si="0"/>
        <v>Not used</v>
      </c>
      <c r="I127" s="26">
        <f>SUM(G128:G131)+SUM(H128:H131)</f>
        <v>74</v>
      </c>
      <c r="J127" s="26" cm="1">
        <f t="array" ref="J127">Common_InputFunctions.Utility_LookupValueInTableTwoColumns(D127,E127,Table_SourceData_WasteSolid_WasteTreatmentEFs[Treatment type t],Table_SourceData_WasteSolid_WasteTreatmentEFs[Waste type w],Table_SourceData_WasteSolid_WasteTreatmentEFs[EFwt])</f>
        <v>0</v>
      </c>
      <c r="K127" s="26" cm="1">
        <f t="array" ref="K127">WasteSolid_Equations.VEERG_10_1_1_1__1_EmissionsFromWasteManagement(I127, J127)</f>
        <v>0</v>
      </c>
    </row>
    <row r="128" spans="4:11" ht="20.100000000000001" customHeight="1" x14ac:dyDescent="0.25">
      <c r="D128" s="45" t="str">
        <v>Incineration</v>
      </c>
      <c r="E128" s="47" t="str">
        <v>Food waste (including animal carcasses, spoiled animal feed or crop)</v>
      </c>
      <c r="F128" s="68"/>
      <c r="G128" s="26"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6">
        <f t="shared" si="0"/>
        <v>0</v>
      </c>
      <c r="I128" s="26" t="s">
        <v>154</v>
      </c>
      <c r="J128" s="26" t="s">
        <v>149</v>
      </c>
      <c r="K128" s="26" t="s">
        <v>149</v>
      </c>
    </row>
    <row r="129" spans="4:11" ht="20.100000000000001" customHeight="1" x14ac:dyDescent="0.25">
      <c r="D129" s="45" t="str">
        <v>Incineration</v>
      </c>
      <c r="E129" s="47" t="str">
        <v>Green waste (including crop residues or prunings)</v>
      </c>
      <c r="F129" s="68"/>
      <c r="G129" s="26"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6">
        <f t="shared" si="0"/>
        <v>24</v>
      </c>
      <c r="I129" s="26" t="s">
        <v>154</v>
      </c>
      <c r="J129" s="26" t="s">
        <v>149</v>
      </c>
      <c r="K129" s="26" t="s">
        <v>149</v>
      </c>
    </row>
    <row r="130" spans="4:11" ht="20.100000000000001" customHeight="1" x14ac:dyDescent="0.25">
      <c r="D130" s="45" t="str">
        <v>Incineration</v>
      </c>
      <c r="E130" s="47" t="str">
        <v>Wood</v>
      </c>
      <c r="F130" s="68"/>
      <c r="G130" s="26"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6">
        <f t="shared" si="0"/>
        <v>0</v>
      </c>
      <c r="I130" s="26" t="s">
        <v>154</v>
      </c>
      <c r="J130" s="26" t="s">
        <v>149</v>
      </c>
      <c r="K130" s="26" t="s">
        <v>149</v>
      </c>
    </row>
    <row r="131" spans="4:11" ht="20.100000000000001" customHeight="1" x14ac:dyDescent="0.25">
      <c r="D131" s="45" t="str">
        <v>Incineration</v>
      </c>
      <c r="E131" s="47" t="str">
        <v>Sludge</v>
      </c>
      <c r="F131" s="68"/>
      <c r="G131" s="26"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6">
        <f t="shared" si="0"/>
        <v>0</v>
      </c>
      <c r="I131" s="26" t="s">
        <v>154</v>
      </c>
      <c r="J131" s="26" t="s">
        <v>149</v>
      </c>
      <c r="K131" s="26" t="s">
        <v>149</v>
      </c>
    </row>
    <row r="132" spans="4:11" ht="20.100000000000001" customHeight="1" x14ac:dyDescent="0.25">
      <c r="D132" s="45" t="str">
        <v>Incineration</v>
      </c>
      <c r="E132" s="47" t="str">
        <v>Paper and cardboard</v>
      </c>
      <c r="F132" s="68"/>
      <c r="G132" s="26"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6">
        <f t="shared" si="0"/>
        <v>4.5</v>
      </c>
      <c r="I132" s="26">
        <f t="shared" si="1"/>
        <v>54.5</v>
      </c>
      <c r="J132" s="26"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6" cm="1">
        <f t="array" ref="K132">WasteSolid_Equations.VEERG_10_1_1_1__1_EmissionsFromWasteManagement(I132, J132)</f>
        <v>0.92104999999999992</v>
      </c>
    </row>
    <row r="133" spans="4:11" ht="20.100000000000001" customHeight="1" x14ac:dyDescent="0.25">
      <c r="D133" s="45" t="str">
        <v>Incineration</v>
      </c>
      <c r="E133" s="47" t="str">
        <v>Textiles</v>
      </c>
      <c r="F133" s="68"/>
      <c r="G133" s="26"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6">
        <f t="shared" si="0"/>
        <v>0</v>
      </c>
      <c r="I133" s="26">
        <f t="shared" si="1"/>
        <v>0</v>
      </c>
      <c r="J133" s="26"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6" cm="1">
        <f t="array" ref="K133">WasteSolid_Equations.VEERG_10_1_1_1__1_EmissionsFromWasteManagement(I133, J133)</f>
        <v>0</v>
      </c>
    </row>
    <row r="134" spans="4:11" ht="20.100000000000001" customHeight="1" x14ac:dyDescent="0.25">
      <c r="D134" s="45" t="str">
        <v>Incineration</v>
      </c>
      <c r="E134" s="47" t="str">
        <v>Rubber and leather</v>
      </c>
      <c r="F134" s="68"/>
      <c r="G134" s="26"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6">
        <f t="shared" si="0"/>
        <v>0</v>
      </c>
      <c r="I134" s="26">
        <f t="shared" si="1"/>
        <v>0</v>
      </c>
      <c r="J134" s="26" cm="1">
        <f t="array" ref="J134">Common_InputFunctions.Utility_LookupValueInTableTwoColumns(D134,E134,Table_SourceData_WasteSolid_WasteTreatmentEFs[Treatment type t],Table_SourceData_WasteSolid_WasteTreatmentEFs[Waste type w],Table_SourceData_WasteSolid_WasteTreatmentEFs[EFwt])</f>
        <v>0.4919</v>
      </c>
      <c r="K134" s="26" cm="1">
        <f t="array" ref="K134">WasteSolid_Equations.VEERG_10_1_1_1__1_EmissionsFromWasteManagement(I134, J134)</f>
        <v>0</v>
      </c>
    </row>
    <row r="135" spans="4:11" ht="20.100000000000001" customHeight="1" x14ac:dyDescent="0.25">
      <c r="D135" s="45" t="str">
        <v>Incineration</v>
      </c>
      <c r="E135" s="47" t="str">
        <v>Inert waste (including concrete, metal, plastic or glass)</v>
      </c>
      <c r="F135" s="68"/>
      <c r="G135" s="26"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6">
        <f t="shared" si="0"/>
        <v>0</v>
      </c>
      <c r="I135" s="26">
        <f t="shared" si="1"/>
        <v>0</v>
      </c>
      <c r="J135" s="26" cm="1">
        <f t="array" ref="J135">Common_InputFunctions.Utility_LookupValueInTableTwoColumns(D135,E135,Table_SourceData_WasteSolid_WasteTreatmentEFs[Treatment type t],Table_SourceData_WasteSolid_WasteTreatmentEFs[Waste type w],Table_SourceData_WasteSolid_WasteTreatmentEFs[EFwt])</f>
        <v>0.11</v>
      </c>
      <c r="K135" s="26" cm="1">
        <f t="array" ref="K135">WasteSolid_Equations.VEERG_10_1_1_1__1_EmissionsFromWasteManagement(I135, J135)</f>
        <v>0</v>
      </c>
    </row>
    <row r="136" spans="4:11" ht="20.100000000000001" customHeight="1" x14ac:dyDescent="0.25">
      <c r="D136" s="45" t="str">
        <v>Incineration</v>
      </c>
      <c r="E136" s="47" t="str">
        <v>Municipal solid waste</v>
      </c>
      <c r="F136" s="46"/>
      <c r="G136" s="26"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6">
        <f t="shared" ref="H136:H149" si="2">I41</f>
        <v>0</v>
      </c>
      <c r="I136" s="26">
        <f t="shared" ref="I136:I137" si="3">G136+H136</f>
        <v>0</v>
      </c>
      <c r="J136" s="26"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6" cm="1">
        <f t="array" ref="K136">WasteSolid_Equations.VEERG_10_1_1_1__1_EmissionsFromWasteManagement(I136, J136)</f>
        <v>0</v>
      </c>
    </row>
    <row r="137" spans="4:11" ht="20.100000000000001" customHeight="1" x14ac:dyDescent="0.25">
      <c r="D137" s="45" t="str">
        <v>Incineration</v>
      </c>
      <c r="E137" s="47" t="str">
        <v>Commercial and industrial waste</v>
      </c>
      <c r="F137" s="46"/>
      <c r="G137" s="26"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6">
        <f t="shared" si="2"/>
        <v>0</v>
      </c>
      <c r="I137" s="26">
        <f t="shared" si="3"/>
        <v>0</v>
      </c>
      <c r="J137" s="26" cm="1">
        <f t="array" ref="J137">Common_InputFunctions.Utility_LookupValueInTableTwoColumns(D137,E137,Table_SourceData_WasteSolid_WasteTreatmentEFs[Treatment type t],Table_SourceData_WasteSolid_WasteTreatmentEFs[Waste type w],Table_SourceData_WasteSolid_WasteTreatmentEFs[EFwt])</f>
        <v>1.649</v>
      </c>
      <c r="K137" s="26" cm="1">
        <f t="array" ref="K137">WasteSolid_Equations.VEERG_10_1_1_1__1_EmissionsFromWasteManagement(I137, J137)</f>
        <v>0</v>
      </c>
    </row>
    <row r="138" spans="4:11" ht="20.100000000000001" customHeight="1" x14ac:dyDescent="0.25">
      <c r="D138" s="45" t="str">
        <v>Composting</v>
      </c>
      <c r="E138" s="47" t="str">
        <v>All organic waste</v>
      </c>
      <c r="F138" s="46"/>
      <c r="G138" s="26" t="s">
        <v>149</v>
      </c>
      <c r="H138" s="26" t="str">
        <f t="shared" si="2"/>
        <v>Not used</v>
      </c>
      <c r="I138" s="26">
        <f>SUM(G139:G143)+SUM(H139:H143)</f>
        <v>29.5</v>
      </c>
      <c r="J138" s="26"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6" cm="1">
        <f t="array" ref="K138">WasteSolid_Equations.VEERG_10_1_1_1__1_EmissionsFromWasteManagement(I138, J138)</f>
        <v>1.357</v>
      </c>
    </row>
    <row r="139" spans="4:11" ht="20.100000000000001" customHeight="1" x14ac:dyDescent="0.25">
      <c r="D139" s="45" t="str">
        <v>Composting</v>
      </c>
      <c r="E139" s="47" t="str">
        <v>Food waste (including animal carcasses, spoiled animal feed or crop)</v>
      </c>
      <c r="F139" s="46"/>
      <c r="G139" s="26"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6">
        <f t="shared" si="2"/>
        <v>25</v>
      </c>
      <c r="I139" s="26" t="s">
        <v>154</v>
      </c>
      <c r="J139" s="26" t="s">
        <v>149</v>
      </c>
      <c r="K139" s="26" t="s">
        <v>149</v>
      </c>
    </row>
    <row r="140" spans="4:11" ht="20.100000000000001" customHeight="1" x14ac:dyDescent="0.25">
      <c r="D140" s="45" t="str">
        <v>Composting</v>
      </c>
      <c r="E140" s="47" t="str">
        <v>Green waste (including crop residues or prunings)</v>
      </c>
      <c r="F140" s="46"/>
      <c r="G140" s="26"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6">
        <f t="shared" si="2"/>
        <v>0</v>
      </c>
      <c r="I140" s="26" t="s">
        <v>154</v>
      </c>
      <c r="J140" s="26" t="s">
        <v>149</v>
      </c>
      <c r="K140" s="26" t="s">
        <v>149</v>
      </c>
    </row>
    <row r="141" spans="4:11" ht="20.100000000000001" customHeight="1" x14ac:dyDescent="0.25">
      <c r="D141" s="45" t="str">
        <v>Composting</v>
      </c>
      <c r="E141" s="47" t="str">
        <v>Wood</v>
      </c>
      <c r="F141" s="46"/>
      <c r="G141" s="26"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6">
        <f t="shared" si="2"/>
        <v>0</v>
      </c>
      <c r="I141" s="26" t="s">
        <v>154</v>
      </c>
      <c r="J141" s="26" t="s">
        <v>149</v>
      </c>
      <c r="K141" s="26" t="s">
        <v>149</v>
      </c>
    </row>
    <row r="142" spans="4:11" ht="20.100000000000001" customHeight="1" x14ac:dyDescent="0.25">
      <c r="D142" s="45" t="str">
        <v>Composting</v>
      </c>
      <c r="E142" s="47" t="str">
        <v>Sludge</v>
      </c>
      <c r="F142" s="46"/>
      <c r="G142" s="26"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6">
        <f t="shared" si="2"/>
        <v>0</v>
      </c>
      <c r="I142" s="26" t="s">
        <v>154</v>
      </c>
      <c r="J142" s="26" t="s">
        <v>149</v>
      </c>
      <c r="K142" s="26" t="s">
        <v>149</v>
      </c>
    </row>
    <row r="143" spans="4:11" ht="20.100000000000001" customHeight="1" x14ac:dyDescent="0.25">
      <c r="D143" s="45" t="str">
        <v>Composting</v>
      </c>
      <c r="E143" s="47" t="str">
        <v>Paper and cardboard</v>
      </c>
      <c r="F143" s="46"/>
      <c r="G143" s="26"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6">
        <f t="shared" si="2"/>
        <v>4.5</v>
      </c>
      <c r="I143" s="26" t="s">
        <v>154</v>
      </c>
      <c r="J143" s="26" t="s">
        <v>149</v>
      </c>
      <c r="K143" s="26" t="s">
        <v>149</v>
      </c>
    </row>
    <row r="144" spans="4:11" ht="20.100000000000001" customHeight="1" x14ac:dyDescent="0.25">
      <c r="D144" s="45" t="str">
        <v>Anaerobic digestion</v>
      </c>
      <c r="E144" s="47" t="str">
        <v>All organic waste</v>
      </c>
      <c r="F144" s="46"/>
      <c r="G144" s="26" t="s">
        <v>149</v>
      </c>
      <c r="H144" s="26" t="str">
        <f t="shared" si="2"/>
        <v>Not used</v>
      </c>
      <c r="I144" s="26">
        <f>SUM(G145:G149)+SUM(H145:H149)</f>
        <v>0</v>
      </c>
      <c r="J144" s="26"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6" cm="1">
        <f t="array" ref="K144">WasteSolid_Equations.VEERG_10_1_1_1__1_EmissionsFromWasteManagement(I144, J144)</f>
        <v>0</v>
      </c>
    </row>
    <row r="145" spans="4:11" ht="20.100000000000001" customHeight="1" x14ac:dyDescent="0.25">
      <c r="D145" s="45" t="str">
        <v>Anaerobic digestion</v>
      </c>
      <c r="E145" s="47" t="str">
        <v>Food waste (including animal carcasses, spoiled animal feed or crop)</v>
      </c>
      <c r="F145" s="46"/>
      <c r="G145" s="26"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6">
        <f t="shared" si="2"/>
        <v>0</v>
      </c>
      <c r="I145" s="26" t="s">
        <v>154</v>
      </c>
      <c r="J145" s="26" t="s">
        <v>149</v>
      </c>
      <c r="K145" s="26" t="s">
        <v>149</v>
      </c>
    </row>
    <row r="146" spans="4:11" ht="20.100000000000001" customHeight="1" x14ac:dyDescent="0.25">
      <c r="D146" s="45" t="str">
        <v>Anaerobic digestion</v>
      </c>
      <c r="E146" s="47" t="str">
        <v>Green waste (including crop residues or prunings)</v>
      </c>
      <c r="F146" s="46"/>
      <c r="G146" s="26"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6">
        <f t="shared" si="2"/>
        <v>0</v>
      </c>
      <c r="I146" s="26" t="s">
        <v>154</v>
      </c>
      <c r="J146" s="26" t="s">
        <v>149</v>
      </c>
      <c r="K146" s="26" t="s">
        <v>149</v>
      </c>
    </row>
    <row r="147" spans="4:11" ht="20.100000000000001" customHeight="1" x14ac:dyDescent="0.25">
      <c r="D147" s="45" t="str">
        <v>Anaerobic digestion</v>
      </c>
      <c r="E147" s="47" t="str">
        <v>Wood</v>
      </c>
      <c r="F147" s="46"/>
      <c r="G147" s="26"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6">
        <f t="shared" si="2"/>
        <v>0</v>
      </c>
      <c r="I147" s="26" t="s">
        <v>154</v>
      </c>
      <c r="J147" s="26" t="s">
        <v>149</v>
      </c>
      <c r="K147" s="26" t="s">
        <v>149</v>
      </c>
    </row>
    <row r="148" spans="4:11" ht="20.100000000000001" customHeight="1" x14ac:dyDescent="0.25">
      <c r="D148" s="45" t="str">
        <v>Anaerobic digestion</v>
      </c>
      <c r="E148" s="47" t="str">
        <v>Sludge</v>
      </c>
      <c r="F148" s="46"/>
      <c r="G148" s="26"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6">
        <f t="shared" si="2"/>
        <v>0</v>
      </c>
      <c r="I148" s="26" t="s">
        <v>154</v>
      </c>
      <c r="J148" s="26" t="s">
        <v>149</v>
      </c>
      <c r="K148" s="26" t="s">
        <v>149</v>
      </c>
    </row>
    <row r="149" spans="4:11" ht="20.100000000000001" customHeight="1" x14ac:dyDescent="0.25">
      <c r="D149" s="45" t="str">
        <v>Anaerobic digestion</v>
      </c>
      <c r="E149" s="47" t="str">
        <v>Paper and cardboard</v>
      </c>
      <c r="F149" s="46"/>
      <c r="G149" s="26"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6">
        <f t="shared" si="2"/>
        <v>0</v>
      </c>
      <c r="I149" s="26" t="s">
        <v>154</v>
      </c>
      <c r="J149" s="26" t="s">
        <v>149</v>
      </c>
      <c r="K149" s="26" t="s">
        <v>149</v>
      </c>
    </row>
    <row r="150" spans="4:11" ht="20.100000000000001" customHeight="1" x14ac:dyDescent="0.25"/>
    <row r="151" spans="4:11" ht="20.100000000000001" customHeight="1" x14ac:dyDescent="0.25">
      <c r="D151" s="57" t="s">
        <v>118</v>
      </c>
      <c r="E151" s="59">
        <f>SUM(K116:K149)</f>
        <v>438.82805000000002</v>
      </c>
      <c r="F151" s="64" t="str">
        <f>$E$103</f>
        <v>t CO2e</v>
      </c>
    </row>
    <row r="152" spans="4:11" ht="20.100000000000001" customHeight="1" x14ac:dyDescent="0.25"/>
    <row r="153" spans="4:11" ht="20.100000000000001" customHeight="1" x14ac:dyDescent="0.25"/>
    <row r="154" spans="4:11" ht="20.100000000000001" customHeight="1" x14ac:dyDescent="0.25">
      <c r="D154" s="65" t="s">
        <v>124</v>
      </c>
    </row>
    <row r="155" spans="4:11" ht="20.100000000000001" customHeight="1" x14ac:dyDescent="0.25">
      <c r="D155" s="66" t="s">
        <v>125</v>
      </c>
    </row>
    <row r="156" spans="4:11" ht="20.100000000000001" customHeight="1" x14ac:dyDescent="0.25">
      <c r="D156" s="62" t="s">
        <v>93</v>
      </c>
      <c r="E156" s="62" t="s">
        <v>94</v>
      </c>
      <c r="F156" s="62"/>
      <c r="G156" s="62" t="s">
        <v>153</v>
      </c>
      <c r="H156" s="67" t="s">
        <v>152</v>
      </c>
      <c r="I156" s="67" t="s">
        <v>96</v>
      </c>
      <c r="J156" s="67" t="s">
        <v>151</v>
      </c>
      <c r="K156" s="67" t="s">
        <v>150</v>
      </c>
    </row>
    <row r="157" spans="4:11" ht="20.100000000000001" customHeight="1" x14ac:dyDescent="0.25">
      <c r="D157" s="45" t="str" cm="1">
        <f t="array" ref="D157:D190">Table_SourceData_WasteSolid_WasteTreatmentEFs[Treatment type t]</f>
        <v>Landfill</v>
      </c>
      <c r="E157" s="47" t="str" cm="1">
        <f t="array" ref="E157:E190">Table_SourceData_WasteSolid_WasteTreatmentEFs[Waste type w]</f>
        <v>Food waste (including animal carcasses, spoiled animal feed or crop)</v>
      </c>
      <c r="F157" s="68"/>
      <c r="G157" s="26"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6">
        <f t="shared" ref="H157:H176" si="4">I59</f>
        <v>25</v>
      </c>
      <c r="I157" s="26">
        <f>G157+H157</f>
        <v>75</v>
      </c>
      <c r="J157" s="26" cm="1">
        <f t="array" ref="J157">Common_InputFunctions.Utility_LookupValueInTableTwoColumns(D157,E157,Table_SourceData_WasteSolid_WasteTreatmentEFs[Treatment type t],Table_SourceData_WasteSolid_WasteTreatmentEFs[Waste type w],Table_SourceData_WasteSolid_WasteTreatmentEFs[EFwt])</f>
        <v>2.1</v>
      </c>
      <c r="K157" s="26" cm="1">
        <f t="array" ref="K157">WasteSolid_Equations.VEERG_10_1_1_1__1_EmissionsFromWasteManagement(I157, J157)</f>
        <v>157.5</v>
      </c>
    </row>
    <row r="158" spans="4:11" ht="20.100000000000001" customHeight="1" x14ac:dyDescent="0.25">
      <c r="D158" s="45" t="str">
        <v>Landfill</v>
      </c>
      <c r="E158" s="47" t="str">
        <v>Paper and cardboard</v>
      </c>
      <c r="F158" s="68"/>
      <c r="G158" s="26"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6">
        <f t="shared" si="4"/>
        <v>4.5</v>
      </c>
      <c r="I158" s="26">
        <f t="shared" ref="I158:I176" si="5">G158+H158</f>
        <v>54.5</v>
      </c>
      <c r="J158" s="26" cm="1">
        <f t="array" ref="J158">Common_InputFunctions.Utility_LookupValueInTableTwoColumns(D158,E158,Table_SourceData_WasteSolid_WasteTreatmentEFs[Treatment type t],Table_SourceData_WasteSolid_WasteTreatmentEFs[Waste type w],Table_SourceData_WasteSolid_WasteTreatmentEFs[EFwt])</f>
        <v>3.3</v>
      </c>
      <c r="K158" s="26" cm="1">
        <f t="array" ref="K158">WasteSolid_Equations.VEERG_10_1_1_1__1_EmissionsFromWasteManagement(I158, J158)</f>
        <v>179.85</v>
      </c>
    </row>
    <row r="159" spans="4:11" ht="20.100000000000001" customHeight="1" x14ac:dyDescent="0.25">
      <c r="D159" s="45" t="str">
        <v>Landfill</v>
      </c>
      <c r="E159" s="47" t="str">
        <v>Green waste (including crop residues or prunings)</v>
      </c>
      <c r="F159" s="68"/>
      <c r="G159" s="26"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6">
        <f t="shared" si="4"/>
        <v>12</v>
      </c>
      <c r="I159" s="26">
        <f t="shared" si="5"/>
        <v>62</v>
      </c>
      <c r="J159" s="26" cm="1">
        <f t="array" ref="J159">Common_InputFunctions.Utility_LookupValueInTableTwoColumns(D159,E159,Table_SourceData_WasteSolid_WasteTreatmentEFs[Treatment type t],Table_SourceData_WasteSolid_WasteTreatmentEFs[Waste type w],Table_SourceData_WasteSolid_WasteTreatmentEFs[EFwt])</f>
        <v>1.6</v>
      </c>
      <c r="K159" s="26" cm="1">
        <f t="array" ref="K159">WasteSolid_Equations.VEERG_10_1_1_1__1_EmissionsFromWasteManagement(I159, J159)</f>
        <v>99.2</v>
      </c>
    </row>
    <row r="160" spans="4:11" ht="20.100000000000001" customHeight="1" x14ac:dyDescent="0.25">
      <c r="D160" s="45" t="str">
        <v>Landfill</v>
      </c>
      <c r="E160" s="47" t="str">
        <v>Wood</v>
      </c>
      <c r="F160" s="68"/>
      <c r="G160" s="26"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6">
        <f t="shared" si="4"/>
        <v>0</v>
      </c>
      <c r="I160" s="26">
        <f t="shared" si="5"/>
        <v>0</v>
      </c>
      <c r="J160" s="26" cm="1">
        <f t="array" ref="J160">Common_InputFunctions.Utility_LookupValueInTableTwoColumns(D160,E160,Table_SourceData_WasteSolid_WasteTreatmentEFs[Treatment type t],Table_SourceData_WasteSolid_WasteTreatmentEFs[Waste type w],Table_SourceData_WasteSolid_WasteTreatmentEFs[EFwt])</f>
        <v>0.7</v>
      </c>
      <c r="K160" s="26" cm="1">
        <f t="array" ref="K160">WasteSolid_Equations.VEERG_10_1_1_1__1_EmissionsFromWasteManagement(I160, J160)</f>
        <v>0</v>
      </c>
    </row>
    <row r="161" spans="4:11" ht="20.100000000000001" customHeight="1" x14ac:dyDescent="0.25">
      <c r="D161" s="45" t="str">
        <v>Landfill</v>
      </c>
      <c r="E161" s="47" t="str">
        <v>Textiles</v>
      </c>
      <c r="F161" s="68"/>
      <c r="G161" s="26"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6">
        <f t="shared" si="4"/>
        <v>0</v>
      </c>
      <c r="I161" s="26">
        <f t="shared" si="5"/>
        <v>0</v>
      </c>
      <c r="J161" s="26" cm="1">
        <f t="array" ref="J161">Common_InputFunctions.Utility_LookupValueInTableTwoColumns(D161,E161,Table_SourceData_WasteSolid_WasteTreatmentEFs[Treatment type t],Table_SourceData_WasteSolid_WasteTreatmentEFs[Waste type w],Table_SourceData_WasteSolid_WasteTreatmentEFs[EFwt])</f>
        <v>2</v>
      </c>
      <c r="K161" s="26" cm="1">
        <f t="array" ref="K161">WasteSolid_Equations.VEERG_10_1_1_1__1_EmissionsFromWasteManagement(I161, J161)</f>
        <v>0</v>
      </c>
    </row>
    <row r="162" spans="4:11" ht="20.100000000000001" customHeight="1" x14ac:dyDescent="0.25">
      <c r="D162" s="45" t="str">
        <v>Landfill</v>
      </c>
      <c r="E162" s="47" t="str">
        <v>Sludge</v>
      </c>
      <c r="F162" s="68"/>
      <c r="G162" s="26"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6">
        <f t="shared" si="4"/>
        <v>0</v>
      </c>
      <c r="I162" s="26">
        <f t="shared" si="5"/>
        <v>0</v>
      </c>
      <c r="J162" s="26" cm="1">
        <f t="array" ref="J162">Common_InputFunctions.Utility_LookupValueInTableTwoColumns(D162,E162,Table_SourceData_WasteSolid_WasteTreatmentEFs[Treatment type t],Table_SourceData_WasteSolid_WasteTreatmentEFs[Waste type w],Table_SourceData_WasteSolid_WasteTreatmentEFs[EFwt])</f>
        <v>0.4</v>
      </c>
      <c r="K162" s="26" cm="1">
        <f t="array" ref="K162">WasteSolid_Equations.VEERG_10_1_1_1__1_EmissionsFromWasteManagement(I162, J162)</f>
        <v>0</v>
      </c>
    </row>
    <row r="163" spans="4:11" ht="20.100000000000001" customHeight="1" x14ac:dyDescent="0.25">
      <c r="D163" s="45" t="str">
        <v>Landfill</v>
      </c>
      <c r="E163" s="47" t="str">
        <v>Rubber and leather</v>
      </c>
      <c r="F163" s="68"/>
      <c r="G163" s="26"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6">
        <f t="shared" si="4"/>
        <v>0</v>
      </c>
      <c r="I163" s="26">
        <f t="shared" si="5"/>
        <v>0</v>
      </c>
      <c r="J163" s="26" cm="1">
        <f t="array" ref="J163">Common_InputFunctions.Utility_LookupValueInTableTwoColumns(D163,E163,Table_SourceData_WasteSolid_WasteTreatmentEFs[Treatment type t],Table_SourceData_WasteSolid_WasteTreatmentEFs[Waste type w],Table_SourceData_WasteSolid_WasteTreatmentEFs[EFwt])</f>
        <v>3.3</v>
      </c>
      <c r="K163" s="26" cm="1">
        <f t="array" ref="K163">WasteSolid_Equations.VEERG_10_1_1_1__1_EmissionsFromWasteManagement(I163, J163)</f>
        <v>0</v>
      </c>
    </row>
    <row r="164" spans="4:11" ht="20.100000000000001" customHeight="1" x14ac:dyDescent="0.25">
      <c r="D164" s="45" t="str">
        <v>Landfill</v>
      </c>
      <c r="E164" s="47" t="str">
        <v>Inert waste (including concrete, metal, plastic or glass)</v>
      </c>
      <c r="F164" s="68"/>
      <c r="G164" s="26"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6">
        <f t="shared" si="4"/>
        <v>0</v>
      </c>
      <c r="I164" s="26">
        <f t="shared" si="5"/>
        <v>0</v>
      </c>
      <c r="J164" s="26" cm="1">
        <f t="array" ref="J164">Common_InputFunctions.Utility_LookupValueInTableTwoColumns(D164,E164,Table_SourceData_WasteSolid_WasteTreatmentEFs[Treatment type t],Table_SourceData_WasteSolid_WasteTreatmentEFs[Waste type w],Table_SourceData_WasteSolid_WasteTreatmentEFs[EFwt])</f>
        <v>0</v>
      </c>
      <c r="K164" s="26" cm="1">
        <f t="array" ref="K164">WasteSolid_Equations.VEERG_10_1_1_1__1_EmissionsFromWasteManagement(I164, J164)</f>
        <v>0</v>
      </c>
    </row>
    <row r="165" spans="4:11" ht="20.100000000000001" customHeight="1" x14ac:dyDescent="0.25">
      <c r="D165" s="45" t="str">
        <v>Landfill</v>
      </c>
      <c r="E165" s="47" t="str">
        <v>Municipal solid waste</v>
      </c>
      <c r="F165" s="68"/>
      <c r="G165" s="26"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6">
        <f t="shared" si="4"/>
        <v>0</v>
      </c>
      <c r="I165" s="26">
        <f t="shared" si="5"/>
        <v>0</v>
      </c>
      <c r="J165" s="26" cm="1">
        <f t="array" ref="J165">Common_InputFunctions.Utility_LookupValueInTableTwoColumns(D165,E165,Table_SourceData_WasteSolid_WasteTreatmentEFs[Treatment type t],Table_SourceData_WasteSolid_WasteTreatmentEFs[Waste type w],Table_SourceData_WasteSolid_WasteTreatmentEFs[EFwt])</f>
        <v>1.6</v>
      </c>
      <c r="K165" s="26" cm="1">
        <f t="array" ref="K165">WasteSolid_Equations.VEERG_10_1_1_1__1_EmissionsFromWasteManagement(I165, J165)</f>
        <v>0</v>
      </c>
    </row>
    <row r="166" spans="4:11" ht="20.100000000000001" customHeight="1" x14ac:dyDescent="0.25">
      <c r="D166" s="45" t="str">
        <v>Landfill</v>
      </c>
      <c r="E166" s="47" t="str">
        <v>Commercial and industrial waste</v>
      </c>
      <c r="F166" s="68"/>
      <c r="G166" s="26"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6">
        <f t="shared" si="4"/>
        <v>0</v>
      </c>
      <c r="I166" s="26">
        <f t="shared" si="5"/>
        <v>0</v>
      </c>
      <c r="J166" s="26" cm="1">
        <f t="array" ref="J166">Common_InputFunctions.Utility_LookupValueInTableTwoColumns(D166,E166,Table_SourceData_WasteSolid_WasteTreatmentEFs[Treatment type t],Table_SourceData_WasteSolid_WasteTreatmentEFs[Waste type w],Table_SourceData_WasteSolid_WasteTreatmentEFs[EFwt])</f>
        <v>1.3</v>
      </c>
      <c r="K166" s="26" cm="1">
        <f t="array" ref="K166">WasteSolid_Equations.VEERG_10_1_1_1__1_EmissionsFromWasteManagement(I166, J166)</f>
        <v>0</v>
      </c>
    </row>
    <row r="167" spans="4:11" ht="20.100000000000001" customHeight="1" x14ac:dyDescent="0.25">
      <c r="D167" s="45" t="str">
        <v>Landfill</v>
      </c>
      <c r="E167" s="47" t="str">
        <v>Construction and demolition waste</v>
      </c>
      <c r="F167" s="68"/>
      <c r="G167" s="26"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6">
        <f t="shared" si="4"/>
        <v>0</v>
      </c>
      <c r="I167" s="26">
        <f t="shared" si="5"/>
        <v>0</v>
      </c>
      <c r="J167" s="26" cm="1">
        <f t="array" ref="J167">Common_InputFunctions.Utility_LookupValueInTableTwoColumns(D167,E167,Table_SourceData_WasteSolid_WasteTreatmentEFs[Treatment type t],Table_SourceData_WasteSolid_WasteTreatmentEFs[Waste type w],Table_SourceData_WasteSolid_WasteTreatmentEFs[EFwt])</f>
        <v>0.2</v>
      </c>
      <c r="K167" s="26" cm="1">
        <f t="array" ref="K167">WasteSolid_Equations.VEERG_10_1_1_1__1_EmissionsFromWasteManagement(I167, J167)</f>
        <v>0</v>
      </c>
    </row>
    <row r="168" spans="4:11" ht="20.100000000000001" customHeight="1" x14ac:dyDescent="0.25">
      <c r="D168" s="45" t="str">
        <v>Incineration</v>
      </c>
      <c r="E168" s="47" t="str">
        <v>Food waste, green waste, wood, sludge</v>
      </c>
      <c r="F168" s="68"/>
      <c r="G168" s="26" t="s">
        <v>149</v>
      </c>
      <c r="H168" s="26" t="str">
        <f t="shared" si="4"/>
        <v>Not used</v>
      </c>
      <c r="I168" s="26">
        <f>SUM(G169:G172)+SUM(H169:H172)</f>
        <v>62</v>
      </c>
      <c r="J168" s="26" cm="1">
        <f t="array" ref="J168">Common_InputFunctions.Utility_LookupValueInTableTwoColumns(D168,E168,Table_SourceData_WasteSolid_WasteTreatmentEFs[Treatment type t],Table_SourceData_WasteSolid_WasteTreatmentEFs[Waste type w],Table_SourceData_WasteSolid_WasteTreatmentEFs[EFwt])</f>
        <v>0</v>
      </c>
      <c r="K168" s="26" cm="1">
        <f t="array" ref="K168">WasteSolid_Equations.VEERG_10_1_1_1__1_EmissionsFromWasteManagement(I168, J168)</f>
        <v>0</v>
      </c>
    </row>
    <row r="169" spans="4:11" ht="20.100000000000001" customHeight="1" x14ac:dyDescent="0.25">
      <c r="D169" s="45" t="str">
        <v>Incineration</v>
      </c>
      <c r="E169" s="47" t="str">
        <v>Food waste (including animal carcasses, spoiled animal feed or crop)</v>
      </c>
      <c r="F169" s="68"/>
      <c r="G169" s="26"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6">
        <f t="shared" si="4"/>
        <v>0</v>
      </c>
      <c r="I169" s="26" t="s">
        <v>154</v>
      </c>
      <c r="J169" s="26" t="s">
        <v>149</v>
      </c>
      <c r="K169" s="26" t="s">
        <v>149</v>
      </c>
    </row>
    <row r="170" spans="4:11" ht="20.100000000000001" customHeight="1" x14ac:dyDescent="0.25">
      <c r="D170" s="45" t="str">
        <v>Incineration</v>
      </c>
      <c r="E170" s="47" t="str">
        <v>Green waste (including crop residues or prunings)</v>
      </c>
      <c r="F170" s="68"/>
      <c r="G170" s="26"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6">
        <f t="shared" si="4"/>
        <v>12</v>
      </c>
      <c r="I170" s="26" t="s">
        <v>154</v>
      </c>
      <c r="J170" s="26" t="s">
        <v>149</v>
      </c>
      <c r="K170" s="26" t="s">
        <v>149</v>
      </c>
    </row>
    <row r="171" spans="4:11" ht="20.100000000000001" customHeight="1" x14ac:dyDescent="0.25">
      <c r="D171" s="45" t="str">
        <v>Incineration</v>
      </c>
      <c r="E171" s="47" t="str">
        <v>Wood</v>
      </c>
      <c r="F171" s="68"/>
      <c r="G171" s="26"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6">
        <f t="shared" si="4"/>
        <v>0</v>
      </c>
      <c r="I171" s="26" t="s">
        <v>154</v>
      </c>
      <c r="J171" s="26" t="s">
        <v>149</v>
      </c>
      <c r="K171" s="26" t="s">
        <v>149</v>
      </c>
    </row>
    <row r="172" spans="4:11" ht="20.100000000000001" customHeight="1" x14ac:dyDescent="0.25">
      <c r="D172" s="45" t="str">
        <v>Incineration</v>
      </c>
      <c r="E172" s="47" t="str">
        <v>Sludge</v>
      </c>
      <c r="F172" s="68"/>
      <c r="G172" s="26"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6">
        <f t="shared" si="4"/>
        <v>0</v>
      </c>
      <c r="I172" s="26" t="s">
        <v>154</v>
      </c>
      <c r="J172" s="26" t="s">
        <v>149</v>
      </c>
      <c r="K172" s="26" t="s">
        <v>149</v>
      </c>
    </row>
    <row r="173" spans="4:11" ht="20.100000000000001" customHeight="1" x14ac:dyDescent="0.25">
      <c r="D173" s="45" t="str">
        <v>Incineration</v>
      </c>
      <c r="E173" s="47" t="str">
        <v>Paper and cardboard</v>
      </c>
      <c r="F173" s="68"/>
      <c r="G173" s="26"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6">
        <f t="shared" si="4"/>
        <v>0</v>
      </c>
      <c r="I173" s="26">
        <f t="shared" si="5"/>
        <v>0</v>
      </c>
      <c r="J173" s="26"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6" cm="1">
        <f t="array" ref="K173">WasteSolid_Equations.VEERG_10_1_1_1__1_EmissionsFromWasteManagement(I173, J173)</f>
        <v>0</v>
      </c>
    </row>
    <row r="174" spans="4:11" ht="20.100000000000001" customHeight="1" x14ac:dyDescent="0.25">
      <c r="D174" s="45" t="str">
        <v>Incineration</v>
      </c>
      <c r="E174" s="47" t="str">
        <v>Textiles</v>
      </c>
      <c r="F174" s="68"/>
      <c r="G174" s="26"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6">
        <f t="shared" si="4"/>
        <v>0</v>
      </c>
      <c r="I174" s="26">
        <f t="shared" si="5"/>
        <v>0</v>
      </c>
      <c r="J174" s="26"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6" cm="1">
        <f t="array" ref="K174">WasteSolid_Equations.VEERG_10_1_1_1__1_EmissionsFromWasteManagement(I174, J174)</f>
        <v>0</v>
      </c>
    </row>
    <row r="175" spans="4:11" ht="20.100000000000001" customHeight="1" x14ac:dyDescent="0.25">
      <c r="D175" s="45" t="str">
        <v>Incineration</v>
      </c>
      <c r="E175" s="47" t="str">
        <v>Rubber and leather</v>
      </c>
      <c r="F175" s="68"/>
      <c r="G175" s="26"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6">
        <f t="shared" si="4"/>
        <v>0</v>
      </c>
      <c r="I175" s="26">
        <f t="shared" si="5"/>
        <v>0</v>
      </c>
      <c r="J175" s="26" cm="1">
        <f t="array" ref="J175">Common_InputFunctions.Utility_LookupValueInTableTwoColumns(D175,E175,Table_SourceData_WasteSolid_WasteTreatmentEFs[Treatment type t],Table_SourceData_WasteSolid_WasteTreatmentEFs[Waste type w],Table_SourceData_WasteSolid_WasteTreatmentEFs[EFwt])</f>
        <v>0.4919</v>
      </c>
      <c r="K175" s="26" cm="1">
        <f t="array" ref="K175">WasteSolid_Equations.VEERG_10_1_1_1__1_EmissionsFromWasteManagement(I175, J175)</f>
        <v>0</v>
      </c>
    </row>
    <row r="176" spans="4:11" ht="20.100000000000001" customHeight="1" x14ac:dyDescent="0.25">
      <c r="D176" s="45" t="str">
        <v>Incineration</v>
      </c>
      <c r="E176" s="47" t="str">
        <v>Inert waste (including concrete, metal, plastic or glass)</v>
      </c>
      <c r="F176" s="68"/>
      <c r="G176" s="26"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6">
        <f t="shared" si="4"/>
        <v>0</v>
      </c>
      <c r="I176" s="26">
        <f t="shared" si="5"/>
        <v>0</v>
      </c>
      <c r="J176" s="26" cm="1">
        <f t="array" ref="J176">Common_InputFunctions.Utility_LookupValueInTableTwoColumns(D176,E176,Table_SourceData_WasteSolid_WasteTreatmentEFs[Treatment type t],Table_SourceData_WasteSolid_WasteTreatmentEFs[Waste type w],Table_SourceData_WasteSolid_WasteTreatmentEFs[EFwt])</f>
        <v>0.11</v>
      </c>
      <c r="K176" s="26" cm="1">
        <f t="array" ref="K176">WasteSolid_Equations.VEERG_10_1_1_1__1_EmissionsFromWasteManagement(I176, J176)</f>
        <v>0</v>
      </c>
    </row>
    <row r="177" spans="4:11" ht="20.100000000000001" customHeight="1" x14ac:dyDescent="0.25">
      <c r="D177" s="45" t="str">
        <v>Incineration</v>
      </c>
      <c r="E177" s="47" t="str">
        <v>Municipal solid waste</v>
      </c>
      <c r="F177" s="46"/>
      <c r="G177" s="26"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6">
        <f t="shared" ref="H177:H190" si="6">I79</f>
        <v>0</v>
      </c>
      <c r="I177" s="26">
        <f t="shared" ref="I177:I178" si="7">G177+H177</f>
        <v>0</v>
      </c>
      <c r="J177" s="26"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6" cm="1">
        <f t="array" ref="K177">WasteSolid_Equations.VEERG_10_1_1_1__1_EmissionsFromWasteManagement(I177, J177)</f>
        <v>0</v>
      </c>
    </row>
    <row r="178" spans="4:11" ht="20.100000000000001" customHeight="1" x14ac:dyDescent="0.25">
      <c r="D178" s="45" t="str">
        <v>Incineration</v>
      </c>
      <c r="E178" s="47" t="str">
        <v>Commercial and industrial waste</v>
      </c>
      <c r="F178" s="46"/>
      <c r="G178" s="26"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6">
        <f t="shared" si="6"/>
        <v>0</v>
      </c>
      <c r="I178" s="26">
        <f t="shared" si="7"/>
        <v>0</v>
      </c>
      <c r="J178" s="26" cm="1">
        <f t="array" ref="J178">Common_InputFunctions.Utility_LookupValueInTableTwoColumns(D178,E178,Table_SourceData_WasteSolid_WasteTreatmentEFs[Treatment type t],Table_SourceData_WasteSolid_WasteTreatmentEFs[Waste type w],Table_SourceData_WasteSolid_WasteTreatmentEFs[EFwt])</f>
        <v>1.649</v>
      </c>
      <c r="K178" s="26" cm="1">
        <f t="array" ref="K178">WasteSolid_Equations.VEERG_10_1_1_1__1_EmissionsFromWasteManagement(I178, J178)</f>
        <v>0</v>
      </c>
    </row>
    <row r="179" spans="4:11" ht="20.100000000000001" customHeight="1" x14ac:dyDescent="0.25">
      <c r="D179" s="45" t="str">
        <v>Composting</v>
      </c>
      <c r="E179" s="47" t="str">
        <v>All organic waste</v>
      </c>
      <c r="F179" s="46"/>
      <c r="G179" s="26" t="s">
        <v>149</v>
      </c>
      <c r="H179" s="26" t="str">
        <f t="shared" si="6"/>
        <v>Not used</v>
      </c>
      <c r="I179" s="26">
        <f>SUM(G180:G184)+SUM(H180:H184)</f>
        <v>100</v>
      </c>
      <c r="J179" s="26"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6" cm="1">
        <f t="array" ref="K179">WasteSolid_Equations.VEERG_10_1_1_1__1_EmissionsFromWasteManagement(I179, J179)</f>
        <v>4.5999999999999996</v>
      </c>
    </row>
    <row r="180" spans="4:11" ht="20.100000000000001" customHeight="1" x14ac:dyDescent="0.25">
      <c r="D180" s="45" t="str">
        <v>Composting</v>
      </c>
      <c r="E180" s="47" t="str">
        <v>Food waste (including animal carcasses, spoiled animal feed or crop)</v>
      </c>
      <c r="F180" s="46"/>
      <c r="G180" s="26"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6">
        <f t="shared" si="6"/>
        <v>0</v>
      </c>
      <c r="I180" s="26" t="s">
        <v>154</v>
      </c>
      <c r="J180" s="26" t="s">
        <v>149</v>
      </c>
      <c r="K180" s="26" t="s">
        <v>149</v>
      </c>
    </row>
    <row r="181" spans="4:11" ht="20.100000000000001" customHeight="1" x14ac:dyDescent="0.25">
      <c r="D181" s="45" t="str">
        <v>Composting</v>
      </c>
      <c r="E181" s="47" t="str">
        <v>Green waste (including crop residues or prunings)</v>
      </c>
      <c r="F181" s="46"/>
      <c r="G181" s="26"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6">
        <f t="shared" si="6"/>
        <v>0</v>
      </c>
      <c r="I181" s="26" t="s">
        <v>154</v>
      </c>
      <c r="J181" s="26" t="s">
        <v>149</v>
      </c>
      <c r="K181" s="26" t="s">
        <v>149</v>
      </c>
    </row>
    <row r="182" spans="4:11" ht="20.100000000000001" customHeight="1" x14ac:dyDescent="0.25">
      <c r="D182" s="45" t="str">
        <v>Composting</v>
      </c>
      <c r="E182" s="47" t="str">
        <v>Wood</v>
      </c>
      <c r="F182" s="46"/>
      <c r="G182" s="26"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6">
        <f t="shared" si="6"/>
        <v>0</v>
      </c>
      <c r="I182" s="26" t="s">
        <v>154</v>
      </c>
      <c r="J182" s="26" t="s">
        <v>149</v>
      </c>
      <c r="K182" s="26" t="s">
        <v>149</v>
      </c>
    </row>
    <row r="183" spans="4:11" ht="20.100000000000001" customHeight="1" x14ac:dyDescent="0.25">
      <c r="D183" s="45" t="str">
        <v>Composting</v>
      </c>
      <c r="E183" s="47" t="str">
        <v>Sludge</v>
      </c>
      <c r="F183" s="46"/>
      <c r="G183" s="26"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6">
        <f t="shared" si="6"/>
        <v>0</v>
      </c>
      <c r="I183" s="26" t="s">
        <v>154</v>
      </c>
      <c r="J183" s="26" t="s">
        <v>149</v>
      </c>
      <c r="K183" s="26" t="s">
        <v>149</v>
      </c>
    </row>
    <row r="184" spans="4:11" ht="20.100000000000001" customHeight="1" x14ac:dyDescent="0.25">
      <c r="D184" s="45" t="str">
        <v>Composting</v>
      </c>
      <c r="E184" s="47" t="str">
        <v>Paper and cardboard</v>
      </c>
      <c r="F184" s="46"/>
      <c r="G184" s="26"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6">
        <f t="shared" si="6"/>
        <v>0</v>
      </c>
      <c r="I184" s="26" t="s">
        <v>154</v>
      </c>
      <c r="J184" s="26" t="s">
        <v>149</v>
      </c>
      <c r="K184" s="26" t="s">
        <v>149</v>
      </c>
    </row>
    <row r="185" spans="4:11" ht="20.100000000000001" customHeight="1" x14ac:dyDescent="0.25">
      <c r="D185" s="45" t="str">
        <v>Anaerobic digestion</v>
      </c>
      <c r="E185" s="47" t="str">
        <v>All organic waste</v>
      </c>
      <c r="F185" s="46"/>
      <c r="G185" s="26" t="s">
        <v>149</v>
      </c>
      <c r="H185" s="26" t="str">
        <f t="shared" si="6"/>
        <v>Not used</v>
      </c>
      <c r="I185" s="26">
        <f>SUM(G186:G190)+SUM(H186:H190)</f>
        <v>0</v>
      </c>
      <c r="J185" s="26"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6" cm="1">
        <f t="array" ref="K185">WasteSolid_Equations.VEERG_10_1_1_1__1_EmissionsFromWasteManagement(I185, J185)</f>
        <v>0</v>
      </c>
    </row>
    <row r="186" spans="4:11" ht="20.100000000000001" customHeight="1" x14ac:dyDescent="0.25">
      <c r="D186" s="45" t="str">
        <v>Anaerobic digestion</v>
      </c>
      <c r="E186" s="47" t="str">
        <v>Food waste (including animal carcasses, spoiled animal feed or crop)</v>
      </c>
      <c r="F186" s="46"/>
      <c r="G186" s="26"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6">
        <f t="shared" si="6"/>
        <v>0</v>
      </c>
      <c r="I186" s="26" t="s">
        <v>154</v>
      </c>
      <c r="J186" s="26" t="s">
        <v>149</v>
      </c>
      <c r="K186" s="26" t="s">
        <v>149</v>
      </c>
    </row>
    <row r="187" spans="4:11" ht="20.100000000000001" customHeight="1" x14ac:dyDescent="0.25">
      <c r="D187" s="45" t="str">
        <v>Anaerobic digestion</v>
      </c>
      <c r="E187" s="47" t="str">
        <v>Green waste (including crop residues or prunings)</v>
      </c>
      <c r="F187" s="46"/>
      <c r="G187" s="26"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6">
        <f t="shared" si="6"/>
        <v>0</v>
      </c>
      <c r="I187" s="26" t="s">
        <v>154</v>
      </c>
      <c r="J187" s="26" t="s">
        <v>149</v>
      </c>
      <c r="K187" s="26" t="s">
        <v>149</v>
      </c>
    </row>
    <row r="188" spans="4:11" ht="20.100000000000001" customHeight="1" x14ac:dyDescent="0.25">
      <c r="D188" s="45" t="str">
        <v>Anaerobic digestion</v>
      </c>
      <c r="E188" s="47" t="str">
        <v>Wood</v>
      </c>
      <c r="F188" s="46"/>
      <c r="G188" s="26"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6">
        <f t="shared" si="6"/>
        <v>0</v>
      </c>
      <c r="I188" s="26" t="s">
        <v>154</v>
      </c>
      <c r="J188" s="26" t="s">
        <v>149</v>
      </c>
      <c r="K188" s="26" t="s">
        <v>149</v>
      </c>
    </row>
    <row r="189" spans="4:11" ht="20.100000000000001" customHeight="1" x14ac:dyDescent="0.25">
      <c r="D189" s="45" t="str">
        <v>Anaerobic digestion</v>
      </c>
      <c r="E189" s="47" t="str">
        <v>Sludge</v>
      </c>
      <c r="F189" s="46"/>
      <c r="G189" s="26"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6">
        <f t="shared" si="6"/>
        <v>0</v>
      </c>
      <c r="I189" s="26" t="s">
        <v>154</v>
      </c>
      <c r="J189" s="26" t="s">
        <v>149</v>
      </c>
      <c r="K189" s="26" t="s">
        <v>149</v>
      </c>
    </row>
    <row r="190" spans="4:11" ht="20.100000000000001" customHeight="1" x14ac:dyDescent="0.25">
      <c r="D190" s="45" t="str">
        <v>Anaerobic digestion</v>
      </c>
      <c r="E190" s="47" t="str">
        <v>Paper and cardboard</v>
      </c>
      <c r="F190" s="46"/>
      <c r="G190" s="26"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6">
        <f t="shared" si="6"/>
        <v>0</v>
      </c>
      <c r="I190" s="26" t="s">
        <v>154</v>
      </c>
      <c r="J190" s="26" t="s">
        <v>149</v>
      </c>
      <c r="K190" s="26" t="s">
        <v>149</v>
      </c>
    </row>
    <row r="191" spans="4:11" ht="20.100000000000001" customHeight="1" x14ac:dyDescent="0.25"/>
    <row r="192" spans="4:11" ht="20.100000000000001" customHeight="1" x14ac:dyDescent="0.25">
      <c r="D192" s="57" t="s">
        <v>118</v>
      </c>
      <c r="E192" s="59">
        <f>SUM(K157:K190)</f>
        <v>441.15000000000003</v>
      </c>
      <c r="F192" s="6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9"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87</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D6" s="4" t="str" cm="1">
        <f t="array" ref="D6">WasteSolid_SourceData.Waste_EmissionFactorsForWasteTreatment_Source()</f>
        <v>VEERG 2026: Table A.4.1.1</v>
      </c>
    </row>
    <row r="7" spans="1:35" ht="20.100000000000001" customHeight="1" x14ac:dyDescent="0.25">
      <c r="D7" s="29" t="str" cm="1">
        <f t="array" ref="D7:D13">WasteSolid_SourceData.Waste_EmissionFactorsForWasteTreatment_Variation()</f>
        <v>VARIATION ON SOURCE:</v>
      </c>
    </row>
    <row r="8" spans="1:35" ht="20.100000000000001" customHeight="1" x14ac:dyDescent="0.25">
      <c r="A8" s="14" t="s">
        <v>0</v>
      </c>
      <c r="D8" s="29" t="str">
        <v>Fixed typo 'paper and carboard' to 'paper and cardboard'</v>
      </c>
    </row>
    <row r="9" spans="1:35" ht="20.100000000000001" customHeight="1" x14ac:dyDescent="0.25">
      <c r="A9" s="12" t="str">
        <f>HYPERLINK("#'Input - Solid waste'!A1", "Solid waste")</f>
        <v>Solid waste</v>
      </c>
      <c r="D9" s="29" t="str">
        <v>Fixed typo 'prunnings' to 'prunings'</v>
      </c>
    </row>
    <row r="10" spans="1:35" ht="20.100000000000001" customHeight="1" x14ac:dyDescent="0.25">
      <c r="D10" s="29" t="str">
        <v>Added EF source column with specific references</v>
      </c>
    </row>
    <row r="11" spans="1:35" ht="20.100000000000001" customHeight="1" x14ac:dyDescent="0.25">
      <c r="D11" s="29" t="str">
        <v>Added sub-categories for 'Incineration: Food waste, green waste, wood, sludge' in order to use volume to mass conversion factor values</v>
      </c>
    </row>
    <row r="12" spans="1:35" ht="20.100000000000001" customHeight="1" x14ac:dyDescent="0.25">
      <c r="A12" s="13" t="s">
        <v>44</v>
      </c>
      <c r="D12" s="29" t="str">
        <v>Added sub-categories for 'Composting: All organic waste' in order to use volume to mass conversion factor values</v>
      </c>
    </row>
    <row r="13" spans="1:35" ht="20.100000000000001" customHeight="1" x14ac:dyDescent="0.25">
      <c r="A13" s="12" t="str">
        <f>HYPERLINK("#'10.1.1-2 Solid waste treatment'!A1", "10.1.1-2 Solid waste treatment")</f>
        <v>10.1.1-2 Solid waste treatment</v>
      </c>
      <c r="D13" s="29" t="str">
        <v>Added sub-categories for 'Anaerobic digestion: All organic waste' in order to use volume to mass conversion factor values</v>
      </c>
    </row>
    <row r="14" spans="1:35" ht="20.100000000000001" customHeight="1" x14ac:dyDescent="0.25">
      <c r="D14" s="1" t="str" cm="1">
        <f t="array" ref="D14">WasteSolid_SourceData.Waste_EmissionFactorsForWasteTreatment_Variable()</f>
        <v>EFwt</v>
      </c>
    </row>
    <row r="15" spans="1:35" ht="20.100000000000001" customHeight="1" x14ac:dyDescent="0.25">
      <c r="D15" s="28" t="str" cm="1">
        <f t="array" ref="D15">WasteSolid_SourceData.Waste_EmissionFactorsForWasteTreatment_Unit()</f>
        <v>t CO2e / t</v>
      </c>
      <c r="I15" s="1" t="s">
        <v>106</v>
      </c>
      <c r="K15" s="1" t="s">
        <v>107</v>
      </c>
      <c r="M15" s="1" t="s">
        <v>108</v>
      </c>
      <c r="O15" s="1" t="s">
        <v>109</v>
      </c>
    </row>
    <row r="16" spans="1:35" ht="20.100000000000001" customHeight="1" x14ac:dyDescent="0.25">
      <c r="A16" s="73" t="s">
        <v>1</v>
      </c>
      <c r="D16" s="24" t="s">
        <v>88</v>
      </c>
      <c r="E16" s="24" t="s">
        <v>89</v>
      </c>
      <c r="F16" s="24" t="s">
        <v>90</v>
      </c>
      <c r="G16" s="24" t="s">
        <v>128</v>
      </c>
      <c r="I16" s="24" t="s">
        <v>89</v>
      </c>
      <c r="K16" s="69" t="s">
        <v>89</v>
      </c>
      <c r="M16" s="69" t="s">
        <v>89</v>
      </c>
      <c r="O16" s="69" t="s">
        <v>89</v>
      </c>
    </row>
    <row r="17" spans="1:15" ht="20.100000000000001" customHeight="1" x14ac:dyDescent="0.25">
      <c r="A17" s="54" t="str">
        <f>HYPERLINK("#'Constants - Solid Waste'!A1", "Constants - Solid Waste")</f>
        <v>Constants - Solid Waste</v>
      </c>
      <c r="D17" s="24" t="str" cm="1">
        <f t="array" ref="D17">Common_InputFunctions.Utility_DisplayArrayInTable(WasteSolid_SourceData.Waste_EmissionFactorsForWasteTreatment_Data(), Table_SourceData_WasteSolid_WasteTreatmentEFs[[#Headers],[Treatment type t]], 0)</f>
        <v>Landfill</v>
      </c>
      <c r="E17" s="24"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4" cm="1">
        <f t="array" ref="F17">Common_InputFunctions.Utility_DisplayArrayInTable(WasteSolid_SourceData.Waste_EmissionFactorsForWasteTreatment_Data(), Table_SourceData_WasteSolid_WasteTreatmentEFs[[#Headers],[Treatment type t]], 0)</f>
        <v>2.1</v>
      </c>
      <c r="G17" s="24" t="str" cm="1">
        <f t="array" ref="G17">Common_InputFunctions.Utility_DisplayArrayInTable(WasteSolid_SourceData.Waste_EmissionFactorsForWasteTreatment_Data(), Table_SourceData_WasteSolid_WasteTreatmentEFs[[#Headers],[Treatment type t]], 0)</f>
        <v>NGAF 2025 table 15</v>
      </c>
      <c r="I17" s="24"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12" t="str">
        <f>HYPERLINK("#'Constants - Common'!A1", "Constants - Common")</f>
        <v>Constants - Common</v>
      </c>
      <c r="D18" s="1" t="str" cm="1">
        <f t="array" ref="D18">Common_InputFunctions.Utility_DisplayArrayInTable(WasteSolid_SourceData.Waste_EmissionFactorsForWasteTreatment_Data(), Table_SourceData_WasteSolid_WasteTreatmentEFs[[#Headers],[Treatment type t]], 0)</f>
        <v>Landfill</v>
      </c>
      <c r="E18" s="24" t="str" cm="1">
        <f t="array" ref="E18">Common_InputFunctions.Utility_DisplayArrayInTable(WasteSolid_SourceData.Waste_EmissionFactorsForWasteTreatment_Data(), Table_SourceData_WasteSolid_WasteTreatmentEFs[[#Headers],[Treatment type t]], 0)</f>
        <v>Paper and cardboard</v>
      </c>
      <c r="F18" s="24" cm="1">
        <f t="array" ref="F18">Common_InputFunctions.Utility_DisplayArrayInTable(WasteSolid_SourceData.Waste_EmissionFactorsForWasteTreatment_Data(), Table_SourceData_WasteSolid_WasteTreatmentEFs[[#Headers],[Treatment type t]], 0)</f>
        <v>3.3</v>
      </c>
      <c r="G18" s="24" t="str" cm="1">
        <f t="array" ref="G18">Common_InputFunctions.Utility_DisplayArrayInTable(WasteSolid_SourceData.Waste_EmissionFactorsForWasteTreatment_Data(), Table_SourceData_WasteSolid_WasteTreatmentEFs[[#Headers],[Treatment type t]], 0)</f>
        <v>NGAF 2025 table 15</v>
      </c>
      <c r="I18" s="24"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4" t="str" cm="1">
        <f t="array" ref="E19">Common_InputFunctions.Utility_DisplayArrayInTable(WasteSolid_SourceData.Waste_EmissionFactorsForWasteTreatment_Data(), Table_SourceData_WasteSolid_WasteTreatmentEFs[[#Headers],[Treatment type t]], 0)</f>
        <v>Green waste (including crop residues or prunings)</v>
      </c>
      <c r="F19" s="24" cm="1">
        <f t="array" ref="F19">Common_InputFunctions.Utility_DisplayArrayInTable(WasteSolid_SourceData.Waste_EmissionFactorsForWasteTreatment_Data(), Table_SourceData_WasteSolid_WasteTreatmentEFs[[#Headers],[Treatment type t]], 0)</f>
        <v>1.6</v>
      </c>
      <c r="G19" s="24" t="str" cm="1">
        <f t="array" ref="G19">Common_InputFunctions.Utility_DisplayArrayInTable(WasteSolid_SourceData.Waste_EmissionFactorsForWasteTreatment_Data(), Table_SourceData_WasteSolid_WasteTreatmentEFs[[#Headers],[Treatment type t]], 0)</f>
        <v>NGAF 2025 table 15</v>
      </c>
      <c r="I19" s="24"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24" t="str" cm="1">
        <f t="array" ref="E20">Common_InputFunctions.Utility_DisplayArrayInTable(WasteSolid_SourceData.Waste_EmissionFactorsForWasteTreatment_Data(), Table_SourceData_WasteSolid_WasteTreatmentEFs[[#Headers],[Treatment type t]], 0)</f>
        <v>Wood</v>
      </c>
      <c r="F20" s="24" cm="1">
        <f t="array" ref="F20">Common_InputFunctions.Utility_DisplayArrayInTable(WasteSolid_SourceData.Waste_EmissionFactorsForWasteTreatment_Data(), Table_SourceData_WasteSolid_WasteTreatmentEFs[[#Headers],[Treatment type t]], 0)</f>
        <v>0.7</v>
      </c>
      <c r="G20" s="24" t="str" cm="1">
        <f t="array" ref="G20">Common_InputFunctions.Utility_DisplayArrayInTable(WasteSolid_SourceData.Waste_EmissionFactorsForWasteTreatment_Data(), Table_SourceData_WasteSolid_WasteTreatmentEFs[[#Headers],[Treatment type t]], 0)</f>
        <v>NGAF 2025 table 15</v>
      </c>
      <c r="I20" s="24"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4" t="str" cm="1">
        <f t="array" ref="E21">Common_InputFunctions.Utility_DisplayArrayInTable(WasteSolid_SourceData.Waste_EmissionFactorsForWasteTreatment_Data(), Table_SourceData_WasteSolid_WasteTreatmentEFs[[#Headers],[Treatment type t]], 0)</f>
        <v>Textiles</v>
      </c>
      <c r="F21" s="24" cm="1">
        <f t="array" ref="F21">Common_InputFunctions.Utility_DisplayArrayInTable(WasteSolid_SourceData.Waste_EmissionFactorsForWasteTreatment_Data(), Table_SourceData_WasteSolid_WasteTreatmentEFs[[#Headers],[Treatment type t]], 0)</f>
        <v>2</v>
      </c>
      <c r="G21" s="24" t="str" cm="1">
        <f t="array" ref="G21">Common_InputFunctions.Utility_DisplayArrayInTable(WasteSolid_SourceData.Waste_EmissionFactorsForWasteTreatment_Data(), Table_SourceData_WasteSolid_WasteTreatmentEFs[[#Headers],[Treatment type t]], 0)</f>
        <v>NGAF 2025 table 15</v>
      </c>
      <c r="I21" s="24"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4" t="str" cm="1">
        <f t="array" ref="E22">Common_InputFunctions.Utility_DisplayArrayInTable(WasteSolid_SourceData.Waste_EmissionFactorsForWasteTreatment_Data(), Table_SourceData_WasteSolid_WasteTreatmentEFs[[#Headers],[Treatment type t]], 0)</f>
        <v>Sludge</v>
      </c>
      <c r="F22" s="24" cm="1">
        <f t="array" ref="F22">Common_InputFunctions.Utility_DisplayArrayInTable(WasteSolid_SourceData.Waste_EmissionFactorsForWasteTreatment_Data(), Table_SourceData_WasteSolid_WasteTreatmentEFs[[#Headers],[Treatment type t]], 0)</f>
        <v>0.4</v>
      </c>
      <c r="G22" s="24" t="str" cm="1">
        <f t="array" ref="G22">Common_InputFunctions.Utility_DisplayArrayInTable(WasteSolid_SourceData.Waste_EmissionFactorsForWasteTreatment_Data(), Table_SourceData_WasteSolid_WasteTreatmentEFs[[#Headers],[Treatment type t]], 0)</f>
        <v>NGAF 2025 table 15</v>
      </c>
      <c r="I22" s="24"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24" t="str" cm="1">
        <f t="array" ref="E23">Common_InputFunctions.Utility_DisplayArrayInTable(WasteSolid_SourceData.Waste_EmissionFactorsForWasteTreatment_Data(), Table_SourceData_WasteSolid_WasteTreatmentEFs[[#Headers],[Treatment type t]], 0)</f>
        <v>Rubber and leather</v>
      </c>
      <c r="F23" s="24" cm="1">
        <f t="array" ref="F23">Common_InputFunctions.Utility_DisplayArrayInTable(WasteSolid_SourceData.Waste_EmissionFactorsForWasteTreatment_Data(), Table_SourceData_WasteSolid_WasteTreatmentEFs[[#Headers],[Treatment type t]], 0)</f>
        <v>3.3</v>
      </c>
      <c r="G23" s="24" t="str" cm="1">
        <f t="array" ref="G23">Common_InputFunctions.Utility_DisplayArrayInTable(WasteSolid_SourceData.Waste_EmissionFactorsForWasteTreatment_Data(), Table_SourceData_WasteSolid_WasteTreatmentEFs[[#Headers],[Treatment type t]], 0)</f>
        <v>NGAF 2025 table 15</v>
      </c>
      <c r="I23" s="24"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4" t="str" cm="1">
        <f t="array" ref="E24">Common_InputFunctions.Utility_DisplayArrayInTable(WasteSolid_SourceData.Waste_EmissionFactorsForWasteTreatment_Data(), Table_SourceData_WasteSolid_WasteTreatmentEFs[[#Headers],[Treatment type t]], 0)</f>
        <v>Inert waste (including concrete, metal, plastic or glass)</v>
      </c>
      <c r="F24" s="24" cm="1">
        <f t="array" ref="F24">Common_InputFunctions.Utility_DisplayArrayInTable(WasteSolid_SourceData.Waste_EmissionFactorsForWasteTreatment_Data(), Table_SourceData_WasteSolid_WasteTreatmentEFs[[#Headers],[Treatment type t]], 0)</f>
        <v>0</v>
      </c>
      <c r="G24" s="24" t="str" cm="1">
        <f t="array" ref="G24">Common_InputFunctions.Utility_DisplayArrayInTable(WasteSolid_SourceData.Waste_EmissionFactorsForWasteTreatment_Data(), Table_SourceData_WasteSolid_WasteTreatmentEFs[[#Headers],[Treatment type t]], 0)</f>
        <v>NGAF 2025 table 15</v>
      </c>
      <c r="I24" s="24"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4" t="str" cm="1">
        <f t="array" ref="E25">Common_InputFunctions.Utility_DisplayArrayInTable(WasteSolid_SourceData.Waste_EmissionFactorsForWasteTreatment_Data(), Table_SourceData_WasteSolid_WasteTreatmentEFs[[#Headers],[Treatment type t]], 0)</f>
        <v>Municipal solid waste</v>
      </c>
      <c r="F25" s="24" cm="1">
        <f t="array" ref="F25">Common_InputFunctions.Utility_DisplayArrayInTable(WasteSolid_SourceData.Waste_EmissionFactorsForWasteTreatment_Data(), Table_SourceData_WasteSolid_WasteTreatmentEFs[[#Headers],[Treatment type t]], 0)</f>
        <v>1.6</v>
      </c>
      <c r="G25" s="24" t="str" cm="1">
        <f t="array" ref="G25">Common_InputFunctions.Utility_DisplayArrayInTable(WasteSolid_SourceData.Waste_EmissionFactorsForWasteTreatment_Data(), Table_SourceData_WasteSolid_WasteTreatmentEFs[[#Headers],[Treatment type t]], 0)</f>
        <v>NGAF 2025 table 15</v>
      </c>
      <c r="I25" s="24"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4" t="str" cm="1">
        <f t="array" ref="E26">Common_InputFunctions.Utility_DisplayArrayInTable(WasteSolid_SourceData.Waste_EmissionFactorsForWasteTreatment_Data(), Table_SourceData_WasteSolid_WasteTreatmentEFs[[#Headers],[Treatment type t]], 0)</f>
        <v>Commercial and industrial waste</v>
      </c>
      <c r="F26" s="24" cm="1">
        <f t="array" ref="F26">Common_InputFunctions.Utility_DisplayArrayInTable(WasteSolid_SourceData.Waste_EmissionFactorsForWasteTreatment_Data(), Table_SourceData_WasteSolid_WasteTreatmentEFs[[#Headers],[Treatment type t]], 0)</f>
        <v>1.3</v>
      </c>
      <c r="G26" s="24" t="str" cm="1">
        <f t="array" ref="G26">Common_InputFunctions.Utility_DisplayArrayInTable(WasteSolid_SourceData.Waste_EmissionFactorsForWasteTreatment_Data(), Table_SourceData_WasteSolid_WasteTreatmentEFs[[#Headers],[Treatment type t]], 0)</f>
        <v>NGAF 2025 table 15</v>
      </c>
      <c r="I26" s="24"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4" t="str" cm="1">
        <f t="array" ref="E27">Common_InputFunctions.Utility_DisplayArrayInTable(WasteSolid_SourceData.Waste_EmissionFactorsForWasteTreatment_Data(), Table_SourceData_WasteSolid_WasteTreatmentEFs[[#Headers],[Treatment type t]], 0)</f>
        <v>Construction and demolition waste</v>
      </c>
      <c r="F27" s="24" cm="1">
        <f t="array" ref="F27">Common_InputFunctions.Utility_DisplayArrayInTable(WasteSolid_SourceData.Waste_EmissionFactorsForWasteTreatment_Data(), Table_SourceData_WasteSolid_WasteTreatmentEFs[[#Headers],[Treatment type t]], 0)</f>
        <v>0.2</v>
      </c>
      <c r="G27" s="24" t="str" cm="1">
        <f t="array" ref="G27">Common_InputFunctions.Utility_DisplayArrayInTable(WasteSolid_SourceData.Waste_EmissionFactorsForWasteTreatment_Data(), Table_SourceData_WasteSolid_WasteTreatmentEFs[[#Headers],[Treatment type t]], 0)</f>
        <v>NGAF 2025 table 15</v>
      </c>
      <c r="I27" s="24"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4" t="str" cm="1">
        <f t="array" ref="E28">Common_InputFunctions.Utility_DisplayArrayInTable(WasteSolid_SourceData.Waste_EmissionFactorsForWasteTreatment_Data(), Table_SourceData_WasteSolid_WasteTreatmentEFs[[#Headers],[Treatment type t]], 0)</f>
        <v>Food waste, green waste, wood, sludge</v>
      </c>
      <c r="F28" s="24" cm="1">
        <f t="array" ref="F28">Common_InputFunctions.Utility_DisplayArrayInTable(WasteSolid_SourceData.Waste_EmissionFactorsForWasteTreatment_Data(), Table_SourceData_WasteSolid_WasteTreatmentEFs[[#Headers],[Treatment type t]], 0)</f>
        <v>0</v>
      </c>
      <c r="G28" s="24"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4"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4" cm="1">
        <f t="array" ref="F29">Common_InputFunctions.Utility_DisplayArrayInTable(WasteSolid_SourceData.Waste_EmissionFactorsForWasteTreatment_Data(), Table_SourceData_WasteSolid_WasteTreatmentEFs[[#Headers],[Treatment type t]], 0)</f>
        <v>0</v>
      </c>
      <c r="G29" s="24"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4" t="str" cm="1">
        <f t="array" ref="E30">Common_InputFunctions.Utility_DisplayArrayInTable(WasteSolid_SourceData.Waste_EmissionFactorsForWasteTreatment_Data(), Table_SourceData_WasteSolid_WasteTreatmentEFs[[#Headers],[Treatment type t]], 0)</f>
        <v>Green waste (including crop residues or prunings)</v>
      </c>
      <c r="F30" s="24" cm="1">
        <f t="array" ref="F30">Common_InputFunctions.Utility_DisplayArrayInTable(WasteSolid_SourceData.Waste_EmissionFactorsForWasteTreatment_Data(), Table_SourceData_WasteSolid_WasteTreatmentEFs[[#Headers],[Treatment type t]], 0)</f>
        <v>0</v>
      </c>
      <c r="G30" s="24"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4" t="str" cm="1">
        <f t="array" ref="E31">Common_InputFunctions.Utility_DisplayArrayInTable(WasteSolid_SourceData.Waste_EmissionFactorsForWasteTreatment_Data(), Table_SourceData_WasteSolid_WasteTreatmentEFs[[#Headers],[Treatment type t]], 0)</f>
        <v>Wood</v>
      </c>
      <c r="F31" s="24" cm="1">
        <f t="array" ref="F31">Common_InputFunctions.Utility_DisplayArrayInTable(WasteSolid_SourceData.Waste_EmissionFactorsForWasteTreatment_Data(), Table_SourceData_WasteSolid_WasteTreatmentEFs[[#Headers],[Treatment type t]], 0)</f>
        <v>0</v>
      </c>
      <c r="G31" s="24"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4" t="str" cm="1">
        <f t="array" ref="E32">Common_InputFunctions.Utility_DisplayArrayInTable(WasteSolid_SourceData.Waste_EmissionFactorsForWasteTreatment_Data(), Table_SourceData_WasteSolid_WasteTreatmentEFs[[#Headers],[Treatment type t]], 0)</f>
        <v>Sludge</v>
      </c>
      <c r="F32" s="24" cm="1">
        <f t="array" ref="F32">Common_InputFunctions.Utility_DisplayArrayInTable(WasteSolid_SourceData.Waste_EmissionFactorsForWasteTreatment_Data(), Table_SourceData_WasteSolid_WasteTreatmentEFs[[#Headers],[Treatment type t]], 0)</f>
        <v>0</v>
      </c>
      <c r="G32" s="24"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4" t="str" cm="1">
        <f t="array" ref="E33">Common_InputFunctions.Utility_DisplayArrayInTable(WasteSolid_SourceData.Waste_EmissionFactorsForWasteTreatment_Data(), Table_SourceData_WasteSolid_WasteTreatmentEFs[[#Headers],[Treatment type t]], 0)</f>
        <v>Paper and cardboard</v>
      </c>
      <c r="F33" s="24" cm="1">
        <f t="array" ref="F33">Common_InputFunctions.Utility_DisplayArrayInTable(WasteSolid_SourceData.Waste_EmissionFactorsForWasteTreatment_Data(), Table_SourceData_WasteSolid_WasteTreatmentEFs[[#Headers],[Treatment type t]], 0)</f>
        <v>1.6899999999999998E-2</v>
      </c>
      <c r="G33" s="24"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4" t="str" cm="1">
        <f t="array" ref="E34">Common_InputFunctions.Utility_DisplayArrayInTable(WasteSolid_SourceData.Waste_EmissionFactorsForWasteTreatment_Data(), Table_SourceData_WasteSolid_WasteTreatmentEFs[[#Headers],[Treatment type t]], 0)</f>
        <v>Textiles</v>
      </c>
      <c r="F34" s="24" cm="1">
        <f t="array" ref="F34">Common_InputFunctions.Utility_DisplayArrayInTable(WasteSolid_SourceData.Waste_EmissionFactorsForWasteTreatment_Data(), Table_SourceData_WasteSolid_WasteTreatmentEFs[[#Headers],[Treatment type t]], 0)</f>
        <v>0.36670000000000003</v>
      </c>
      <c r="G34" s="24"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4" t="str" cm="1">
        <f t="array" ref="E35">Common_InputFunctions.Utility_DisplayArrayInTable(WasteSolid_SourceData.Waste_EmissionFactorsForWasteTreatment_Data(), Table_SourceData_WasteSolid_WasteTreatmentEFs[[#Headers],[Treatment type t]], 0)</f>
        <v>Rubber and leather</v>
      </c>
      <c r="F35" s="24" cm="1">
        <f t="array" ref="F35">Common_InputFunctions.Utility_DisplayArrayInTable(WasteSolid_SourceData.Waste_EmissionFactorsForWasteTreatment_Data(), Table_SourceData_WasteSolid_WasteTreatmentEFs[[#Headers],[Treatment type t]], 0)</f>
        <v>0.4919</v>
      </c>
      <c r="G35" s="24"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4" t="str" cm="1">
        <f t="array" ref="E36">Common_InputFunctions.Utility_DisplayArrayInTable(WasteSolid_SourceData.Waste_EmissionFactorsForWasteTreatment_Data(), Table_SourceData_WasteSolid_WasteTreatmentEFs[[#Headers],[Treatment type t]], 0)</f>
        <v>Inert waste (including concrete, metal, plastic or glass)</v>
      </c>
      <c r="F36" s="24" cm="1">
        <f t="array" ref="F36">Common_InputFunctions.Utility_DisplayArrayInTable(WasteSolid_SourceData.Waste_EmissionFactorsForWasteTreatment_Data(), Table_SourceData_WasteSolid_WasteTreatmentEFs[[#Headers],[Treatment type t]], 0)</f>
        <v>0.11</v>
      </c>
      <c r="G36" s="24"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4" t="str" cm="1">
        <f t="array" ref="E37">Common_InputFunctions.Utility_DisplayArrayInTable(WasteSolid_SourceData.Waste_EmissionFactorsForWasteTreatment_Data(), Table_SourceData_WasteSolid_WasteTreatmentEFs[[#Headers],[Treatment type t]], 0)</f>
        <v>Municipal solid waste</v>
      </c>
      <c r="F37" s="24" cm="1">
        <f t="array" ref="F37">Common_InputFunctions.Utility_DisplayArrayInTable(WasteSolid_SourceData.Waste_EmissionFactorsForWasteTreatment_Data(), Table_SourceData_WasteSolid_WasteTreatmentEFs[[#Headers],[Treatment type t]], 0)</f>
        <v>5.3699999999999998E-2</v>
      </c>
      <c r="G37" s="72"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4" t="str" cm="1">
        <f t="array" ref="E38">Common_InputFunctions.Utility_DisplayArrayInTable(WasteSolid_SourceData.Waste_EmissionFactorsForWasteTreatment_Data(), Table_SourceData_WasteSolid_WasteTreatmentEFs[[#Headers],[Treatment type t]], 0)</f>
        <v>Commercial and industrial waste</v>
      </c>
      <c r="F38" s="24" cm="1">
        <f t="array" ref="F38">Common_InputFunctions.Utility_DisplayArrayInTable(WasteSolid_SourceData.Waste_EmissionFactorsForWasteTreatment_Data(), Table_SourceData_WasteSolid_WasteTreatmentEFs[[#Headers],[Treatment type t]], 0)</f>
        <v>1.649</v>
      </c>
      <c r="G38" s="72"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4" t="str" cm="1">
        <f t="array" ref="E39">Common_InputFunctions.Utility_DisplayArrayInTable(WasteSolid_SourceData.Waste_EmissionFactorsForWasteTreatment_Data(), Table_SourceData_WasteSolid_WasteTreatmentEFs[[#Headers],[Treatment type t]], 0)</f>
        <v>All organic waste</v>
      </c>
      <c r="F39" s="24" cm="1">
        <f t="array" ref="F39">Common_InputFunctions.Utility_DisplayArrayInTable(WasteSolid_SourceData.Waste_EmissionFactorsForWasteTreatment_Data(), Table_SourceData_WasteSolid_WasteTreatmentEFs[[#Headers],[Treatment type t]], 0)</f>
        <v>4.5999999999999999E-2</v>
      </c>
      <c r="G39" s="72"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4"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4" cm="1">
        <f t="array" ref="F40">Common_InputFunctions.Utility_DisplayArrayInTable(WasteSolid_SourceData.Waste_EmissionFactorsForWasteTreatment_Data(), Table_SourceData_WasteSolid_WasteTreatmentEFs[[#Headers],[Treatment type t]], 0)</f>
        <v>4.5999999999999999E-2</v>
      </c>
      <c r="G40" s="72"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4" t="str" cm="1">
        <f t="array" ref="E41">Common_InputFunctions.Utility_DisplayArrayInTable(WasteSolid_SourceData.Waste_EmissionFactorsForWasteTreatment_Data(), Table_SourceData_WasteSolid_WasteTreatmentEFs[[#Headers],[Treatment type t]], 0)</f>
        <v>Green waste (including crop residues or prunings)</v>
      </c>
      <c r="F41" s="24" cm="1">
        <f t="array" ref="F41">Common_InputFunctions.Utility_DisplayArrayInTable(WasteSolid_SourceData.Waste_EmissionFactorsForWasteTreatment_Data(), Table_SourceData_WasteSolid_WasteTreatmentEFs[[#Headers],[Treatment type t]], 0)</f>
        <v>4.5999999999999999E-2</v>
      </c>
      <c r="G41" s="72"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4" t="str" cm="1">
        <f t="array" ref="E42">Common_InputFunctions.Utility_DisplayArrayInTable(WasteSolid_SourceData.Waste_EmissionFactorsForWasteTreatment_Data(), Table_SourceData_WasteSolid_WasteTreatmentEFs[[#Headers],[Treatment type t]], 0)</f>
        <v>Wood</v>
      </c>
      <c r="F42" s="24" cm="1">
        <f t="array" ref="F42">Common_InputFunctions.Utility_DisplayArrayInTable(WasteSolid_SourceData.Waste_EmissionFactorsForWasteTreatment_Data(), Table_SourceData_WasteSolid_WasteTreatmentEFs[[#Headers],[Treatment type t]], 0)</f>
        <v>4.5999999999999999E-2</v>
      </c>
      <c r="G42" s="72"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4" t="str" cm="1">
        <f t="array" ref="E43">Common_InputFunctions.Utility_DisplayArrayInTable(WasteSolid_SourceData.Waste_EmissionFactorsForWasteTreatment_Data(), Table_SourceData_WasteSolid_WasteTreatmentEFs[[#Headers],[Treatment type t]], 0)</f>
        <v>Sludge</v>
      </c>
      <c r="F43" s="24" cm="1">
        <f t="array" ref="F43">Common_InputFunctions.Utility_DisplayArrayInTable(WasteSolid_SourceData.Waste_EmissionFactorsForWasteTreatment_Data(), Table_SourceData_WasteSolid_WasteTreatmentEFs[[#Headers],[Treatment type t]], 0)</f>
        <v>4.5999999999999999E-2</v>
      </c>
      <c r="G43" s="72"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4" t="str" cm="1">
        <f t="array" ref="E44">Common_InputFunctions.Utility_DisplayArrayInTable(WasteSolid_SourceData.Waste_EmissionFactorsForWasteTreatment_Data(), Table_SourceData_WasteSolid_WasteTreatmentEFs[[#Headers],[Treatment type t]], 0)</f>
        <v>Paper and cardboard</v>
      </c>
      <c r="F44" s="24" cm="1">
        <f t="array" ref="F44">Common_InputFunctions.Utility_DisplayArrayInTable(WasteSolid_SourceData.Waste_EmissionFactorsForWasteTreatment_Data(), Table_SourceData_WasteSolid_WasteTreatmentEFs[[#Headers],[Treatment type t]], 0)</f>
        <v>4.5999999999999999E-2</v>
      </c>
      <c r="G44" s="72"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4" t="str" cm="1">
        <f t="array" ref="E45">Common_InputFunctions.Utility_DisplayArrayInTable(WasteSolid_SourceData.Waste_EmissionFactorsForWasteTreatment_Data(), Table_SourceData_WasteSolid_WasteTreatmentEFs[[#Headers],[Treatment type t]], 0)</f>
        <v>All organic waste</v>
      </c>
      <c r="F45" s="24" cm="1">
        <f t="array" ref="F45">Common_InputFunctions.Utility_DisplayArrayInTable(WasteSolid_SourceData.Waste_EmissionFactorsForWasteTreatment_Data(), Table_SourceData_WasteSolid_WasteTreatmentEFs[[#Headers],[Treatment type t]], 0)</f>
        <v>2.8000000000000001E-2</v>
      </c>
      <c r="G45" s="72"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4"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4" cm="1">
        <f t="array" ref="F46">Common_InputFunctions.Utility_DisplayArrayInTable(WasteSolid_SourceData.Waste_EmissionFactorsForWasteTreatment_Data(), Table_SourceData_WasteSolid_WasteTreatmentEFs[[#Headers],[Treatment type t]], 0)</f>
        <v>2.8000000000000001E-2</v>
      </c>
      <c r="G46" s="72"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4" t="str" cm="1">
        <f t="array" ref="E47">Common_InputFunctions.Utility_DisplayArrayInTable(WasteSolid_SourceData.Waste_EmissionFactorsForWasteTreatment_Data(), Table_SourceData_WasteSolid_WasteTreatmentEFs[[#Headers],[Treatment type t]], 0)</f>
        <v>Green waste (including crop residues or prunings)</v>
      </c>
      <c r="F47" s="24" cm="1">
        <f t="array" ref="F47">Common_InputFunctions.Utility_DisplayArrayInTable(WasteSolid_SourceData.Waste_EmissionFactorsForWasteTreatment_Data(), Table_SourceData_WasteSolid_WasteTreatmentEFs[[#Headers],[Treatment type t]], 0)</f>
        <v>2.8000000000000001E-2</v>
      </c>
      <c r="G47" s="72"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4" t="str" cm="1">
        <f t="array" ref="E48">Common_InputFunctions.Utility_DisplayArrayInTable(WasteSolid_SourceData.Waste_EmissionFactorsForWasteTreatment_Data(), Table_SourceData_WasteSolid_WasteTreatmentEFs[[#Headers],[Treatment type t]], 0)</f>
        <v>Wood</v>
      </c>
      <c r="F48" s="24" cm="1">
        <f t="array" ref="F48">Common_InputFunctions.Utility_DisplayArrayInTable(WasteSolid_SourceData.Waste_EmissionFactorsForWasteTreatment_Data(), Table_SourceData_WasteSolid_WasteTreatmentEFs[[#Headers],[Treatment type t]], 0)</f>
        <v>2.8000000000000001E-2</v>
      </c>
      <c r="G48" s="72"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4" t="str" cm="1">
        <f t="array" ref="E49">Common_InputFunctions.Utility_DisplayArrayInTable(WasteSolid_SourceData.Waste_EmissionFactorsForWasteTreatment_Data(), Table_SourceData_WasteSolid_WasteTreatmentEFs[[#Headers],[Treatment type t]], 0)</f>
        <v>Sludge</v>
      </c>
      <c r="F49" s="24" cm="1">
        <f t="array" ref="F49">Common_InputFunctions.Utility_DisplayArrayInTable(WasteSolid_SourceData.Waste_EmissionFactorsForWasteTreatment_Data(), Table_SourceData_WasteSolid_WasteTreatmentEFs[[#Headers],[Treatment type t]], 0)</f>
        <v>2.8000000000000001E-2</v>
      </c>
      <c r="G49" s="72"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4" t="str" cm="1">
        <f t="array" ref="E50">Common_InputFunctions.Utility_DisplayArrayInTable(WasteSolid_SourceData.Waste_EmissionFactorsForWasteTreatment_Data(), Table_SourceData_WasteSolid_WasteTreatmentEFs[[#Headers],[Treatment type t]], 0)</f>
        <v>Paper and cardboard</v>
      </c>
      <c r="F50" s="24" cm="1">
        <f t="array" ref="F50">Common_InputFunctions.Utility_DisplayArrayInTable(WasteSolid_SourceData.Waste_EmissionFactorsForWasteTreatment_Data(), Table_SourceData_WasteSolid_WasteTreatmentEFs[[#Headers],[Treatment type t]], 0)</f>
        <v>2.8000000000000001E-2</v>
      </c>
      <c r="G50" s="72"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5" t="str" cm="1">
        <f t="array" ref="D52">WasteSolid_SourceData.Waste_WasteVolumeToMassConversion_Title()</f>
        <v>Volume to mass conversion factor for various waste types</v>
      </c>
    </row>
    <row r="53" spans="4:7" ht="20.100000000000001" customHeight="1" x14ac:dyDescent="0.25">
      <c r="D53" s="4" t="str" cm="1">
        <f t="array" ref="D53">WasteSolid_SourceData.Waste_WasteVolumeToMassConversion_Source()</f>
        <v>VEERG 2026: Table A.4.1.2</v>
      </c>
    </row>
    <row r="54" spans="4:7" ht="20.100000000000001" customHeight="1" x14ac:dyDescent="0.25">
      <c r="D54" s="29"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28" t="str" cm="1">
        <f t="array" ref="D56">WasteSolid_SourceData.Waste_WasteVolumeToMassConversion_Unit()</f>
        <v>t/m3</v>
      </c>
    </row>
    <row r="57" spans="4:7" ht="20.100000000000001" customHeight="1" x14ac:dyDescent="0.25">
      <c r="D57" s="24" t="s">
        <v>89</v>
      </c>
      <c r="E57" s="24" t="s">
        <v>91</v>
      </c>
    </row>
    <row r="58" spans="4:7" ht="20.100000000000001" customHeight="1" x14ac:dyDescent="0.25">
      <c r="D58" s="24"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4"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4"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4"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4"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4"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4"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4"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4"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4"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4"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4"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5B33A-C050-4A68-B2F3-121971668AB6}">
  <dimension ref="A1:BY259"/>
  <sheetViews>
    <sheetView showGridLines="0" tabSelected="1" topLeftCell="A86" zoomScaleNormal="100" workbookViewId="0">
      <selection activeCell="A17" sqref="A17"/>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30"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s="12" t="str">
        <f>HYPERLINK("#'Overview'!A1", "Overview")</f>
        <v>Overview</v>
      </c>
      <c r="BM4" s="2"/>
    </row>
    <row r="5" spans="1:65" ht="20.100000000000001" customHeight="1" x14ac:dyDescent="0.25">
      <c r="A5" s="12" t="str">
        <f>HYPERLINK("#'Results'!A1", "Results")</f>
        <v>Results</v>
      </c>
      <c r="D5" s="5" t="str" cm="1">
        <f t="array" ref="D5">Common_SourceData.Common_SourceData_AustralianStatesTerritories_Title()</f>
        <v>Australian states and territories</v>
      </c>
      <c r="BM5" s="2"/>
    </row>
    <row r="6" spans="1:65" ht="20.100000000000001" customHeight="1" x14ac:dyDescent="0.25">
      <c r="A6"/>
      <c r="D6" s="24" t="s">
        <v>5</v>
      </c>
      <c r="E6" s="24" t="s">
        <v>6</v>
      </c>
      <c r="F6" s="24" t="s">
        <v>7</v>
      </c>
    </row>
    <row r="7" spans="1:65" ht="20.100000000000001" customHeight="1" x14ac:dyDescent="0.25">
      <c r="A7"/>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4" t="s">
        <v>0</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s="12" t="str">
        <f>HYPERLINK("#'Input - Solid waste'!A1", "Solid waste")</f>
        <v>Solid waste</v>
      </c>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s="13" t="s">
        <v>44</v>
      </c>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s="12" t="str">
        <f>HYPERLINK("#'10.1.1-2 Solid waste treatment'!A1", "10.1.1-2 Solid waste treatment")</f>
        <v>10.1.1-2 Solid waste treatment</v>
      </c>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s="73" t="s">
        <v>1</v>
      </c>
    </row>
    <row r="17" spans="1:4" ht="20.100000000000001" customHeight="1" x14ac:dyDescent="0.25">
      <c r="A17" s="12" t="str">
        <f>HYPERLINK("#'Constants - Solid Waste'!A1", "Constants - Solid Waste")</f>
        <v>Constants - Solid Waste</v>
      </c>
    </row>
    <row r="18" spans="1:4" ht="20.100000000000001" customHeight="1" x14ac:dyDescent="0.25">
      <c r="A18" s="54" t="str">
        <f>HYPERLINK("#'Constants - Common'!A1", "Constants - Common")</f>
        <v>Constants - Common</v>
      </c>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5" x14ac:dyDescent="0.25">
      <c r="D257" s="24" t="s">
        <v>77</v>
      </c>
      <c r="E257" s="24" t="s">
        <v>78</v>
      </c>
    </row>
    <row r="258" spans="4:5"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AnAEYAcgB5ACcAIAB0AG8AIAAnAEQAcgB5AC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PgAgADEAOAAgAEMAXAAiACwAIABcACIAQQBuAHkAXAAiACwAIABcACIAZCIgADcAXAAiACwAIABcACIAPg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D4AIAAxADgAIABDAFwAIgAsACAAXAAiAD4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PgAgADEAOAAgAEMAXAAiACwAIABcACIAPg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Pg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A+ACAAMQAwACAAQwBcACIALAAgAFwAIgBBAG4AeQBcACIALAAgAFwAIgBBAG4AeQBcACIALAAgAFwAIgBBAG4AeQBcACIALAAgAFwAIgA+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A+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A+ACAAMAAgAEMAIAAtACAAZCIgADEAMAAgAEMAXAAiACwAIABcACIAQQBuAHkAXAAiACwAIABcACIAQQBuAHkAXAAiACwAIABcACIAQQBuAHkAXAAiACwAIABcACIAPg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Pg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A+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D4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CcAQQBxAHUAYQBjAHUAbAB0AHUAcgBlACcAIAByAG8AdwAuAFwAIgA7AFwAbgAgACAAIAAgACAAIAAgACAAIAAgAFwAIgBSAGUAbQBvAHYAZQBkACAAYQBzAHQAZQByAGkAcwBrAHMAIAB0AG8AIABhAGkAZAAgAGwAbwBvAGsAdQBwAC4AXAAiADsAXABuACAAIAAgACAAIAAgACAAIAAgACAAXAAiAEEAZABkAGUAZAAgACcAcAByAG8AZAB1AGMAdABpAG8AbgAgAHMAeQBzAHQAZQBtACAAbwBuAGwAeQAnACwAIAAnAHIAYQBpAG4AZgBhAGwAbAAgAHoAbwBuAGUAJwAgAGEAbgBkACAAJwBpAHIAcgBpAGcAYQB0AGkAbwBuACAAbQBlAHQAaABvAGQAJwAgAGMAbwBsAHUAbQBuAHMAIAB0AG8AIABhAGkAZAAgAGwAbwBvAGsAdQBwAC4AXAAiADsAXABuACAAIAAgACAAIAAgACAAIAAgACAAXAAiAEQAdQBwAGwAaQBjAGEAdABlAGQAIAAnAG4AbwBuAC0AaQByAHIAaQBnAGEAdABlAGQAIABwAGEAcwB0AHUAcgBlAC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J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An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AnAEQAcgB5ACAAYwBsAGkAbQBhAHQAZQAgAHoAbwBuAGUAcwAnACAAdABvACAAcwBpAG4AZwB1AGwAYQByACAAJwBEAHIAeQAgAGMAbABpAG0AYQB0AGUAIAB6AG8AbgBlAC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A8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AnAFAAbwB1AGwAdAByAHkAIAB3AGkAdABoACAAYQBuAGQAIAB3AGkAdABoAG8AdQB0ACAAbABpAHQAdABlAHIAJwAgAGMAbwBsAHUAbQBuACAAdwBpAHQAaAAgAHMAZQBwAGEAcgBhAHQAZQAgAE4ASQBSACAAZABlAGYAaQBuAGkAdABpAG8AbgBzACAAdABvACAAYQBpAGQAIABsAG8AbwBrAHUAcAAuACAAQQBkAGQAZQBkACAAJwBNAEEAVAAgAHIAYQB3AC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J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C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JwBwAGEAcABlAHIAIABhAG4AZAAgAGMAYQByAGIAbwBhAHIAZAAnACAAdABvACAAJwBwAGEAcABlAHIAIABhAG4AZAAgAGMAYQByAGQAYgBvAGEAcgBkACcAXAAiADsAXABuACAAIAAgACAAIAAgACAAIABcACIARgBpAHgAZQBkACAAdAB5AHAAbwAgACcAcAByAHUAbgBuAGkAbgBnAHMAJwAgAHQAbwAgACcAcAByAHUAbgBpAG4AZwBzACcAXAAiADsAXABuACAAIAAgACAAIAAgACAAIABcACIAQQBkAGQAZQBkACAARQBGACAAcwBvAHUAcgBjAGUAIABjAG8AbAB1AG0AbgAgAHcAaQB0AGgAIABzAHAAZQBjAGkAZgBpAGMAIAByAGUAZgBlAHIAZQBuAGMAZQBzAFwAIgA7AFwAbgAgACAAIAAgACAAIAAgACAAXAAiAEEAZABkAGUAZAAgAHMAdQBiAC0AYwBhAHQAZQBnAG8AcgBpAGUAcwAgAGYAbwByACAAJwBJAG4AYwBpAG4AZQByAGEAdABpAG8AbgA6ACAARgBvAG8AZAAgAHcAYQBzAHQAZQAsACAAZwByAGUAZQBuACAAdwBhAHMAdABlACwAIAB3AG8AbwBkACwAIABzAGwAdQBkAGcAZQAnACAAaQBuACAAbwByAGQAZQByACAAdABvACAAdQBzAGUAIAB2AG8AbAB1AG0AZQAgAHQAbwAgAG0AYQBzAHMAIABjAG8AbgB2AGUAcgBzAGkAbwBuACAAZgBhAGMAdABvAHIAIAB2AGEAbAB1AGUAcwBcACIAOwBcAG4AIAAgACAAIAAgACAAIAAgAFwAIgBBAGQAZABlAGQAIABzAHUAYgAtAGMAYQB0AGUAZwBvAHIAaQBlAHMAIABmAG8AcgAgACcAQwBvAG0AcABvAHMAdABpAG4AZwA6ACAAQQBsAGwAIABvAHIAZwBhAG4AaQBjACAAdwBhAHMAdABlACcAIABpAG4AIABvAHIAZABlAHIAIAB0AG8AIAB1AHMAZQAgAHYAbwBsAHUAbQBlACAAdABvACAAbQBhAHMAcwAgAGMAbwBuAHYAZQByAHMAaQBvAG4AIABmAGEAYwB0AG8AcgAgAHYAYQBsAHUAZQBzAFwAIgA7AFwAbgAgACAAIAAgACAAIAAgACAAXAAiAEEAZABkAGUAZAAgAHMAdQBiAC0AYwBhAHQAZQBnAG8AcgBpAGUAcwAgAGYAbwByACAAJwBBAG4AYQBlAHIAbwBiAGkAYwAgAGQAaQBnAGUAcwB0AGkAbwBuADoAIABBAGwAbAAgAG8AcgBnAGEAbgBpAGMAIAB3AGEAcwB0AGUAJ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SQBuAHAAdQB0AEYAdQBuAGMAdABpAG8AbgBzAC4AVwBhAHMAdABlAFMAbwBsAGkAZABfAEkAbgBwAHUAdABGAHUAbgBjAHQAaQBvAG4AcwBfAFMAdQBtAFcAYQBzAHQAZQBUAHIAZQBhAHQAbQBlAG4AdA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2026-07-29T06:03:26Z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