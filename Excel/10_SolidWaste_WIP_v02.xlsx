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tables/table1.xml" ContentType="application/vnd.openxmlformats-officedocument.spreadsheetml.table+xml"/>
  <Override PartName="/xl/drawings/drawing2.xml" ContentType="application/vnd.openxmlformats-officedocument.drawing+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8104A2C1-A0B8-401E-9C67-97D0F414E563}" xr6:coauthVersionLast="47" xr6:coauthVersionMax="47" xr10:uidLastSave="{00000000-0000-0000-0000-000000000000}"/>
  <bookViews>
    <workbookView xWindow="1950" yWindow="1950" windowWidth="28800" windowHeight="15345" firstSheet="6" activeTab="6" xr2:uid="{992023F3-CAB7-4E5B-A348-08D563A0EF40}"/>
  </bookViews>
  <sheets>
    <sheet name="Home" sheetId="71" r:id="rId1"/>
    <sheet name="Overview" sheetId="118" r:id="rId2"/>
    <sheet name="Results" sheetId="13" r:id="rId3"/>
    <sheet name="Input - Solid waste" sheetId="70" r:id="rId4"/>
    <sheet name="10.1.1-2 Solid waste treatment" sheetId="69" r:id="rId5"/>
    <sheet name="Constants - Solid Waste" sheetId="110" r:id="rId6"/>
    <sheet name="Constants - Common" sheetId="127" r:id="rId7"/>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
        MEDIAN(
            ROUND(_xlpm.Temperature, 0),
            MIN(_xlpm.TemperatureArray),
            MAX(_xlpm.TemperatureArray)
        ),
        _xlpm.TemperatureArray,
        _xlfn.XLOOKUP(_xlpm.MMS, _xlpm.MMSArray, _xlpm.ReturnArray)
    )
)</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_xlfn.LAMBDA(_xlpm.LookupValue1,_xlpm.LookupValue2,_xlpm.LookupArray1,_xlpm.LookupArray2,_xlpm.ReturnArray,_xlop.ValueIfFalse,
    IFERROR(
        _xlfn.XLOOKUP(_xlpm.LookupValue1, _xlpm.LookupArray1,
            _xlfn.XLOOKUP(_xlpm.LookupValue2, _xlpm.LookupArray2, _xlpm.ReturnArray)
        ),
        IF(_xlfn.ISOMITTED(_xlpm.ValueIfFalse), "", _xlpm.ValueIfFalse)
    )
)</definedName>
    <definedName name="Common_InputFunctions.Utility_LookupValueInTableTwoColumns">_xlfn.LAMBDA(_xlpm.LookupValue1,_xlpm.LookupValue2,_xlpm.LookupArray1,_xlpm.LookupArray2,_xlpm.ReturnArray,_xlop.ValueIFFalse,
    _xlfn.XLOOKUP(1, (_xlpm.LookupArray1=_xlpm.LookupValue1)*(_xlpm.LookupArray2=_xlpm.LookupValue2), _xlpm.ReturnArray, IF(_xlfn.ISOMITTED(_xlpm.ValueIFFalse), "", _xlpm.ValueIFFalse))
)</definedName>
    <definedName name="Common_InputFunctions.Utility_ResultsItemFromEquationTitleAndSource">_xlfn.LAMBDA(_xlpm.TitleCell,_xlpm.SourceCell, SUBSTITUTE(LEFT(_xlpm.SourceCell, FIND(",", _xlpm.SourceCell) - 1), "VEERG 2026: ", "") &amp; " " &amp; _xlpm.TitleCell)</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ourceHyperlinkDifferentSheet">_xlfn.LAMBDA(_xlpm.TargetCell, _xlfn.LET(_xlpm.sh, _xlfn.TEXTAFTER(CELL("filename", _xlpm.TargetCell), "]"), _xlpm.addr, CELL("address", _xlpm.TargetCell),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
    _xlfn.MAKEARRAY(14,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
      )
    )
  )</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
    _xlfn.MAKEARRAY(3,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
      )
    )
  )</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
    _xlfn.MAKEARRAY(21,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
      )
    )
  )</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_SourceData_DensityOfMethane_Data">'Constants - Common'!$D$175</definedName>
    <definedName name="CommonCropping_SourceData.CommonCropping_SourceData_FracGASFfInorganicFertiliser_Data">_xlfn.LAMBDA(_xlfn.MAKEARRAY(6, 3, _xlfn.LAMBDA(_xlpm.r,_xlpm.c, INDEX({"Fertiliser type f","FracGASFf","Basis";"Urea-based fertilisers",0.15,"Urea";"Ammonium-based fertilisers",0.08,"Ammonium";"Nitrate-based fertilisers",0.01,"Nitrate";"Ammonium-nitrate based fertilisers",0.05,"Ammonium-nitrate";"Other fertilisers",0.11,"Other"}, _xlpm.r, _xlpm.c))))</definedName>
    <definedName name="CommonCropping_SourceData.CommonCropping_SourceData_FracGASFfInorganicFertiliser_NIRReference">_xlfn.LAMBDA("IPCC 2019 Refinement Volume 4 Table 11.3 [1, p. 11]")</definedName>
    <definedName name="CommonCropping_SourceData.CommonCropping_SourceData_FracGASFfInorganicFertiliser_Source">_xlfn.LAMBDA("VEERG 2026:Table 12.2.2.9")</definedName>
    <definedName name="CommonCropping_SourceData.CommonCropping_SourceData_FracGASFfInorganicFertiliser_Title">_xlfn.LAMBDA("The direct nitrous oxide EF from the organic fertiliser when applied to soils")</definedName>
    <definedName name="CommonCropping_SourceData.CommonCropping_SourceData_FracGASFfInorganicFertiliser_Unit">_xlfn.LAMBDA("(kg NH3-N + NOx-N)/kg N")</definedName>
    <definedName name="CommonCropping_SourceData.CommonCropping_SourceData_FracGASFfInorganicFertiliser_Variation">_xlfn.LAMBDA(("VARIATION FROM SOURCE DATA: Added extra 'Basis' column with simplified naming to assis with lookups in equations"))</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_LookupMCFState">_xlfn.LAMBDA(_xlpm.MMS,_xlpm.MMSArray,_xlpm.State,_xlpm.StateArray,_xlpm.ReturnArray, _xlfn.XLOOKUP(_xlpm.MMS, _xlpm.MMSArray, _xlfn.XLOOKUP(_xlpm.State, _xlpm.StateArray, _xlpm.ReturnArray)))</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6">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6">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6">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6">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6">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Enterprise_PastureBeef_InputFunctions.multiplyCorrespondingCells">_xlfn.LAMBDA(_xlpm.range1,_xlpm.range2,_xlpm.range3, _xlfn.LET(_xlpm.numRows, ROWS(_xlpm.range1), _xlpm.numCols, COLUMNS(_xlpm.range1), _xlpm.result, _xlfn.MAKEARRAY(_xlpm.numRows, _xlpm.numCols, _xlfn.LAMBDA(_xlpm.r,_xlpm.c, IF(ISNUMBER(INDEX(_xlpm.range1, _xlpm.r, _xlpm.c)), INDEX(_xlpm.range1, _xlpm.r, _xlpm.c), 0) * IF(ISNUMBER(INDEX(_xlpm.range2, _xlpm.r, _xlpm.c)), INDEX(_xlpm.range2, _xlpm.r, _xlpm.c), 0) * IF(ISNUMBER(INDEX(_xlpm.range3, _xlpm.r, _xlpm.c)), INDEX(_xlpm.range3, _xlpm.r, _xlpm.c), 0))), _xlpm.result))</definedName>
    <definedName name="Fertiliser_Equations_Lime.VEERG_5_3_1_1__1_LimeApplication">_xlfn.LAMBDA(_xlpm.Mlime,_xlpm.FracLime,_xlpm.Plime,_xlpm.EFlime,_xlpm.FracDol,_xlpm.Pdol,_xlpm.EFdol,_xlpm.CgCO2, ((_xlpm.Mlime * _xlpm.FracLime * _xlpm.Plime * _xlpm.EFlime) + (_xlpm.Mlime * _xlpm.FracDol * _xlpm.Pdol * _xlpm.EFdol)) * _xlpm.CgCO2 * 10 ^ -3)</definedName>
    <definedName name="Fertiliser_Equations_Organic.VEERG_5_2_1_1__2_MassOfNitrogenInOrganicFertiliser">_xlfn.LAMBDA(_xlpm.Morganicjf,_xlpm.FNorganicf, _xlpm.Morganicjf * _xlpm.FNorganicf)</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putFunctions_PastureBeef.ConvertMonthlyCalvingToSeason">_xlfn.LAMBDA(_xlpm.Season,_xlpm.SumArray,_xlpm.CalvingMonthArray,_xlpm.MonthArray,_xlpm.MonthToSeasonArray, _xlfn.LET(_xlpm.MonthText, TEXT(_xlpm.CalvingMonthArray, "mmmm"), _xlpm.SeasonPerRow, _xlfn.XLOOKUP(_xlpm.MonthText, _xlpm.MonthArray, _xlpm.MonthToSeasonArray, "", 0), SUM(_xlpm.SumArray * (_xlpm.SeasonPerRow = _xlpm.Season))))</definedName>
    <definedName name="InputFunctions_PastureBeef.LookupLiveweightFromMonth">_xlfn.LAMBDA(_xlpm.State,_xlpm.Region,_xlpm.Month,_xlpm.LivestockClass,_xlpm.StateArray,_xlpm.RegionArray,_xlpm.SeasonArray,_xlpm.LivestockClassArray,_xlpm.ReturnArray,_xlpm.StateCommonNameArray,_xlpm.StateAbbreviationArray,_xlpm.MonthArray,_xlpm.MonthToSeasonArray, _xlfn.LET(_xlpm.Month, TEXT(_xlpm.Month, "mmmm"), _xlpm.State, _xlfn.XLOOKUP(_xlpm.State, _xlpm.StateCommonNameArray, _xlpm.StateAbbreviationArray), _xlpm.Season, _xlfn.XLOOKUP(_xlpm.Month, _xlpm.MonthArray, _xlpm.MonthToSeasonArray), _xlfn.XLOOKUP(1, (_xlpm.StateArray = _xlpm.State) * (_xlpm.RegionArray = _xlpm.Region) * (_xlpm.SeasonArray = _xlpm.Season), _xlfn.XLOOKUP(_xlpm.LivestockClass, _xlpm.LivestockClassArray, _xlpm.ReturnArray))))</definedName>
    <definedName name="InputFunctions_PastureBeef.LookupLiveweightFromSeason">_xlfn.LAMBDA(_xlpm.State,_xlpm.Region,_xlpm.Season,_xlpm.LivestockClass,_xlpm.StateArray,_xlpm.RegionArray,_xlpm.SeasonArray,_xlpm.LivestockClassArray,_xlpm.ReturnArray,_xlpm.StateCommonNameArray,_xlpm.StateAbbreviationArray, _xlfn.LET(_xlpm.State, _xlfn.XLOOKUP(_xlpm.State, _xlpm.StateCommonNameArray, _xlpm.StateAbbreviationArray), _xlfn.XLOOKUP(1, (_xlpm.StateArray = _xlpm.State) * (_xlpm.RegionArray = _xlpm.Region) * (_xlpm.SeasonArray = _xlpm.Season), _xlfn.XLOOKUP(_xlpm.LivestockClass, _xlpm.LivestockClassArray, _xlpm.ReturnArray))))</definedName>
    <definedName name="InputFunctions_PastureBeef.LookupValueFromStateRegionMonth">_xlfn.LAMBDA(_xlpm.State,_xlpm.Region,_xlpm.Month,_xlpm.StateArray,_xlpm.RegionArray,_xlpm.SeasonArray,_xlpm.ReturnArray,_xlpm.StateCommonNameArray,_xlpm.StateAbbreviationArray,_xlpm.MonthArray,_xlpm.MonthToSeasonArray, _xlfn.LET(_xlpm.State, _xlfn.XLOOKUP(_xlpm.State, _xlpm.StateCommonNameArray, _xlpm.StateAbbreviationArray), _xlpm.Season, _xlfn.XLOOKUP(TEXT(_xlpm.Month, "mmmm"), _xlpm.MonthArray, _xlpm.MonthToSeasonArray), _xlfn.XLOOKUP(1, (_xlpm.StateArray = _xlpm.State) * (_xlpm.RegionArray = _xlpm.Region), _xlfn.XLOOKUP(_xlpm.Season, _xlpm.SeasonArray, _xlpm.ReturnArray))))</definedName>
    <definedName name="InputFunctions_PastureBeef.LookupValueFromStateRegionSeason">_xlfn.LAMBDA(_xlpm.State,_xlpm.Region,_xlpm.Season,_xlpm.StateArray,_xlpm.RegionArray,_xlpm.SeasonArray,_xlpm.ReturnArray,_xlpm.StateCommonNameArray,_xlpm.StateAbbreviationArray, _xlfn.LET(_xlpm.State, _xlfn.XLOOKUP(_xlpm.State, _xlpm.StateCommonNameArray, _xlpm.StateAbbreviationArray), _xlfn.XLOOKUP(1, (_xlpm.StateArray = _xlpm.State) * (_xlpm.RegionArray = _xlpm.Region), _xlfn.XLOOKUP(_xlpm.Season, _xlpm.SeasonArray, _xlpm.ReturnArray))))</definedName>
    <definedName name="Table_E_g_offsite">'10.1.1-2 Solid waste treatment'!$D$156:$E$190</definedName>
    <definedName name="Table_E_g_onsite">'10.1.1-2 Solid waste treatment'!$D$115:$E$149</definedName>
    <definedName name="Table_V_w_t_offsite">'10.1.1-2 Solid waste treatment'!$D$58:$E$92</definedName>
    <definedName name="Table_V_w_t_onsite">'10.1.1-2 Solid waste treatment'!$D$20:$E$54</definedName>
    <definedName name="VEERG_10_1_1_1__1_EmissionsFromWasteManagement_Scope1_Result_Method1">'10.1.1-2 Solid waste treatment'!$E$151</definedName>
    <definedName name="VEERG_10_1_1_1__1_EmissionsFromWasteManagement_Scope3_Result_Method1">'10.1.1-2 Solid waste treatment'!$E$192</definedName>
    <definedName name="WasteSolid_Equations.VEERG_10_1_1_1__1_EmissionsFromWasteManagement">_xlfn.LAMBDA(_xlpm.Q_wt,_xlpm.EF_wtg, _xlpm.Q_wt * _xlpm.EF_wtg)</definedName>
    <definedName name="WasteSolid_Equations.VEERG_10_1_1_1__1_EmissionsFromWasteManagement_Arguments">_xlfn.LAMBDA(_xlfn.MAKEARRAY(7, 4, _xlfn.LAMBDA(_xlpm.r,_xlpm.c, INDEX({"Q_wt","quantity of solid waste of type w being sent to treatment facility t, on a wet weight basis","t","Sum of Q_volwt and Q_masswt";"EF_wtg","emission factor for greenhouse gas g for the management of waste at treatment facility t","t CO2e/t","Constant";"w","waste type","","Input";"t","treatment facility","","Input";"g","greenhouse gas","","Input";"Q_volwt","quantity of sold waste input as volume and converted to tonnes","tonnes","Calculated from 10.1.1.1 (2)";"Q_masswt","quantity of solid waste input as mass","tonnes","Input"}, _xlpm.r, _xlpm.c))))</definedName>
    <definedName name="WasteSolid_Equations.VEERG_10_1_1_1__1_EmissionsFromWasteManagement_LatexEquation">_xlfn.LAMBDA("E_g=\sum\nolimits_t\sum\nolimits_w(Q_{wt}\times EF_{wtg})")</definedName>
    <definedName name="WasteSolid_Equations.VEERG_10_1_1_1__1_EmissionsFromWasteManagement_NIRReference">_xlfn.LAMBDA("")</definedName>
    <definedName name="WasteSolid_Equations.VEERG_10_1_1_1__1_EmissionsFromWasteManagement_Source">_xlfn.LAMBDA("VEERG 2026: 10.1.1.1, Equation (1)")</definedName>
    <definedName name="WasteSolid_Equations.VEERG_10_1_1_1__1_EmissionsFromWasteManagement_Title">_xlfn.LAMBDA("Emissions from waste management by greenhouse gas")</definedName>
    <definedName name="WasteSolid_Equations.VEERG_10_1_1_1__1_EmissionsFromWasteManagement_Unit">_xlfn.LAMBDA("t CO2e")</definedName>
    <definedName name="WasteSolid_Equations.VEERG_10_1_1_1__1_EmissionsFromWasteManagement_Variable">_xlfn.LAMBDA("E_g")</definedName>
    <definedName name="WasteSolid_Equations.VEERG_10_1_1_1__1_EmissionsFromWasteManagement_Variation">_xlfn.LAMBDA("VARIATION ON SOURCE: Added Q_volwt and Q_masswt variables to clearly track input or calculated Q values")</definedName>
    <definedName name="WasteSolid_Equations.VEERG_10_1_1_1__2_MassOfWasteFromVolume">_xlfn.LAMBDA(_xlpm.V_wt,_xlpm.VTM_w, _xlpm.V_wt * _xlpm.VTM_w)</definedName>
    <definedName name="WasteSolid_Equations.VEERG_10_1_1_1__2_MassOfWasteFromVolume_Arguments">_xlfn.LAMBDA(_xlfn.MAKEARRAY(4, 4, _xlfn.LAMBDA(_xlpm.r,_xlpm.c, INDEX({"V_wt","volume of solid waste type w being sent to treatment facility t","m3","Input";"VTM_w","conversion factor of volume to mass for waste type w","t/m3","Constant";"w","waste type","","Input";"t","treatment facility","","Input"}, _xlpm.r, _xlpm.c))))</definedName>
    <definedName name="WasteSolid_Equations.VEERG_10_1_1_1__2_MassOfWasteFromVolume_LatexEquation">_xlfn.LAMBDA("Q_{wt}=V_{wt}\times VTM_w")</definedName>
    <definedName name="WasteSolid_Equations.VEERG_10_1_1_1__2_MassOfWasteFromVolume_NIRReference">_xlfn.LAMBDA("")</definedName>
    <definedName name="WasteSolid_Equations.VEERG_10_1_1_1__2_MassOfWasteFromVolume_Source">_xlfn.LAMBDA("VEERG 2026: 10.1.1.1, Equation (2)")</definedName>
    <definedName name="WasteSolid_Equations.VEERG_10_1_1_1__2_MassOfWasteFromVolume_Title">_xlfn.LAMBDA("Mass of waste from waste volume")</definedName>
    <definedName name="WasteSolid_Equations.VEERG_10_1_1_1__2_MassOfWasteFromVolume_Unit">_xlfn.LAMBDA("t")</definedName>
    <definedName name="WasteSolid_Equations.VEERG_10_1_1_1__2_MassOfWasteFromVolume_Variable">_xlfn.LAMBDA("Q_wt")</definedName>
    <definedName name="WasteSolid_InputFunctions.WasteSolid_InputFunctions_SumWasteTreatment">_xlfn.LAMBDA(_xlpm.TreatmentArray,_xlpm.WasteArray,_xlpm.TreatmentLocationArray,_xlpm.UnitArray,_xlpm.AmountArray,_xlpm.TreatmentType,_xlpm.WasteType,_xlpm.TreatmentLocationType,_xlpm.UnitType, SUMIFS(_xlpm.AmountArray, _xlpm.TreatmentArray, _xlpm.TreatmentType, _xlpm.WasteArray, _xlpm.WasteType, _xlpm.TreatmentLocationArray, _xlpm.TreatmentLocationType, _xlpm.UnitArray, _xlpm.UnitType))</definedName>
    <definedName name="WasteSolid_SourceData.Waste_EmissionFactorsForWasteTreatment_Data">_xlfn.LAMBDA(_xlfn.MAKEARRAY(35, 4, _xlfn.LAMBDA(_xlpm.r,_xlpm.c, INDEX({"Treatment type t","Waste type w","EFwt","EF source";"Landfill","Food waste (including animal carcasses, spoiled animal feed or crop)",2.1,"NGAF 2025 table 15";"Landfill","Paper and cardboard",3.3,"NGAF 2025 table 15";"Landfill","Green waste (including crop residues or prunings)",1.6,"NGAF 2025 table 15";"Landfill","Wood",0.7,"NGAF 2025 table 15";"Landfill","Textiles",2,"NGAF 2025 table 15";"Landfill","Sludge",0.4,"NGAF 2025 table 15";"Landfill","Rubber and leather",3.3,"NGAF 2025 table 15";"Landfill","Inert waste (including concrete, metal, plastic or glass)",0,"NGAF 2025 table 15";"Landfill","Municipal solid waste",1.6,"NGAF 2025 table 15";"Landfill","Commercial and industrial waste",1.3,"NGAF 2025 table 15";"Landfill","Construction and demolition waste",0.2,"NGAF 2025 table 15";"Incineration","Food waste, green waste, wood, sludge",0,"";"Incineration","Food waste (including animal carcasses, spoiled animal feed or crop)",0,"";"Incineration","Green waste (including crop residues or prunings)",0,"";"Incineration","Wood",0,"";"Incineration","Sludge",0,"";"Incineration","Paper and cardboard",0.0169,"";"Incineration","Textiles",0.3667,"";"Incineration","Rubber and leather",0.4919,"";"Incineration","Inert waste (including concrete, metal, plastic or glass)",0.11,"";"Incineration","Municipal solid waste",0.0537,"NGAF 2025 Table 18";"Incineration","Commercial and industrial waste",1.649,"NGAF 2025 Table 18";"Composting","All organic waste",0.046,"NGAF 2025 Table 19";"Composting","Food waste (including animal carcasses, spoiled animal feed or crop)",0.046,"";"Composting","Green waste (including crop residues or prunings)",0.046,"";"Composting","Wood",0.046,"";"Composting","Sludge",0.046,"";"Composting","Paper and cardboard",0.046,"";"Anaerobic digestion","All organic waste",0.028,"NGAF 2025 Table 19";"Anaerobic digestion","Food waste (including animal carcasses, spoiled animal feed or crop)",0.028,"";"Anaerobic digestion","Green waste (including crop residues or prunings)",0.028,"";"Anaerobic digestion","Wood",0.028,"";"Anaerobic digestion","Sludge",0.028,"";"Anaerobic digestion","Paper and cardboard",0.028,""}, _xlpm.r, _xlpm.c))))</definedName>
    <definedName name="WasteSolid_SourceData.Waste_EmissionFactorsForWasteTreatment_Source">_xlfn.LAMBDA(("VEERG 2026: Table A.4.1.1"))</definedName>
    <definedName name="WasteSolid_SourceData.Waste_EmissionFactorsForWasteTreatment_Title">_xlfn.LAMBDA(("Emission factors for wastes disposed of at different treatment facilities"))</definedName>
    <definedName name="WasteSolid_SourceData.Waste_EmissionFactorsForWasteTreatment_Unit">_xlfn.LAMBDA(("t CO2e / t"))</definedName>
    <definedName name="WasteSolid_SourceData.Waste_EmissionFactorsForWasteTreatment_Variable">_xlfn.LAMBDA(("EFwt"))</definedName>
    <definedName name="WasteSolid_SourceData.Waste_EmissionFactorsForWasteTreatment_Variation">_xlfn.LAMBDA(_xlfn.MAKEARRAY(7, 1, _xlfn.LAMBDA(_xlpm.r,_xlpm.c, INDEX({"VARIATION ON SOURCE:";"Fixed typo 'paper and carboard' to 'paper and cardboard'";"Fixed typo 'prunnings' to 'prunings'";"Added EF source column with specific references";"Added sub-categories for 'Incineration: Food waste, green waste, wood, sludge' in order to use volume to mass conversion factor values";"Added sub-categories for 'Composting: All organic waste' in order to use volume to mass conversion factor values";"Added sub-categories for 'Anaerobic digestion: All organic waste' in order to use volume to mass conversion factor values"}, _xlpm.r, _xlpm.c))))</definedName>
    <definedName name="WasteSolid_SourceData.Waste_WasteVolumeToMassConversion_Data">_xlfn.LAMBDA(_xlfn.MAKEARRAY(12, 2, _xlfn.LAMBDA(_xlpm.r,_xlpm.c, INDEX({"Waste type w","VTMw";"Food waste (including animal carcasses, spoiled animal feed or crop)",0.5;"Paper and cardboard",0.09;"Green waste (including crop residues or prunings)",0.24;"Wood",0.15;"Textiles",0.14;"Sludge",0.72;"Rubber and leather",0.14;"Inert waste (including concrete, metal, plastic or glass)",0.42;"Municipal solid waste",0.36;"Commercial and industrial waste",0.33;"Construction and demolition waste",0.39}, _xlpm.r, _xlpm.c))))</definedName>
    <definedName name="WasteSolid_SourceData.Waste_WasteVolumeToMassConversion_Source">_xlfn.LAMBDA(("VEERG 2026: Table A.4.1.2"))</definedName>
    <definedName name="WasteSolid_SourceData.Waste_WasteVolumeToMassConversion_Title">_xlfn.LAMBDA(("Volume to mass conversion factor for various waste types"))</definedName>
    <definedName name="WasteSolid_SourceData.Waste_WasteVolumeToMassConversion_Unit">_xlfn.LAMBDA(("t/m3"))</definedName>
    <definedName name="WasteSolid_SourceData.Waste_WasteVolumeToMassConversion_Variable">_xlfn.LAMBDA(("VTMw"))</definedName>
    <definedName name="WasteSolid_SourceData.Waste_WasteVolumeToMassConversion_Variation">_xlfn.LAMBDA(("VARIATION OF SOURCE: Changed column header CFw to VTMw to match title variable."))</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259" i="127" l="1" a="1"/>
  <c r="E259" i="127" s="1"/>
  <c r="D259" i="127" a="1"/>
  <c r="D259" i="127" s="1"/>
  <c r="E258" i="127" a="1"/>
  <c r="E258" i="127" s="1"/>
  <c r="D258" i="127" a="1"/>
  <c r="D258" i="127" s="1"/>
  <c r="D256" i="127" a="1"/>
  <c r="D256" i="127" s="1"/>
  <c r="D255" i="127" a="1"/>
  <c r="D255" i="127" s="1"/>
  <c r="D254" i="127" a="1"/>
  <c r="D254" i="127" s="1"/>
  <c r="D253" i="127" a="1"/>
  <c r="D253" i="127" s="1"/>
  <c r="S250" i="127" a="1"/>
  <c r="S250" i="127" s="1"/>
  <c r="R250" i="127" a="1"/>
  <c r="R250" i="127" s="1"/>
  <c r="Q250" i="127" a="1"/>
  <c r="Q250" i="127" s="1"/>
  <c r="P250" i="127" a="1"/>
  <c r="P250" i="127" s="1"/>
  <c r="O250" i="127" a="1"/>
  <c r="O250" i="127" s="1"/>
  <c r="N250" i="127" a="1"/>
  <c r="N250" i="127" s="1"/>
  <c r="M250" i="127" a="1"/>
  <c r="M250" i="127" s="1"/>
  <c r="L250" i="127" a="1"/>
  <c r="L250" i="127" s="1"/>
  <c r="K250" i="127" a="1"/>
  <c r="K250" i="127" s="1"/>
  <c r="J250" i="127" a="1"/>
  <c r="J250" i="127" s="1"/>
  <c r="I250" i="127" a="1"/>
  <c r="I250" i="127" s="1"/>
  <c r="H250" i="127" a="1"/>
  <c r="H250" i="127" s="1"/>
  <c r="G250" i="127" a="1"/>
  <c r="G250" i="127" s="1"/>
  <c r="F250" i="127" a="1"/>
  <c r="F250" i="127" s="1"/>
  <c r="E250" i="127" a="1"/>
  <c r="E250" i="127" s="1"/>
  <c r="D250" i="127" a="1"/>
  <c r="D250" i="127" s="1"/>
  <c r="S249" i="127" a="1"/>
  <c r="S249" i="127" s="1"/>
  <c r="R249" i="127" a="1"/>
  <c r="R249" i="127" s="1"/>
  <c r="Q249" i="127" a="1"/>
  <c r="Q249" i="127" s="1"/>
  <c r="P249" i="127" a="1"/>
  <c r="P249" i="127" s="1"/>
  <c r="O249" i="127" a="1"/>
  <c r="O249" i="127" s="1"/>
  <c r="N249" i="127" a="1"/>
  <c r="N249" i="127" s="1"/>
  <c r="M249" i="127" a="1"/>
  <c r="M249" i="127" s="1"/>
  <c r="L249" i="127" a="1"/>
  <c r="L249" i="127" s="1"/>
  <c r="K249" i="127" a="1"/>
  <c r="K249" i="127" s="1"/>
  <c r="J249" i="127" a="1"/>
  <c r="J249" i="127" s="1"/>
  <c r="I249" i="127" a="1"/>
  <c r="I249" i="127" s="1"/>
  <c r="H249" i="127" a="1"/>
  <c r="H249" i="127" s="1"/>
  <c r="G249" i="127" a="1"/>
  <c r="G249" i="127" s="1"/>
  <c r="F249" i="127" a="1"/>
  <c r="F249" i="127" s="1"/>
  <c r="E249" i="127" a="1"/>
  <c r="E249" i="127" s="1"/>
  <c r="D249" i="127" a="1"/>
  <c r="D249" i="127" s="1"/>
  <c r="S248" i="127" a="1"/>
  <c r="S248" i="127" s="1"/>
  <c r="R248" i="127" a="1"/>
  <c r="R248" i="127" s="1"/>
  <c r="Q248" i="127" a="1"/>
  <c r="Q248" i="127" s="1"/>
  <c r="P248" i="127" a="1"/>
  <c r="P248" i="127" s="1"/>
  <c r="O248" i="127" a="1"/>
  <c r="O248" i="127" s="1"/>
  <c r="N248" i="127" a="1"/>
  <c r="N248" i="127" s="1"/>
  <c r="M248" i="127" a="1"/>
  <c r="M248" i="127" s="1"/>
  <c r="L248" i="127" a="1"/>
  <c r="L248" i="127" s="1"/>
  <c r="K248" i="127" a="1"/>
  <c r="K248" i="127" s="1"/>
  <c r="J248" i="127" a="1"/>
  <c r="J248" i="127" s="1"/>
  <c r="I248" i="127" a="1"/>
  <c r="I248" i="127" s="1"/>
  <c r="H248" i="127" a="1"/>
  <c r="H248" i="127" s="1"/>
  <c r="G248" i="127" a="1"/>
  <c r="G248" i="127" s="1"/>
  <c r="F248" i="127" a="1"/>
  <c r="F248" i="127" s="1"/>
  <c r="E248" i="127" a="1"/>
  <c r="E248" i="127" s="1"/>
  <c r="D248" i="127" a="1"/>
  <c r="D248" i="127" s="1"/>
  <c r="S247" i="127" a="1"/>
  <c r="S247" i="127" s="1"/>
  <c r="R247" i="127" a="1"/>
  <c r="R247" i="127" s="1"/>
  <c r="Q247" i="127" a="1"/>
  <c r="Q247" i="127" s="1"/>
  <c r="P247" i="127" a="1"/>
  <c r="P247" i="127" s="1"/>
  <c r="O247" i="127" a="1"/>
  <c r="O247" i="127" s="1"/>
  <c r="N247" i="127" a="1"/>
  <c r="N247" i="127" s="1"/>
  <c r="M247" i="127" a="1"/>
  <c r="M247" i="127" s="1"/>
  <c r="L247" i="127" a="1"/>
  <c r="L247" i="127" s="1"/>
  <c r="K247" i="127" a="1"/>
  <c r="K247" i="127" s="1"/>
  <c r="J247" i="127" a="1"/>
  <c r="J247" i="127" s="1"/>
  <c r="I247" i="127" a="1"/>
  <c r="I247" i="127" s="1"/>
  <c r="H247" i="127" a="1"/>
  <c r="H247" i="127" s="1"/>
  <c r="G247" i="127" a="1"/>
  <c r="G247" i="127" s="1"/>
  <c r="F247" i="127" a="1"/>
  <c r="F247" i="127" s="1"/>
  <c r="E247" i="127" a="1"/>
  <c r="E247" i="127" s="1"/>
  <c r="D247" i="127" a="1"/>
  <c r="D247" i="127" s="1"/>
  <c r="S246" i="127" a="1"/>
  <c r="S246" i="127" s="1"/>
  <c r="R246" i="127" a="1"/>
  <c r="R246" i="127" s="1"/>
  <c r="Q246" i="127" a="1"/>
  <c r="Q246" i="127" s="1"/>
  <c r="P246" i="127" a="1"/>
  <c r="P246" i="127" s="1"/>
  <c r="O246" i="127" a="1"/>
  <c r="O246" i="127" s="1"/>
  <c r="N246" i="127" a="1"/>
  <c r="N246" i="127" s="1"/>
  <c r="M246" i="127" a="1"/>
  <c r="M246" i="127" s="1"/>
  <c r="L246" i="127" a="1"/>
  <c r="L246" i="127" s="1"/>
  <c r="K246" i="127" a="1"/>
  <c r="K246" i="127" s="1"/>
  <c r="J246" i="127" a="1"/>
  <c r="J246" i="127" s="1"/>
  <c r="I246" i="127" a="1"/>
  <c r="I246" i="127" s="1"/>
  <c r="H246" i="127" a="1"/>
  <c r="H246" i="127" s="1"/>
  <c r="G246" i="127" a="1"/>
  <c r="G246" i="127" s="1"/>
  <c r="F246" i="127" a="1"/>
  <c r="F246" i="127" s="1"/>
  <c r="E246" i="127" a="1"/>
  <c r="E246" i="127" s="1"/>
  <c r="D246" i="127" a="1"/>
  <c r="D246" i="127" s="1"/>
  <c r="S245" i="127" a="1"/>
  <c r="S245" i="127" s="1"/>
  <c r="R245" i="127" a="1"/>
  <c r="R245" i="127" s="1"/>
  <c r="Q245" i="127" a="1"/>
  <c r="Q245" i="127" s="1"/>
  <c r="P245" i="127" a="1"/>
  <c r="P245" i="127" s="1"/>
  <c r="O245" i="127" a="1"/>
  <c r="O245" i="127" s="1"/>
  <c r="N245" i="127" a="1"/>
  <c r="N245" i="127" s="1"/>
  <c r="M245" i="127" a="1"/>
  <c r="M245" i="127" s="1"/>
  <c r="L245" i="127" a="1"/>
  <c r="L245" i="127" s="1"/>
  <c r="K245" i="127" a="1"/>
  <c r="K245" i="127" s="1"/>
  <c r="J245" i="127" a="1"/>
  <c r="J245" i="127" s="1"/>
  <c r="I245" i="127" a="1"/>
  <c r="I245" i="127" s="1"/>
  <c r="H245" i="127" a="1"/>
  <c r="H245" i="127" s="1"/>
  <c r="G245" i="127" a="1"/>
  <c r="G245" i="127" s="1"/>
  <c r="F245" i="127" a="1"/>
  <c r="F245" i="127" s="1"/>
  <c r="E245" i="127" a="1"/>
  <c r="E245" i="127" s="1"/>
  <c r="D245" i="127" a="1"/>
  <c r="D245" i="127" s="1"/>
  <c r="S244" i="127" a="1"/>
  <c r="S244" i="127" s="1"/>
  <c r="R244" i="127" a="1"/>
  <c r="R244" i="127" s="1"/>
  <c r="Q244" i="127" a="1"/>
  <c r="Q244" i="127" s="1"/>
  <c r="P244" i="127" a="1"/>
  <c r="P244" i="127" s="1"/>
  <c r="O244" i="127" a="1"/>
  <c r="O244" i="127" s="1"/>
  <c r="N244" i="127" a="1"/>
  <c r="N244" i="127" s="1"/>
  <c r="M244" i="127" a="1"/>
  <c r="M244" i="127" s="1"/>
  <c r="L244" i="127" a="1"/>
  <c r="L244" i="127" s="1"/>
  <c r="K244" i="127" a="1"/>
  <c r="K244" i="127" s="1"/>
  <c r="J244" i="127" a="1"/>
  <c r="J244" i="127" s="1"/>
  <c r="I244" i="127" a="1"/>
  <c r="I244" i="127" s="1"/>
  <c r="H244" i="127" a="1"/>
  <c r="H244" i="127" s="1"/>
  <c r="G244" i="127" a="1"/>
  <c r="G244" i="127" s="1"/>
  <c r="F244" i="127" a="1"/>
  <c r="F244" i="127" s="1"/>
  <c r="E244" i="127" a="1"/>
  <c r="E244" i="127" s="1"/>
  <c r="D244" i="127" a="1"/>
  <c r="D244" i="127" s="1"/>
  <c r="S243" i="127" a="1"/>
  <c r="S243" i="127" s="1"/>
  <c r="R243" i="127" a="1"/>
  <c r="R243" i="127" s="1"/>
  <c r="Q243" i="127" a="1"/>
  <c r="Q243" i="127" s="1"/>
  <c r="P243" i="127" a="1"/>
  <c r="P243" i="127" s="1"/>
  <c r="O243" i="127" a="1"/>
  <c r="O243" i="127" s="1"/>
  <c r="N243" i="127" a="1"/>
  <c r="N243" i="127" s="1"/>
  <c r="M243" i="127" a="1"/>
  <c r="M243" i="127" s="1"/>
  <c r="L243" i="127" a="1"/>
  <c r="L243" i="127" s="1"/>
  <c r="K243" i="127" a="1"/>
  <c r="K243" i="127" s="1"/>
  <c r="J243" i="127" a="1"/>
  <c r="J243" i="127" s="1"/>
  <c r="I243" i="127" a="1"/>
  <c r="I243" i="127" s="1"/>
  <c r="H243" i="127" a="1"/>
  <c r="H243" i="127" s="1"/>
  <c r="G243" i="127" a="1"/>
  <c r="G243" i="127" s="1"/>
  <c r="F243" i="127" a="1"/>
  <c r="F243" i="127" s="1"/>
  <c r="E243" i="127" a="1"/>
  <c r="E243" i="127" s="1"/>
  <c r="D243" i="127" a="1"/>
  <c r="D243" i="127" s="1"/>
  <c r="S242" i="127" a="1"/>
  <c r="S242" i="127" s="1"/>
  <c r="R242" i="127" a="1"/>
  <c r="R242" i="127" s="1"/>
  <c r="Q242" i="127" a="1"/>
  <c r="Q242" i="127" s="1"/>
  <c r="P242" i="127" a="1"/>
  <c r="P242" i="127" s="1"/>
  <c r="O242" i="127" a="1"/>
  <c r="O242" i="127" s="1"/>
  <c r="N242" i="127" a="1"/>
  <c r="N242" i="127" s="1"/>
  <c r="M242" i="127" a="1"/>
  <c r="M242" i="127" s="1"/>
  <c r="L242" i="127" a="1"/>
  <c r="L242" i="127" s="1"/>
  <c r="K242" i="127" a="1"/>
  <c r="K242" i="127" s="1"/>
  <c r="J242" i="127" a="1"/>
  <c r="J242" i="127" s="1"/>
  <c r="I242" i="127" a="1"/>
  <c r="I242" i="127" s="1"/>
  <c r="H242" i="127" a="1"/>
  <c r="H242" i="127" s="1"/>
  <c r="G242" i="127" a="1"/>
  <c r="G242" i="127" s="1"/>
  <c r="F242" i="127" a="1"/>
  <c r="F242" i="127" s="1"/>
  <c r="E242" i="127" a="1"/>
  <c r="E242" i="127" s="1"/>
  <c r="D242" i="127" a="1"/>
  <c r="D242" i="127" s="1"/>
  <c r="S241" i="127" a="1"/>
  <c r="S241" i="127" s="1"/>
  <c r="R241" i="127" a="1"/>
  <c r="R241" i="127" s="1"/>
  <c r="Q241" i="127" a="1"/>
  <c r="Q241" i="127" s="1"/>
  <c r="P241" i="127" a="1"/>
  <c r="P241" i="127" s="1"/>
  <c r="O241" i="127" a="1"/>
  <c r="O241" i="127" s="1"/>
  <c r="N241" i="127" a="1"/>
  <c r="N241" i="127" s="1"/>
  <c r="M241" i="127" a="1"/>
  <c r="M241" i="127" s="1"/>
  <c r="L241" i="127" a="1"/>
  <c r="L241" i="127" s="1"/>
  <c r="K241" i="127" a="1"/>
  <c r="K241" i="127" s="1"/>
  <c r="J241" i="127" a="1"/>
  <c r="J241" i="127" s="1"/>
  <c r="I241" i="127" a="1"/>
  <c r="I241" i="127" s="1"/>
  <c r="H241" i="127" a="1"/>
  <c r="H241" i="127" s="1"/>
  <c r="G241" i="127" a="1"/>
  <c r="G241" i="127" s="1"/>
  <c r="F241" i="127" a="1"/>
  <c r="F241" i="127" s="1"/>
  <c r="E241" i="127" a="1"/>
  <c r="E241" i="127" s="1"/>
  <c r="D241" i="127" a="1"/>
  <c r="D241" i="127" s="1"/>
  <c r="S240" i="127" a="1"/>
  <c r="S240" i="127" s="1"/>
  <c r="R240" i="127" a="1"/>
  <c r="R240" i="127" s="1"/>
  <c r="Q240" i="127" a="1"/>
  <c r="Q240" i="127" s="1"/>
  <c r="P240" i="127" a="1"/>
  <c r="P240" i="127" s="1"/>
  <c r="O240" i="127" a="1"/>
  <c r="O240" i="127" s="1"/>
  <c r="N240" i="127" a="1"/>
  <c r="N240" i="127" s="1"/>
  <c r="M240" i="127" a="1"/>
  <c r="M240" i="127" s="1"/>
  <c r="L240" i="127" a="1"/>
  <c r="L240" i="127" s="1"/>
  <c r="K240" i="127" a="1"/>
  <c r="K240" i="127" s="1"/>
  <c r="J240" i="127" a="1"/>
  <c r="J240" i="127" s="1"/>
  <c r="I240" i="127" a="1"/>
  <c r="I240" i="127" s="1"/>
  <c r="H240" i="127" a="1"/>
  <c r="H240" i="127" s="1"/>
  <c r="G240" i="127" a="1"/>
  <c r="G240" i="127" s="1"/>
  <c r="F240" i="127" a="1"/>
  <c r="F240" i="127" s="1"/>
  <c r="E240" i="127" a="1"/>
  <c r="E240" i="127" s="1"/>
  <c r="D240" i="127" a="1"/>
  <c r="D240" i="127" s="1"/>
  <c r="S239" i="127" a="1"/>
  <c r="S239" i="127" s="1"/>
  <c r="R239" i="127" a="1"/>
  <c r="R239" i="127" s="1"/>
  <c r="Q239" i="127" a="1"/>
  <c r="Q239" i="127" s="1"/>
  <c r="P239" i="127" a="1"/>
  <c r="P239" i="127" s="1"/>
  <c r="O239" i="127" a="1"/>
  <c r="O239" i="127" s="1"/>
  <c r="N239" i="127" a="1"/>
  <c r="N239" i="127" s="1"/>
  <c r="M239" i="127" a="1"/>
  <c r="M239" i="127" s="1"/>
  <c r="L239" i="127" a="1"/>
  <c r="L239" i="127" s="1"/>
  <c r="K239" i="127" a="1"/>
  <c r="K239" i="127" s="1"/>
  <c r="J239" i="127" a="1"/>
  <c r="J239" i="127" s="1"/>
  <c r="I239" i="127" a="1"/>
  <c r="I239" i="127" s="1"/>
  <c r="H239" i="127" a="1"/>
  <c r="H239" i="127" s="1"/>
  <c r="G239" i="127" a="1"/>
  <c r="G239" i="127" s="1"/>
  <c r="F239" i="127" a="1"/>
  <c r="F239" i="127" s="1"/>
  <c r="E239" i="127" a="1"/>
  <c r="E239" i="127" s="1"/>
  <c r="D239" i="127" a="1"/>
  <c r="D239" i="127" s="1"/>
  <c r="S238" i="127" a="1"/>
  <c r="S238" i="127" s="1"/>
  <c r="R238" i="127" a="1"/>
  <c r="R238" i="127" s="1"/>
  <c r="Q238" i="127" a="1"/>
  <c r="Q238" i="127" s="1"/>
  <c r="P238" i="127" a="1"/>
  <c r="P238" i="127" s="1"/>
  <c r="O238" i="127" a="1"/>
  <c r="O238" i="127" s="1"/>
  <c r="N238" i="127" a="1"/>
  <c r="N238" i="127" s="1"/>
  <c r="M238" i="127" a="1"/>
  <c r="M238" i="127" s="1"/>
  <c r="L238" i="127" a="1"/>
  <c r="L238" i="127" s="1"/>
  <c r="K238" i="127" a="1"/>
  <c r="K238" i="127" s="1"/>
  <c r="J238" i="127" a="1"/>
  <c r="J238" i="127" s="1"/>
  <c r="I238" i="127" a="1"/>
  <c r="I238" i="127" s="1"/>
  <c r="H238" i="127" a="1"/>
  <c r="H238" i="127" s="1"/>
  <c r="G238" i="127" a="1"/>
  <c r="G238" i="127" s="1"/>
  <c r="F238" i="127" a="1"/>
  <c r="F238" i="127" s="1"/>
  <c r="E238" i="127" a="1"/>
  <c r="E238" i="127" s="1"/>
  <c r="D238" i="127" a="1"/>
  <c r="D238" i="127" s="1"/>
  <c r="S237" i="127" a="1"/>
  <c r="S237" i="127" s="1"/>
  <c r="R237" i="127" a="1"/>
  <c r="R237" i="127" s="1"/>
  <c r="Q237" i="127" a="1"/>
  <c r="Q237" i="127" s="1"/>
  <c r="P237" i="127" a="1"/>
  <c r="P237" i="127" s="1"/>
  <c r="O237" i="127" a="1"/>
  <c r="O237" i="127" s="1"/>
  <c r="N237" i="127" a="1"/>
  <c r="N237" i="127" s="1"/>
  <c r="M237" i="127" a="1"/>
  <c r="M237" i="127" s="1"/>
  <c r="L237" i="127" a="1"/>
  <c r="L237" i="127" s="1"/>
  <c r="K237" i="127" a="1"/>
  <c r="K237" i="127" s="1"/>
  <c r="J237" i="127" a="1"/>
  <c r="J237" i="127" s="1"/>
  <c r="I237" i="127" a="1"/>
  <c r="I237" i="127" s="1"/>
  <c r="H237" i="127" a="1"/>
  <c r="H237" i="127" s="1"/>
  <c r="G237" i="127" a="1"/>
  <c r="G237" i="127" s="1"/>
  <c r="F237" i="127" a="1"/>
  <c r="F237" i="127" s="1"/>
  <c r="E237" i="127" a="1"/>
  <c r="E237" i="127" s="1"/>
  <c r="D237" i="127" a="1"/>
  <c r="D237" i="127" s="1"/>
  <c r="S236" i="127" a="1"/>
  <c r="S236" i="127" s="1"/>
  <c r="R236" i="127" a="1"/>
  <c r="R236" i="127" s="1"/>
  <c r="Q236" i="127" a="1"/>
  <c r="Q236" i="127" s="1"/>
  <c r="P236" i="127" a="1"/>
  <c r="P236" i="127" s="1"/>
  <c r="O236" i="127" a="1"/>
  <c r="O236" i="127" s="1"/>
  <c r="N236" i="127" a="1"/>
  <c r="N236" i="127" s="1"/>
  <c r="M236" i="127" a="1"/>
  <c r="M236" i="127" s="1"/>
  <c r="L236" i="127" a="1"/>
  <c r="L236" i="127" s="1"/>
  <c r="K236" i="127" a="1"/>
  <c r="K236" i="127" s="1"/>
  <c r="J236" i="127" a="1"/>
  <c r="J236" i="127" s="1"/>
  <c r="I236" i="127" a="1"/>
  <c r="I236" i="127" s="1"/>
  <c r="H236" i="127" a="1"/>
  <c r="H236" i="127" s="1"/>
  <c r="G236" i="127" a="1"/>
  <c r="G236" i="127" s="1"/>
  <c r="F236" i="127" a="1"/>
  <c r="F236" i="127" s="1"/>
  <c r="E236" i="127" a="1"/>
  <c r="E236" i="127" s="1"/>
  <c r="D236" i="127" a="1"/>
  <c r="D236" i="127" s="1"/>
  <c r="S235" i="127" a="1"/>
  <c r="S235" i="127" s="1"/>
  <c r="R235" i="127" a="1"/>
  <c r="R235" i="127" s="1"/>
  <c r="Q235" i="127" a="1"/>
  <c r="Q235" i="127" s="1"/>
  <c r="P235" i="127" a="1"/>
  <c r="P235" i="127" s="1"/>
  <c r="O235" i="127" a="1"/>
  <c r="O235" i="127" s="1"/>
  <c r="N235" i="127" a="1"/>
  <c r="N235" i="127" s="1"/>
  <c r="M235" i="127" a="1"/>
  <c r="M235" i="127" s="1"/>
  <c r="L235" i="127" a="1"/>
  <c r="L235" i="127" s="1"/>
  <c r="K235" i="127" a="1"/>
  <c r="K235" i="127" s="1"/>
  <c r="J235" i="127" a="1"/>
  <c r="J235" i="127" s="1"/>
  <c r="I235" i="127" a="1"/>
  <c r="I235" i="127" s="1"/>
  <c r="H235" i="127" a="1"/>
  <c r="H235" i="127" s="1"/>
  <c r="G235" i="127" a="1"/>
  <c r="G235" i="127" s="1"/>
  <c r="F235" i="127" a="1"/>
  <c r="F235" i="127" s="1"/>
  <c r="E235" i="127" a="1"/>
  <c r="E235" i="127" s="1"/>
  <c r="D235" i="127" a="1"/>
  <c r="D235" i="127" s="1"/>
  <c r="S234" i="127" a="1"/>
  <c r="S234" i="127" s="1"/>
  <c r="R234" i="127" a="1"/>
  <c r="R234" i="127" s="1"/>
  <c r="Q234" i="127" a="1"/>
  <c r="Q234" i="127" s="1"/>
  <c r="P234" i="127" a="1"/>
  <c r="P234" i="127" s="1"/>
  <c r="O234" i="127" a="1"/>
  <c r="O234" i="127" s="1"/>
  <c r="N234" i="127" a="1"/>
  <c r="N234" i="127" s="1"/>
  <c r="M234" i="127" a="1"/>
  <c r="M234" i="127" s="1"/>
  <c r="L234" i="127" a="1"/>
  <c r="L234" i="127" s="1"/>
  <c r="K234" i="127" a="1"/>
  <c r="K234" i="127" s="1"/>
  <c r="J234" i="127" a="1"/>
  <c r="J234" i="127" s="1"/>
  <c r="I234" i="127" a="1"/>
  <c r="I234" i="127" s="1"/>
  <c r="H234" i="127" a="1"/>
  <c r="H234" i="127" s="1"/>
  <c r="G234" i="127" a="1"/>
  <c r="G234" i="127" s="1"/>
  <c r="F234" i="127" a="1"/>
  <c r="F234" i="127" s="1"/>
  <c r="E234" i="127" a="1"/>
  <c r="E234" i="127" s="1"/>
  <c r="D234" i="127" a="1"/>
  <c r="D234" i="127" s="1"/>
  <c r="S233" i="127" a="1"/>
  <c r="S233" i="127" s="1"/>
  <c r="R233" i="127" a="1"/>
  <c r="R233" i="127" s="1"/>
  <c r="Q233" i="127" a="1"/>
  <c r="Q233" i="127" s="1"/>
  <c r="P233" i="127" a="1"/>
  <c r="P233" i="127" s="1"/>
  <c r="O233" i="127" a="1"/>
  <c r="O233" i="127" s="1"/>
  <c r="N233" i="127" a="1"/>
  <c r="N233" i="127" s="1"/>
  <c r="M233" i="127" a="1"/>
  <c r="M233" i="127" s="1"/>
  <c r="L233" i="127" a="1"/>
  <c r="L233" i="127" s="1"/>
  <c r="K233" i="127" a="1"/>
  <c r="K233" i="127" s="1"/>
  <c r="J233" i="127" a="1"/>
  <c r="J233" i="127" s="1"/>
  <c r="I233" i="127" a="1"/>
  <c r="I233" i="127" s="1"/>
  <c r="H233" i="127" a="1"/>
  <c r="H233" i="127" s="1"/>
  <c r="G233" i="127" a="1"/>
  <c r="G233" i="127" s="1"/>
  <c r="F233" i="127" a="1"/>
  <c r="F233" i="127" s="1"/>
  <c r="E233" i="127" a="1"/>
  <c r="E233" i="127" s="1"/>
  <c r="D233" i="127" a="1"/>
  <c r="D233" i="127" s="1"/>
  <c r="S232" i="127" a="1"/>
  <c r="S232" i="127" s="1"/>
  <c r="R232" i="127" a="1"/>
  <c r="R232" i="127" s="1"/>
  <c r="Q232" i="127" a="1"/>
  <c r="Q232" i="127" s="1"/>
  <c r="P232" i="127" a="1"/>
  <c r="P232" i="127" s="1"/>
  <c r="O232" i="127" a="1"/>
  <c r="O232" i="127" s="1"/>
  <c r="N232" i="127" a="1"/>
  <c r="N232" i="127" s="1"/>
  <c r="M232" i="127" a="1"/>
  <c r="M232" i="127" s="1"/>
  <c r="L232" i="127" a="1"/>
  <c r="L232" i="127" s="1"/>
  <c r="K232" i="127" a="1"/>
  <c r="K232" i="127" s="1"/>
  <c r="J232" i="127" a="1"/>
  <c r="J232" i="127" s="1"/>
  <c r="I232" i="127" a="1"/>
  <c r="I232" i="127" s="1"/>
  <c r="H232" i="127" a="1"/>
  <c r="H232" i="127" s="1"/>
  <c r="G232" i="127" a="1"/>
  <c r="G232" i="127" s="1"/>
  <c r="F232" i="127" a="1"/>
  <c r="F232" i="127" s="1"/>
  <c r="E232" i="127" a="1"/>
  <c r="E232" i="127" s="1"/>
  <c r="D232" i="127" a="1"/>
  <c r="D232" i="127" s="1"/>
  <c r="D229" i="127" a="1"/>
  <c r="D229" i="127" s="1"/>
  <c r="D228" i="127" a="1"/>
  <c r="D228" i="127" s="1"/>
  <c r="D227" i="127" a="1"/>
  <c r="D227" i="127" s="1"/>
  <c r="E224" i="127" a="1"/>
  <c r="E224" i="127" s="1"/>
  <c r="D224" i="127" a="1"/>
  <c r="D224" i="127" s="1"/>
  <c r="E223" i="127" a="1"/>
  <c r="E223" i="127" s="1"/>
  <c r="D223" i="127" a="1"/>
  <c r="D223" i="127" s="1"/>
  <c r="E222" i="127" a="1"/>
  <c r="E222" i="127" s="1"/>
  <c r="D222" i="127" a="1"/>
  <c r="D222" i="127" s="1"/>
  <c r="E221" i="127" a="1"/>
  <c r="E221" i="127" s="1"/>
  <c r="D221" i="127" a="1"/>
  <c r="D221" i="127" s="1"/>
  <c r="E220" i="127" a="1"/>
  <c r="E220" i="127" s="1"/>
  <c r="D220" i="127" a="1"/>
  <c r="D220" i="127" s="1"/>
  <c r="E219" i="127" a="1"/>
  <c r="E219" i="127" s="1"/>
  <c r="D219" i="127" a="1"/>
  <c r="D219" i="127" s="1"/>
  <c r="E218" i="127" a="1"/>
  <c r="E218" i="127" s="1"/>
  <c r="D218" i="127" a="1"/>
  <c r="D218" i="127" s="1"/>
  <c r="E217" i="127" a="1"/>
  <c r="E217" i="127" s="1"/>
  <c r="D217" i="127" a="1"/>
  <c r="D217" i="127" s="1"/>
  <c r="E216" i="127" a="1"/>
  <c r="E216" i="127" s="1"/>
  <c r="D216" i="127" a="1"/>
  <c r="D216" i="127" s="1"/>
  <c r="E215" i="127" a="1"/>
  <c r="E215" i="127" s="1"/>
  <c r="D215" i="127" a="1"/>
  <c r="D215" i="127" s="1"/>
  <c r="E214" i="127" a="1"/>
  <c r="E214" i="127" s="1"/>
  <c r="D214" i="127" a="1"/>
  <c r="D214" i="127" s="1"/>
  <c r="E213" i="127" a="1"/>
  <c r="E213" i="127" s="1"/>
  <c r="D213" i="127" a="1"/>
  <c r="D213" i="127" s="1"/>
  <c r="D211" i="127" a="1"/>
  <c r="D211" i="127" s="1"/>
  <c r="E208" i="127" a="1"/>
  <c r="E208" i="127" s="1"/>
  <c r="D208" i="127" a="1"/>
  <c r="D208" i="127" s="1"/>
  <c r="E207" i="127" a="1"/>
  <c r="E207" i="127" s="1"/>
  <c r="D207" i="127" a="1"/>
  <c r="D207" i="127" s="1"/>
  <c r="D205" i="127" a="1"/>
  <c r="D205" i="127" s="1"/>
  <c r="D204" i="127" a="1"/>
  <c r="D204" i="127" s="1"/>
  <c r="D203" i="127" a="1"/>
  <c r="D203" i="127" s="1"/>
  <c r="D202" i="127" a="1"/>
  <c r="D202" i="127" s="1"/>
  <c r="H199" i="127" a="1"/>
  <c r="H199" i="127" s="1"/>
  <c r="G199" i="127" a="1"/>
  <c r="G199" i="127" s="1"/>
  <c r="F199" i="127" a="1"/>
  <c r="F199" i="127" s="1"/>
  <c r="E199" i="127" a="1"/>
  <c r="E199" i="127" s="1"/>
  <c r="D199" i="127" a="1"/>
  <c r="D199" i="127" s="1"/>
  <c r="H198" i="127" a="1"/>
  <c r="H198" i="127" s="1"/>
  <c r="G198" i="127" a="1"/>
  <c r="G198" i="127" s="1"/>
  <c r="F198" i="127" a="1"/>
  <c r="F198" i="127" s="1"/>
  <c r="E198" i="127" a="1"/>
  <c r="E198" i="127" s="1"/>
  <c r="D198" i="127" a="1"/>
  <c r="D198" i="127" s="1"/>
  <c r="H197" i="127" a="1"/>
  <c r="H197" i="127" s="1"/>
  <c r="G197" i="127" a="1"/>
  <c r="G197" i="127" s="1"/>
  <c r="F197" i="127" a="1"/>
  <c r="F197" i="127" s="1"/>
  <c r="E197" i="127" a="1"/>
  <c r="E197" i="127" s="1"/>
  <c r="D197" i="127" a="1"/>
  <c r="D197" i="127" s="1"/>
  <c r="H196" i="127" a="1"/>
  <c r="H196" i="127" s="1"/>
  <c r="G196" i="127" a="1"/>
  <c r="G196" i="127" s="1"/>
  <c r="F196" i="127" a="1"/>
  <c r="F196" i="127" s="1"/>
  <c r="E196" i="127" a="1"/>
  <c r="E196" i="127" s="1"/>
  <c r="D196" i="127" a="1"/>
  <c r="D196" i="127" s="1"/>
  <c r="H195" i="127" a="1"/>
  <c r="H195" i="127" s="1"/>
  <c r="G195" i="127" a="1"/>
  <c r="G195" i="127" s="1"/>
  <c r="F195" i="127" a="1"/>
  <c r="F195" i="127" s="1"/>
  <c r="E195" i="127" a="1"/>
  <c r="E195" i="127" s="1"/>
  <c r="D195" i="127" a="1"/>
  <c r="D195" i="127" s="1"/>
  <c r="H194" i="127" a="1"/>
  <c r="H194" i="127" s="1"/>
  <c r="G194" i="127" a="1"/>
  <c r="G194" i="127" s="1"/>
  <c r="F194" i="127" a="1"/>
  <c r="F194" i="127" s="1"/>
  <c r="E194" i="127" a="1"/>
  <c r="E194" i="127" s="1"/>
  <c r="D194" i="127" a="1"/>
  <c r="D194" i="127" s="1"/>
  <c r="H193" i="127" a="1"/>
  <c r="H193" i="127" s="1"/>
  <c r="G193" i="127" a="1"/>
  <c r="G193" i="127" s="1"/>
  <c r="F193" i="127" a="1"/>
  <c r="F193" i="127" s="1"/>
  <c r="E193" i="127" a="1"/>
  <c r="E193" i="127" s="1"/>
  <c r="D193" i="127" a="1"/>
  <c r="D193" i="127" s="1"/>
  <c r="H192" i="127" a="1"/>
  <c r="H192" i="127" s="1"/>
  <c r="G192" i="127" a="1"/>
  <c r="G192" i="127" s="1"/>
  <c r="F192" i="127" a="1"/>
  <c r="F192" i="127" s="1"/>
  <c r="E192" i="127" a="1"/>
  <c r="E192" i="127" s="1"/>
  <c r="D192" i="127" a="1"/>
  <c r="D192" i="127" s="1"/>
  <c r="H191" i="127" a="1"/>
  <c r="H191" i="127" s="1"/>
  <c r="G191" i="127" a="1"/>
  <c r="G191" i="127" s="1"/>
  <c r="F191" i="127" a="1"/>
  <c r="F191" i="127" s="1"/>
  <c r="E191" i="127" a="1"/>
  <c r="E191" i="127" s="1"/>
  <c r="D191" i="127" a="1"/>
  <c r="D191" i="127" s="1"/>
  <c r="H190" i="127" a="1"/>
  <c r="H190" i="127" s="1"/>
  <c r="G190" i="127" a="1"/>
  <c r="G190" i="127" s="1"/>
  <c r="F190" i="127" a="1"/>
  <c r="F190" i="127" s="1"/>
  <c r="E190" i="127" a="1"/>
  <c r="E190" i="127" s="1"/>
  <c r="D190" i="127" a="1"/>
  <c r="D190" i="127" s="1"/>
  <c r="H189" i="127" a="1"/>
  <c r="H189" i="127" s="1"/>
  <c r="G189" i="127" a="1"/>
  <c r="G189" i="127" s="1"/>
  <c r="F189" i="127"/>
  <c r="F189" i="127" a="1"/>
  <c r="E189" i="127" a="1"/>
  <c r="E189" i="127" s="1"/>
  <c r="D189" i="127" a="1"/>
  <c r="D189" i="127" s="1"/>
  <c r="H188" i="127" a="1"/>
  <c r="H188" i="127" s="1"/>
  <c r="G188" i="127" a="1"/>
  <c r="G188" i="127" s="1"/>
  <c r="F188" i="127" a="1"/>
  <c r="F188" i="127" s="1"/>
  <c r="E188" i="127" a="1"/>
  <c r="E188" i="127" s="1"/>
  <c r="D188" i="127" a="1"/>
  <c r="D188" i="127" s="1"/>
  <c r="H187" i="127" a="1"/>
  <c r="H187" i="127" s="1"/>
  <c r="G187" i="127" a="1"/>
  <c r="G187" i="127" s="1"/>
  <c r="F187" i="127" a="1"/>
  <c r="F187" i="127" s="1"/>
  <c r="E187" i="127" a="1"/>
  <c r="E187" i="127" s="1"/>
  <c r="D187" i="127" a="1"/>
  <c r="D187" i="127" s="1"/>
  <c r="D181" i="127" a="1"/>
  <c r="D181" i="127" s="1"/>
  <c r="D180" i="127" a="1"/>
  <c r="D180" i="127" s="1"/>
  <c r="D179" i="127" a="1"/>
  <c r="D179" i="127" s="1"/>
  <c r="D178" i="127" a="1"/>
  <c r="D178" i="127" s="1"/>
  <c r="E175" i="127" a="1"/>
  <c r="E175" i="127" s="1"/>
  <c r="D175" i="127" a="1"/>
  <c r="D175" i="127" s="1"/>
  <c r="D174" i="127" a="1"/>
  <c r="D174" i="127" s="1"/>
  <c r="D173" i="127" a="1"/>
  <c r="D173" i="127" s="1"/>
  <c r="D170" i="127" a="1"/>
  <c r="D170" i="127" s="1"/>
  <c r="D169" i="127" a="1"/>
  <c r="D169" i="127" s="1"/>
  <c r="D168" i="127" a="1"/>
  <c r="D168" i="127" s="1"/>
  <c r="D167" i="127" a="1"/>
  <c r="D167" i="127" s="1"/>
  <c r="D164" i="127" a="1"/>
  <c r="D164" i="127" s="1"/>
  <c r="D163" i="127" a="1"/>
  <c r="D163" i="127" s="1"/>
  <c r="D162" i="127" a="1"/>
  <c r="D162" i="127" s="1"/>
  <c r="D161" i="127" a="1"/>
  <c r="D161" i="127" s="1"/>
  <c r="E158" i="127" a="1"/>
  <c r="E158" i="127" s="1"/>
  <c r="D158" i="127" a="1"/>
  <c r="D158" i="127" s="1"/>
  <c r="E157" i="127" a="1"/>
  <c r="E157" i="127" s="1"/>
  <c r="D157" i="127" a="1"/>
  <c r="D157" i="127" s="1"/>
  <c r="E156" i="127" a="1"/>
  <c r="E156" i="127" s="1"/>
  <c r="D156" i="127" a="1"/>
  <c r="D156" i="127" s="1"/>
  <c r="E155" i="127" a="1"/>
  <c r="E155" i="127" s="1"/>
  <c r="D155" i="127" a="1"/>
  <c r="D155" i="127" s="1"/>
  <c r="E154" i="127" a="1"/>
  <c r="E154" i="127" s="1"/>
  <c r="D154" i="127" a="1"/>
  <c r="D154" i="127" s="1"/>
  <c r="D151" i="127" a="1"/>
  <c r="D151" i="127" s="1"/>
  <c r="D150" i="127" a="1"/>
  <c r="D150" i="127" s="1"/>
  <c r="E147" i="127" a="1"/>
  <c r="E147" i="127" s="1"/>
  <c r="D147" i="127" a="1"/>
  <c r="D147" i="127" s="1"/>
  <c r="E146" i="127" a="1"/>
  <c r="E146" i="127" s="1"/>
  <c r="D146" i="127" a="1"/>
  <c r="D146" i="127" s="1"/>
  <c r="E145" i="127" a="1"/>
  <c r="E145" i="127" s="1"/>
  <c r="D145" i="127" a="1"/>
  <c r="D145" i="127" s="1"/>
  <c r="E144" i="127" a="1"/>
  <c r="E144" i="127" s="1"/>
  <c r="D144" i="127" a="1"/>
  <c r="D144" i="127" s="1"/>
  <c r="E143" i="127" a="1"/>
  <c r="E143" i="127" s="1"/>
  <c r="D143" i="127" a="1"/>
  <c r="D143" i="127" s="1"/>
  <c r="D141" i="127" a="1"/>
  <c r="D141" i="127" s="1"/>
  <c r="D140" i="127" a="1"/>
  <c r="D140" i="127" s="1"/>
  <c r="D139" i="127" a="1"/>
  <c r="D139" i="127" s="1"/>
  <c r="E136" i="127" a="1"/>
  <c r="E136" i="127" s="1"/>
  <c r="D136" i="127" a="1"/>
  <c r="D136" i="127" s="1"/>
  <c r="E135" i="127" a="1"/>
  <c r="E135" i="127" s="1"/>
  <c r="D135" i="127" a="1"/>
  <c r="D135" i="127" s="1"/>
  <c r="D133" i="127" a="1"/>
  <c r="D133" i="127" s="1"/>
  <c r="D132" i="127" a="1"/>
  <c r="D132" i="127" s="1"/>
  <c r="E129" i="127" a="1"/>
  <c r="E129" i="127" s="1"/>
  <c r="D129" i="127" a="1"/>
  <c r="D129" i="127" s="1"/>
  <c r="E128" i="127" a="1"/>
  <c r="E128" i="127" s="1"/>
  <c r="D128" i="127" a="1"/>
  <c r="D128" i="127" s="1"/>
  <c r="D125" i="127" a="1"/>
  <c r="D125" i="127" s="1"/>
  <c r="D124" i="127" a="1"/>
  <c r="D124" i="127" s="1"/>
  <c r="G121" i="127" a="1"/>
  <c r="G121" i="127" s="1"/>
  <c r="F121" i="127" a="1"/>
  <c r="F121" i="127" s="1"/>
  <c r="E121" i="127" a="1"/>
  <c r="E121" i="127" s="1"/>
  <c r="D121" i="127" a="1"/>
  <c r="D121" i="127" s="1"/>
  <c r="G120" i="127" a="1"/>
  <c r="G120" i="127" s="1"/>
  <c r="F120" i="127" a="1"/>
  <c r="F120" i="127" s="1"/>
  <c r="E120" i="127" a="1"/>
  <c r="E120" i="127" s="1"/>
  <c r="D120" i="127" a="1"/>
  <c r="D120" i="127" s="1"/>
  <c r="D117" i="127" a="1"/>
  <c r="D117" i="127" s="1"/>
  <c r="D116" i="127" a="1"/>
  <c r="D116" i="127" s="1"/>
  <c r="D115" i="127" a="1"/>
  <c r="D115" i="127" s="1"/>
  <c r="G112" i="127" a="1"/>
  <c r="G112" i="127" s="1"/>
  <c r="F112" i="127" a="1"/>
  <c r="F112" i="127" s="1"/>
  <c r="E112" i="127" a="1"/>
  <c r="E112" i="127" s="1"/>
  <c r="D112" i="127" a="1"/>
  <c r="D112" i="127" s="1"/>
  <c r="G111" i="127" a="1"/>
  <c r="G111" i="127" s="1"/>
  <c r="F111" i="127" a="1"/>
  <c r="F111" i="127" s="1"/>
  <c r="E111" i="127" a="1"/>
  <c r="E111" i="127" s="1"/>
  <c r="D111" i="127" a="1"/>
  <c r="D111" i="127" s="1"/>
  <c r="G110" i="127" a="1"/>
  <c r="G110" i="127" s="1"/>
  <c r="F110" i="127" a="1"/>
  <c r="F110" i="127" s="1"/>
  <c r="E110" i="127" a="1"/>
  <c r="E110" i="127" s="1"/>
  <c r="D110" i="127" a="1"/>
  <c r="D110" i="127" s="1"/>
  <c r="D107" i="127"/>
  <c r="D107" i="127" a="1"/>
  <c r="D106" i="127" a="1"/>
  <c r="D106" i="127" s="1"/>
  <c r="D105" i="127"/>
  <c r="D105" i="127" a="1"/>
  <c r="D99" i="127" a="1"/>
  <c r="D99" i="127" s="1"/>
  <c r="S97" i="127" a="1"/>
  <c r="S97" i="127" s="1"/>
  <c r="R97" i="127" a="1"/>
  <c r="R97" i="127" s="1"/>
  <c r="Q97" i="127" a="1"/>
  <c r="Q97" i="127" s="1"/>
  <c r="P97" i="127" a="1"/>
  <c r="P97" i="127" s="1"/>
  <c r="O97" i="127" a="1"/>
  <c r="O97" i="127" s="1"/>
  <c r="N97" i="127" a="1"/>
  <c r="N97" i="127" s="1"/>
  <c r="M97" i="127" a="1"/>
  <c r="M97" i="127" s="1"/>
  <c r="L97" i="127" a="1"/>
  <c r="L97" i="127" s="1"/>
  <c r="K97" i="127" a="1"/>
  <c r="K97" i="127" s="1"/>
  <c r="J97" i="127" a="1"/>
  <c r="J97" i="127" s="1"/>
  <c r="I97" i="127" a="1"/>
  <c r="I97" i="127" s="1"/>
  <c r="H97" i="127" a="1"/>
  <c r="H97" i="127" s="1"/>
  <c r="G97" i="127" a="1"/>
  <c r="G97" i="127" s="1"/>
  <c r="F97" i="127" a="1"/>
  <c r="F97" i="127" s="1"/>
  <c r="E97" i="127" a="1"/>
  <c r="E97" i="127" s="1"/>
  <c r="D97" i="127" a="1"/>
  <c r="D97" i="127" s="1"/>
  <c r="S96" i="127" a="1"/>
  <c r="S96" i="127" s="1"/>
  <c r="R96" i="127" a="1"/>
  <c r="R96" i="127" s="1"/>
  <c r="Q96" i="127" a="1"/>
  <c r="Q96" i="127" s="1"/>
  <c r="P96" i="127" a="1"/>
  <c r="P96" i="127" s="1"/>
  <c r="O96" i="127" a="1"/>
  <c r="O96" i="127" s="1"/>
  <c r="N96" i="127" a="1"/>
  <c r="N96" i="127" s="1"/>
  <c r="M96" i="127" a="1"/>
  <c r="M96" i="127" s="1"/>
  <c r="L96" i="127" a="1"/>
  <c r="L96" i="127" s="1"/>
  <c r="K96" i="127" a="1"/>
  <c r="K96" i="127" s="1"/>
  <c r="J96" i="127" a="1"/>
  <c r="J96" i="127" s="1"/>
  <c r="I96" i="127" a="1"/>
  <c r="I96" i="127" s="1"/>
  <c r="H96" i="127" a="1"/>
  <c r="H96" i="127" s="1"/>
  <c r="G96" i="127" a="1"/>
  <c r="G96" i="127" s="1"/>
  <c r="F96" i="127" a="1"/>
  <c r="F96" i="127" s="1"/>
  <c r="E96" i="127" a="1"/>
  <c r="E96" i="127" s="1"/>
  <c r="D96" i="127" a="1"/>
  <c r="D96" i="127" s="1"/>
  <c r="S95" i="127" a="1"/>
  <c r="S95" i="127" s="1"/>
  <c r="R95" i="127" a="1"/>
  <c r="R95" i="127" s="1"/>
  <c r="Q95" i="127" a="1"/>
  <c r="Q95" i="127" s="1"/>
  <c r="P95" i="127" a="1"/>
  <c r="P95" i="127" s="1"/>
  <c r="O95" i="127" a="1"/>
  <c r="O95" i="127" s="1"/>
  <c r="N95" i="127" a="1"/>
  <c r="N95" i="127" s="1"/>
  <c r="M95" i="127" a="1"/>
  <c r="M95" i="127" s="1"/>
  <c r="L95" i="127" a="1"/>
  <c r="L95" i="127" s="1"/>
  <c r="K95" i="127" a="1"/>
  <c r="K95" i="127" s="1"/>
  <c r="J95" i="127" a="1"/>
  <c r="J95" i="127" s="1"/>
  <c r="I95" i="127" a="1"/>
  <c r="I95" i="127" s="1"/>
  <c r="H95" i="127" a="1"/>
  <c r="H95" i="127" s="1"/>
  <c r="G95" i="127" a="1"/>
  <c r="G95" i="127" s="1"/>
  <c r="F95" i="127" a="1"/>
  <c r="F95" i="127" s="1"/>
  <c r="E95" i="127" a="1"/>
  <c r="E95" i="127" s="1"/>
  <c r="D95" i="127" a="1"/>
  <c r="D95" i="127" s="1"/>
  <c r="S94" i="127" a="1"/>
  <c r="S94" i="127" s="1"/>
  <c r="R94" i="127" a="1"/>
  <c r="R94" i="127" s="1"/>
  <c r="Q94" i="127" a="1"/>
  <c r="Q94" i="127" s="1"/>
  <c r="P94" i="127" a="1"/>
  <c r="P94" i="127" s="1"/>
  <c r="O94" i="127" a="1"/>
  <c r="O94" i="127" s="1"/>
  <c r="N94" i="127" a="1"/>
  <c r="N94" i="127" s="1"/>
  <c r="M94" i="127" a="1"/>
  <c r="M94" i="127" s="1"/>
  <c r="L94" i="127" a="1"/>
  <c r="L94" i="127" s="1"/>
  <c r="K94" i="127" a="1"/>
  <c r="K94" i="127" s="1"/>
  <c r="J94" i="127" a="1"/>
  <c r="J94" i="127" s="1"/>
  <c r="I94" i="127" a="1"/>
  <c r="I94" i="127" s="1"/>
  <c r="H94" i="127" a="1"/>
  <c r="H94" i="127" s="1"/>
  <c r="G94" i="127" a="1"/>
  <c r="G94" i="127" s="1"/>
  <c r="F94" i="127" a="1"/>
  <c r="F94" i="127" s="1"/>
  <c r="E94" i="127" a="1"/>
  <c r="E94" i="127" s="1"/>
  <c r="D94" i="127" a="1"/>
  <c r="D94" i="127" s="1"/>
  <c r="S93" i="127" a="1"/>
  <c r="S93" i="127" s="1"/>
  <c r="R93" i="127" a="1"/>
  <c r="R93" i="127" s="1"/>
  <c r="Q93" i="127" a="1"/>
  <c r="Q93" i="127" s="1"/>
  <c r="P93" i="127" a="1"/>
  <c r="P93" i="127" s="1"/>
  <c r="O93" i="127" a="1"/>
  <c r="O93" i="127" s="1"/>
  <c r="N93" i="127" a="1"/>
  <c r="N93" i="127" s="1"/>
  <c r="M93" i="127" a="1"/>
  <c r="M93" i="127" s="1"/>
  <c r="L93" i="127" a="1"/>
  <c r="L93" i="127" s="1"/>
  <c r="K93" i="127" a="1"/>
  <c r="K93" i="127" s="1"/>
  <c r="J93" i="127" a="1"/>
  <c r="J93" i="127" s="1"/>
  <c r="I93" i="127" a="1"/>
  <c r="I93" i="127" s="1"/>
  <c r="H93" i="127" a="1"/>
  <c r="H93" i="127" s="1"/>
  <c r="G93" i="127" a="1"/>
  <c r="G93" i="127" s="1"/>
  <c r="F93" i="127" a="1"/>
  <c r="F93" i="127" s="1"/>
  <c r="E93" i="127" a="1"/>
  <c r="E93" i="127" s="1"/>
  <c r="D93" i="127" a="1"/>
  <c r="D93" i="127" s="1"/>
  <c r="S92" i="127" a="1"/>
  <c r="S92" i="127" s="1"/>
  <c r="R92" i="127" a="1"/>
  <c r="R92" i="127" s="1"/>
  <c r="Q92" i="127" a="1"/>
  <c r="Q92" i="127" s="1"/>
  <c r="P92" i="127" a="1"/>
  <c r="P92" i="127" s="1"/>
  <c r="O92" i="127" a="1"/>
  <c r="O92" i="127" s="1"/>
  <c r="N92" i="127" a="1"/>
  <c r="N92" i="127" s="1"/>
  <c r="M92" i="127" a="1"/>
  <c r="M92" i="127" s="1"/>
  <c r="L92" i="127" a="1"/>
  <c r="L92" i="127" s="1"/>
  <c r="K92" i="127" a="1"/>
  <c r="K92" i="127" s="1"/>
  <c r="J92" i="127" a="1"/>
  <c r="J92" i="127" s="1"/>
  <c r="I92" i="127" a="1"/>
  <c r="I92" i="127" s="1"/>
  <c r="H92" i="127" a="1"/>
  <c r="H92" i="127" s="1"/>
  <c r="G92" i="127" a="1"/>
  <c r="G92" i="127" s="1"/>
  <c r="F92" i="127" a="1"/>
  <c r="F92" i="127" s="1"/>
  <c r="E92" i="127" a="1"/>
  <c r="E92" i="127" s="1"/>
  <c r="D92" i="127" a="1"/>
  <c r="D92" i="127" s="1"/>
  <c r="S91" i="127" a="1"/>
  <c r="S91" i="127" s="1"/>
  <c r="R91" i="127" a="1"/>
  <c r="R91" i="127" s="1"/>
  <c r="Q91" i="127" a="1"/>
  <c r="Q91" i="127" s="1"/>
  <c r="P91" i="127" a="1"/>
  <c r="P91" i="127" s="1"/>
  <c r="O91" i="127" a="1"/>
  <c r="O91" i="127" s="1"/>
  <c r="N91" i="127" a="1"/>
  <c r="N91" i="127" s="1"/>
  <c r="M91" i="127" a="1"/>
  <c r="M91" i="127" s="1"/>
  <c r="L91" i="127" a="1"/>
  <c r="L91" i="127" s="1"/>
  <c r="K91" i="127" a="1"/>
  <c r="K91" i="127" s="1"/>
  <c r="J91" i="127" a="1"/>
  <c r="J91" i="127" s="1"/>
  <c r="I91" i="127" a="1"/>
  <c r="I91" i="127" s="1"/>
  <c r="H91" i="127" a="1"/>
  <c r="H91" i="127" s="1"/>
  <c r="G91" i="127" a="1"/>
  <c r="G91" i="127" s="1"/>
  <c r="F91" i="127" a="1"/>
  <c r="F91" i="127" s="1"/>
  <c r="E91" i="127" a="1"/>
  <c r="E91" i="127" s="1"/>
  <c r="D91" i="127" a="1"/>
  <c r="D91" i="127" s="1"/>
  <c r="S90" i="127" a="1"/>
  <c r="S90" i="127" s="1"/>
  <c r="R90" i="127" a="1"/>
  <c r="R90" i="127" s="1"/>
  <c r="Q90" i="127" a="1"/>
  <c r="Q90" i="127" s="1"/>
  <c r="P90" i="127" a="1"/>
  <c r="P90" i="127" s="1"/>
  <c r="O90" i="127" a="1"/>
  <c r="O90" i="127" s="1"/>
  <c r="N90" i="127" a="1"/>
  <c r="N90" i="127" s="1"/>
  <c r="M90" i="127" a="1"/>
  <c r="M90" i="127" s="1"/>
  <c r="L90" i="127" a="1"/>
  <c r="L90" i="127" s="1"/>
  <c r="K90" i="127" a="1"/>
  <c r="K90" i="127" s="1"/>
  <c r="J90" i="127" a="1"/>
  <c r="J90" i="127" s="1"/>
  <c r="I90" i="127" a="1"/>
  <c r="I90" i="127" s="1"/>
  <c r="H90" i="127" a="1"/>
  <c r="H90" i="127" s="1"/>
  <c r="G90" i="127" a="1"/>
  <c r="G90" i="127" s="1"/>
  <c r="F90" i="127" a="1"/>
  <c r="F90" i="127" s="1"/>
  <c r="E90" i="127" a="1"/>
  <c r="E90" i="127" s="1"/>
  <c r="D90" i="127" a="1"/>
  <c r="D90" i="127" s="1"/>
  <c r="D83" i="127" a="1"/>
  <c r="D83" i="127" s="1"/>
  <c r="D82" i="127"/>
  <c r="D82" i="127" a="1"/>
  <c r="D81" i="127" a="1"/>
  <c r="D81" i="127" s="1"/>
  <c r="E77" i="127" a="1"/>
  <c r="E77" i="127" s="1"/>
  <c r="D77" i="127" a="1"/>
  <c r="D77" i="127" s="1"/>
  <c r="E76" i="127" a="1"/>
  <c r="E76" i="127" s="1"/>
  <c r="D76" i="127" a="1"/>
  <c r="D76" i="127" s="1"/>
  <c r="E75" i="127" a="1"/>
  <c r="E75" i="127" s="1"/>
  <c r="D75" i="127" a="1"/>
  <c r="D75" i="127" s="1"/>
  <c r="E74" i="127" a="1"/>
  <c r="E74" i="127" s="1"/>
  <c r="D74" i="127" a="1"/>
  <c r="D74" i="127" s="1"/>
  <c r="E73" i="127" a="1"/>
  <c r="E73" i="127" s="1"/>
  <c r="D73" i="127" a="1"/>
  <c r="D73" i="127" s="1"/>
  <c r="E72" i="127" a="1"/>
  <c r="E72" i="127" s="1"/>
  <c r="D72" i="127" a="1"/>
  <c r="D72" i="127" s="1"/>
  <c r="E71" i="127" a="1"/>
  <c r="E71" i="127" s="1"/>
  <c r="D71" i="127" a="1"/>
  <c r="D71" i="127" s="1"/>
  <c r="E70" i="127" a="1"/>
  <c r="E70" i="127" s="1"/>
  <c r="D70" i="127" a="1"/>
  <c r="D70" i="127" s="1"/>
  <c r="E69" i="127" a="1"/>
  <c r="E69" i="127" s="1"/>
  <c r="D69" i="127" a="1"/>
  <c r="D69" i="127" s="1"/>
  <c r="E68" i="127" a="1"/>
  <c r="E68" i="127" s="1"/>
  <c r="D68" i="127" a="1"/>
  <c r="D68" i="127" s="1"/>
  <c r="E67" i="127" a="1"/>
  <c r="E67" i="127" s="1"/>
  <c r="D67" i="127" a="1"/>
  <c r="D67" i="127" s="1"/>
  <c r="E66" i="127" a="1"/>
  <c r="E66" i="127" s="1"/>
  <c r="D66" i="127" a="1"/>
  <c r="D66" i="127" s="1"/>
  <c r="E65" i="127" a="1"/>
  <c r="E65" i="127" s="1"/>
  <c r="D65" i="127" a="1"/>
  <c r="D65" i="127" s="1"/>
  <c r="E64" i="127" a="1"/>
  <c r="E64" i="127" s="1"/>
  <c r="D64" i="127" a="1"/>
  <c r="D64" i="127" s="1"/>
  <c r="D59" i="127" a="1"/>
  <c r="D59" i="127" s="1"/>
  <c r="D58" i="127" a="1"/>
  <c r="D58" i="127" s="1"/>
  <c r="D57" i="127" a="1"/>
  <c r="D57" i="127" s="1"/>
  <c r="G54" i="127" a="1"/>
  <c r="G54" i="127" s="1"/>
  <c r="F54" i="127" a="1"/>
  <c r="F54" i="127" s="1"/>
  <c r="E54" i="127" a="1"/>
  <c r="E54" i="127" s="1"/>
  <c r="D54" i="127" a="1"/>
  <c r="D54" i="127" s="1"/>
  <c r="G53" i="127" a="1"/>
  <c r="G53" i="127" s="1"/>
  <c r="F53" i="127" a="1"/>
  <c r="F53" i="127" s="1"/>
  <c r="E53" i="127" a="1"/>
  <c r="E53" i="127" s="1"/>
  <c r="D53" i="127" a="1"/>
  <c r="D53" i="127" s="1"/>
  <c r="G52" i="127" a="1"/>
  <c r="G52" i="127" s="1"/>
  <c r="F52" i="127" a="1"/>
  <c r="F52" i="127" s="1"/>
  <c r="E52" i="127" a="1"/>
  <c r="E52" i="127" s="1"/>
  <c r="D52" i="127" a="1"/>
  <c r="D52" i="127" s="1"/>
  <c r="G51" i="127" a="1"/>
  <c r="G51" i="127" s="1"/>
  <c r="F51" i="127" a="1"/>
  <c r="F51" i="127" s="1"/>
  <c r="E51" i="127" a="1"/>
  <c r="E51" i="127" s="1"/>
  <c r="D51" i="127" a="1"/>
  <c r="D51" i="127" s="1"/>
  <c r="G50" i="127" a="1"/>
  <c r="G50" i="127" s="1"/>
  <c r="F50" i="127" a="1"/>
  <c r="F50" i="127" s="1"/>
  <c r="E50" i="127" a="1"/>
  <c r="E50" i="127" s="1"/>
  <c r="D50" i="127" a="1"/>
  <c r="D50" i="127" s="1"/>
  <c r="G49" i="127" a="1"/>
  <c r="G49" i="127" s="1"/>
  <c r="F49" i="127" a="1"/>
  <c r="F49" i="127" s="1"/>
  <c r="E49" i="127" a="1"/>
  <c r="E49" i="127" s="1"/>
  <c r="D49" i="127" a="1"/>
  <c r="D49" i="127" s="1"/>
  <c r="G48" i="127" a="1"/>
  <c r="G48" i="127" s="1"/>
  <c r="F48" i="127" a="1"/>
  <c r="F48" i="127" s="1"/>
  <c r="E48" i="127" a="1"/>
  <c r="E48" i="127" s="1"/>
  <c r="D48" i="127" a="1"/>
  <c r="D48" i="127" s="1"/>
  <c r="D46" i="127"/>
  <c r="D46" i="127" a="1"/>
  <c r="D45" i="127" a="1"/>
  <c r="D45" i="127" s="1"/>
  <c r="E43" i="127" a="1"/>
  <c r="E43" i="127" s="1"/>
  <c r="D43" i="127" a="1"/>
  <c r="D43" i="127" s="1"/>
  <c r="E42" i="127" a="1"/>
  <c r="E42" i="127" s="1"/>
  <c r="D42" i="127" a="1"/>
  <c r="D42" i="127" s="1"/>
  <c r="E41" i="127" a="1"/>
  <c r="E41" i="127" s="1"/>
  <c r="D41" i="127" a="1"/>
  <c r="D41" i="127" s="1"/>
  <c r="E40" i="127" a="1"/>
  <c r="E40" i="127" s="1"/>
  <c r="D40" i="127" a="1"/>
  <c r="D40" i="127" s="1"/>
  <c r="E39" i="127" a="1"/>
  <c r="E39" i="127" s="1"/>
  <c r="D39" i="127" a="1"/>
  <c r="D39" i="127" s="1"/>
  <c r="E38" i="127" a="1"/>
  <c r="E38" i="127" s="1"/>
  <c r="D38" i="127" a="1"/>
  <c r="D38" i="127" s="1"/>
  <c r="E37" i="127" a="1"/>
  <c r="E37" i="127" s="1"/>
  <c r="D37" i="127" a="1"/>
  <c r="D37" i="127" s="1"/>
  <c r="D35" i="127" a="1"/>
  <c r="D35" i="127" s="1"/>
  <c r="D34" i="127" a="1"/>
  <c r="D34" i="127" s="1"/>
  <c r="D30" i="127" a="1"/>
  <c r="D30" i="127" s="1"/>
  <c r="D29" i="127" a="1"/>
  <c r="D29" i="127" s="1"/>
  <c r="D28" i="127" a="1"/>
  <c r="D28" i="127" s="1"/>
  <c r="D27" i="127" a="1"/>
  <c r="D27" i="127" s="1"/>
  <c r="D26" i="127" a="1"/>
  <c r="D26" i="127" s="1"/>
  <c r="D25" i="127" a="1"/>
  <c r="D25" i="127" s="1"/>
  <c r="D24" i="127" a="1"/>
  <c r="D24" i="127" s="1"/>
  <c r="D23" i="127" a="1"/>
  <c r="D23" i="127" s="1"/>
  <c r="D22" i="127" a="1"/>
  <c r="D22" i="127" s="1"/>
  <c r="D21" i="127" a="1"/>
  <c r="D21" i="127" s="1"/>
  <c r="D19" i="127" a="1"/>
  <c r="D19" i="127" s="1"/>
  <c r="D18" i="127" a="1"/>
  <c r="D18" i="127" s="1"/>
  <c r="F14" i="127" a="1"/>
  <c r="F14" i="127" s="1"/>
  <c r="E14" i="127" a="1"/>
  <c r="E14" i="127" s="1"/>
  <c r="D14" i="127" a="1"/>
  <c r="D14" i="127" s="1"/>
  <c r="F13" i="127" a="1"/>
  <c r="F13" i="127" s="1"/>
  <c r="E13" i="127" a="1"/>
  <c r="E13" i="127" s="1"/>
  <c r="D13" i="127" a="1"/>
  <c r="D13" i="127" s="1"/>
  <c r="F12" i="127" a="1"/>
  <c r="F12" i="127" s="1"/>
  <c r="E12" i="127" a="1"/>
  <c r="E12" i="127" s="1"/>
  <c r="D12" i="127" a="1"/>
  <c r="D12" i="127" s="1"/>
  <c r="F11" i="127" a="1"/>
  <c r="F11" i="127" s="1"/>
  <c r="E11" i="127" a="1"/>
  <c r="E11" i="127" s="1"/>
  <c r="D11" i="127" a="1"/>
  <c r="D11" i="127" s="1"/>
  <c r="F10" i="127" a="1"/>
  <c r="F10" i="127" s="1"/>
  <c r="E10" i="127" a="1"/>
  <c r="E10" i="127" s="1"/>
  <c r="D10" i="127" a="1"/>
  <c r="D10" i="127" s="1"/>
  <c r="F9" i="127" a="1"/>
  <c r="F9" i="127" s="1"/>
  <c r="E9" i="127" a="1"/>
  <c r="E9" i="127" s="1"/>
  <c r="D9" i="127" a="1"/>
  <c r="D9" i="127" s="1"/>
  <c r="F8" i="127" a="1"/>
  <c r="F8" i="127" s="1"/>
  <c r="E8" i="127" a="1"/>
  <c r="E8" i="127" s="1"/>
  <c r="D8" i="127" a="1"/>
  <c r="D8" i="127" s="1"/>
  <c r="A8" i="127"/>
  <c r="F7" i="127" a="1"/>
  <c r="F7" i="127" s="1"/>
  <c r="E7" i="127" a="1"/>
  <c r="E7" i="127" s="1"/>
  <c r="D7" i="127" a="1"/>
  <c r="D7" i="127" s="1"/>
  <c r="A7" i="127"/>
  <c r="D5" i="127" a="1"/>
  <c r="D5" i="127" s="1"/>
  <c r="A3" i="127"/>
  <c r="A8" i="71"/>
  <c r="A7" i="71"/>
  <c r="A3" i="71"/>
  <c r="A18" i="110"/>
  <c r="A17" i="110"/>
  <c r="A13" i="110"/>
  <c r="A9" i="110"/>
  <c r="A5" i="110"/>
  <c r="A4" i="110"/>
  <c r="A3" i="110"/>
  <c r="A18" i="69"/>
  <c r="A17" i="69"/>
  <c r="A13" i="69"/>
  <c r="A9" i="69"/>
  <c r="A5" i="69"/>
  <c r="A4" i="69"/>
  <c r="A3" i="69"/>
  <c r="A18" i="70"/>
  <c r="A17" i="70"/>
  <c r="A13" i="70"/>
  <c r="A9" i="70"/>
  <c r="A5" i="70"/>
  <c r="A4" i="70"/>
  <c r="A3" i="70"/>
  <c r="A18" i="13"/>
  <c r="A17" i="13"/>
  <c r="A13" i="13"/>
  <c r="A9" i="13"/>
  <c r="A5" i="13"/>
  <c r="A4" i="13"/>
  <c r="A3" i="13"/>
  <c r="A18" i="118"/>
  <c r="A17" i="118"/>
  <c r="A13" i="118"/>
  <c r="A9" i="118"/>
  <c r="A5" i="118"/>
  <c r="A4" i="118"/>
  <c r="A3" i="118"/>
  <c r="H168" i="69"/>
  <c r="H179" i="69"/>
  <c r="H185" i="69"/>
  <c r="H144" i="69"/>
  <c r="H138" i="69"/>
  <c r="D50" i="110" a="1"/>
  <c r="D50" i="110" s="1"/>
  <c r="E50" i="110" a="1"/>
  <c r="E50" i="110" s="1"/>
  <c r="F50" i="110" a="1"/>
  <c r="F50" i="110" s="1"/>
  <c r="G50" i="110" a="1"/>
  <c r="G50" i="110" s="1"/>
  <c r="D49" i="110" a="1"/>
  <c r="D49" i="110" s="1"/>
  <c r="E49" i="110" a="1"/>
  <c r="E49" i="110" s="1"/>
  <c r="F49" i="110" a="1"/>
  <c r="F49" i="110" s="1"/>
  <c r="G49" i="110" a="1"/>
  <c r="G49" i="110" s="1"/>
  <c r="D48" i="110" a="1"/>
  <c r="D48" i="110" s="1"/>
  <c r="E48" i="110" a="1"/>
  <c r="E48" i="110" s="1"/>
  <c r="F48" i="110" a="1"/>
  <c r="F48" i="110" s="1"/>
  <c r="G48" i="110" a="1"/>
  <c r="G48" i="110" s="1"/>
  <c r="D47" i="110" a="1"/>
  <c r="D47" i="110" s="1"/>
  <c r="E47" i="110" a="1"/>
  <c r="E47" i="110" s="1"/>
  <c r="F47" i="110" a="1"/>
  <c r="F47" i="110" s="1"/>
  <c r="G47" i="110" a="1"/>
  <c r="G47" i="110" s="1"/>
  <c r="D46" i="110" a="1"/>
  <c r="D46" i="110" s="1"/>
  <c r="E46" i="110" a="1"/>
  <c r="E46" i="110" s="1"/>
  <c r="O17" i="110" s="1"/>
  <c r="F46" i="110" a="1"/>
  <c r="F46" i="110" s="1"/>
  <c r="G46" i="110" a="1"/>
  <c r="G46" i="110" s="1"/>
  <c r="D45" i="110" a="1"/>
  <c r="D45" i="110" s="1"/>
  <c r="E45" i="110" a="1"/>
  <c r="E45" i="110" s="1"/>
  <c r="F45" i="110" a="1"/>
  <c r="F45" i="110" s="1"/>
  <c r="G45" i="110" a="1"/>
  <c r="G45" i="110" s="1"/>
  <c r="D44" i="110" a="1"/>
  <c r="D44" i="110" s="1"/>
  <c r="E44" i="110" a="1"/>
  <c r="E44" i="110" s="1"/>
  <c r="F44" i="110" a="1"/>
  <c r="F44" i="110" s="1"/>
  <c r="G44" i="110" a="1"/>
  <c r="G44" i="110" s="1"/>
  <c r="D43" i="110" a="1"/>
  <c r="D43" i="110" s="1"/>
  <c r="E43" i="110" a="1"/>
  <c r="E43" i="110" s="1"/>
  <c r="F43" i="110" a="1"/>
  <c r="F43" i="110" s="1"/>
  <c r="G43" i="110" a="1"/>
  <c r="G43" i="110" s="1"/>
  <c r="D42" i="110" a="1"/>
  <c r="D42" i="110" s="1"/>
  <c r="E42" i="110" a="1"/>
  <c r="E42" i="110" s="1"/>
  <c r="F42" i="110" a="1"/>
  <c r="F42" i="110" s="1"/>
  <c r="G42" i="110" a="1"/>
  <c r="G42" i="110" s="1"/>
  <c r="D41" i="110" a="1"/>
  <c r="D41" i="110" s="1"/>
  <c r="E41" i="110" a="1"/>
  <c r="E41" i="110" s="1"/>
  <c r="M18" i="110" s="1"/>
  <c r="F41" i="110" a="1"/>
  <c r="F41" i="110" s="1"/>
  <c r="G41" i="110" a="1"/>
  <c r="G41" i="110" s="1"/>
  <c r="D40" i="110" a="1"/>
  <c r="D40" i="110" s="1"/>
  <c r="E40" i="110" a="1"/>
  <c r="E40" i="110" s="1"/>
  <c r="M17" i="110" s="1"/>
  <c r="F40" i="110" a="1"/>
  <c r="F40" i="110" s="1"/>
  <c r="G40" i="110" a="1"/>
  <c r="G40" i="110" s="1"/>
  <c r="D39" i="110" a="1"/>
  <c r="D39" i="110" s="1"/>
  <c r="E39" i="110" a="1"/>
  <c r="E39" i="110" s="1"/>
  <c r="F39" i="110" a="1"/>
  <c r="F39" i="110" s="1"/>
  <c r="G39" i="110" a="1"/>
  <c r="G39" i="110" s="1"/>
  <c r="D38" i="110" a="1"/>
  <c r="D38" i="110" s="1"/>
  <c r="E38" i="110" a="1"/>
  <c r="E38" i="110" s="1"/>
  <c r="K26" i="110" s="1"/>
  <c r="F38" i="110" a="1"/>
  <c r="F38" i="110" s="1"/>
  <c r="G38" i="110" a="1"/>
  <c r="G38" i="110" s="1"/>
  <c r="D37" i="110" a="1"/>
  <c r="D37" i="110" s="1"/>
  <c r="E37" i="110" a="1"/>
  <c r="E37" i="110" s="1"/>
  <c r="K25" i="110" s="1"/>
  <c r="F37" i="110" a="1"/>
  <c r="F37" i="110" s="1"/>
  <c r="G37" i="110" a="1"/>
  <c r="G37" i="110" s="1"/>
  <c r="G36" i="110" a="1"/>
  <c r="G36" i="110" s="1"/>
  <c r="G35" i="110" a="1"/>
  <c r="G35" i="110" s="1"/>
  <c r="G34" i="110" a="1"/>
  <c r="G34" i="110" s="1"/>
  <c r="G33" i="110" a="1"/>
  <c r="G33" i="110" s="1"/>
  <c r="G32" i="110" a="1"/>
  <c r="G32" i="110" s="1"/>
  <c r="G31" i="110" a="1"/>
  <c r="G31" i="110" s="1"/>
  <c r="G30" i="110" a="1"/>
  <c r="G30" i="110" s="1"/>
  <c r="G29" i="110" a="1"/>
  <c r="G29" i="110" s="1"/>
  <c r="G28" i="110" a="1"/>
  <c r="G28" i="110" s="1"/>
  <c r="G27" i="110" a="1"/>
  <c r="G27" i="110" s="1"/>
  <c r="G26" i="110" a="1"/>
  <c r="G26" i="110" s="1"/>
  <c r="G25" i="110" a="1"/>
  <c r="G25" i="110" s="1"/>
  <c r="G24" i="110" a="1"/>
  <c r="G24" i="110" s="1"/>
  <c r="G23" i="110" a="1"/>
  <c r="G23" i="110" s="1"/>
  <c r="G22" i="110" a="1"/>
  <c r="G22" i="110" s="1"/>
  <c r="G21" i="110" a="1"/>
  <c r="G21" i="110" s="1"/>
  <c r="G20" i="110" a="1"/>
  <c r="G20" i="110" s="1"/>
  <c r="G19" i="110" a="1"/>
  <c r="G19" i="110" s="1"/>
  <c r="G18" i="110" a="1"/>
  <c r="G18" i="110" s="1"/>
  <c r="G17" i="110" a="1"/>
  <c r="G17" i="110" s="1"/>
  <c r="H51" i="127" l="1"/>
  <c r="H53" i="127"/>
  <c r="H48" i="127"/>
  <c r="H49" i="127"/>
  <c r="H52" i="127"/>
  <c r="H50" i="127"/>
  <c r="H54" i="127"/>
  <c r="O21" i="110"/>
  <c r="O20" i="110"/>
  <c r="O19" i="110"/>
  <c r="O18" i="110"/>
  <c r="M21" i="110"/>
  <c r="M20" i="110"/>
  <c r="M19" i="110"/>
  <c r="D98" i="69" a="1"/>
  <c r="D98" i="69" s="1"/>
  <c r="H105" i="69" l="1" a="1"/>
  <c r="H105" i="69" s="1"/>
  <c r="D105" i="69" a="1"/>
  <c r="D105" i="69" s="1"/>
  <c r="E103" i="69" a="1"/>
  <c r="E103" i="69" s="1"/>
  <c r="F192" i="69" s="1"/>
  <c r="E102" i="69" a="1"/>
  <c r="E102" i="69" s="1"/>
  <c r="D97" i="69" a="1"/>
  <c r="D97" i="69" s="1"/>
  <c r="D96" i="69" a="1"/>
  <c r="D96" i="69" s="1"/>
  <c r="J16" i="69" a="1"/>
  <c r="J16" i="69" s="1"/>
  <c r="J15" i="69" a="1"/>
  <c r="J15" i="69" s="1"/>
  <c r="J14" i="69" a="1"/>
  <c r="J14" i="69" s="1"/>
  <c r="J13" i="69" a="1"/>
  <c r="J13" i="69" s="1"/>
  <c r="I16" i="69" a="1"/>
  <c r="I16" i="69" s="1"/>
  <c r="I15" i="69" a="1"/>
  <c r="I15" i="69" s="1"/>
  <c r="I14" i="69" a="1"/>
  <c r="I14" i="69" s="1"/>
  <c r="I13" i="69" a="1"/>
  <c r="I13" i="69" s="1"/>
  <c r="D7" i="110" a="1"/>
  <c r="D7" i="110" s="1"/>
  <c r="G13" i="69" a="1"/>
  <c r="G13" i="69" s="1"/>
  <c r="D13" i="69" a="1"/>
  <c r="D13" i="69" s="1"/>
  <c r="E11" i="69" a="1"/>
  <c r="E11" i="69" s="1"/>
  <c r="E10" i="69" a="1"/>
  <c r="E10" i="69" s="1"/>
  <c r="D6" i="69" a="1"/>
  <c r="D6" i="69" s="1"/>
  <c r="D5" i="69" a="1"/>
  <c r="D5" i="69" s="1"/>
  <c r="D68" i="110" a="1"/>
  <c r="D68" i="110" s="1"/>
  <c r="E68" i="110" a="1"/>
  <c r="E68" i="110" s="1"/>
  <c r="D67" i="110" a="1"/>
  <c r="D67" i="110" s="1"/>
  <c r="E67" i="110" a="1"/>
  <c r="E67" i="110" s="1"/>
  <c r="D66" i="110" a="1"/>
  <c r="D66" i="110" s="1"/>
  <c r="E66" i="110" a="1"/>
  <c r="E66" i="110" s="1"/>
  <c r="D65" i="110" a="1"/>
  <c r="D65" i="110" s="1"/>
  <c r="E65" i="110" a="1"/>
  <c r="E65" i="110" s="1"/>
  <c r="D64" i="110" a="1"/>
  <c r="D64" i="110" s="1"/>
  <c r="E64" i="110" a="1"/>
  <c r="E64" i="110" s="1"/>
  <c r="D63" i="110" a="1"/>
  <c r="D63" i="110" s="1"/>
  <c r="E63" i="110" a="1"/>
  <c r="E63" i="110" s="1"/>
  <c r="D62" i="110" a="1"/>
  <c r="D62" i="110" s="1"/>
  <c r="E62" i="110" a="1"/>
  <c r="E62" i="110" s="1"/>
  <c r="D61" i="110" a="1"/>
  <c r="D61" i="110" s="1"/>
  <c r="E61" i="110" a="1"/>
  <c r="E61" i="110" s="1"/>
  <c r="D60" i="110" a="1"/>
  <c r="D60" i="110" s="1"/>
  <c r="E60" i="110" a="1"/>
  <c r="E60" i="110" s="1"/>
  <c r="D59" i="110" a="1"/>
  <c r="D59" i="110" s="1"/>
  <c r="E59" i="110" a="1"/>
  <c r="E59" i="110" s="1"/>
  <c r="E58" i="110" a="1"/>
  <c r="E58" i="110" s="1"/>
  <c r="D58" i="110" a="1"/>
  <c r="D58" i="110" s="1"/>
  <c r="D56" i="110" a="1"/>
  <c r="D56" i="110" s="1"/>
  <c r="D54" i="110" a="1"/>
  <c r="D54" i="110" s="1"/>
  <c r="D55" i="110" a="1"/>
  <c r="D55" i="110" s="1"/>
  <c r="D53" i="110" a="1"/>
  <c r="D53" i="110" s="1"/>
  <c r="D52" i="110" a="1"/>
  <c r="D52" i="110" s="1"/>
  <c r="D36" i="110" a="1"/>
  <c r="D36" i="110" s="1"/>
  <c r="E36" i="110" a="1"/>
  <c r="E36" i="110" s="1"/>
  <c r="K24" i="110" s="1"/>
  <c r="F36" i="110" a="1"/>
  <c r="F36" i="110" s="1"/>
  <c r="D35" i="110" a="1"/>
  <c r="D35" i="110" s="1"/>
  <c r="E35" i="110" a="1"/>
  <c r="E35" i="110" s="1"/>
  <c r="K23" i="110" s="1"/>
  <c r="F35" i="110" a="1"/>
  <c r="F35" i="110" s="1"/>
  <c r="D34" i="110" a="1"/>
  <c r="D34" i="110" s="1"/>
  <c r="E34" i="110" a="1"/>
  <c r="E34" i="110" s="1"/>
  <c r="K22" i="110" s="1"/>
  <c r="F34" i="110" a="1"/>
  <c r="F34" i="110" s="1"/>
  <c r="D33" i="110" a="1"/>
  <c r="D33" i="110" s="1"/>
  <c r="E33" i="110" a="1"/>
  <c r="E33" i="110" s="1"/>
  <c r="K21" i="110" s="1"/>
  <c r="F33" i="110" a="1"/>
  <c r="F33" i="110" s="1"/>
  <c r="D32" i="110" a="1"/>
  <c r="D32" i="110" s="1"/>
  <c r="E32" i="110" a="1"/>
  <c r="E32" i="110" s="1"/>
  <c r="K20" i="110" s="1"/>
  <c r="F32" i="110" a="1"/>
  <c r="F32" i="110" s="1"/>
  <c r="D31" i="110" a="1"/>
  <c r="D31" i="110" s="1"/>
  <c r="E31" i="110" a="1"/>
  <c r="E31" i="110" s="1"/>
  <c r="K19" i="110" s="1"/>
  <c r="F31" i="110" a="1"/>
  <c r="F31" i="110" s="1"/>
  <c r="D30" i="110" a="1"/>
  <c r="D30" i="110" s="1"/>
  <c r="E30" i="110" a="1"/>
  <c r="E30" i="110" s="1"/>
  <c r="K18" i="110" s="1"/>
  <c r="F30" i="110" a="1"/>
  <c r="F30" i="110" s="1"/>
  <c r="D29" i="110" a="1"/>
  <c r="D29" i="110" s="1"/>
  <c r="E29" i="110" a="1"/>
  <c r="E29" i="110" s="1"/>
  <c r="K17" i="110" s="1"/>
  <c r="F29" i="110" a="1"/>
  <c r="F29" i="110" s="1"/>
  <c r="D28" i="110" a="1"/>
  <c r="D28" i="110" s="1"/>
  <c r="E28" i="110" a="1"/>
  <c r="E28" i="110" s="1"/>
  <c r="F28" i="110" a="1"/>
  <c r="F28" i="110" s="1"/>
  <c r="D27" i="110" a="1"/>
  <c r="D27" i="110" s="1"/>
  <c r="E27" i="110" a="1"/>
  <c r="E27" i="110" s="1"/>
  <c r="I27" i="110" s="1"/>
  <c r="F27" i="110" a="1"/>
  <c r="F27" i="110" s="1"/>
  <c r="D26" i="110" a="1"/>
  <c r="D26" i="110" s="1"/>
  <c r="E26" i="110" a="1"/>
  <c r="E26" i="110" s="1"/>
  <c r="I26" i="110" s="1"/>
  <c r="F26" i="110" a="1"/>
  <c r="F26" i="110" s="1"/>
  <c r="D25" i="110" a="1"/>
  <c r="D25" i="110" s="1"/>
  <c r="E25" i="110" a="1"/>
  <c r="E25" i="110" s="1"/>
  <c r="I25" i="110" s="1"/>
  <c r="F25" i="110" a="1"/>
  <c r="F25" i="110" s="1"/>
  <c r="D24" i="110" a="1"/>
  <c r="D24" i="110" s="1"/>
  <c r="E24" i="110" a="1"/>
  <c r="E24" i="110" s="1"/>
  <c r="I24" i="110" s="1"/>
  <c r="F24" i="110" a="1"/>
  <c r="F24" i="110" s="1"/>
  <c r="D23" i="110" a="1"/>
  <c r="D23" i="110" s="1"/>
  <c r="E23" i="110" a="1"/>
  <c r="E23" i="110" s="1"/>
  <c r="I23" i="110" s="1"/>
  <c r="F23" i="110" a="1"/>
  <c r="F23" i="110" s="1"/>
  <c r="D22" i="110" a="1"/>
  <c r="D22" i="110" s="1"/>
  <c r="E22" i="110" a="1"/>
  <c r="E22" i="110" s="1"/>
  <c r="I22" i="110" s="1"/>
  <c r="F22" i="110" a="1"/>
  <c r="F22" i="110" s="1"/>
  <c r="D21" i="110" a="1"/>
  <c r="D21" i="110" s="1"/>
  <c r="E21" i="110" a="1"/>
  <c r="E21" i="110" s="1"/>
  <c r="I21" i="110" s="1"/>
  <c r="F21" i="110" a="1"/>
  <c r="F21" i="110" s="1"/>
  <c r="D20" i="110" a="1"/>
  <c r="D20" i="110" s="1"/>
  <c r="E20" i="110" a="1"/>
  <c r="E20" i="110" s="1"/>
  <c r="I20" i="110" s="1"/>
  <c r="F20" i="110" a="1"/>
  <c r="F20" i="110" s="1"/>
  <c r="D19" i="110" a="1"/>
  <c r="D19" i="110" s="1"/>
  <c r="E19" i="110" a="1"/>
  <c r="E19" i="110" s="1"/>
  <c r="I19" i="110" s="1"/>
  <c r="F19" i="110" a="1"/>
  <c r="F19" i="110" s="1"/>
  <c r="D18" i="110" a="1"/>
  <c r="D18" i="110" s="1"/>
  <c r="E18" i="110" a="1"/>
  <c r="E18" i="110" s="1"/>
  <c r="I18" i="110" s="1"/>
  <c r="F18" i="110" a="1"/>
  <c r="F18" i="110" s="1"/>
  <c r="F17" i="110" a="1"/>
  <c r="F17" i="110" s="1"/>
  <c r="E17" i="110" a="1"/>
  <c r="E17" i="110" s="1"/>
  <c r="I17" i="110" s="1"/>
  <c r="D17" i="110" a="1"/>
  <c r="D17" i="110" s="1"/>
  <c r="D15" i="110" a="1"/>
  <c r="D15" i="110" s="1"/>
  <c r="D14" i="110" a="1"/>
  <c r="D14" i="110" s="1"/>
  <c r="D6" i="110" a="1"/>
  <c r="D6" i="110" s="1"/>
  <c r="D5" i="110" a="1"/>
  <c r="D5" i="110" s="1"/>
  <c r="E7" i="69" a="1"/>
  <c r="E99" i="69" a="1"/>
  <c r="F151" i="69" l="1"/>
  <c r="E99" i="69"/>
  <c r="D157" i="69" a="1"/>
  <c r="D116" i="69" a="1"/>
  <c r="D59" i="69" a="1"/>
  <c r="E116" i="69" a="1"/>
  <c r="E59" i="69" a="1"/>
  <c r="E157" i="69" a="1"/>
  <c r="E7" i="69"/>
  <c r="D21" i="69" a="1"/>
  <c r="E21" i="69" a="1"/>
  <c r="J136" i="69" l="1" a="1"/>
  <c r="J136" i="69" s="1"/>
  <c r="J179" i="69" a="1"/>
  <c r="J179" i="69" s="1"/>
  <c r="J138" i="69" a="1"/>
  <c r="J138" i="69" s="1"/>
  <c r="G80" i="69" a="1"/>
  <c r="G80" i="69" s="1"/>
  <c r="G88" i="69" a="1"/>
  <c r="G88" i="69" s="1"/>
  <c r="G79" i="69" a="1"/>
  <c r="G79" i="69" s="1"/>
  <c r="G86" i="69" a="1"/>
  <c r="G86" i="69" s="1"/>
  <c r="G85" i="69" a="1"/>
  <c r="G85" i="69" s="1"/>
  <c r="G92" i="69" a="1"/>
  <c r="G92" i="69" s="1"/>
  <c r="G84" i="69" a="1"/>
  <c r="G84" i="69" s="1"/>
  <c r="G91" i="69" a="1"/>
  <c r="G91" i="69" s="1"/>
  <c r="G83" i="69" a="1"/>
  <c r="G83" i="69" s="1"/>
  <c r="G90" i="69" a="1"/>
  <c r="G90" i="69" s="1"/>
  <c r="G82" i="69" a="1"/>
  <c r="G82" i="69" s="1"/>
  <c r="G89" i="69" a="1"/>
  <c r="G89" i="69" s="1"/>
  <c r="J137" i="69" a="1"/>
  <c r="J137" i="69" s="1"/>
  <c r="J144" i="69" a="1"/>
  <c r="J144" i="69" s="1"/>
  <c r="G143" i="69" a="1"/>
  <c r="G143" i="69" s="1"/>
  <c r="G137" i="69" a="1"/>
  <c r="G137" i="69" s="1"/>
  <c r="G187" i="69" a="1"/>
  <c r="G187" i="69" s="1"/>
  <c r="G180" i="69" a="1"/>
  <c r="G180" i="69" s="1"/>
  <c r="G48" i="69" a="1"/>
  <c r="G48" i="69" s="1"/>
  <c r="G41" i="69" a="1"/>
  <c r="G41" i="69" s="1"/>
  <c r="G149" i="69" a="1"/>
  <c r="G149" i="69" s="1"/>
  <c r="G142" i="69" a="1"/>
  <c r="G142" i="69" s="1"/>
  <c r="G186" i="69" a="1"/>
  <c r="G186" i="69" s="1"/>
  <c r="G136" i="69" a="1"/>
  <c r="G136" i="69" s="1"/>
  <c r="G148" i="69" a="1"/>
  <c r="G148" i="69" s="1"/>
  <c r="G141" i="69" a="1"/>
  <c r="G141" i="69" s="1"/>
  <c r="G47" i="69" a="1"/>
  <c r="G47" i="69" s="1"/>
  <c r="G54" i="69" a="1"/>
  <c r="G54" i="69" s="1"/>
  <c r="G178" i="69" a="1"/>
  <c r="G178" i="69" s="1"/>
  <c r="G147" i="69" a="1"/>
  <c r="G147" i="69" s="1"/>
  <c r="G140" i="69" a="1"/>
  <c r="G140" i="69" s="1"/>
  <c r="G46" i="69" a="1"/>
  <c r="G46" i="69" s="1"/>
  <c r="G184" i="69" a="1"/>
  <c r="G184" i="69" s="1"/>
  <c r="G53" i="69" a="1"/>
  <c r="G53" i="69" s="1"/>
  <c r="G146" i="69" a="1"/>
  <c r="G146" i="69" s="1"/>
  <c r="G139" i="69" a="1"/>
  <c r="G139" i="69" s="1"/>
  <c r="G45" i="69" a="1"/>
  <c r="G45" i="69" s="1"/>
  <c r="G190" i="69" a="1"/>
  <c r="G190" i="69" s="1"/>
  <c r="G183" i="69" a="1"/>
  <c r="G183" i="69" s="1"/>
  <c r="G177" i="69" a="1"/>
  <c r="G177" i="69" s="1"/>
  <c r="G52" i="69" a="1"/>
  <c r="G52" i="69" s="1"/>
  <c r="G145" i="69" a="1"/>
  <c r="G145" i="69" s="1"/>
  <c r="G44" i="69" a="1"/>
  <c r="G44" i="69" s="1"/>
  <c r="G189" i="69" a="1"/>
  <c r="G189" i="69" s="1"/>
  <c r="G182" i="69" a="1"/>
  <c r="G182" i="69" s="1"/>
  <c r="G51" i="69" a="1"/>
  <c r="G51" i="69" s="1"/>
  <c r="G188" i="69" a="1"/>
  <c r="G188" i="69" s="1"/>
  <c r="G181" i="69" a="1"/>
  <c r="G181" i="69" s="1"/>
  <c r="G50" i="69" a="1"/>
  <c r="G50" i="69" s="1"/>
  <c r="G42" i="69" a="1"/>
  <c r="G42" i="69" s="1"/>
  <c r="J178" i="69" a="1"/>
  <c r="J178" i="69" s="1"/>
  <c r="J185" i="69" a="1"/>
  <c r="J185" i="69" s="1"/>
  <c r="H26" i="69" a="1"/>
  <c r="H26" i="69" s="1"/>
  <c r="H48" i="69" a="1"/>
  <c r="H48" i="69" s="1"/>
  <c r="H41" i="69" a="1"/>
  <c r="H41" i="69" s="1"/>
  <c r="H47" i="69" a="1"/>
  <c r="H47" i="69" s="1"/>
  <c r="H54" i="69" a="1"/>
  <c r="H54" i="69" s="1"/>
  <c r="H46" i="69" a="1"/>
  <c r="H46" i="69" s="1"/>
  <c r="H53" i="69" a="1"/>
  <c r="H53" i="69" s="1"/>
  <c r="H45" i="69" a="1"/>
  <c r="H45" i="69" s="1"/>
  <c r="H52" i="69" a="1"/>
  <c r="H52" i="69" s="1"/>
  <c r="H44" i="69" a="1"/>
  <c r="H44" i="69" s="1"/>
  <c r="H51" i="69" a="1"/>
  <c r="H51" i="69" s="1"/>
  <c r="H50" i="69" a="1"/>
  <c r="H50" i="69" s="1"/>
  <c r="H42" i="69" a="1"/>
  <c r="H42" i="69" s="1"/>
  <c r="J177" i="69" a="1"/>
  <c r="J177" i="69" s="1"/>
  <c r="H68" i="69" a="1"/>
  <c r="H68" i="69" s="1"/>
  <c r="H88" i="69" a="1"/>
  <c r="H88" i="69" s="1"/>
  <c r="H79" i="69" a="1"/>
  <c r="H79" i="69" s="1"/>
  <c r="H86" i="69" a="1"/>
  <c r="H86" i="69" s="1"/>
  <c r="H85" i="69" a="1"/>
  <c r="H85" i="69" s="1"/>
  <c r="H92" i="69" a="1"/>
  <c r="H92" i="69" s="1"/>
  <c r="H84" i="69" a="1"/>
  <c r="H84" i="69" s="1"/>
  <c r="H91" i="69" a="1"/>
  <c r="H91" i="69" s="1"/>
  <c r="H83" i="69" a="1"/>
  <c r="H83" i="69" s="1"/>
  <c r="H90" i="69" a="1"/>
  <c r="H90" i="69" s="1"/>
  <c r="H82" i="69" a="1"/>
  <c r="H82" i="69" s="1"/>
  <c r="H89" i="69" a="1"/>
  <c r="H89" i="69" s="1"/>
  <c r="H80" i="69" a="1"/>
  <c r="H80" i="69" s="1"/>
  <c r="H24" i="69" a="1"/>
  <c r="H24" i="69" s="1"/>
  <c r="H75" i="69" a="1"/>
  <c r="H75" i="69" s="1"/>
  <c r="G163" i="69" a="1"/>
  <c r="G163" i="69" s="1"/>
  <c r="G129" i="69" a="1"/>
  <c r="G129" i="69" s="1"/>
  <c r="G176" i="69" a="1"/>
  <c r="G176" i="69" s="1"/>
  <c r="G162" i="69" a="1"/>
  <c r="G162" i="69" s="1"/>
  <c r="G128" i="69" a="1"/>
  <c r="G128" i="69" s="1"/>
  <c r="G175" i="69" a="1"/>
  <c r="G175" i="69" s="1"/>
  <c r="G161" i="69" a="1"/>
  <c r="G161" i="69" s="1"/>
  <c r="G174" i="69" a="1"/>
  <c r="G174" i="69" s="1"/>
  <c r="G160" i="69" a="1"/>
  <c r="G160" i="69" s="1"/>
  <c r="G126" i="69" a="1"/>
  <c r="G126" i="69" s="1"/>
  <c r="G173" i="69" a="1"/>
  <c r="G173" i="69" s="1"/>
  <c r="G159" i="69" a="1"/>
  <c r="G159" i="69" s="1"/>
  <c r="G125" i="69" a="1"/>
  <c r="G125" i="69" s="1"/>
  <c r="G172" i="69" a="1"/>
  <c r="G172" i="69" s="1"/>
  <c r="G158" i="69" a="1"/>
  <c r="G158" i="69" s="1"/>
  <c r="G124" i="69" a="1"/>
  <c r="G124" i="69" s="1"/>
  <c r="G171" i="69" a="1"/>
  <c r="G171" i="69" s="1"/>
  <c r="G123" i="69" a="1"/>
  <c r="G123" i="69" s="1"/>
  <c r="G169" i="69" a="1"/>
  <c r="G169" i="69" s="1"/>
  <c r="G121" i="69" a="1"/>
  <c r="G121" i="69" s="1"/>
  <c r="G134" i="69" a="1"/>
  <c r="G134" i="69" s="1"/>
  <c r="G133" i="69" a="1"/>
  <c r="G133" i="69" s="1"/>
  <c r="G166" i="69" a="1"/>
  <c r="G166" i="69" s="1"/>
  <c r="G132" i="69" a="1"/>
  <c r="G132" i="69" s="1"/>
  <c r="G117" i="69" a="1"/>
  <c r="G117" i="69" s="1"/>
  <c r="G164" i="69" a="1"/>
  <c r="G164" i="69" s="1"/>
  <c r="G130" i="69" a="1"/>
  <c r="G130" i="69" s="1"/>
  <c r="G170" i="69" a="1"/>
  <c r="G170" i="69" s="1"/>
  <c r="G122" i="69" a="1"/>
  <c r="G122" i="69" s="1"/>
  <c r="G135" i="69" a="1"/>
  <c r="G135" i="69" s="1"/>
  <c r="G120" i="69" a="1"/>
  <c r="G120" i="69" s="1"/>
  <c r="G167" i="69" a="1"/>
  <c r="G167" i="69" s="1"/>
  <c r="G119" i="69" a="1"/>
  <c r="G119" i="69" s="1"/>
  <c r="G118" i="69" a="1"/>
  <c r="G118" i="69" s="1"/>
  <c r="G165" i="69" a="1"/>
  <c r="G165" i="69" s="1"/>
  <c r="G131" i="69" a="1"/>
  <c r="G131" i="69" s="1"/>
  <c r="J135" i="69" a="1"/>
  <c r="J135" i="69" s="1"/>
  <c r="J121" i="69" a="1"/>
  <c r="J121" i="69" s="1"/>
  <c r="J134" i="69" a="1"/>
  <c r="J134" i="69" s="1"/>
  <c r="J120" i="69" a="1"/>
  <c r="J120" i="69" s="1"/>
  <c r="J127" i="69" a="1"/>
  <c r="J127" i="69" s="1"/>
  <c r="J133" i="69" a="1"/>
  <c r="J133" i="69" s="1"/>
  <c r="J119" i="69" a="1"/>
  <c r="J119" i="69" s="1"/>
  <c r="J132" i="69" a="1"/>
  <c r="J132" i="69" s="1"/>
  <c r="J118" i="69" a="1"/>
  <c r="J118" i="69" s="1"/>
  <c r="J117" i="69" a="1"/>
  <c r="J117" i="69" s="1"/>
  <c r="J126" i="69" a="1"/>
  <c r="J126" i="69" s="1"/>
  <c r="J125" i="69" a="1"/>
  <c r="J125" i="69" s="1"/>
  <c r="J124" i="69" a="1"/>
  <c r="J124" i="69" s="1"/>
  <c r="J122" i="69" a="1"/>
  <c r="J122" i="69" s="1"/>
  <c r="J123" i="69" a="1"/>
  <c r="J123" i="69" s="1"/>
  <c r="J168" i="69" a="1"/>
  <c r="J168" i="69" s="1"/>
  <c r="J167" i="69" a="1"/>
  <c r="J167" i="69" s="1"/>
  <c r="J166" i="69" a="1"/>
  <c r="J166" i="69" s="1"/>
  <c r="J163" i="69" a="1"/>
  <c r="J163" i="69" s="1"/>
  <c r="J161" i="69" a="1"/>
  <c r="J161" i="69" s="1"/>
  <c r="J160" i="69" a="1"/>
  <c r="J160" i="69" s="1"/>
  <c r="J176" i="69" a="1"/>
  <c r="J176" i="69" s="1"/>
  <c r="J162" i="69" a="1"/>
  <c r="J162" i="69" s="1"/>
  <c r="J175" i="69" a="1"/>
  <c r="J175" i="69" s="1"/>
  <c r="J174" i="69" a="1"/>
  <c r="J174" i="69" s="1"/>
  <c r="J173" i="69" a="1"/>
  <c r="J173" i="69" s="1"/>
  <c r="J159" i="69" a="1"/>
  <c r="J159" i="69" s="1"/>
  <c r="J158" i="69" a="1"/>
  <c r="J158" i="69" s="1"/>
  <c r="J165" i="69" a="1"/>
  <c r="J165" i="69" s="1"/>
  <c r="J164" i="69" a="1"/>
  <c r="J164" i="69" s="1"/>
  <c r="D157" i="69"/>
  <c r="H63" i="69" a="1"/>
  <c r="H63" i="69" s="1"/>
  <c r="H77" i="69" a="1"/>
  <c r="H77" i="69" s="1"/>
  <c r="H39" i="69" a="1"/>
  <c r="H39" i="69" s="1"/>
  <c r="H74" i="69" a="1"/>
  <c r="H74" i="69" s="1"/>
  <c r="E59" i="69"/>
  <c r="H59" i="69" s="1" a="1"/>
  <c r="H59" i="69" s="1"/>
  <c r="H25" i="69" a="1"/>
  <c r="H25" i="69" s="1"/>
  <c r="H69" i="69" a="1"/>
  <c r="H69" i="69" s="1"/>
  <c r="H78" i="69" a="1"/>
  <c r="H78" i="69" s="1"/>
  <c r="H73" i="69" a="1"/>
  <c r="H73" i="69" s="1"/>
  <c r="H31" i="69" a="1"/>
  <c r="H31" i="69" s="1"/>
  <c r="E157" i="69"/>
  <c r="E116" i="69"/>
  <c r="H76" i="69" a="1"/>
  <c r="H76" i="69" s="1"/>
  <c r="H71" i="69" a="1"/>
  <c r="H71" i="69" s="1"/>
  <c r="H67" i="69" a="1"/>
  <c r="H67" i="69" s="1"/>
  <c r="H65" i="69" a="1"/>
  <c r="H65" i="69" s="1"/>
  <c r="H64" i="69" a="1"/>
  <c r="H64" i="69" s="1"/>
  <c r="H62" i="69" a="1"/>
  <c r="H62" i="69" s="1"/>
  <c r="H61" i="69" a="1"/>
  <c r="H61" i="69" s="1"/>
  <c r="H72" i="69" a="1"/>
  <c r="H72" i="69" s="1"/>
  <c r="G71" i="69" a="1"/>
  <c r="G71" i="69" s="1"/>
  <c r="G69" i="69" a="1"/>
  <c r="G69" i="69" s="1"/>
  <c r="G68" i="69" a="1"/>
  <c r="G68" i="69" s="1"/>
  <c r="G67" i="69" a="1"/>
  <c r="G67" i="69" s="1"/>
  <c r="G66" i="69" a="1"/>
  <c r="G66" i="69" s="1"/>
  <c r="G65" i="69" a="1"/>
  <c r="G65" i="69" s="1"/>
  <c r="G78" i="69" a="1"/>
  <c r="G78" i="69" s="1"/>
  <c r="G64" i="69" a="1"/>
  <c r="G64" i="69" s="1"/>
  <c r="G77" i="69" a="1"/>
  <c r="G77" i="69" s="1"/>
  <c r="G63" i="69" a="1"/>
  <c r="G63" i="69" s="1"/>
  <c r="G76" i="69" a="1"/>
  <c r="G76" i="69" s="1"/>
  <c r="G62" i="69" a="1"/>
  <c r="G62" i="69" s="1"/>
  <c r="G75" i="69" a="1"/>
  <c r="G75" i="69" s="1"/>
  <c r="G61" i="69" a="1"/>
  <c r="G61" i="69" s="1"/>
  <c r="G74" i="69" a="1"/>
  <c r="G74" i="69" s="1"/>
  <c r="G60" i="69" a="1"/>
  <c r="G60" i="69" s="1"/>
  <c r="G73" i="69" a="1"/>
  <c r="G73" i="69" s="1"/>
  <c r="G72" i="69" a="1"/>
  <c r="G72" i="69" s="1"/>
  <c r="D116" i="69"/>
  <c r="H38" i="69" a="1"/>
  <c r="H38" i="69" s="1"/>
  <c r="D59" i="69"/>
  <c r="H37" i="69" a="1"/>
  <c r="H37" i="69" s="1"/>
  <c r="H33" i="69" a="1"/>
  <c r="H33" i="69" s="1"/>
  <c r="D21" i="69"/>
  <c r="G38" i="69" a="1"/>
  <c r="G38" i="69" s="1"/>
  <c r="G24" i="69" a="1"/>
  <c r="G24" i="69" s="1"/>
  <c r="G37" i="69" a="1"/>
  <c r="G37" i="69" s="1"/>
  <c r="G23" i="69" a="1"/>
  <c r="G23" i="69" s="1"/>
  <c r="G36" i="69" a="1"/>
  <c r="G36" i="69" s="1"/>
  <c r="G22" i="69" a="1"/>
  <c r="G22" i="69" s="1"/>
  <c r="G35" i="69" a="1"/>
  <c r="G35" i="69" s="1"/>
  <c r="G34" i="69" a="1"/>
  <c r="G34" i="69" s="1"/>
  <c r="G33" i="69" a="1"/>
  <c r="G33" i="69" s="1"/>
  <c r="G31" i="69" a="1"/>
  <c r="G31" i="69" s="1"/>
  <c r="G30" i="69" a="1"/>
  <c r="G30" i="69" s="1"/>
  <c r="G29" i="69" a="1"/>
  <c r="G29" i="69" s="1"/>
  <c r="G28" i="69" a="1"/>
  <c r="G28" i="69" s="1"/>
  <c r="G27" i="69" a="1"/>
  <c r="G27" i="69" s="1"/>
  <c r="G40" i="69" a="1"/>
  <c r="G40" i="69" s="1"/>
  <c r="G26" i="69" a="1"/>
  <c r="G26" i="69" s="1"/>
  <c r="G39" i="69" a="1"/>
  <c r="G39" i="69" s="1"/>
  <c r="G25" i="69" a="1"/>
  <c r="G25" i="69" s="1"/>
  <c r="H23" i="69" a="1"/>
  <c r="H23" i="69" s="1"/>
  <c r="H36" i="69" a="1"/>
  <c r="H36" i="69" s="1"/>
  <c r="H22" i="69" a="1"/>
  <c r="H22" i="69" s="1"/>
  <c r="H66" i="69" a="1"/>
  <c r="H66" i="69" s="1"/>
  <c r="H60" i="69" a="1"/>
  <c r="H60" i="69" s="1"/>
  <c r="H35" i="69" a="1"/>
  <c r="H35" i="69" s="1"/>
  <c r="H34" i="69" a="1"/>
  <c r="H34" i="69" s="1"/>
  <c r="H40" i="69" a="1"/>
  <c r="H40" i="69" s="1"/>
  <c r="E21" i="69"/>
  <c r="H21" i="69" s="1" a="1"/>
  <c r="H21" i="69" s="1"/>
  <c r="H30" i="69" a="1"/>
  <c r="H30" i="69" s="1"/>
  <c r="H29" i="69" a="1"/>
  <c r="H29" i="69" s="1"/>
  <c r="H28" i="69" a="1"/>
  <c r="H28" i="69" s="1"/>
  <c r="H27" i="69" a="1"/>
  <c r="H27" i="69" s="1"/>
  <c r="I24" i="69" l="1" a="1"/>
  <c r="I24" i="69" s="1"/>
  <c r="H119" i="69" s="1"/>
  <c r="I119" i="69" s="1"/>
  <c r="K119" i="69" s="1" a="1"/>
  <c r="K119" i="69" s="1"/>
  <c r="J116" i="69" a="1"/>
  <c r="J116" i="69" s="1"/>
  <c r="I50" i="69" a="1"/>
  <c r="I50" i="69" s="1"/>
  <c r="H145" i="69" s="1"/>
  <c r="I68" i="69" a="1"/>
  <c r="I68" i="69" s="1"/>
  <c r="H166" i="69" s="1"/>
  <c r="I166" i="69" s="1"/>
  <c r="K166" i="69" s="1" a="1"/>
  <c r="K166" i="69" s="1"/>
  <c r="I54" i="69" a="1"/>
  <c r="I54" i="69" s="1"/>
  <c r="H149" i="69" s="1"/>
  <c r="I75" i="69" a="1"/>
  <c r="I75" i="69" s="1"/>
  <c r="H173" i="69" s="1"/>
  <c r="I173" i="69" s="1"/>
  <c r="K173" i="69" s="1" a="1"/>
  <c r="K173" i="69" s="1"/>
  <c r="I52" i="69" a="1"/>
  <c r="I52" i="69" s="1"/>
  <c r="H147" i="69" s="1"/>
  <c r="I47" i="69" a="1"/>
  <c r="I47" i="69" s="1"/>
  <c r="H142" i="69" s="1"/>
  <c r="I26" i="69" a="1"/>
  <c r="I26" i="69" s="1"/>
  <c r="H121" i="69" s="1"/>
  <c r="I121" i="69" s="1"/>
  <c r="K121" i="69" s="1" a="1"/>
  <c r="K121" i="69" s="1"/>
  <c r="I89" i="69" a="1"/>
  <c r="I89" i="69" s="1"/>
  <c r="H187" i="69" s="1"/>
  <c r="I82" i="69" a="1"/>
  <c r="I82" i="69" s="1"/>
  <c r="H180" i="69" s="1"/>
  <c r="I90" i="69" a="1"/>
  <c r="I90" i="69" s="1"/>
  <c r="H188" i="69" s="1"/>
  <c r="I45" i="69" a="1"/>
  <c r="I45" i="69" s="1"/>
  <c r="H140" i="69" s="1"/>
  <c r="I83" i="69" a="1"/>
  <c r="I83" i="69" s="1"/>
  <c r="H181" i="69" s="1"/>
  <c r="I42" i="69" a="1"/>
  <c r="I42" i="69" s="1"/>
  <c r="H137" i="69" s="1"/>
  <c r="I137" i="69" s="1"/>
  <c r="K137" i="69" s="1" a="1"/>
  <c r="K137" i="69" s="1"/>
  <c r="I91" i="69" a="1"/>
  <c r="I91" i="69" s="1"/>
  <c r="H189" i="69" s="1"/>
  <c r="I84" i="69" a="1"/>
  <c r="I84" i="69" s="1"/>
  <c r="H182" i="69" s="1"/>
  <c r="I53" i="69" a="1"/>
  <c r="I53" i="69" s="1"/>
  <c r="H148" i="69" s="1"/>
  <c r="I41" i="69" a="1"/>
  <c r="I41" i="69" s="1"/>
  <c r="H136" i="69" s="1"/>
  <c r="I136" i="69" s="1"/>
  <c r="K136" i="69" s="1" a="1"/>
  <c r="K136" i="69" s="1"/>
  <c r="I92" i="69" a="1"/>
  <c r="I92" i="69" s="1"/>
  <c r="H190" i="69" s="1"/>
  <c r="I48" i="69" a="1"/>
  <c r="I48" i="69" s="1"/>
  <c r="H143" i="69" s="1"/>
  <c r="I85" i="69" a="1"/>
  <c r="I85" i="69" s="1"/>
  <c r="H183" i="69" s="1"/>
  <c r="I51" i="69" a="1"/>
  <c r="I51" i="69" s="1"/>
  <c r="H146" i="69" s="1"/>
  <c r="I46" i="69" a="1"/>
  <c r="I46" i="69" s="1"/>
  <c r="H141" i="69" s="1"/>
  <c r="I86" i="69" a="1"/>
  <c r="I86" i="69" s="1"/>
  <c r="H184" i="69" s="1"/>
  <c r="I79" i="69" a="1"/>
  <c r="I79" i="69" s="1"/>
  <c r="H177" i="69" s="1"/>
  <c r="I177" i="69" s="1"/>
  <c r="K177" i="69" s="1" a="1"/>
  <c r="K177" i="69" s="1"/>
  <c r="I88" i="69" a="1"/>
  <c r="I88" i="69" s="1"/>
  <c r="H186" i="69" s="1"/>
  <c r="I44" i="69" a="1"/>
  <c r="I44" i="69" s="1"/>
  <c r="H139" i="69" s="1"/>
  <c r="I80" i="69" a="1"/>
  <c r="I80" i="69" s="1"/>
  <c r="H178" i="69" s="1"/>
  <c r="I178" i="69" s="1"/>
  <c r="K178" i="69" s="1" a="1"/>
  <c r="K178" i="69" s="1"/>
  <c r="I39" i="69" a="1"/>
  <c r="I39" i="69" s="1"/>
  <c r="H134" i="69" s="1"/>
  <c r="I134" i="69" s="1"/>
  <c r="K134" i="69" s="1" a="1"/>
  <c r="K134" i="69" s="1"/>
  <c r="I78" i="69" a="1"/>
  <c r="I78" i="69" s="1"/>
  <c r="H176" i="69" s="1"/>
  <c r="I176" i="69" s="1"/>
  <c r="K176" i="69" s="1" a="1"/>
  <c r="K176" i="69" s="1"/>
  <c r="I31" i="69" a="1"/>
  <c r="I31" i="69" s="1"/>
  <c r="H126" i="69" s="1"/>
  <c r="I126" i="69" s="1"/>
  <c r="K126" i="69" s="1" a="1"/>
  <c r="K126" i="69" s="1"/>
  <c r="I76" i="69" a="1"/>
  <c r="I76" i="69" s="1"/>
  <c r="H174" i="69" s="1"/>
  <c r="I174" i="69" s="1"/>
  <c r="K174" i="69" s="1" a="1"/>
  <c r="K174" i="69" s="1"/>
  <c r="I73" i="69" a="1"/>
  <c r="I73" i="69" s="1"/>
  <c r="H171" i="69" s="1"/>
  <c r="I74" i="69" a="1"/>
  <c r="I74" i="69" s="1"/>
  <c r="H172" i="69" s="1"/>
  <c r="I25" i="69" a="1"/>
  <c r="I25" i="69" s="1"/>
  <c r="H120" i="69" s="1"/>
  <c r="I120" i="69" s="1"/>
  <c r="K120" i="69" s="1" a="1"/>
  <c r="K120" i="69" s="1"/>
  <c r="I27" i="69" a="1"/>
  <c r="I27" i="69" s="1"/>
  <c r="H122" i="69" s="1"/>
  <c r="I122" i="69" s="1"/>
  <c r="K122" i="69" s="1" a="1"/>
  <c r="K122" i="69" s="1"/>
  <c r="I36" i="69" a="1"/>
  <c r="I36" i="69" s="1"/>
  <c r="H131" i="69" s="1"/>
  <c r="G157" i="69" a="1"/>
  <c r="G157" i="69" s="1"/>
  <c r="G116" i="69" a="1"/>
  <c r="G116" i="69" s="1"/>
  <c r="I63" i="69" a="1"/>
  <c r="I63" i="69" s="1"/>
  <c r="H161" i="69" s="1"/>
  <c r="I161" i="69" s="1"/>
  <c r="K161" i="69" s="1" a="1"/>
  <c r="K161" i="69" s="1"/>
  <c r="J157" i="69" a="1"/>
  <c r="J157" i="69" s="1"/>
  <c r="G59" i="69" a="1"/>
  <c r="G59" i="69" s="1"/>
  <c r="I59" i="69" s="1" a="1"/>
  <c r="I59" i="69" s="1"/>
  <c r="H157" i="69" s="1"/>
  <c r="I72" i="69" a="1"/>
  <c r="I72" i="69" s="1"/>
  <c r="H170" i="69" s="1"/>
  <c r="I71" i="69" a="1"/>
  <c r="I71" i="69" s="1"/>
  <c r="H169" i="69" s="1"/>
  <c r="I77" i="69" a="1"/>
  <c r="I77" i="69" s="1"/>
  <c r="H175" i="69" s="1"/>
  <c r="I175" i="69" s="1"/>
  <c r="K175" i="69" s="1" a="1"/>
  <c r="K175" i="69" s="1"/>
  <c r="I40" i="69" a="1"/>
  <c r="I40" i="69" s="1"/>
  <c r="H135" i="69" s="1"/>
  <c r="I135" i="69" s="1"/>
  <c r="K135" i="69" s="1" a="1"/>
  <c r="K135" i="69" s="1"/>
  <c r="I34" i="69" a="1"/>
  <c r="I34" i="69" s="1"/>
  <c r="H129" i="69" s="1"/>
  <c r="I65" i="69" a="1"/>
  <c r="I65" i="69" s="1"/>
  <c r="H163" i="69" s="1"/>
  <c r="I163" i="69" s="1"/>
  <c r="K163" i="69" s="1" a="1"/>
  <c r="K163" i="69" s="1"/>
  <c r="I69" i="69" a="1"/>
  <c r="I69" i="69" s="1"/>
  <c r="H167" i="69" s="1"/>
  <c r="I167" i="69" s="1"/>
  <c r="K167" i="69" s="1" a="1"/>
  <c r="K167" i="69" s="1"/>
  <c r="I38" i="69" a="1"/>
  <c r="I38" i="69" s="1"/>
  <c r="H133" i="69" s="1"/>
  <c r="I133" i="69" s="1"/>
  <c r="K133" i="69" s="1" a="1"/>
  <c r="K133" i="69" s="1"/>
  <c r="I61" i="69" a="1"/>
  <c r="I61" i="69" s="1"/>
  <c r="H159" i="69" s="1"/>
  <c r="I159" i="69" s="1"/>
  <c r="K159" i="69" s="1" a="1"/>
  <c r="K159" i="69" s="1"/>
  <c r="G21" i="69" a="1"/>
  <c r="G21" i="69" s="1"/>
  <c r="I21" i="69" s="1" a="1"/>
  <c r="I21" i="69" s="1"/>
  <c r="H116" i="69" s="1"/>
  <c r="I35" i="69" a="1"/>
  <c r="I35" i="69" s="1"/>
  <c r="H130" i="69" s="1"/>
  <c r="I22" i="69" a="1"/>
  <c r="I22" i="69" s="1"/>
  <c r="H117" i="69" s="1"/>
  <c r="I117" i="69" s="1"/>
  <c r="K117" i="69" s="1" a="1"/>
  <c r="K117" i="69" s="1"/>
  <c r="I64" i="69" a="1"/>
  <c r="I64" i="69" s="1"/>
  <c r="H162" i="69" s="1"/>
  <c r="I162" i="69" s="1"/>
  <c r="K162" i="69" s="1" a="1"/>
  <c r="K162" i="69" s="1"/>
  <c r="I23" i="69" a="1"/>
  <c r="I23" i="69" s="1"/>
  <c r="H118" i="69" s="1"/>
  <c r="I118" i="69" s="1"/>
  <c r="K118" i="69" s="1" a="1"/>
  <c r="K118" i="69" s="1"/>
  <c r="I37" i="69" a="1"/>
  <c r="I37" i="69" s="1"/>
  <c r="H132" i="69" s="1"/>
  <c r="I132" i="69" s="1"/>
  <c r="I66" i="69" a="1"/>
  <c r="I66" i="69" s="1"/>
  <c r="H164" i="69" s="1"/>
  <c r="I164" i="69" s="1"/>
  <c r="K164" i="69" s="1" a="1"/>
  <c r="K164" i="69" s="1"/>
  <c r="I67" i="69" a="1"/>
  <c r="I67" i="69" s="1"/>
  <c r="H165" i="69" s="1"/>
  <c r="I165" i="69" s="1"/>
  <c r="K165" i="69" s="1" a="1"/>
  <c r="K165" i="69" s="1"/>
  <c r="I30" i="69" a="1"/>
  <c r="I30" i="69" s="1"/>
  <c r="H125" i="69" s="1"/>
  <c r="I125" i="69" s="1"/>
  <c r="K125" i="69" s="1" a="1"/>
  <c r="K125" i="69" s="1"/>
  <c r="I29" i="69" a="1"/>
  <c r="I29" i="69" s="1"/>
  <c r="H124" i="69" s="1"/>
  <c r="I124" i="69" s="1"/>
  <c r="K124" i="69" s="1" a="1"/>
  <c r="K124" i="69" s="1"/>
  <c r="I60" i="69" a="1"/>
  <c r="I60" i="69" s="1"/>
  <c r="H158" i="69" s="1"/>
  <c r="I158" i="69" s="1"/>
  <c r="K158" i="69" s="1" a="1"/>
  <c r="K158" i="69" s="1"/>
  <c r="I28" i="69" a="1"/>
  <c r="I28" i="69" s="1"/>
  <c r="H123" i="69" s="1"/>
  <c r="I123" i="69" s="1"/>
  <c r="K123" i="69" s="1" a="1"/>
  <c r="K123" i="69" s="1"/>
  <c r="H127" i="69"/>
  <c r="I62" i="69" a="1"/>
  <c r="I62" i="69" s="1"/>
  <c r="H160" i="69" s="1"/>
  <c r="I160" i="69" s="1"/>
  <c r="K160" i="69" s="1" a="1"/>
  <c r="K160" i="69" s="1"/>
  <c r="I33" i="69" a="1"/>
  <c r="I33" i="69" s="1"/>
  <c r="H128" i="69" s="1"/>
  <c r="I127" i="69" l="1"/>
  <c r="K127" i="69" s="1" a="1"/>
  <c r="K127" i="69" s="1"/>
  <c r="I179" i="69"/>
  <c r="K179" i="69" s="1" a="1"/>
  <c r="K179" i="69" s="1"/>
  <c r="I138" i="69"/>
  <c r="K138" i="69" s="1" a="1"/>
  <c r="K138" i="69" s="1"/>
  <c r="I185" i="69"/>
  <c r="K185" i="69" s="1" a="1"/>
  <c r="K185" i="69" s="1"/>
  <c r="I168" i="69"/>
  <c r="K168" i="69" s="1" a="1"/>
  <c r="K168" i="69" s="1"/>
  <c r="I144" i="69"/>
  <c r="K144" i="69" s="1" a="1"/>
  <c r="K144" i="69" s="1"/>
  <c r="K132" i="69" a="1"/>
  <c r="K132" i="69" s="1"/>
  <c r="I116" i="69"/>
  <c r="K116" i="69" s="1" a="1"/>
  <c r="K116" i="69" s="1"/>
  <c r="I157" i="69"/>
  <c r="K157" i="69" s="1" a="1"/>
  <c r="K157" i="69" s="1"/>
  <c r="E151" i="69" l="1"/>
  <c r="E192" i="69"/>
  <c r="E9" i="13" l="1"/>
  <c r="F9" i="13" s="1"/>
  <c r="E13" i="13"/>
  <c r="F13" i="13" s="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<sst xmlns="http://schemas.openxmlformats.org/spreadsheetml/2006/main" count="459" uniqueCount="209">
  <si>
    <t>INPUTS</t>
  </si>
  <si>
    <t>APPENDICES</t>
  </si>
  <si>
    <t>Emissions breakdown</t>
  </si>
  <si>
    <t>Climate zone</t>
  </si>
  <si>
    <t>Unit</t>
  </si>
  <si>
    <t>State/Territory</t>
  </si>
  <si>
    <t>Common Name</t>
  </si>
  <si>
    <t>Abbreviation</t>
  </si>
  <si>
    <t>SA 4 Name</t>
  </si>
  <si>
    <t>Function name</t>
  </si>
  <si>
    <t>Gas</t>
  </si>
  <si>
    <t>CO2-e factor</t>
  </si>
  <si>
    <t>Variable</t>
  </si>
  <si>
    <t>Conversion factor</t>
  </si>
  <si>
    <t>Conversion factor 1</t>
  </si>
  <si>
    <t>Conversion factor 2</t>
  </si>
  <si>
    <t>Conversion factor combined</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</si>
  <si>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</si>
  <si>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</si>
  <si>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</si>
  <si>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</si>
  <si>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</si>
  <si>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</si>
  <si>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</si>
  <si>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</si>
  <si>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</si>
  <si>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</si>
  <si>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</si>
  <si>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</si>
  <si>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</si>
  <si>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</si>
  <si>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</si>
  <si>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</si>
  <si>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</si>
  <si>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</si>
  <si>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Temperature Zone</t>
  </si>
  <si>
    <t>Min MAT</t>
  </si>
  <si>
    <t>Max MAT</t>
  </si>
  <si>
    <t>Rainfall Zone</t>
  </si>
  <si>
    <t>Annual rainfall</t>
  </si>
  <si>
    <t>Leaching Zone</t>
  </si>
  <si>
    <t>Leaching criteria</t>
  </si>
  <si>
    <t>Data source</t>
  </si>
  <si>
    <t>Data score</t>
  </si>
  <si>
    <t>CALCULATIONS</t>
  </si>
  <si>
    <t>Constants - Common</t>
  </si>
  <si>
    <t>Is in leaching zone</t>
  </si>
  <si>
    <t>FracWET</t>
  </si>
  <si>
    <t>Method 1</t>
  </si>
  <si>
    <t>Scope 1 source</t>
  </si>
  <si>
    <t>Production system j</t>
  </si>
  <si>
    <t>EFN2O</t>
  </si>
  <si>
    <t>Production system only</t>
  </si>
  <si>
    <t>Irrigation method</t>
  </si>
  <si>
    <t>GHG Unit</t>
  </si>
  <si>
    <t>Month</t>
  </si>
  <si>
    <t>Irrigation type i</t>
  </si>
  <si>
    <t>t CO2e</t>
  </si>
  <si>
    <t>EFPRP</t>
  </si>
  <si>
    <t>GHG emissions method 1</t>
  </si>
  <si>
    <t>GHG emissions method 2</t>
  </si>
  <si>
    <t>Season</t>
  </si>
  <si>
    <t>Poultry manure with bedding</t>
  </si>
  <si>
    <t>Solid storage</t>
  </si>
  <si>
    <t>Composting (passive windrow)</t>
  </si>
  <si>
    <t>Digester / covered lagoons</t>
  </si>
  <si>
    <t>Pasture range and paddock</t>
  </si>
  <si>
    <t>Direct processing</t>
  </si>
  <si>
    <t>Direct application</t>
  </si>
  <si>
    <t>MAT (ºC)</t>
  </si>
  <si>
    <t>Anaerobic lagoon</t>
  </si>
  <si>
    <t>Liquid systems</t>
  </si>
  <si>
    <t>Daily spread</t>
  </si>
  <si>
    <t>Pit storage</t>
  </si>
  <si>
    <t>Deep litter</t>
  </si>
  <si>
    <t>Poultry manure without bedding</t>
  </si>
  <si>
    <t>MAT raw</t>
  </si>
  <si>
    <t>Climate Zone</t>
  </si>
  <si>
    <t>EFNi &amp; EFN2Oi</t>
  </si>
  <si>
    <t>💡 NOTE: When there is no Method 2, the Method 2 result are the same as Method 1</t>
  </si>
  <si>
    <t>`</t>
  </si>
  <si>
    <t xml:space="preserve">  </t>
  </si>
  <si>
    <t>💡 Below is a diagram that maps the equations used to calculate emissions, and how they interact with each other.</t>
  </si>
  <si>
    <t xml:space="preserve">    Click on a box to go to the corresponding calculation.</t>
  </si>
  <si>
    <t xml:space="preserve"> </t>
  </si>
  <si>
    <t>Description</t>
  </si>
  <si>
    <t>💡 You can add more rows to the table by right-clicking on the table and selecting "Insert &gt; Table rows above/below"</t>
  </si>
  <si>
    <t>Constants - Solid Waste</t>
  </si>
  <si>
    <t>Treatment type t</t>
  </si>
  <si>
    <t>Waste type w</t>
  </si>
  <si>
    <t>EFwt</t>
  </si>
  <si>
    <t>VTMw</t>
  </si>
  <si>
    <t>10.1.1-2 Solid waste treatment</t>
  </si>
  <si>
    <t>Treatment</t>
  </si>
  <si>
    <t>Waste type</t>
  </si>
  <si>
    <t>Vwt</t>
  </si>
  <si>
    <r>
      <t>Q</t>
    </r>
    <r>
      <rPr>
        <b/>
        <vertAlign val="subscript"/>
        <sz val="11"/>
        <color rgb="FF183C1B"/>
        <rFont val="Times New Roman"/>
        <family val="1"/>
      </rPr>
      <t>wt</t>
    </r>
  </si>
  <si>
    <r>
      <t>VTM</t>
    </r>
    <r>
      <rPr>
        <b/>
        <vertAlign val="subscript"/>
        <sz val="11"/>
        <color rgb="FF183C1B"/>
        <rFont val="Times New Roman"/>
        <family val="1"/>
      </rPr>
      <t>w</t>
    </r>
  </si>
  <si>
    <t>Input - Solid waste</t>
  </si>
  <si>
    <t>tonnes</t>
  </si>
  <si>
    <t>Amount unit (select)</t>
  </si>
  <si>
    <t>Treatment location (select)</t>
  </si>
  <si>
    <t>Waste type (select)</t>
  </si>
  <si>
    <t>Treatment type (select)</t>
  </si>
  <si>
    <t>Amount</t>
  </si>
  <si>
    <t>Landfill</t>
  </si>
  <si>
    <t>Table_WasteTypes_Landfill</t>
  </si>
  <si>
    <t>Table_WasteTypes_Incineration</t>
  </si>
  <si>
    <t>Table_WasteTypes_Composting</t>
  </si>
  <si>
    <t>Table_WasteTypes_Anaerobicdigestion</t>
  </si>
  <si>
    <t>Removed and treated off-site</t>
  </si>
  <si>
    <t>cubic metres m3</t>
  </si>
  <si>
    <t>Solid waste treatment</t>
  </si>
  <si>
    <t>Treated on-site</t>
  </si>
  <si>
    <t>Incineration</t>
  </si>
  <si>
    <t>Paper and cardboard</t>
  </si>
  <si>
    <t>Table_V_w_t_onsite</t>
  </si>
  <si>
    <t>Table_V_w_t_offsite</t>
  </si>
  <si>
    <r>
      <rPr>
        <b/>
        <sz val="16"/>
        <color theme="1" tint="0.24994659260841701"/>
        <rFont val="Times New Roman"/>
        <family val="1"/>
      </rPr>
      <t>E</t>
    </r>
    <r>
      <rPr>
        <b/>
        <vertAlign val="subscript"/>
        <sz val="16"/>
        <color theme="1" tint="0.24994659260841701"/>
        <rFont val="Times New Roman"/>
        <family val="1"/>
      </rPr>
      <t>g</t>
    </r>
  </si>
  <si>
    <t>Volume of solid waste treated on-site (scope 1)</t>
  </si>
  <si>
    <t>Volume of solid waste sent offsite for treatment by third party (scope 3)</t>
  </si>
  <si>
    <t>Food waste (including animal carcasses, spoiled animal feed or crop)</t>
  </si>
  <si>
    <t>10:1.1.1 Solid waste treatment</t>
  </si>
  <si>
    <t>Scope 3 source</t>
  </si>
  <si>
    <t>Table_E_g_offsite</t>
  </si>
  <si>
    <t>Emissions from waste management of waste taken off-site (scope 3)</t>
  </si>
  <si>
    <t>Table_E_g_onsite</t>
  </si>
  <si>
    <t>Emissions from waste management of waste treated on-site (scope 1)</t>
  </si>
  <si>
    <t>EF source</t>
  </si>
  <si>
    <t>10: Solid Waste Treatment: Overview</t>
  </si>
  <si>
    <t>10: Solid Waste Treatment: Results</t>
  </si>
  <si>
    <t>Composting</t>
  </si>
  <si>
    <t>Landfill food waste on site (tonnes)</t>
  </si>
  <si>
    <t>Landfill food waste on site (m3)</t>
  </si>
  <si>
    <t>Landfill food waste offsite (tonnes)</t>
  </si>
  <si>
    <t>Landfill food waste offsite (m3)</t>
  </si>
  <si>
    <t>Landfill Paper offsite (tonnes)</t>
  </si>
  <si>
    <t>Landfill Paper waste offsite (m3)</t>
  </si>
  <si>
    <t>Landfill Paper waste on site (tonnes)</t>
  </si>
  <si>
    <t>Landfill Paper on site (m3)</t>
  </si>
  <si>
    <t>Landfill Green waste offsite (tonnes)</t>
  </si>
  <si>
    <t>Landfill Green waste offsite (m3)</t>
  </si>
  <si>
    <t>Landfill Green waste on site (tonnes)</t>
  </si>
  <si>
    <t>Landfill Green waste on site (m3)</t>
  </si>
  <si>
    <t>Green waste (including crop residues or prunings)</t>
  </si>
  <si>
    <t>Compost food waste on site (m3)</t>
  </si>
  <si>
    <t>Compost food waste on site (tonnes)</t>
  </si>
  <si>
    <t>Compost paper and cardboard on site (tonnes)</t>
  </si>
  <si>
    <t>Compost paper and cardboard on site (m3)</t>
  </si>
  <si>
    <t>Not used</t>
  </si>
  <si>
    <r>
      <t>E</t>
    </r>
    <r>
      <rPr>
        <b/>
        <vertAlign val="subscript"/>
        <sz val="11"/>
        <color rgb="FF183C1B"/>
        <rFont val="Times New Roman"/>
        <family val="1"/>
      </rPr>
      <t>g</t>
    </r>
  </si>
  <si>
    <r>
      <t>EF</t>
    </r>
    <r>
      <rPr>
        <b/>
        <vertAlign val="subscript"/>
        <sz val="11"/>
        <color rgb="FF183C1B"/>
        <rFont val="Times New Roman"/>
        <family val="1"/>
      </rPr>
      <t>wtg</t>
    </r>
  </si>
  <si>
    <r>
      <t>Q</t>
    </r>
    <r>
      <rPr>
        <b/>
        <vertAlign val="subscript"/>
        <sz val="11"/>
        <color rgb="FF183C1B"/>
        <rFont val="Times New Roman"/>
        <family val="1"/>
      </rPr>
      <t>volwt</t>
    </r>
  </si>
  <si>
    <r>
      <t>Q</t>
    </r>
    <r>
      <rPr>
        <b/>
        <vertAlign val="subscript"/>
        <sz val="11"/>
        <color rgb="FF533001"/>
        <rFont val="Times New Roman"/>
        <family val="1"/>
      </rPr>
      <t>masswt</t>
    </r>
  </si>
  <si>
    <t>Summed above</t>
  </si>
  <si>
    <t>Incineration paper and cardboard on site (tonnes)</t>
  </si>
  <si>
    <t>Incineration paper and cardboard on site (m3)</t>
  </si>
  <si>
    <t>Incineration green waste on site (tonnes)</t>
  </si>
  <si>
    <t>Incineration green waste on site (m3)</t>
  </si>
  <si>
    <t>Incineration green waste offsite (tonnes)</t>
  </si>
  <si>
    <t>Incineration green waste offsite (m3)</t>
  </si>
  <si>
    <t>Home</t>
  </si>
  <si>
    <t>Data quality scoring</t>
  </si>
  <si>
    <t>Table_SourceData_DataQuality_TemporalRepresentativeness</t>
  </si>
  <si>
    <t>ID</t>
  </si>
  <si>
    <t>Score</t>
  </si>
  <si>
    <t>Data collected covers the time-period for which emissions are being estimated  </t>
  </si>
  <si>
    <t>TR5</t>
  </si>
  <si>
    <t>Data collected represents activities that occurred within 2 years of the time-period being assessed  </t>
  </si>
  <si>
    <t>TR4</t>
  </si>
  <si>
    <t>Data collected represents activities that occurred within 3 years of to the time-period being assessed  </t>
  </si>
  <si>
    <t>TR3</t>
  </si>
  <si>
    <t>Data collected represents activities that occurred within 4 years of the time-period being assessed  </t>
  </si>
  <si>
    <t>TR2</t>
  </si>
  <si>
    <t>Age of data unknown or data more than 4 years older than the time-period being reported  </t>
  </si>
  <si>
    <t>TR1</t>
  </si>
  <si>
    <t>Table_SourceData_DataQuality_SpatialRepresentativeness</t>
  </si>
  <si>
    <t>Data covers specific entity location(s) with spatial partitioning or using stratified sampling within property </t>
  </si>
  <si>
    <t>SR5</t>
  </si>
  <si>
    <t>Data covers specific entity location(s) without spatial partitioning within property  </t>
  </si>
  <si>
    <t>SR4</t>
  </si>
  <si>
    <t>Data based on regional data from a government or industry database or survey </t>
  </si>
  <si>
    <t>SR3</t>
  </si>
  <si>
    <t>Data based on state data from a government or industry database or survey </t>
  </si>
  <si>
    <t>SR2</t>
  </si>
  <si>
    <t>Data based on national data from a government or industry database or survey </t>
  </si>
  <si>
    <t>SR1</t>
  </si>
  <si>
    <t>Table_SourceData_DataQuality_SampleSize</t>
  </si>
  <si>
    <t>Data based on sample size of &gt;90% (e.g. total annual fuel purchases) </t>
  </si>
  <si>
    <t>SS5</t>
  </si>
  <si>
    <t>Data based on sample size of 51-90%  </t>
  </si>
  <si>
    <t>SS4</t>
  </si>
  <si>
    <t>Data based on sample size of 21-50%  </t>
  </si>
  <si>
    <t>SS3</t>
  </si>
  <si>
    <t>Data based on sample size of &lt;20% (e.g. liveweight measured for 10% of herd) </t>
  </si>
  <si>
    <t>SS2</t>
  </si>
  <si>
    <t>Unknown (e.g. data based on national/state/regional data source) </t>
  </si>
  <si>
    <t>SS1</t>
  </si>
  <si>
    <t>Table_SourceData_DataQuality_Scope3</t>
  </si>
  <si>
    <t>Verified data provided by supplier consistent with ISO14067:2018 or GHG Protocol Product Lifecycle Accounting and Reporting Standard </t>
  </si>
  <si>
    <t>S35</t>
  </si>
  <si>
    <t>Unverified supplier data, consistent with ISO14067:2018 or GHG Protocol Product Lifecycle Accounting and Reporting Standard, or consistent with these Guidelines (where appropriate)</t>
  </si>
  <si>
    <t>S34</t>
  </si>
  <si>
    <t>Regionally relevant product specific value from database developed using international best practice </t>
  </si>
  <si>
    <t>S33</t>
  </si>
  <si>
    <t>Nationally relevant product specific value from database developed using international best practice   </t>
  </si>
  <si>
    <t>S32</t>
  </si>
  <si>
    <t>Geographically generic product specific value from database developed using international best practice </t>
  </si>
  <si>
    <t>S31</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</si>
</sst>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43" formatCode="_-* #,##0.00_-;\-* #,##0.00_-;_-* &quot;-&quot;??_-;_-@_-"/>
    <numFmt numFmtId="164" formatCode="0.000"/>
    <numFmt numFmtId="165" formatCode="#,##0.000"/>
    <numFmt numFmtId="166" formatCode="d/mm/yyyy;@"/>
    <numFmt numFmtId="167" formatCode="[$-C09]dd\-mmmm\-yyyy;@"/>
    <numFmt numFmtId="168" formatCode="#,##0.000000"/>
    <numFmt numFmtId="169" formatCode="0.0000"/>
  </numFmts>
  <fonts count="56"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b/>
      <sz val="11"/>
      <color theme="1"/>
      <name val="Times New Roman"/>
      <family val="1"/>
      <scheme val="minor"/>
    </font>
    <font>
      <b/>
      <sz val="14"/>
      <color theme="1"/>
      <name val="Times New Roman"/>
      <family val="1"/>
      <scheme val="minor"/>
    </font>
    <font>
      <sz val="12"/>
      <color theme="0" tint="-4.9989318521683403E-2"/>
      <name val="Times New Roman"/>
      <family val="1"/>
    </font>
    <font>
      <sz val="10"/>
      <color theme="1" tint="0.34998626667073579"/>
      <name val="Times New Roman"/>
      <family val="1"/>
    </font>
    <font>
      <sz val="10"/>
      <name val="Arial"/>
      <family val="2"/>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sz val="14"/>
      <color theme="1" tint="0.34998626667073579"/>
      <name val="Times New Roman"/>
      <family val="1"/>
    </font>
    <font>
      <b/>
      <sz val="12"/>
      <color rgb="FFCC6600"/>
      <name val="Times New Roman"/>
      <family val="1"/>
    </font>
    <font>
      <i/>
      <sz val="10"/>
      <color theme="6" tint="-0.499984740745262"/>
      <name val="Times New Roman"/>
      <family val="1"/>
    </font>
    <font>
      <i/>
      <sz val="10"/>
      <color theme="5" tint="-0.499984740745262"/>
      <name val="Times New Roman"/>
      <family val="1"/>
    </font>
    <font>
      <u/>
      <sz val="10"/>
      <color theme="1" tint="0.34998626667073579"/>
      <name val="Times New Roman"/>
      <family val="1"/>
    </font>
    <font>
      <i/>
      <sz val="10"/>
      <color theme="1" tint="0.14999847407452621"/>
      <name val="Times New Roman"/>
      <family val="1"/>
      <scheme val="minor"/>
    </font>
    <font>
      <b/>
      <sz val="20"/>
      <color theme="3" tint="9.9978637043366805E-2"/>
      <name val="Times New Roman"/>
      <family val="1"/>
    </font>
    <font>
      <sz val="16"/>
      <color theme="1" tint="0.24994659260841701"/>
      <name val="Times New Roman"/>
      <family val="1"/>
    </font>
    <font>
      <b/>
      <sz val="16"/>
      <color theme="1" tint="0.24994659260841701"/>
      <name val="Times New Roman"/>
      <family val="1"/>
    </font>
    <font>
      <b/>
      <vertAlign val="subscript"/>
      <sz val="16"/>
      <color theme="1" tint="0.24994659260841701"/>
      <name val="Times New Roman"/>
      <family val="1"/>
    </font>
    <font>
      <i/>
      <sz val="16"/>
      <color theme="1" tint="0.34998626667073579"/>
      <name val="Times New Roman"/>
      <family val="1"/>
    </font>
    <font>
      <b/>
      <sz val="11"/>
      <color theme="1"/>
      <name val="Times New Roman"/>
      <family val="2"/>
      <scheme val="minor"/>
    </font>
    <font>
      <b/>
      <vertAlign val="subscript"/>
      <sz val="11"/>
      <color rgb="FF183C1B"/>
      <name val="Times New Roman"/>
      <family val="1"/>
    </font>
    <font>
      <b/>
      <sz val="11"/>
      <color theme="1"/>
      <name val="Times New Roman"/>
      <family val="2"/>
    </font>
    <font>
      <b/>
      <vertAlign val="subscript"/>
      <sz val="11"/>
      <color rgb="FF533001"/>
      <name val="Times New Roman"/>
      <family val="1"/>
    </font>
    <font>
      <sz val="9"/>
      <color rgb="FF404040"/>
      <name val="Times New Roman"/>
      <family val="1"/>
    </font>
    <font>
      <u/>
      <sz val="11"/>
      <color theme="10"/>
      <name val="Times New Roman"/>
      <family val="2"/>
      <scheme val="minor"/>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17">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s>
  <cellStyleXfs count="68">
    <xf numFmtId="0" fontId="0" fillId="0" borderId="0"/>
    <xf numFmtId="0" fontId="5" fillId="2" borderId="0">
      <alignment horizontal="left" vertical="center" indent="1"/>
      <protection locked="0"/>
    </xf>
    <xf numFmtId="0" fontId="4" fillId="0" borderId="0"/>
    <xf numFmtId="0" fontId="1" fillId="0" borderId="0">
      <alignment vertical="center"/>
    </xf>
    <xf numFmtId="0" fontId="16" fillId="3" borderId="0">
      <alignment vertical="center"/>
    </xf>
    <xf numFmtId="0" fontId="28" fillId="4" borderId="0">
      <alignment horizontal="left" vertical="center"/>
    </xf>
    <xf numFmtId="0" fontId="33" fillId="4" borderId="0">
      <alignment vertical="center"/>
    </xf>
    <xf numFmtId="0" fontId="3" fillId="4" borderId="0">
      <alignment horizontal="left" vertical="center"/>
    </xf>
    <xf numFmtId="0" fontId="3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3" fillId="0" borderId="2">
      <alignment horizontal="center" vertical="center"/>
    </xf>
    <xf numFmtId="0" fontId="14" fillId="0" borderId="2">
      <alignment horizontal="center" vertical="center"/>
    </xf>
    <xf numFmtId="9" fontId="13" fillId="0" borderId="2">
      <alignment horizontal="center" vertical="center"/>
    </xf>
    <xf numFmtId="165" fontId="13" fillId="0" borderId="2">
      <alignment horizontal="center" vertical="center"/>
    </xf>
    <xf numFmtId="3" fontId="13" fillId="0" borderId="2">
      <alignment horizontal="center" vertical="center"/>
    </xf>
    <xf numFmtId="0" fontId="15" fillId="4" borderId="0">
      <alignment horizontal="left" vertical="center"/>
    </xf>
    <xf numFmtId="0" fontId="6" fillId="4" borderId="3">
      <alignment horizontal="left" vertical="center" indent="1"/>
    </xf>
    <xf numFmtId="164" fontId="8" fillId="4" borderId="3">
      <alignment horizontal="center" vertical="center"/>
    </xf>
    <xf numFmtId="0" fontId="3" fillId="4" borderId="3">
      <alignment horizontal="left" vertical="center"/>
    </xf>
    <xf numFmtId="0" fontId="12" fillId="6" borderId="0">
      <alignment horizontal="left" vertical="center" indent="1"/>
    </xf>
    <xf numFmtId="0" fontId="12" fillId="6" borderId="0">
      <alignment horizontal="center" vertical="center"/>
      <protection locked="0"/>
    </xf>
    <xf numFmtId="0" fontId="11" fillId="4" borderId="0">
      <alignment vertical="center"/>
    </xf>
    <xf numFmtId="0" fontId="16" fillId="7" borderId="0">
      <alignment vertical="center"/>
    </xf>
    <xf numFmtId="0" fontId="10" fillId="0" borderId="0"/>
    <xf numFmtId="0" fontId="2" fillId="0" borderId="0">
      <alignment horizontal="left" vertical="center" indent="1"/>
    </xf>
    <xf numFmtId="0" fontId="17" fillId="9" borderId="4">
      <alignment horizontal="left" vertical="center" indent="1"/>
    </xf>
    <xf numFmtId="0" fontId="20" fillId="10" borderId="0">
      <alignment horizontal="left" vertical="center" indent="1"/>
    </xf>
    <xf numFmtId="0" fontId="20" fillId="5" borderId="0">
      <alignment horizontal="left" vertical="center" indent="1"/>
    </xf>
    <xf numFmtId="0" fontId="20" fillId="8" borderId="0">
      <alignment horizontal="left" vertical="center" indent="1"/>
    </xf>
    <xf numFmtId="0" fontId="22" fillId="0" borderId="0">
      <alignment horizontal="left" vertical="center" indent="2"/>
    </xf>
    <xf numFmtId="0" fontId="34" fillId="13" borderId="7">
      <alignment horizontal="left" vertical="center"/>
    </xf>
    <xf numFmtId="3" fontId="26" fillId="4" borderId="2">
      <alignment horizontal="center" vertical="center"/>
    </xf>
    <xf numFmtId="167" fontId="2" fillId="0" borderId="2">
      <alignment horizontal="center" vertical="center"/>
    </xf>
    <xf numFmtId="0" fontId="27" fillId="0" borderId="0"/>
    <xf numFmtId="0" fontId="9" fillId="0" borderId="0"/>
    <xf numFmtId="0" fontId="27" fillId="0" borderId="0"/>
    <xf numFmtId="166" fontId="26" fillId="4" borderId="2">
      <alignment horizontal="center" vertical="center"/>
    </xf>
    <xf numFmtId="4" fontId="26" fillId="4" borderId="2">
      <alignment horizontal="center" vertical="center"/>
    </xf>
    <xf numFmtId="0" fontId="39" fillId="4" borderId="0">
      <alignment horizontal="left" vertical="center"/>
    </xf>
    <xf numFmtId="0" fontId="29" fillId="4" borderId="0" applyNumberFormat="0">
      <alignment horizontal="center" vertical="center"/>
    </xf>
    <xf numFmtId="165" fontId="26" fillId="4" borderId="2">
      <alignment horizontal="center" vertical="center"/>
    </xf>
    <xf numFmtId="0" fontId="25" fillId="4" borderId="0">
      <alignment horizontal="left" vertical="center"/>
    </xf>
    <xf numFmtId="168" fontId="26" fillId="4" borderId="2">
      <alignment horizontal="center" vertical="center"/>
    </xf>
    <xf numFmtId="0" fontId="26" fillId="4" borderId="2">
      <alignment horizontal="center" vertical="center"/>
    </xf>
    <xf numFmtId="0" fontId="6" fillId="4" borderId="0">
      <alignment horizontal="left" vertical="center"/>
    </xf>
    <xf numFmtId="0" fontId="32" fillId="4" borderId="0">
      <alignment horizontal="left" vertical="center"/>
    </xf>
    <xf numFmtId="0" fontId="9" fillId="0" borderId="0"/>
    <xf numFmtId="0" fontId="2" fillId="0" borderId="2">
      <alignment horizontal="center" vertical="center"/>
    </xf>
    <xf numFmtId="0" fontId="37" fillId="4" borderId="0">
      <alignment horizontal="left" vertical="center"/>
    </xf>
    <xf numFmtId="0" fontId="38" fillId="4" borderId="0">
      <alignment horizontal="left" vertical="center"/>
    </xf>
    <xf numFmtId="0" fontId="40" fillId="4" borderId="0">
      <alignment horizontal="left" vertical="center"/>
    </xf>
    <xf numFmtId="0" fontId="36" fillId="11" borderId="0">
      <alignment horizontal="center" vertical="center"/>
    </xf>
    <xf numFmtId="0" fontId="20" fillId="11" borderId="0">
      <alignment horizontal="left" vertical="center" indent="1"/>
    </xf>
    <xf numFmtId="0" fontId="42" fillId="14" borderId="2">
      <alignment horizontal="center" vertical="center"/>
    </xf>
    <xf numFmtId="0" fontId="41" fillId="15" borderId="2">
      <alignment horizontal="center" vertical="center"/>
    </xf>
    <xf numFmtId="0" fontId="43" fillId="4" borderId="2">
      <alignment horizontal="left" vertical="center"/>
    </xf>
    <xf numFmtId="0" fontId="26" fillId="4" borderId="2">
      <alignment horizontal="left" vertical="center"/>
    </xf>
    <xf numFmtId="0" fontId="44" fillId="0" borderId="0"/>
    <xf numFmtId="0" fontId="55" fillId="0" borderId="0" applyNumberFormat="0" applyFill="0" applyBorder="0" applyAlignment="0" applyProtection="0"/>
  </cellStyleXfs>
  <cellXfs count="75">
    <xf numFmtId="0" fontId="0" fillId="0" borderId="0" xfId="0"/>
    <xf numFmtId="0" fontId="30" fillId="4" borderId="0" xfId="8">
      <alignment horizontal="left" vertical="center"/>
    </xf>
    <xf numFmtId="0" fontId="3" fillId="4" borderId="0" xfId="7">
      <alignment horizontal="left" vertical="center"/>
    </xf>
    <xf numFmtId="0" fontId="16" fillId="3" borderId="0" xfId="4">
      <alignment vertical="center"/>
    </xf>
    <xf numFmtId="0" fontId="33" fillId="4" borderId="0" xfId="6">
      <alignment vertical="center"/>
    </xf>
    <xf numFmtId="0" fontId="2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16" fillId="0" borderId="0" xfId="4" applyFill="1">
      <alignment vertical="center"/>
    </xf>
    <xf numFmtId="0" fontId="15" fillId="4" borderId="0" xfId="24">
      <alignment horizontal="left" vertical="center"/>
    </xf>
    <xf numFmtId="0" fontId="16" fillId="7" borderId="0" xfId="31">
      <alignment vertical="center"/>
    </xf>
    <xf numFmtId="0" fontId="2" fillId="0" borderId="0" xfId="33">
      <alignment horizontal="left" vertical="center" indent="1"/>
    </xf>
    <xf numFmtId="0" fontId="18" fillId="9" borderId="4" xfId="34" applyFont="1">
      <alignment horizontal="left" vertical="center" indent="1"/>
    </xf>
    <xf numFmtId="0" fontId="19" fillId="9" borderId="4" xfId="34" applyFont="1">
      <alignment horizontal="left" vertical="center" indent="1"/>
    </xf>
    <xf numFmtId="0" fontId="34" fillId="13" borderId="7" xfId="39">
      <alignment horizontal="left" vertical="center"/>
    </xf>
    <xf numFmtId="0" fontId="0" fillId="4" borderId="0" xfId="0" applyFill="1"/>
    <xf numFmtId="2" fontId="0" fillId="4" borderId="0" xfId="0" applyNumberFormat="1" applyFill="1" applyAlignment="1">
      <alignment vertical="center"/>
    </xf>
    <xf numFmtId="0" fontId="16" fillId="4" borderId="0" xfId="4" applyFill="1">
      <alignment vertical="center"/>
    </xf>
    <xf numFmtId="0" fontId="23" fillId="4" borderId="0" xfId="0" applyFont="1" applyFill="1"/>
    <xf numFmtId="2" fontId="24" fillId="4" borderId="0" xfId="0" applyNumberFormat="1" applyFont="1" applyFill="1"/>
    <xf numFmtId="0" fontId="6" fillId="4" borderId="0" xfId="12" applyAlignment="1">
      <alignment horizontal="left" indent="1"/>
    </xf>
    <xf numFmtId="0" fontId="30" fillId="4" borderId="0" xfId="8" applyAlignment="1">
      <alignment horizontal="right" vertical="center"/>
    </xf>
    <xf numFmtId="0" fontId="0" fillId="0" borderId="0" xfId="7" applyFont="1" applyFill="1">
      <alignment horizontal="left" vertical="center"/>
    </xf>
    <xf numFmtId="0" fontId="0" fillId="0" borderId="0" xfId="8" applyFont="1" applyFill="1">
      <alignment horizontal="left" vertical="center"/>
    </xf>
    <xf numFmtId="0" fontId="3" fillId="12" borderId="2" xfId="15">
      <alignment horizontal="center" vertical="center"/>
    </xf>
    <xf numFmtId="0" fontId="26" fillId="4" borderId="2" xfId="52">
      <alignment horizontal="center" vertical="center"/>
    </xf>
    <xf numFmtId="0" fontId="31" fillId="4" borderId="0" xfId="8" applyFont="1">
      <alignment horizontal="left" vertical="center"/>
    </xf>
    <xf numFmtId="0" fontId="6" fillId="4" borderId="0" xfId="53">
      <alignment horizontal="left" vertical="center"/>
    </xf>
    <xf numFmtId="0" fontId="32" fillId="4" borderId="0" xfId="54">
      <alignment horizontal="left" vertical="center"/>
    </xf>
    <xf numFmtId="0" fontId="10" fillId="0" borderId="0" xfId="32"/>
    <xf numFmtId="0" fontId="34" fillId="13" borderId="9" xfId="39" applyBorder="1">
      <alignment horizontal="left" vertical="center"/>
    </xf>
    <xf numFmtId="0" fontId="34" fillId="13" borderId="11" xfId="39" applyBorder="1">
      <alignment horizontal="left" vertical="center"/>
    </xf>
    <xf numFmtId="0" fontId="34" fillId="13" borderId="12" xfId="39" applyBorder="1">
      <alignment horizontal="left" vertical="center"/>
    </xf>
    <xf numFmtId="0" fontId="34" fillId="13" borderId="13" xfId="39" applyBorder="1">
      <alignment horizontal="left" vertical="center"/>
    </xf>
    <xf numFmtId="0" fontId="40" fillId="4" borderId="0" xfId="59">
      <alignment horizontal="left" vertical="center"/>
    </xf>
    <xf numFmtId="0" fontId="36" fillId="11" borderId="0" xfId="60">
      <alignment horizontal="center" vertical="center"/>
    </xf>
    <xf numFmtId="0" fontId="30" fillId="4" borderId="0" xfId="8" applyAlignment="1">
      <alignment horizontal="center" vertical="center"/>
    </xf>
    <xf numFmtId="0" fontId="34" fillId="13" borderId="8" xfId="39" applyBorder="1">
      <alignment horizontal="left" vertical="center"/>
    </xf>
    <xf numFmtId="0" fontId="20" fillId="5" borderId="0" xfId="36">
      <alignment horizontal="left" vertical="center" indent="1"/>
    </xf>
    <xf numFmtId="0" fontId="20" fillId="11" borderId="0" xfId="61">
      <alignment horizontal="left" vertical="center" indent="1"/>
    </xf>
    <xf numFmtId="0" fontId="41" fillId="15" borderId="2" xfId="63">
      <alignment horizontal="center" vertical="center"/>
    </xf>
    <xf numFmtId="0" fontId="42" fillId="14" borderId="2" xfId="62">
      <alignment horizontal="center" vertical="center"/>
    </xf>
    <xf numFmtId="0" fontId="30" fillId="4" borderId="0" xfId="8" applyAlignment="1">
      <alignment horizontal="left" vertical="center" wrapText="1"/>
    </xf>
    <xf numFmtId="0" fontId="0" fillId="0" borderId="0" xfId="0" applyAlignment="1">
      <alignment wrapText="1"/>
    </xf>
    <xf numFmtId="0" fontId="26" fillId="4" borderId="2" xfId="65">
      <alignment horizontal="left" vertical="center"/>
    </xf>
    <xf numFmtId="0" fontId="26" fillId="4" borderId="5" xfId="65" applyBorder="1">
      <alignment horizontal="left" vertical="center"/>
    </xf>
    <xf numFmtId="0" fontId="26" fillId="4" borderId="6" xfId="65" applyBorder="1">
      <alignment horizontal="left" vertical="center"/>
    </xf>
    <xf numFmtId="169" fontId="8" fillId="4" borderId="0" xfId="10" applyNumberFormat="1">
      <alignment horizontal="center" vertical="center"/>
    </xf>
    <xf numFmtId="0" fontId="45" fillId="9" borderId="0" xfId="32" applyFont="1" applyFill="1"/>
    <xf numFmtId="0" fontId="30" fillId="9" borderId="0" xfId="8" applyFill="1">
      <alignment horizontal="left" vertical="center"/>
    </xf>
    <xf numFmtId="0" fontId="0" fillId="9" borderId="0" xfId="0" applyFill="1"/>
    <xf numFmtId="0" fontId="16" fillId="11" borderId="0" xfId="31" applyFill="1">
      <alignment vertical="center"/>
    </xf>
    <xf numFmtId="0" fontId="35" fillId="13" borderId="10" xfId="39" applyFont="1" applyBorder="1">
      <alignment horizontal="left" vertical="center"/>
    </xf>
    <xf numFmtId="0" fontId="20" fillId="10" borderId="0" xfId="35">
      <alignment horizontal="left" vertical="center" indent="1"/>
    </xf>
    <xf numFmtId="0" fontId="34" fillId="13" borderId="14" xfId="39" applyBorder="1">
      <alignment horizontal="left" vertical="center"/>
    </xf>
    <xf numFmtId="0" fontId="34" fillId="13" borderId="15" xfId="39" applyBorder="1">
      <alignment horizontal="left" vertical="center"/>
    </xf>
    <xf numFmtId="0" fontId="47" fillId="4" borderId="1" xfId="8" applyFont="1" applyBorder="1">
      <alignment horizontal="left" vertical="center"/>
    </xf>
    <xf numFmtId="0" fontId="30" fillId="4" borderId="1" xfId="8" applyBorder="1">
      <alignment horizontal="left" vertical="center"/>
    </xf>
    <xf numFmtId="0" fontId="46" fillId="4" borderId="1" xfId="8" applyFont="1" applyBorder="1">
      <alignment horizontal="left" vertical="center"/>
    </xf>
    <xf numFmtId="0" fontId="26" fillId="4" borderId="16" xfId="65" applyBorder="1">
      <alignment horizontal="left" vertical="center"/>
    </xf>
    <xf numFmtId="43" fontId="30" fillId="4" borderId="0" xfId="8" applyNumberFormat="1">
      <alignment horizontal="left" vertical="center"/>
    </xf>
    <xf numFmtId="0" fontId="12" fillId="6" borderId="0" xfId="29">
      <alignment horizontal="center" vertical="center"/>
      <protection locked="0"/>
    </xf>
    <xf numFmtId="0" fontId="20" fillId="8" borderId="0" xfId="37">
      <alignment horizontal="left" vertical="center" indent="1"/>
    </xf>
    <xf numFmtId="0" fontId="49" fillId="4" borderId="1" xfId="53" applyFont="1" applyBorder="1">
      <alignment horizontal="left" vertical="center"/>
    </xf>
    <xf numFmtId="0" fontId="37" fillId="4" borderId="0" xfId="57">
      <alignment horizontal="left" vertical="center"/>
    </xf>
    <xf numFmtId="0" fontId="38" fillId="4" borderId="0" xfId="58">
      <alignment horizontal="left" vertical="center"/>
    </xf>
    <xf numFmtId="0" fontId="5" fillId="2" borderId="0" xfId="9">
      <alignment horizontal="center" vertical="center"/>
    </xf>
    <xf numFmtId="0" fontId="26" fillId="4" borderId="5" xfId="52" applyBorder="1">
      <alignment horizontal="center" vertical="center"/>
    </xf>
    <xf numFmtId="0" fontId="50" fillId="2" borderId="0" xfId="8" applyFont="1" applyFill="1">
      <alignment horizontal="left" vertical="center"/>
    </xf>
    <xf numFmtId="0" fontId="2" fillId="0" borderId="2" xfId="56">
      <alignment horizontal="center" vertical="center"/>
    </xf>
    <xf numFmtId="0" fontId="43" fillId="4" borderId="2" xfId="64">
      <alignment horizontal="left" vertical="center"/>
    </xf>
    <xf numFmtId="0" fontId="52" fillId="0" borderId="0" xfId="8" applyFont="1" applyFill="1">
      <alignment horizontal="left" vertical="center"/>
    </xf>
    <xf numFmtId="0" fontId="54" fillId="9" borderId="4" xfId="34" applyFont="1">
      <alignment horizontal="left" vertical="center" indent="1"/>
    </xf>
    <xf numFmtId="0" fontId="55" fillId="0" borderId="0" xfId="67"/>
  </cellXfs>
  <cellStyles count="68">
    <cellStyle name="Alert" xfId="59" xr:uid="{34EFE908-8095-4010-8F93-8CFE88055637}"/>
    <cellStyle name="Arguments" xfId="65" xr:uid="{E3322BF6-A528-4CDC-9946-1481D9CFA254}"/>
    <cellStyle name="Arguments hyperlink" xfId="64" xr:uid="{D7E69B6D-2E15-48E8-BF41-EE6FEA2FBEBE}"/>
    <cellStyle name="Back to top link" xfId="66" xr:uid="{13501F59-E048-49F8-88C6-8AF5C4ACD194}"/>
    <cellStyle name="Block heading" xfId="5" xr:uid="{74527274-3B4A-494A-B37C-EA50686E114C}"/>
    <cellStyle name="Block subheading" xfId="47" xr:uid="{34E62905-A3E0-4883-B81A-BDB58FC88DA7}"/>
    <cellStyle name="Code" xfId="24" xr:uid="{99B3520F-01DD-4F8E-A8D0-24EAA04E90EB}"/>
    <cellStyle name="Content bold" xfId="7" xr:uid="{468A1381-682E-4BF1-945B-DF2E2BCA4419}"/>
    <cellStyle name="Content bold total" xfId="27" xr:uid="{17159E75-EF9F-42B8-8195-E83583796F67}"/>
    <cellStyle name="Content hidden" xfId="50"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67" builtinId="8"/>
    <cellStyle name="Information tip" xfId="39" xr:uid="{7D200D09-32E3-4546-9822-1B93AD118A74}"/>
    <cellStyle name="Information variation" xfId="54" xr:uid="{205494A3-14DD-4E6A-BDD3-5C5A864D6FA7}"/>
    <cellStyle name="Input block subheading" xfId="30" xr:uid="{A9FEBDB0-0992-4E30-96E5-9F9CAE92E3FB}"/>
    <cellStyle name="Input date" xfId="41" xr:uid="{A1D72D5E-DCF3-445F-8FC0-A147E105D774}"/>
    <cellStyle name="Input date calculated" xfId="45" xr:uid="{5A42AD0E-F665-46A9-9757-6B6A4BE7013E}"/>
    <cellStyle name="Input number 2 decimal places" xfId="17" xr:uid="{F9671E40-5700-4055-A6D2-272CF9DB620E}"/>
    <cellStyle name="Input number 2 decimal places calculated" xfId="46" xr:uid="{C04BA53C-14E1-48A5-99A3-C9FD44741A2A}"/>
    <cellStyle name="Input number 3 decimal places calculated" xfId="49" xr:uid="{637E6039-0A01-48EF-8C15-C29A497EF449}"/>
    <cellStyle name="Input number 3 decimal places disabled" xfId="22" xr:uid="{6B1B6177-B1C0-4190-858F-6E4C823402C3}"/>
    <cellStyle name="Input number 6 decimal places calculated" xfId="51" xr:uid="{CE70A7A2-3CEE-4689-8FF6-8EB6FCE0A94C}"/>
    <cellStyle name="Input number general" xfId="56" xr:uid="{D8583F7D-F13A-4EA8-BAA6-B42739FDBDDB}"/>
    <cellStyle name="Input number general calculated" xfId="52" xr:uid="{34755FEB-6E4E-4BD7-A478-DF7299A7A914}"/>
    <cellStyle name="Input number no decimals" xfId="18" xr:uid="{B33B4FB5-F3F4-4036-B2DD-663B694E2A90}"/>
    <cellStyle name="Input number no decimals calculated" xfId="40" xr:uid="{5A48F48F-03B2-410E-887B-2A9297006BAF}"/>
    <cellStyle name="Input number no decimals disabled" xfId="23" xr:uid="{7ABDCB2D-7703-4392-9553-5620789B1E19}"/>
    <cellStyle name="Input number percent disabled" xfId="21" xr:uid="{D0E8B42E-13A8-477C-99CB-5FF73C5BBAA4}"/>
    <cellStyle name="Input page heading" xfId="32" xr:uid="{74FB9B3B-4B5B-4B7F-A54C-22E0724783C8}"/>
    <cellStyle name="Input page section heading" xfId="31" xr:uid="{1A05B367-BE5D-4E2B-9831-A28D5CFAC8EC}"/>
    <cellStyle name="Input percent" xfId="16" xr:uid="{923E56A7-7902-46CD-9AA8-0D69F2E1ECA1}"/>
    <cellStyle name="Input select" xfId="15" xr:uid="{3CF2E653-7F22-4996-ABB9-95CA16698B1F}"/>
    <cellStyle name="Input select disabled" xfId="20" xr:uid="{5CE680CC-504C-444D-8337-CF97D9BB5A78}"/>
    <cellStyle name="Input table column header" xfId="29" xr:uid="{EF98B018-1246-451D-91C2-97FCD443EDC9}"/>
    <cellStyle name="Input table header" xfId="28" xr:uid="{04872377-9FDD-4D5A-91FC-B9D8DA1E8E91}"/>
    <cellStyle name="Input text" xfId="14" xr:uid="{4C71A4C5-ADD8-4A09-A7FE-940DA96821F6}"/>
    <cellStyle name="Input text calculated" xfId="48" xr:uid="{43DCF082-1F0D-4E07-9785-CAF41B37CFCC}"/>
    <cellStyle name="Input text disabled" xfId="19" xr:uid="{79E76B35-E5FF-43A1-B0D0-016F346F8B97}"/>
    <cellStyle name="Menu link child" xfId="38" xr:uid="{609090D3-DE1E-48FE-A8AA-233CE9B146E0}"/>
    <cellStyle name="Menu link default" xfId="33" xr:uid="{11B84453-1DD4-492A-B241-FE6AD4CB25FA}"/>
    <cellStyle name="Menu link selected" xfId="35" xr:uid="{B16EBA6F-62C4-483F-8E15-B20D06ABF61F}"/>
    <cellStyle name="Menu link selected equations" xfId="37" xr:uid="{7AFCC545-C221-4BAC-933E-19109D0FB654}"/>
    <cellStyle name="Menu link selected input" xfId="36" xr:uid="{17D327F4-9149-4DAC-85BB-811698090830}"/>
    <cellStyle name="Menu link selected results" xfId="61" xr:uid="{0DC56464-F1A3-42A3-BF89-514E2163E7F0}"/>
    <cellStyle name="Menu section title" xfId="34" xr:uid="{E2117B15-AE58-4F76-B13B-671D455A4107}"/>
    <cellStyle name="Normal" xfId="0" builtinId="0"/>
    <cellStyle name="Normal 2" xfId="55" xr:uid="{FE64FEFB-54C6-42B4-AA7F-D49670F5ED19}"/>
    <cellStyle name="Normal 2 2" xfId="44" xr:uid="{B8803ACE-513D-4EEF-BBE0-0BB76AE7D7F4}"/>
    <cellStyle name="Normal 4" xfId="42" xr:uid="{99CD1B63-5040-4067-BBD7-470030C57E5D}"/>
    <cellStyle name="Normal 5" xfId="43" xr:uid="{C95BEC9B-545D-4D75-A129-77179ED2BD99}"/>
    <cellStyle name="Number diplsay percent" xfId="11" xr:uid="{2A2547EE-93B6-4F82-A56A-1A45D8712142}"/>
    <cellStyle name="Number display decimal" xfId="10" xr:uid="{D6C655C7-D21F-4B70-8143-4C163C43FE08}"/>
    <cellStyle name="Number display decimal total" xfId="26" xr:uid="{A9378C0C-CCAE-43D1-BC2C-BD4A9766DA0D}"/>
    <cellStyle name="Page heading" xfId="2" xr:uid="{255E304E-A5AB-40F0-8E3A-91C132147F10}"/>
    <cellStyle name="Page section heading" xfId="4" xr:uid="{B654AFF3-28A2-43B8-AE91-E7D2C159A294}"/>
    <cellStyle name="Page source" xfId="3" xr:uid="{35DF92BD-4909-4EA7-B1E6-C0EDAAEB1713}"/>
    <cellStyle name="Results table column header" xfId="60" xr:uid="{A846043F-10AE-4BED-BAA6-90407C977915}"/>
    <cellStyle name="Table description" xfId="58" xr:uid="{8BD2F353-2E3C-42FF-89E9-616E85DC18C5}"/>
    <cellStyle name="Table name" xfId="57" xr:uid="{D56F17A4-9740-44B6-BDDB-150E2C950B8B}"/>
    <cellStyle name="Unit" xfId="12" xr:uid="{90B9E191-F5E0-43AB-A245-D6CA23D4ADFC}"/>
    <cellStyle name="Unit no indent" xfId="53" xr:uid="{2829D020-DAD8-4B7D-9262-450720E27D2B}"/>
    <cellStyle name="Unit total" xfId="25" xr:uid="{65428923-3DAD-47B6-8DDF-0EBD05E7C55B}"/>
    <cellStyle name="Variable type input" xfId="62" xr:uid="{83ED2376-8555-47B3-98E3-2416CC880284}"/>
    <cellStyle name="Variable type other" xfId="63" xr:uid="{6646F6F7-E4F9-4165-8015-E25083532B5B}"/>
  </cellStyles>
  <dxfs count="75">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color rgb="FFC44340"/>
      </font>
      <fill>
        <patternFill>
          <bgColor theme="7" tint="0.79998168889431442"/>
        </patternFill>
      </fill>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2"/>
        <color theme="1" tint="0.24994659260841701"/>
        <name val="Times New Roman"/>
        <family val="1"/>
        <scheme val="none"/>
      </font>
      <numFmt numFmtId="0" formatCode="General"/>
      <fill>
        <patternFill patternType="solid">
          <fgColor indexed="64"/>
          <bgColor theme="0" tint="-4.9989318521683403E-2"/>
        </patternFill>
      </fill>
      <alignment horizontal="left" vertical="center" textRotation="0" wrapText="0" indent="0" justifyLastLine="0" shrinkToFit="0" readingOrder="0"/>
      <border diagonalUp="0" diagonalDown="0" outline="0">
        <left/>
        <right/>
        <top/>
        <bottom/>
      </border>
      <protection locked="1" hidden="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i val="0"/>
        <strike val="0"/>
        <condense val="0"/>
        <extend val="0"/>
        <outline val="0"/>
        <shadow val="0"/>
        <u val="none"/>
        <vertAlign val="baseline"/>
        <sz val="11"/>
        <color theme="1"/>
        <name val="Times New Roman"/>
        <family val="2"/>
        <scheme val="minor"/>
      </font>
      <numFmt numFmtId="0" formatCode="General"/>
      <fill>
        <patternFill patternType="solid">
          <fgColor indexed="64"/>
          <bgColor rgb="FFB2D498"/>
        </patternFill>
      </fill>
      <alignment horizontal="left" vertical="center" textRotation="0" wrapText="0" indent="0" justifyLastLine="0" shrinkToFit="0" readingOrder="0"/>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sz val="11"/>
        <color theme="1"/>
        <family val="2"/>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4"/>
      <tableStyleElement type="headerRow" dxfId="73"/>
      <tableStyleElement type="totalRow" dxfId="72"/>
      <tableStyleElement type="firstColumn" dxfId="71"/>
      <tableStyleElement type="firstRowStripe" dxfId="70"/>
      <tableStyleElement type="secondRowStripe" dxfId="69"/>
    </tableStyle>
    <tableStyle name="Equation table" pivot="0" count="6" xr9:uid="{B247698E-E41D-4CCD-AA0A-C14817E9DE65}">
      <tableStyleElement type="wholeTable" dxfId="68"/>
      <tableStyleElement type="headerRow" dxfId="67"/>
      <tableStyleElement type="totalRow" dxfId="66"/>
      <tableStyleElement type="firstColumn" dxfId="65"/>
      <tableStyleElement type="firstRowStripe" dxfId="64"/>
      <tableStyleElement type="secondRowStripe" dxfId="63"/>
    </tableStyle>
    <tableStyle name="Table Style 1" pivot="0" count="0" xr9:uid="{97B370DB-5463-4A31-9160-5A96BD6A559D}"/>
  </tableStyles>
  <colors>
    <mruColors>
      <color rgb="FF0C769E"/>
      <color rgb="FF008000"/>
      <color rgb="FFCC6600"/>
      <color rgb="FFFFCCCC"/>
      <color rgb="FFC44340"/>
      <color rgb="FF183C1B"/>
      <color rgb="FFDCECD0"/>
      <color rgb="FFB2D498"/>
      <color rgb="FFC4433F"/>
      <color rgb="FFE9F2F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microsoft.com/office/2022/10/relationships/richValueRel" Target="richData/richValueRel.xml" /><Relationship Id="rId18" Type="http://schemas.openxmlformats.org/officeDocument/2006/relationships/customXml" Target="../customXml/item1.xml" /><Relationship Id="rId3" Type="http://schemas.openxmlformats.org/officeDocument/2006/relationships/worksheet" Target="worksheets/sheet3.xml" /><Relationship Id="rId21" Type="http://schemas.openxmlformats.org/officeDocument/2006/relationships/customXml" Target="../customXml/item4.xml" /><Relationship Id="rId7" Type="http://schemas.openxmlformats.org/officeDocument/2006/relationships/worksheet" Target="worksheets/sheet7.xml" /><Relationship Id="rId12" Type="http://schemas.openxmlformats.org/officeDocument/2006/relationships/sheetMetadata" Target="metadata.xml" /><Relationship Id="rId17" Type="http://schemas.openxmlformats.org/officeDocument/2006/relationships/calcChain" Target="calcChain.xml" /><Relationship Id="rId2" Type="http://schemas.openxmlformats.org/officeDocument/2006/relationships/worksheet" Target="worksheets/sheet2.xml" /><Relationship Id="rId16" Type="http://schemas.microsoft.com/office/2017/06/relationships/rdRichValueTypes" Target="richData/rdRichValueTypes.xml" /><Relationship Id="rId20" Type="http://schemas.openxmlformats.org/officeDocument/2006/relationships/customXml" Target="../customXml/item3.xml" /><Relationship Id="rId1" Type="http://schemas.openxmlformats.org/officeDocument/2006/relationships/worksheet" Target="worksheets/sheet1.xml" /><Relationship Id="rId6" Type="http://schemas.openxmlformats.org/officeDocument/2006/relationships/worksheet" Target="worksheets/sheet6.xml" /><Relationship Id="rId11" Type="http://schemas.openxmlformats.org/officeDocument/2006/relationships/sharedStrings" Target="sharedStrings.xml" /><Relationship Id="rId5" Type="http://schemas.openxmlformats.org/officeDocument/2006/relationships/worksheet" Target="worksheets/sheet5.xml" /><Relationship Id="rId15" Type="http://schemas.microsoft.com/office/2017/06/relationships/rdRichValueStructure" Target="richData/rdrichvaluestructure.xml" /><Relationship Id="rId10" Type="http://schemas.openxmlformats.org/officeDocument/2006/relationships/styles" Target="styles.xml" /><Relationship Id="rId19" Type="http://schemas.openxmlformats.org/officeDocument/2006/relationships/customXml" Target="../customXml/item2.xml" /><Relationship Id="rId4" Type="http://schemas.openxmlformats.org/officeDocument/2006/relationships/worksheet" Target="worksheets/sheet4.xml" /><Relationship Id="rId9" Type="http://schemas.openxmlformats.org/officeDocument/2006/relationships/theme" Target="theme/theme1.xml" /><Relationship Id="rId14" Type="http://schemas.microsoft.com/office/2017/06/relationships/rdRichValue" Target="richData/rdrichvalue.xml" /></Relationships>
</file>

<file path=xl/drawings/_rels/drawing1.xml.rels><?xml version="1.0" encoding="UTF-8" standalone="yes"?>
<Relationships xmlns="http://schemas.openxmlformats.org/package/2006/relationships"><Relationship Id="rId2" Type="http://schemas.openxmlformats.org/officeDocument/2006/relationships/hyperlink" Target="#'10.1.1-2 Solid waste treatment'!D68"/><Relationship Id="rId1" Type="http://schemas.openxmlformats.org/officeDocument/2006/relationships/hyperlink" Target="#'10.1.1-2 Solid waste treatment'!D5"/></Relationships>
</file>

<file path=xl/drawings/drawing1.xml><?xml version="1.0" encoding="utf-8"?>
<xdr:wsDr xmlns:xdr="http://schemas.openxmlformats.org/drawingml/2006/spreadsheetDrawing" xmlns:a="http://schemas.openxmlformats.org/drawingml/2006/main">
  <xdr:oneCellAnchor>
    <xdr:from>
      <xdr:col>2</xdr:col>
      <xdr:colOff>291247</xdr:colOff>
      <xdr:row>7</xdr:row>
      <xdr:rowOff>3136</xdr:rowOff>
    </xdr:from>
    <xdr:ext cx="2099527" cy="505267"/>
    <xdr:sp macro="" textlink="">
      <xdr:nvSpPr>
        <xdr:cNvPr id="4" name="TextBox 3">
          <a:extLst>
            <a:ext uri="{FF2B5EF4-FFF2-40B4-BE49-F238E27FC236}">
              <a16:creationId xmlns:a16="http://schemas.microsoft.com/office/drawing/2014/main" id="{C2B4545C-C2B3-47A1-9BAB-0C30C265F201}"/>
            </a:ext>
          </a:extLst>
        </xdr:cNvPr>
        <xdr:cNvSpPr txBox="1"/>
      </xdr:nvSpPr>
      <xdr:spPr>
        <a:xfrm>
          <a:off x="2653447" y="1870036"/>
          <a:ext cx="2099527"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rgbClr val="0C769E"/>
              </a:solidFill>
            </a:rPr>
            <a:t>10.1.1 Solid waste treatment</a:t>
          </a:r>
        </a:p>
      </xdr:txBody>
    </xdr:sp>
    <xdr:clientData/>
  </xdr:oneCellAnchor>
  <xdr:twoCellAnchor>
    <xdr:from>
      <xdr:col>3</xdr:col>
      <xdr:colOff>282285</xdr:colOff>
      <xdr:row>9</xdr:row>
      <xdr:rowOff>132483</xdr:rowOff>
    </xdr:from>
    <xdr:to>
      <xdr:col>5</xdr:col>
      <xdr:colOff>575085</xdr:colOff>
      <xdr:row>12</xdr:row>
      <xdr:rowOff>109533</xdr:rowOff>
    </xdr:to>
    <xdr:sp macro="" textlink="'10.1.1-2 Solid waste treatment'!D5">
      <xdr:nvSpPr>
        <xdr:cNvPr id="5" name="TextBox 4">
          <a:hlinkClick xmlns:r="http://schemas.openxmlformats.org/officeDocument/2006/relationships" r:id="rId1"/>
          <a:extLst>
            <a:ext uri="{FF2B5EF4-FFF2-40B4-BE49-F238E27FC236}">
              <a16:creationId xmlns:a16="http://schemas.microsoft.com/office/drawing/2014/main" id="{83645639-1493-478F-B936-8E8F041FF424}"/>
            </a:ext>
          </a:extLst>
        </xdr:cNvPr>
        <xdr:cNvSpPr txBox="1"/>
      </xdr:nvSpPr>
      <xdr:spPr>
        <a:xfrm>
          <a:off x="2958810" y="2494683"/>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B377A225-5B38-4F4F-8E60-34C9F7D0C552}" type="TxLink">
            <a:rPr lang="en-US" sz="1000" b="0" i="0" u="none" strike="noStrike">
              <a:solidFill>
                <a:srgbClr val="0C769E"/>
              </a:solidFill>
              <a:latin typeface="Times New Roman"/>
              <a:cs typeface="Times New Roman"/>
            </a:rPr>
            <a:pPr algn="ctr"/>
            <a:t>Mass of waste from waste volume</a:t>
          </a:fld>
          <a:endParaRPr lang="en-AU" sz="1000">
            <a:solidFill>
              <a:srgbClr val="0C769E"/>
            </a:solidFill>
          </a:endParaRPr>
        </a:p>
      </xdr:txBody>
    </xdr:sp>
    <xdr:clientData/>
  </xdr:twoCellAnchor>
  <xdr:twoCellAnchor>
    <xdr:from>
      <xdr:col>3</xdr:col>
      <xdr:colOff>282285</xdr:colOff>
      <xdr:row>14</xdr:row>
      <xdr:rowOff>142008</xdr:rowOff>
    </xdr:from>
    <xdr:to>
      <xdr:col>5</xdr:col>
      <xdr:colOff>575085</xdr:colOff>
      <xdr:row>17</xdr:row>
      <xdr:rowOff>119058</xdr:rowOff>
    </xdr:to>
    <xdr:sp macro="" textlink="'10.1.1-2 Solid waste treatment'!D96">
      <xdr:nvSpPr>
        <xdr:cNvPr id="2" name="TextBox 1">
          <a:hlinkClick xmlns:r="http://schemas.openxmlformats.org/officeDocument/2006/relationships" r:id="rId2"/>
          <a:extLst>
            <a:ext uri="{FF2B5EF4-FFF2-40B4-BE49-F238E27FC236}">
              <a16:creationId xmlns:a16="http://schemas.microsoft.com/office/drawing/2014/main" id="{047A14AE-B267-4AD5-A886-4CB106B0A775}"/>
            </a:ext>
          </a:extLst>
        </xdr:cNvPr>
        <xdr:cNvSpPr txBox="1"/>
      </xdr:nvSpPr>
      <xdr:spPr>
        <a:xfrm>
          <a:off x="2958810" y="3742458"/>
          <a:ext cx="1512000" cy="72000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DE6DD785-2BD4-4778-B848-1DE745244E64}" type="TxLink">
            <a:rPr lang="en-US" sz="1000" b="1" i="0" u="none" strike="noStrike">
              <a:solidFill>
                <a:srgbClr val="0C769E"/>
              </a:solidFill>
              <a:latin typeface="Times New Roman"/>
              <a:cs typeface="Times New Roman"/>
            </a:rPr>
            <a:pPr algn="ctr"/>
            <a:t>Emissions from waste management by greenhouse gas</a:t>
          </a:fld>
          <a:endParaRPr lang="en-AU" sz="1000" b="1">
            <a:solidFill>
              <a:srgbClr val="0C769E"/>
            </a:solidFill>
          </a:endParaRPr>
        </a:p>
      </xdr:txBody>
    </xdr:sp>
    <xdr:clientData/>
  </xdr:twoCellAnchor>
  <xdr:twoCellAnchor>
    <xdr:from>
      <xdr:col>4</xdr:col>
      <xdr:colOff>422336</xdr:colOff>
      <xdr:row>12</xdr:row>
      <xdr:rowOff>115882</xdr:rowOff>
    </xdr:from>
    <xdr:to>
      <xdr:col>4</xdr:col>
      <xdr:colOff>435036</xdr:colOff>
      <xdr:row>14</xdr:row>
      <xdr:rowOff>148357</xdr:rowOff>
    </xdr:to>
    <xdr:cxnSp macro="">
      <xdr:nvCxnSpPr>
        <xdr:cNvPr id="6" name="Connector: Curved 5">
          <a:extLst>
            <a:ext uri="{FF2B5EF4-FFF2-40B4-BE49-F238E27FC236}">
              <a16:creationId xmlns:a16="http://schemas.microsoft.com/office/drawing/2014/main" id="{0CA296AD-F39E-7853-57E4-65BAF4DD327C}"/>
            </a:ext>
          </a:extLst>
        </xdr:cNvPr>
        <xdr:cNvCxnSpPr>
          <a:stCxn id="5" idx="2"/>
          <a:endCxn id="2" idx="0"/>
        </xdr:cNvCxnSpPr>
      </xdr:nvCxnSpPr>
      <xdr:spPr>
        <a:xfrm rot="5400000">
          <a:off x="3450923" y="3478570"/>
          <a:ext cx="527775" cy="12700"/>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oneCellAnchor>
    <xdr:from>
      <xdr:col>3</xdr:col>
      <xdr:colOff>13447</xdr:colOff>
      <xdr:row>7</xdr:row>
      <xdr:rowOff>109818</xdr:rowOff>
    </xdr:from>
    <xdr:ext cx="1199046" cy="165366"/>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𝑉</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𝑉𝑇</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𝑤</m:t>
                        </m:r>
                      </m:sub>
                    </m:sSub>
                  </m:oMath>
                </m:oMathPara>
              </a14:m>
              <a:endParaRPr lang="en-AU" sz="1100"/>
            </a:p>
          </xdr:txBody>
        </xdr:sp>
      </mc:Choice>
      <mc:Fallback xmlns="">
        <xdr:sp macro="" textlink="">
          <xdr:nvSpPr>
            <xdr:cNvPr id="2" name="TextBox 1">
              <a:extLst>
                <a:ext uri="{FF2B5EF4-FFF2-40B4-BE49-F238E27FC236}">
                  <a16:creationId xmlns:a16="http://schemas.microsoft.com/office/drawing/2014/main" id="{20C22E6D-79A2-B016-31F0-138F8E439D29}"/>
                </a:ext>
              </a:extLst>
            </xdr:cNvPr>
            <xdr:cNvSpPr txBox="1"/>
          </xdr:nvSpPr>
          <xdr:spPr>
            <a:xfrm>
              <a:off x="2689972" y="1976718"/>
              <a:ext cx="1199046"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𝑄_𝑤𝑡=𝑉_𝑤𝑡×𝑉𝑇𝑀_𝑤</a:t>
              </a:r>
              <a:endParaRPr lang="en-AU" sz="1100"/>
            </a:p>
          </xdr:txBody>
        </xdr:sp>
      </mc:Fallback>
    </mc:AlternateContent>
    <xdr:clientData/>
  </xdr:oneCellAnchor>
  <xdr:oneCellAnchor>
    <xdr:from>
      <xdr:col>3</xdr:col>
      <xdr:colOff>4762</xdr:colOff>
      <xdr:row>99</xdr:row>
      <xdr:rowOff>114300</xdr:rowOff>
    </xdr:from>
    <xdr:ext cx="1790426" cy="312906"/>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𝑔</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𝑡</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𝑤</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𝑄</m:t>
                                    </m:r>
                                  </m:e>
                                  <m:sub>
                                    <m:r>
                                      <a:rPr lang="en-AU" sz="1100" i="1">
                                        <a:latin typeface="Cambria Math" panose="02040503050406030204" pitchFamily="18" charset="0"/>
                                      </a:rPr>
                                      <m:t>𝑤𝑡</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𝑤𝑡𝑔</m:t>
                                    </m:r>
                                  </m:sub>
                                </m:sSub>
                              </m:e>
                            </m:d>
                          </m:e>
                        </m:nary>
                      </m:e>
                    </m:nary>
                  </m:oMath>
                </m:oMathPara>
              </a14:m>
              <a:endParaRPr lang="en-AU" sz="1100"/>
            </a:p>
          </xdr:txBody>
        </xdr:sp>
      </mc:Choice>
      <mc:Fallback xmlns="">
        <xdr:sp macro="" textlink="">
          <xdr:nvSpPr>
            <xdr:cNvPr id="6" name="TextBox 5">
              <a:extLst>
                <a:ext uri="{FF2B5EF4-FFF2-40B4-BE49-F238E27FC236}">
                  <a16:creationId xmlns:a16="http://schemas.microsoft.com/office/drawing/2014/main" id="{28974089-6B94-669F-C797-A6A5F098A9A4}"/>
                </a:ext>
              </a:extLst>
            </xdr:cNvPr>
            <xdr:cNvSpPr txBox="1"/>
          </xdr:nvSpPr>
          <xdr:spPr>
            <a:xfrm>
              <a:off x="2681287" y="17583150"/>
              <a:ext cx="1790426" cy="31290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r>
                <a:rPr lang="en-AU" sz="1100" i="0">
                  <a:latin typeface="Cambria Math" panose="02040503050406030204" pitchFamily="18" charset="0"/>
                </a:rPr>
                <a:t>𝐸_𝑔=∑2_𝑡▒∑2_𝑤▒(𝑄_𝑤𝑡×𝐸𝐹_𝑤𝑡𝑔 ) </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B3DA401-69B9-4F52-A3AF-08FA63C556A0}" name="Table_Input_SolidWaste" displayName="Table_Input_SolidWaste" ref="D9:I32" totalsRowShown="0" headerRowCellStyle="Input table column header">
  <autoFilter ref="D9:I32" xr:uid="{AB3DA401-69B9-4F52-A3AF-08FA63C556A0}">
    <filterColumn colId="0" hiddenButton="1"/>
    <filterColumn colId="1" hiddenButton="1"/>
    <filterColumn colId="2" hiddenButton="1"/>
    <filterColumn colId="3" hiddenButton="1"/>
    <filterColumn colId="4" hiddenButton="1"/>
    <filterColumn colId="5" hiddenButton="1"/>
  </autoFilter>
  <tableColumns count="6">
    <tableColumn id="1" xr3:uid="{2BCE26E1-091A-4FC3-A841-86049FBC81A8}" name="Description"/>
    <tableColumn id="5" xr3:uid="{1AAE9410-2D75-4183-B028-D0225DD96FD9}" name="Treatment type (select)" dataCellStyle="Input select"/>
    <tableColumn id="2" xr3:uid="{E939A00A-2AD7-4027-AA19-0891463C586E}" name="Waste type (select)" dataCellStyle="Input select"/>
    <tableColumn id="3" xr3:uid="{A780C41E-A9D0-483D-B649-703E68E6813A}" name="Treatment location (select)" dataCellStyle="Input select"/>
    <tableColumn id="4" xr3:uid="{968E99D1-9586-4756-958A-AC8369FD4A59}" name="Amount" dataCellStyle="Input number general"/>
    <tableColumn id="7" xr3:uid="{6513162E-7AC6-46C4-9C43-97A9CB5546FD}" name="Amount unit (select)" dataCellStyle="Input select"/>
  </tableColumns>
  <tableStyleInfo name="Editable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F52C87-665B-4565-984D-010681CEE8B6}" name="Table_SourceData_WasteSolid_WasteTreatmentEFs" displayName="Table_SourceData_WasteSolid_WasteTreatmentEFs" ref="D16:G50" totalsRowShown="0">
  <autoFilter ref="D16:G50" xr:uid="{4AF52C87-665B-4565-984D-010681CEE8B6}">
    <filterColumn colId="0" hiddenButton="1"/>
    <filterColumn colId="1" hiddenButton="1"/>
    <filterColumn colId="2" hiddenButton="1"/>
    <filterColumn colId="3" hiddenButton="1"/>
  </autoFilter>
  <tableColumns count="4">
    <tableColumn id="1" xr3:uid="{27ECD0A0-9936-4A60-BCC5-02F0C62FDA6C}" name="Treatment type t">
      <calculatedColumnFormula array="1">Common_InputFunctions.Utility_DisplayArrayInTable(WasteSolid_SourceData.Waste_EmissionFactorsForWasteTreatment_Data(), Table_SourceData_WasteSolid_WasteTreatmentEFs[[#Headers],[Treatment type t]], 0)</calculatedColumnFormula>
    </tableColumn>
    <tableColumn id="2" xr3:uid="{B7AF1F5E-7BAC-4FF7-B59E-F905655514F2}" name="Waste type w" dataDxfId="62"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3" xr3:uid="{EEC6B364-DA50-41AA-A530-330FAEE98233}" name="EFwt" dataDxfId="61"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 id="4" xr3:uid="{01FD94D2-85D3-4478-AB5E-04E4027C2978}" name="EF source" dataDxfId="60" dataCellStyle="Content normal">
      <calculatedColumnFormula array="1">Common_InputFunctions.Utility_DisplayArrayInTable(WasteSolid_SourceData.Waste_EmissionFactorsForWasteTreatment_Data(), Table_SourceData_WasteSolid_WasteTreatmentEFs[[#Headers],[Treatment type t]], 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7322750E-D63A-47D8-AB88-7693F1AFBB78}" name="Table_SourceData_WasteSolid_VolumeToMassConversion" displayName="Table_SourceData_WasteSolid_VolumeToMassConversion" ref="D57:E68" totalsRowShown="0">
  <autoFilter ref="D57:E68" xr:uid="{7322750E-D63A-47D8-AB88-7693F1AFBB78}">
    <filterColumn colId="0" hiddenButton="1"/>
    <filterColumn colId="1" hiddenButton="1"/>
  </autoFilter>
  <tableColumns count="2">
    <tableColumn id="1" xr3:uid="{E899A810-DA34-4DD3-9420-7017118A50BC}" name="Waste type w">
      <calculatedColumnFormula array="1">Common_InputFunctions.Utility_DisplayArrayInTable(WasteSolid_SourceData.Waste_WasteVolumeToMassConversion_Data(), Table_SourceData_WasteSolid_VolumeToMassConversion[[#Headers],[Waste type w]], 0)</calculatedColumnFormula>
    </tableColumn>
    <tableColumn id="2" xr3:uid="{EC8E9200-43B6-459C-B7A6-907C4A1A3CDE}" name="VTMw" dataDxfId="59" dataCellStyle="Content normal">
      <calculatedColumnFormula array="1">Common_InputFunctions.Utility_DisplayArrayInTable(WasteSolid_SourceData.Waste_WasteVolumeToMassConversion_Data(), Table_SourceData_WasteSolid_VolumeToMassConversion[[#Headers],[Waste type w]], 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99B942E3-1D24-4166-921C-DCC10960718D}" name="Table_WasteTypes_Landfill" displayName="Table_WasteTypes_Landfill" ref="I16:I27" totalsRowShown="0">
  <autoFilter ref="I16:I27" xr:uid="{99B942E3-1D24-4166-921C-DCC10960718D}">
    <filterColumn colId="0" hiddenButton="1"/>
  </autoFilter>
  <tableColumns count="1">
    <tableColumn id="1" xr3:uid="{74859A6A-085F-4CA9-9229-C28E9BE3FDB3}" name="Waste type w">
      <calculatedColumnFormula>Table_SourceData_WasteSolid_WasteTreatmentEFs[[#This Row],[Waste type w]]</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A900595-7035-4239-9059-ACC16835BF72}" name="Table_WasteTypes_Incineration" displayName="Table_WasteTypes_Incineration" ref="K16:K26" totalsRowShown="0" headerRowDxfId="58" headerRowCellStyle="Content normal" dataCellStyle="Content normal">
  <autoFilter ref="K16:K26" xr:uid="{9A900595-7035-4239-9059-ACC16835BF72}">
    <filterColumn colId="0" hiddenButton="1"/>
  </autoFilter>
  <tableColumns count="1">
    <tableColumn id="1" xr3:uid="{CF8EAE7E-F7CA-426B-9112-705975B5522A}" name="Waste type w" dataCellStyle="Content normal">
      <calculatedColumnFormula>E29</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C8D39D3-1330-49EB-B431-1B2B8C8238DC}" name="Table_WasteTypes_Composting" displayName="Table_WasteTypes_Composting" ref="M16:M21" totalsRowShown="0" headerRowDxfId="57" headerRowCellStyle="Content normal" dataCellStyle="Content normal">
  <autoFilter ref="M16:M21" xr:uid="{5C8D39D3-1330-49EB-B431-1B2B8C8238DC}">
    <filterColumn colId="0" hiddenButton="1"/>
  </autoFilter>
  <tableColumns count="1">
    <tableColumn id="1" xr3:uid="{5B9ABACD-52AE-4D64-BCA6-1DA86A1A3FC3}" name="Waste type w" totalsRowDxfId="56" dataCellStyle="Content normal">
      <calculatedColumnFormula>E40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331EC43E-DF68-429F-A2A4-58BFE6216EC3}" name="Table_WasteTypes_Anaerobicdigestion" displayName="Table_WasteTypes_Anaerobicdigestion" ref="O16:O21" totalsRowShown="0" headerRowDxfId="55" headerRowCellStyle="Content normal" dataCellStyle="Content normal">
  <autoFilter ref="O16:O21" xr:uid="{331EC43E-DF68-429F-A2A4-58BFE6216EC3}">
    <filterColumn colId="0" hiddenButton="1"/>
  </autoFilter>
  <tableColumns count="1">
    <tableColumn id="1" xr3:uid="{2D7DB5DA-05BB-4621-B5A8-576415999BBC}" name="Waste type w" totalsRowDxfId="54" dataCellStyle="Content normal">
      <calculatedColumnFormula>E46</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D36C6CC3-4DE7-4B53-A43A-29BE9E59F66C}"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C3DB4FF3-6D95-4D43-AB38-9B33E778EE4A}" name="State/Territory">
      <calculatedColumnFormula array="1">Common_InputFunctions.Utility_DisplayArrayInTable(Common_SourceData.Common_SourceData_AustralianStatesTerritories_Data(),Table_AustralianStates[[#Headers],[State/Territory]],0)</calculatedColumnFormula>
    </tableColumn>
    <tableColumn id="2" xr3:uid="{18B5C267-1878-4F23-889F-82CA6ED67B59}" name="Common Name">
      <calculatedColumnFormula array="1">Common_InputFunctions.Utility_DisplayArrayInTable(Common_SourceData.Common_SourceData_AustralianStatesTerritories_Data(),Table_AustralianStates[[#Headers],[State/Territory]],0)</calculatedColumnFormula>
    </tableColumn>
    <tableColumn id="3" xr3:uid="{659B9236-B4B3-432A-9F7F-2FC1B05D71F2}"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63CA5DAC-8203-40FA-81C9-F1C4766C43FA}" name="Table_WASA4Areas" displayName="Table_WASA4Areas" ref="D20:D30" totalsRowShown="0">
  <autoFilter ref="D20:D30" xr:uid="{5FA81339-C6C8-4D36-BEEA-6C4AEDD9E676}">
    <filterColumn colId="0" hiddenButton="1"/>
  </autoFilter>
  <tableColumns count="1">
    <tableColumn id="1" xr3:uid="{E387F6C4-6586-4DCB-BD7A-795F6A912F73}"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07AE4F1-B8A8-4730-9377-97DC9A534843}" name="Table_GWPData" displayName="Table_GWPData" ref="D36:E43" totalsRowShown="0">
  <autoFilter ref="D36:E43" xr:uid="{B8E87A66-3E41-4AD3-925D-01EE21B43D7A}">
    <filterColumn colId="0" hiddenButton="1"/>
    <filterColumn colId="1" hiddenButton="1"/>
  </autoFilter>
  <tableColumns count="2">
    <tableColumn id="1" xr3:uid="{2B101333-891F-4DE8-ACD7-5849A2167A61}" name="Gas">
      <calculatedColumnFormula array="1">Common_InputFunctions.Utility_DisplayArrayInTable(Common_SourceData.Common_SourceData_GWP_Data(), Table_GWPData[[#Headers],[Gas]], 0)</calculatedColumnFormula>
    </tableColumn>
    <tableColumn id="2" xr3:uid="{F397FF60-26B5-44BE-8C32-DF4ADDC95C4E}"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5F31A62F-C414-452B-A8A0-07B3FAE82BCC}"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945CE850-7D7E-4D25-82E3-161A469054FF}" name="Gas">
      <calculatedColumnFormula array="1">Common_InputFunctions.Utility_DisplayArrayInTable(Common_SourceData.Common_SourceData_ConvertGasElementalToMolecular_Data(),Table_GasToMolecularConversionFactor[[#Headers],[Gas]], 0)</calculatedColumnFormula>
    </tableColumn>
    <tableColumn id="5" xr3:uid="{854C87D3-F49E-4D30-90F7-26ED50534EB9}" name="Conversion factor">
      <calculatedColumnFormula array="1">Common_InputFunctions.Utility_DisplayArrayInTable(Common_SourceData.Common_SourceData_ConvertGasElementalToMolecular_Data(),Table_GasToMolecularConversionFactor[[#Headers],[Gas]], 0)</calculatedColumnFormula>
    </tableColumn>
    <tableColumn id="2" xr3:uid="{844B2F6C-C6D8-4968-ADE0-DCFC86BC4652}" name="Conversion factor 1">
      <calculatedColumnFormula array="1">Common_InputFunctions.Utility_DisplayArrayInTable(Common_SourceData.Common_SourceData_ConvertGasElementalToMolecular_Data(),Table_GasToMolecularConversionFactor[[#Headers],[Gas]], 0)</calculatedColumnFormula>
    </tableColumn>
    <tableColumn id="3" xr3:uid="{62EB2E3A-BAF2-4C3D-BF06-8316CC201002}" name="Conversion factor 2">
      <calculatedColumnFormula array="1">Common_InputFunctions.Utility_DisplayArrayInTable(Common_SourceData.Common_SourceData_ConvertGasElementalToMolecular_Data(),Table_GasToMolecularConversionFactor[[#Headers],[Gas]], 0)</calculatedColumnFormula>
    </tableColumn>
    <tableColumn id="4" xr3:uid="{14B62F6A-65C4-44FE-914C-71429BA666A5}"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DDE0EF07-01DF-4954-BBF5-1C675EC6CA0F}"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4A8C095B-C54D-41DD-981E-AE79E7211F1A}"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6C423790-A4CF-4CF6-A4EC-C3D7D2D0CD5C}" name="MAT" totalsRowDxfId="36" totalsRowCellStyle="Content bold">
      <calculatedColumnFormula array="1">Common_InputFunctions.Utility_DisplayArrayInTable(Common_SourceData.Common_SourceData_ClimateZones_Data(), Table_SourceData_ClimateZones[[#Headers],[Climate zone]], 0)</calculatedColumnFormula>
    </tableColumn>
    <tableColumn id="3" xr3:uid="{A90D63A6-4A2C-4355-8B40-5E13F2CB9638}" name="MAP"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4" xr3:uid="{A3E2FC01-A6E1-46B5-9E81-A5E870B5DF8F}" name="Frost days per year"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5" xr3:uid="{47E40A79-DAA0-4EBD-9FC9-BAD888D03EDB}" name="Elevation"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6" xr3:uid="{70BA90B6-F081-461C-826B-3C4B692E063A}" name="MAP:PET"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7" xr3:uid="{E84B514A-F760-49AC-9AA5-1E442383D10F}" name="Min temp"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8" xr3:uid="{FC9B595D-11AF-4C3E-9740-962C930812C1}" name="Max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9" xr3:uid="{3E843834-D73C-43D7-8E4B-3D4656123A7C}" name="Min rainfall"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10" xr3:uid="{6CBCCB29-204D-4141-84EB-1DF0CCF3D948}" name="Max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1" xr3:uid="{EEFE468A-8824-4E63-812A-8FEE4DE55E32}" name="Min frost days"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5" xr3:uid="{1247C9F6-CA9E-41BD-BB85-9F839FE1086E}" name="Max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2" xr3:uid="{278ADA3C-33D8-463E-BE50-25523B40AC84}" name="Min elevation"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6" xr3:uid="{A28EBB7B-1F46-4211-A9C2-51D185E12489}" name="Max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3" xr3:uid="{67310610-6AE4-4676-86B5-DE5E0D3D9EBD}" name="Min MAP:PET"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7" xr3:uid="{38E08AAB-03C2-4CBE-A176-8FE6DFA095B4}" name="Max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F9D5EF92-8AF0-49E3-9723-EA12EFDF325F}"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011893CB-4768-49F6-864C-D146F945C995}"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A4FAF100-1790-47EF-900C-E5ED054C0846}" name="Wet or Dry Zone" totalsRowDxfId="21"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E5209955-C2DB-4388-B92D-BECC14A272F7}"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D4C3E0BF-0C19-4F3E-B26F-3F578891A204}" name="Temperature Zone">
      <calculatedColumnFormula array="1">Common_InputFunctions.Utility_DisplayArrayInTable(Common_SourceData.Common_SourceData_TemperatureZones_Data(),Table_SourceData_TemperatureZones[[#Headers],[Temperature Zone]],0)</calculatedColumnFormula>
    </tableColumn>
    <tableColumn id="2" xr3:uid="{3E9C4966-DC9B-4796-A66E-410321DB8951}" name="MAT">
      <calculatedColumnFormula array="1">Common_InputFunctions.Utility_DisplayArrayInTable(Common_SourceData.Common_SourceData_TemperatureZones_Data(),Table_SourceData_TemperatureZones[[#Headers],[Temperature Zone]],0)</calculatedColumnFormula>
    </tableColumn>
    <tableColumn id="3" xr3:uid="{9A347162-7609-451E-A69D-9DC3335EEC0E}" name="Min MAT">
      <calculatedColumnFormula array="1">Common_InputFunctions.Utility_DisplayArrayInTable(Common_SourceData.Common_SourceData_TemperatureZones_Data(),Table_SourceData_TemperatureZones[[#Headers],[Temperature Zone]],0)</calculatedColumnFormula>
    </tableColumn>
    <tableColumn id="4" xr3:uid="{40FBB474-DA90-416A-ACBF-4E8BAD46E8AA}"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5821822-AF1E-4825-BDDC-45DE4B99EFDF}"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06D6C2AA-F75A-4E7B-8118-E2DF9A56326C}" name="Rainfall Zone">
      <calculatedColumnFormula array="1">Common_InputFunctions.Utility_DisplayArrayInTable(Common_SourceData.Common_SourceData_RainfallZones_Data(),Table_SourceData_RainfallZones[[#Headers],[Rainfall Zone]],0)</calculatedColumnFormula>
    </tableColumn>
    <tableColumn id="2" xr3:uid="{7FFDBD3D-406A-4DC8-A0CE-A9E3C886D4A8}" name="Annual rainfall">
      <calculatedColumnFormula array="1">Common_InputFunctions.Utility_DisplayArrayInTable(Common_SourceData.Common_SourceData_RainfallZones_Data(),Table_SourceData_RainfallZones[[#Headers],[Rainfall Zone]],0)</calculatedColumnFormula>
    </tableColumn>
    <tableColumn id="3" xr3:uid="{A737A98A-EBF7-44A6-BE9F-FC38F48EC008}" name="Min rainfall">
      <calculatedColumnFormula array="1">Common_InputFunctions.Utility_DisplayArrayInTable(Common_SourceData.Common_SourceData_RainfallZones_Data(),Table_SourceData_RainfallZones[[#Headers],[Rainfall Zone]],0)</calculatedColumnFormula>
    </tableColumn>
    <tableColumn id="4" xr3:uid="{66F23D7E-C159-4317-9C54-D29AFF2368DC}"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820B8AFB-CB18-4088-8B00-5FF884244B7B}"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1062780-F886-467C-9152-82CE7C2AF868}" name="Leaching Zone">
      <calculatedColumnFormula array="1">Common_InputFunctions.Utility_DisplayArrayInTable(Common_SourceData.Common_SourceData_LeachingZones_Data(), Table_SourceData_LeachingZones[[#Headers],[Leaching Zone]], 0)</calculatedColumnFormula>
    </tableColumn>
    <tableColumn id="2" xr3:uid="{B12F59F6-966B-4BAA-8684-16E3B5124F7A}"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43A7FC8E-2786-4D26-9CE5-697A8B37FF58}"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DE78D3EC-7E91-4481-BD5A-B0F0B4923EA8}" name="Data source">
      <calculatedColumnFormula array="1">Common_InputFunctions.Utility_DisplayArrayInTable(Common_SourceData.Common_SourceData_DataScores_Scope3_Data(), Table_SourceData_DataScores_Scope3[[#Headers],[Data source]], 0)</calculatedColumnFormula>
    </tableColumn>
    <tableColumn id="2" xr3:uid="{BB714A1B-A0AA-43D3-9ABF-81B356553E20}"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CAC2CE8-1D91-4DD8-B3FA-340D52DA62F0}" name="Table_SourceData_FracWET" displayName="Table_SourceData_FracWET" ref="D134:E136" totalsRowShown="0">
  <autoFilter ref="D134:E136" xr:uid="{308E99BE-FE1F-47A4-B2CA-97217277C4E9}">
    <filterColumn colId="0" hiddenButton="1"/>
    <filterColumn colId="1" hiddenButton="1"/>
  </autoFilter>
  <tableColumns count="2">
    <tableColumn id="1" xr3:uid="{CF89AE18-1777-4165-B56C-4F03F5211B5F}" name="Is in leaching zone">
      <calculatedColumnFormula array="1">Common_InputFunctions.Utility_DisplayArrayInTable(Common_SourceData.Common_SourceData_FracWET_Data(),Table_SourceData_FracWET[[#Headers],[Is in leaching zone]],0)</calculatedColumnFormula>
    </tableColumn>
    <tableColumn id="2" xr3:uid="{37379FF0-C550-4E28-ACB9-A4C1A916C1B8}" name="FracWET" dataDxfId="20">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751B6CFC-C7EE-4506-AB53-6E52194DDF09}"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4521AE70-6181-465E-B24D-E4DFBB5EE8C5}" name="Production system j">
      <calculatedColumnFormula array="1">Common_InputFunctions.Utility_DisplayArrayInTable(Common_SourceData.Common_SourceData_EFN2O_Data(), Table_SourceData_Common_EFN2O[[#Headers],[Production system j]], 0)</calculatedColumnFormula>
    </tableColumn>
    <tableColumn id="2" xr3:uid="{F6A8FC2C-0776-4075-8422-051EF44F5BFC}" name="EFN2O">
      <calculatedColumnFormula array="1">Common_InputFunctions.Utility_DisplayArrayInTable(Common_SourceData.Common_SourceData_EFN2O_Data(), Table_SourceData_Common_EFN2O[[#Headers],[Production system j]], 0)</calculatedColumnFormula>
    </tableColumn>
    <tableColumn id="3" xr3:uid="{5CB9C40F-D1B5-4371-8875-A7AE2D6ABF1C}" name="Production system only">
      <calculatedColumnFormula array="1">Common_InputFunctions.Utility_DisplayArrayInTable(Common_SourceData.Common_SourceData_EFN2O_Data(), Table_SourceData_Common_EFN2O[[#Headers],[Production system j]], 0)</calculatedColumnFormula>
    </tableColumn>
    <tableColumn id="4" xr3:uid="{210EDEF1-C3F0-4160-A1A7-A7744CE966A3}" name="Irrigation method">
      <calculatedColumnFormula array="1">Common_InputFunctions.Utility_DisplayArrayInTable(Common_SourceData.Common_SourceData_EFN2O_Data(), Table_SourceData_Common_EFN2O[[#Headers],[Production system j]], 0)</calculatedColumnFormula>
    </tableColumn>
    <tableColumn id="5" xr3:uid="{B440E3F5-3859-4738-A1C4-3011AFCE38B0}"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D1BA37D7-9DCF-47D9-BABD-C69EDA9CF436}"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BAF12B0F-A0C1-4A7F-B6E2-6189FC3DB336}" name="Irrigation type i">
      <calculatedColumnFormula array="1">Common_InputFunctions.Utility_DisplayArrayInTable(Common_SourceData.Common_SourceData_FracWETIrrigation_Data(), Table_SourceData_FracWETIrrigation[[#Headers],[Irrigation type i]], 0)</calculatedColumnFormula>
    </tableColumn>
    <tableColumn id="2" xr3:uid="{048B3A0E-C697-46B9-A87E-DA66EBC8C907}" name="FracWET" dataDxfId="19"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7E8CB097-D3F3-49D8-9D4B-61A107A00A02}"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8606A41A-2346-48BB-A9E2-489C8D553BC7}"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1F5AEB5D-EE24-4CE9-BABC-68DF556249D8}" name="EFPRP" dataDxfId="18"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35912599-FD8F-4BE6-816E-1EE9BE9AA43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EE697DBD-3D2F-4180-A9E2-7CFAF872BB1D}" name="Month">
      <calculatedColumnFormula array="1">Common_InputFunctions.Utility_DisplayArrayInTable(Common_SourceData.Common_SourceData_MonthsToSeasons_Data(), Table_SourceData_Common_MonthToSeason[[#Headers],[Month]], 0)</calculatedColumnFormula>
    </tableColumn>
    <tableColumn id="2" xr3:uid="{2BFD493D-D4B4-44DE-9DA2-6725AC449A53}" name="Season" dataDxfId="17"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F1595ECF-23E5-463F-A945-AEF4C98688F5}"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4165D8-C4F5-4EAB-89B7-F9794A65240E}"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644E283-5EE6-4185-AFF0-89DF80EA845B}" name="MAT (ºC)" dataDxfId="1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9C8FCA21-FD58-41A0-81F8-79FF80FD140F}" name="Anaerobic lagoon"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DF59EE3B-50FF-480B-B936-3D01CBCDA492}" name="Digester / covered lagoons"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8371F4FD-B411-4E72-A361-DC1C2521148C}" name="Liquid system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592D6C41-6AA4-4631-A9F4-8A845D05304E}" name="Daily spread"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0CE0AEB1-6324-4C48-B2C1-8006235071A1}" name="Composting (passive windrow)"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750A8442-5147-46B5-AF08-AB14698D328C}" name="Solid storage"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9778B518-F103-4E3E-A1E2-BCC8A6D690AD}" name="Pit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95C39F0D-4DB2-4540-8BF0-DA5E2D7B451C}" name="Deep litter"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82E4DAA7-DFB1-4B9D-A7F6-02B3285E89B0}" name="Poultry manure with bedding"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D34A6C01-1A8A-480C-AB37-82BC1A413E7E}" name="Poultry manure without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05B5D570-7B2D-4094-BC77-668677BC289D}" name="Direct process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97B07E58-3C1C-452A-97BC-5F9101BE0F31}" name="Direct application"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304C1D54-14A1-421E-8651-F960C2C5C5DF}" name="Pasture range and paddock"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52BF666E-C00E-4FDC-B0BA-997DE681352E}" name="MAT raw"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EE915D59-43AC-40C5-932F-AEFBA2C4C6CE}"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40ECD9F2-2935-4564-9486-AB6D7382F90A}"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135CEC03-251A-4E8E-B79F-401228E32515}" name="EFNi &amp; EFN2Oi" dataDxfId="1"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6" xr:uid="{6BCEC2C9-6D21-4C70-B8F9-D314CB629B1B}" name="Table_SourceData_DataQuality_TemporalRepresentativeness" displayName="Table_SourceData_DataQuality_TemporalRepresentativeness" ref="D265:F270" totalsRowShown="0">
  <autoFilter ref="D265:F270" xr:uid="{9AD44602-D2F2-4D97-923C-A32E98F8C17A}">
    <filterColumn colId="0" hiddenButton="1"/>
    <filterColumn colId="1" hiddenButton="1"/>
    <filterColumn colId="2" hiddenButton="1"/>
  </autoFilter>
  <tableColumns count="3">
    <tableColumn id="2" xr3:uid="{5D31BA8D-76E9-477E-B43C-78B3FE4C28F6}" name="Description" dataDxfId="0" dataCellStyle="Content normal"/>
    <tableColumn id="1" xr3:uid="{CD9056AA-B171-45D0-944E-F0C2E3D501AD}" name="ID"/>
    <tableColumn id="3" xr3:uid="{0415AEFD-977B-49D3-9E2F-638BFDD6CDD7}" name="Score"/>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7" xr:uid="{3CD4AEC7-2CB3-4CF5-BC29-70BBB2E0547E}" name="Table_SourceData_DataQuality_SpatialRepresentativeness" displayName="Table_SourceData_DataQuality_SpatialRepresentativeness" ref="D274:F279" totalsRowShown="0">
  <autoFilter ref="D274:F279" xr:uid="{95094D65-3E0E-45CE-A3F4-F41E74C11901}">
    <filterColumn colId="0" hiddenButton="1"/>
    <filterColumn colId="1" hiddenButton="1"/>
    <filterColumn colId="2" hiddenButton="1"/>
  </autoFilter>
  <tableColumns count="3">
    <tableColumn id="1" xr3:uid="{6F3B03DD-9B76-41B4-AEB4-3F7042A8ACB7}" name="Description"/>
    <tableColumn id="2" xr3:uid="{0FF20143-692D-4334-8B0F-112CB80ED461}" name="ID"/>
    <tableColumn id="3" xr3:uid="{C37D8380-BBD2-4991-A4E5-B88CFBF41D2B}" name="Score"/>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8" xr:uid="{AEB806F7-59A7-4EED-836E-3B26BCC1398E}" name="Table_SourceData_DataQuality_SampleSize" displayName="Table_SourceData_DataQuality_SampleSize" ref="D283:F288" totalsRowShown="0">
  <autoFilter ref="D283:F288" xr:uid="{DE8F748C-E65A-4AA2-81BB-D28A432CF334}">
    <filterColumn colId="0" hiddenButton="1"/>
    <filterColumn colId="1" hiddenButton="1"/>
    <filterColumn colId="2" hiddenButton="1"/>
  </autoFilter>
  <tableColumns count="3">
    <tableColumn id="1" xr3:uid="{CED9FED7-150C-4516-8E26-7AAB1029A96E}" name="Description"/>
    <tableColumn id="2" xr3:uid="{11449743-0BBF-4184-8D36-6D6153457769}" name="ID"/>
    <tableColumn id="3" xr3:uid="{438EDBD5-6C75-4452-A1B8-7D8D3551B8E9}" name="Score"/>
  </tableColumns>
  <tableStyleInfo name="Equation table" showFirstColumn="0" showLastColumn="0" showRowStripes="1" showColumnStripes="0"/>
</table>
</file>

<file path=xl/tables/table2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9" xr:uid="{A30AD12D-A155-493B-BECC-F93D5C7AAAF4}" name="Table_SourceData_DataQuality_Scope3" displayName="Table_SourceData_DataQuality_Scope3" ref="D292:F297" totalsRowShown="0">
  <autoFilter ref="D292:F297" xr:uid="{43A1C4DA-75D1-45DF-BA9A-1798C2CC5A4B}">
    <filterColumn colId="0" hiddenButton="1"/>
    <filterColumn colId="1" hiddenButton="1"/>
    <filterColumn colId="2" hiddenButton="1"/>
  </autoFilter>
  <tableColumns count="3">
    <tableColumn id="1" xr3:uid="{7644D52B-9F9B-4F9F-A346-195145812C30}" name="Description"/>
    <tableColumn id="2" xr3:uid="{89DF63D9-C65C-42A4-862A-C64B2FA021F8}" name="ID"/>
    <tableColumn id="3" xr3:uid="{69B244F7-2E1E-4E16-808F-6FBE9F0446B7}" name="Score"/>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83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4.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6.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printerSettings" Target="../printerSettings/printerSettings3.bin"/><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_rels/sheet7.xml.rels><?xml version="1.0" encoding="UTF-8" standalone="yes"?>
<Relationships xmlns="http://schemas.openxmlformats.org/package/2006/relationships"><Relationship Id="rId8" Type="http://schemas.openxmlformats.org/officeDocument/2006/relationships/table" Target="../tables/table14.xml"/><Relationship Id="rId13" Type="http://schemas.openxmlformats.org/officeDocument/2006/relationships/table" Target="../tables/table19.xml"/><Relationship Id="rId18" Type="http://schemas.openxmlformats.org/officeDocument/2006/relationships/table" Target="../tables/table24.xml"/><Relationship Id="rId3" Type="http://schemas.openxmlformats.org/officeDocument/2006/relationships/table" Target="../tables/table9.xml"/><Relationship Id="rId21" Type="http://schemas.openxmlformats.org/officeDocument/2006/relationships/table" Target="../tables/table27.xml"/><Relationship Id="rId7" Type="http://schemas.openxmlformats.org/officeDocument/2006/relationships/table" Target="../tables/table13.xml"/><Relationship Id="rId12" Type="http://schemas.openxmlformats.org/officeDocument/2006/relationships/table" Target="../tables/table18.xml"/><Relationship Id="rId17" Type="http://schemas.openxmlformats.org/officeDocument/2006/relationships/table" Target="../tables/table23.xml"/><Relationship Id="rId2" Type="http://schemas.openxmlformats.org/officeDocument/2006/relationships/table" Target="../tables/table8.xml"/><Relationship Id="rId16" Type="http://schemas.openxmlformats.org/officeDocument/2006/relationships/table" Target="../tables/table22.xml"/><Relationship Id="rId20" Type="http://schemas.openxmlformats.org/officeDocument/2006/relationships/table" Target="../tables/table26.xml"/><Relationship Id="rId1" Type="http://schemas.openxmlformats.org/officeDocument/2006/relationships/printerSettings" Target="../printerSettings/printerSettings4.bin"/><Relationship Id="rId6" Type="http://schemas.openxmlformats.org/officeDocument/2006/relationships/table" Target="../tables/table12.xml"/><Relationship Id="rId11" Type="http://schemas.openxmlformats.org/officeDocument/2006/relationships/table" Target="../tables/table17.xml"/><Relationship Id="rId5" Type="http://schemas.openxmlformats.org/officeDocument/2006/relationships/table" Target="../tables/table11.xml"/><Relationship Id="rId15" Type="http://schemas.openxmlformats.org/officeDocument/2006/relationships/table" Target="../tables/table21.xml"/><Relationship Id="rId10" Type="http://schemas.openxmlformats.org/officeDocument/2006/relationships/table" Target="../tables/table16.xml"/><Relationship Id="rId19" Type="http://schemas.openxmlformats.org/officeDocument/2006/relationships/table" Target="../tables/table25.xml"/><Relationship Id="rId4" Type="http://schemas.openxmlformats.org/officeDocument/2006/relationships/table" Target="../tables/table10.xml"/><Relationship Id="rId9" Type="http://schemas.openxmlformats.org/officeDocument/2006/relationships/table" Target="../tables/table15.xml"/><Relationship Id="rId14" Type="http://schemas.openxmlformats.org/officeDocument/2006/relationships/table" Target="../tables/table20.xml"/><Relationship Id="rId22" Type="http://schemas.openxmlformats.org/officeDocument/2006/relationships/table" Target="../tables/table2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sheetPr>
    <tabColor rgb="FF0C769E"/>
  </sheetPr>
  <dimension ref="A1:A8"/>
  <sheetViews>
    <sheetView zoomScaleNormal="100" workbookViewId="0">
      <selection activeCell="A18" sqref="A18"/>
    </sheetView>
  </sheetViews>
  <sheetFormatPr defaultRowHeight="15" x14ac:dyDescent="0.25"/>
  <sheetData>
    <row r="1" spans="1:1" x14ac:dyDescent="0.25">
      <c r="A1" t="s">
        <v>161</v>
      </c>
    </row>
    <row r="3" spans="1:1" x14ac:dyDescent="0.25">
      <c r="A3" s="74" t="str">
        <f>HYPERLINK("#'Home'!A1", "Home")</f>
        <v>Home</v>
      </c>
    </row>
    <row r="6" spans="1:1" x14ac:dyDescent="0.25">
      <c r="A6" s="73" t="s">
        <v>1</v>
      </c>
    </row>
    <row r="7" spans="1:1" ht="15.75" x14ac:dyDescent="0.25">
      <c r="A7" s="12" t="str">
        <f>HYPERLINK("#'Constants - Common'!A1", "Constants - Common")</f>
        <v>Constants - Common</v>
      </c>
    </row>
    <row r="8" spans="1:1" ht="15.75" x14ac:dyDescent="0.25">
      <c r="A8" s="12" t="str">
        <f>HYPERLINK("#'Acknowledgements'!A1", "Acknowledgements")</f>
        <v>Acknowledgements</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7CA77B-B50B-428D-99FC-773BB70E61A6}">
  <sheetPr>
    <tabColor rgb="FF0C769E"/>
  </sheetPr>
  <dimension ref="A1:W4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15" width="9.140625" style="1"/>
    <col min="16" max="16" width="4.7109375" style="1" customWidth="1"/>
  </cols>
  <sheetData>
    <row r="1" spans="1:17" ht="30" customHeight="1" x14ac:dyDescent="0.35">
      <c r="A1" s="30" t="e" vm="1">
        <v>#VALUE!</v>
      </c>
      <c r="C1" s="49" t="s">
        <v>129</v>
      </c>
      <c r="D1" s="50"/>
      <c r="E1" s="50"/>
      <c r="F1" s="50"/>
      <c r="G1" s="50"/>
      <c r="H1" s="50"/>
      <c r="I1" s="50"/>
      <c r="J1" s="50"/>
      <c r="K1" s="50"/>
      <c r="L1" s="50"/>
      <c r="M1" s="50"/>
      <c r="N1" s="50"/>
      <c r="O1" s="50"/>
      <c r="P1" s="50"/>
    </row>
    <row r="2" spans="1:17" ht="20.100000000000001" customHeight="1" x14ac:dyDescent="0.25">
      <c r="C2" s="50"/>
      <c r="D2" s="50"/>
      <c r="E2" s="50"/>
      <c r="F2" s="50"/>
      <c r="G2" s="50"/>
      <c r="H2" s="50"/>
      <c r="I2" s="50"/>
      <c r="J2" s="50"/>
      <c r="K2" s="50"/>
      <c r="L2" s="50"/>
      <c r="M2" s="50"/>
      <c r="N2" s="50"/>
      <c r="O2" s="50"/>
      <c r="P2" s="50"/>
      <c r="Q2" s="51"/>
    </row>
    <row r="3" spans="1:17" ht="20.100000000000001" customHeight="1" x14ac:dyDescent="0.25">
      <c r="A3" s="12" t="str">
        <f>HYPERLINK("#'Home'!A1", "Home")</f>
        <v>Home</v>
      </c>
      <c r="C3" s="52"/>
      <c r="D3" s="52"/>
      <c r="E3" s="52"/>
      <c r="F3" s="52"/>
      <c r="G3" s="52"/>
      <c r="H3" s="52"/>
      <c r="I3" s="52"/>
      <c r="J3" s="52"/>
      <c r="K3" s="52"/>
      <c r="L3" s="52"/>
      <c r="M3" s="52"/>
      <c r="N3" s="52"/>
      <c r="O3" s="52"/>
      <c r="P3" s="52"/>
    </row>
    <row r="4" spans="1:17" ht="20.100000000000001" customHeight="1" x14ac:dyDescent="0.25">
      <c r="A4" s="40" t="str">
        <f>HYPERLINK("#'Overview'!A1", "Overview")</f>
        <v>Overview</v>
      </c>
    </row>
    <row r="5" spans="1:17" ht="20.100000000000001" customHeight="1" x14ac:dyDescent="0.25">
      <c r="A5" s="12" t="str">
        <f>HYPERLINK("#'Results'!A1", "Results")</f>
        <v>Results</v>
      </c>
      <c r="D5" s="38" t="s">
        <v>82</v>
      </c>
      <c r="E5" s="34"/>
      <c r="F5" s="34"/>
      <c r="G5" s="34"/>
      <c r="H5" s="34"/>
      <c r="I5" s="34"/>
      <c r="J5" s="34"/>
      <c r="K5" s="34"/>
      <c r="L5" s="34"/>
      <c r="M5" s="34"/>
      <c r="N5" s="34"/>
      <c r="O5" s="31"/>
    </row>
    <row r="6" spans="1:17" ht="20.100000000000001" customHeight="1" x14ac:dyDescent="0.25">
      <c r="D6" s="53" t="s">
        <v>83</v>
      </c>
      <c r="E6" s="33"/>
      <c r="F6" s="33"/>
      <c r="G6" s="33"/>
      <c r="H6" s="33"/>
      <c r="I6" s="33"/>
      <c r="J6" s="33"/>
      <c r="K6" s="33"/>
      <c r="L6" s="33"/>
      <c r="M6" s="33"/>
      <c r="N6" s="33"/>
      <c r="O6" s="32"/>
    </row>
    <row r="7" spans="1:17" ht="20.100000000000001" customHeight="1" x14ac:dyDescent="0.25"/>
    <row r="8" spans="1:17" ht="20.100000000000001" customHeight="1" x14ac:dyDescent="0.25">
      <c r="A8" s="14" t="s">
        <v>0</v>
      </c>
    </row>
    <row r="9" spans="1:17" ht="20.100000000000001" customHeight="1" x14ac:dyDescent="0.25">
      <c r="A9" s="12" t="str">
        <f>HYPERLINK("#'Input - Solid waste'!A1", "Solid waste")</f>
        <v>Solid waste</v>
      </c>
    </row>
    <row r="10" spans="1:17" ht="20.100000000000001" customHeight="1" x14ac:dyDescent="0.25"/>
    <row r="11" spans="1:17" ht="20.100000000000001" customHeight="1" x14ac:dyDescent="0.25"/>
    <row r="12" spans="1:17" ht="20.100000000000001" customHeight="1" x14ac:dyDescent="0.25">
      <c r="A12" s="13" t="s">
        <v>44</v>
      </c>
    </row>
    <row r="13" spans="1:17" ht="20.100000000000001" customHeight="1" x14ac:dyDescent="0.25">
      <c r="A13" s="12" t="str">
        <f>HYPERLINK("#'10.1.1-2 Solid waste treatment'!A1", "10.1.1-2 Solid waste treatment")</f>
        <v>10.1.1-2 Solid waste treatment</v>
      </c>
    </row>
    <row r="14" spans="1:17" ht="20.100000000000001" customHeight="1" x14ac:dyDescent="0.25">
      <c r="O14" s="1" t="s">
        <v>84</v>
      </c>
    </row>
    <row r="15" spans="1:17" ht="20.100000000000001" customHeight="1" x14ac:dyDescent="0.25"/>
    <row r="16" spans="1:17" ht="20.100000000000001" customHeight="1" x14ac:dyDescent="0.25">
      <c r="A16" s="73" t="s">
        <v>1</v>
      </c>
    </row>
    <row r="17" spans="1:1" ht="20.100000000000001" customHeight="1" x14ac:dyDescent="0.25">
      <c r="A17" s="12" t="str">
        <f>HYPERLINK("#'Constants - Solid Waste'!A1", "Constants - Solid Waste")</f>
        <v>Constants - Solid Waste</v>
      </c>
    </row>
    <row r="18" spans="1:1" ht="20.100000000000001" customHeight="1" x14ac:dyDescent="0.25">
      <c r="A18" s="12" t="str">
        <f>HYPERLINK("#'Constants - Common'!A1", "Constants - Common")</f>
        <v>Constants - Common</v>
      </c>
    </row>
    <row r="19" spans="1:1" ht="20.100000000000001" customHeight="1" x14ac:dyDescent="0.25"/>
    <row r="20" spans="1:1" ht="20.100000000000001" customHeight="1" x14ac:dyDescent="0.25"/>
    <row r="21" spans="1:1" ht="20.100000000000001" customHeight="1" x14ac:dyDescent="0.25"/>
    <row r="22" spans="1:1" ht="20.100000000000001" customHeight="1" x14ac:dyDescent="0.25"/>
    <row r="23" spans="1:1" ht="20.100000000000001" customHeight="1" x14ac:dyDescent="0.25"/>
    <row r="24" spans="1:1" ht="20.100000000000001" customHeight="1" x14ac:dyDescent="0.25"/>
    <row r="25" spans="1:1" ht="20.100000000000001" customHeight="1" x14ac:dyDescent="0.25"/>
    <row r="26" spans="1:1" ht="20.100000000000001" customHeight="1" x14ac:dyDescent="0.25"/>
    <row r="27" spans="1:1" ht="20.100000000000001" customHeight="1" x14ac:dyDescent="0.25"/>
    <row r="28" spans="1:1" ht="20.100000000000001" customHeight="1" x14ac:dyDescent="0.25"/>
    <row r="29" spans="1:1" ht="20.100000000000001" customHeight="1" x14ac:dyDescent="0.25"/>
    <row r="30" spans="1:1" ht="20.100000000000001" customHeight="1" x14ac:dyDescent="0.25"/>
    <row r="31" spans="1:1" ht="20.100000000000001" customHeight="1" x14ac:dyDescent="0.25"/>
    <row r="32" spans="1:1" ht="20.100000000000001" customHeight="1" x14ac:dyDescent="0.25"/>
    <row r="33" spans="12:23" ht="20.100000000000001" customHeight="1" x14ac:dyDescent="0.25"/>
    <row r="34" spans="12:23" ht="20.100000000000001" customHeight="1" x14ac:dyDescent="0.25"/>
    <row r="35" spans="12:23" ht="20.100000000000001" customHeight="1" x14ac:dyDescent="0.25"/>
    <row r="36" spans="12:23" ht="20.100000000000001" customHeight="1" x14ac:dyDescent="0.25"/>
    <row r="37" spans="12:23" ht="20.100000000000001" customHeight="1" x14ac:dyDescent="0.25">
      <c r="L37" s="1" t="s">
        <v>80</v>
      </c>
    </row>
    <row r="38" spans="12:23" ht="20.100000000000001" customHeight="1" x14ac:dyDescent="0.25"/>
    <row r="39" spans="12:23" ht="20.100000000000001" customHeight="1" x14ac:dyDescent="0.25"/>
    <row r="40" spans="12:23" ht="20.100000000000001" customHeight="1" x14ac:dyDescent="0.25"/>
    <row r="41" spans="12:23" ht="20.100000000000001" customHeight="1" x14ac:dyDescent="0.25"/>
    <row r="42" spans="12:23" ht="20.100000000000001" customHeight="1" x14ac:dyDescent="0.25"/>
    <row r="45" spans="12:23" x14ac:dyDescent="0.25">
      <c r="W45" t="s">
        <v>81</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tabColor rgb="FF0C769E"/>
    <pageSetUpPr autoPageBreaks="0"/>
  </sheetPr>
  <dimension ref="A1:H87"/>
  <sheetViews>
    <sheetView showGridLines="0" zoomScaleNormal="100" workbookViewId="0">
      <selection activeCell="A18" sqref="A18"/>
    </sheetView>
  </sheetViews>
  <sheetFormatPr defaultRowHeight="15" x14ac:dyDescent="0.25"/>
  <cols>
    <col min="1" max="1" width="30.7109375" customWidth="1"/>
    <col min="2" max="3" width="2.7109375" customWidth="1"/>
    <col min="4" max="4" width="97.140625" customWidth="1"/>
    <col min="5" max="7" width="30.7109375" customWidth="1"/>
    <col min="8" max="8" width="7.42578125" customWidth="1"/>
    <col min="9" max="23" width="28.7109375" customWidth="1"/>
  </cols>
  <sheetData>
    <row r="1" spans="1:8" ht="30" customHeight="1" x14ac:dyDescent="0.35">
      <c r="A1" s="30" t="e" vm="1">
        <v>#VALUE!</v>
      </c>
      <c r="C1" s="49" t="s">
        <v>130</v>
      </c>
    </row>
    <row r="2" spans="1:8" ht="20.100000000000001" customHeight="1" x14ac:dyDescent="0.25">
      <c r="C2" s="8"/>
    </row>
    <row r="3" spans="1:8" ht="20.100000000000001" customHeight="1" x14ac:dyDescent="0.25">
      <c r="A3" s="12" t="str">
        <f>HYPERLINK("#'Home'!A1", "Home")</f>
        <v>Home</v>
      </c>
      <c r="C3" s="16"/>
      <c r="D3" s="16"/>
      <c r="E3" s="16"/>
      <c r="F3" s="16"/>
      <c r="G3" s="16"/>
      <c r="H3" s="16"/>
    </row>
    <row r="4" spans="1:8" ht="20.100000000000001" customHeight="1" x14ac:dyDescent="0.25">
      <c r="A4" s="12" t="str">
        <f>HYPERLINK("#'Overview'!A1", "Overview")</f>
        <v>Overview</v>
      </c>
      <c r="C4" s="16"/>
      <c r="D4" s="5" t="s">
        <v>2</v>
      </c>
      <c r="E4" s="17"/>
      <c r="F4" s="17"/>
      <c r="G4" s="17"/>
      <c r="H4" s="18"/>
    </row>
    <row r="5" spans="1:8" ht="20.100000000000001" customHeight="1" x14ac:dyDescent="0.3">
      <c r="A5" s="40" t="str">
        <f>HYPERLINK("#'Results'!A1", "Results")</f>
        <v>Results</v>
      </c>
      <c r="C5" s="16"/>
      <c r="D5" s="19"/>
      <c r="E5" s="20"/>
      <c r="F5" s="20"/>
      <c r="G5" s="20"/>
      <c r="H5" s="16"/>
    </row>
    <row r="6" spans="1:8" ht="20.100000000000001" customHeight="1" x14ac:dyDescent="0.25">
      <c r="C6" s="16"/>
      <c r="D6" s="15" t="s">
        <v>79</v>
      </c>
      <c r="E6" s="16"/>
      <c r="F6" s="16"/>
      <c r="G6" s="16"/>
      <c r="H6" s="16"/>
    </row>
    <row r="7" spans="1:8" ht="20.100000000000001" customHeight="1" x14ac:dyDescent="0.25">
      <c r="C7" s="16"/>
      <c r="D7" s="16"/>
      <c r="E7" s="16"/>
      <c r="F7" s="16"/>
      <c r="G7" s="16"/>
      <c r="H7" s="16"/>
    </row>
    <row r="8" spans="1:8" ht="20.100000000000001" customHeight="1" x14ac:dyDescent="0.25">
      <c r="A8" s="14" t="s">
        <v>0</v>
      </c>
      <c r="C8" s="16"/>
      <c r="D8" s="36" t="s">
        <v>49</v>
      </c>
      <c r="E8" s="36" t="s">
        <v>59</v>
      </c>
      <c r="F8" s="36" t="s">
        <v>60</v>
      </c>
      <c r="G8" s="36" t="s">
        <v>54</v>
      </c>
      <c r="H8" s="16"/>
    </row>
    <row r="9" spans="1:8" ht="20.100000000000001" customHeight="1" x14ac:dyDescent="0.25">
      <c r="A9" s="12" t="str">
        <f>HYPERLINK("#'Input - Solid waste'!A1", "Solid waste")</f>
        <v>Solid waste</v>
      </c>
      <c r="C9" s="16"/>
      <c r="D9" s="1" t="s">
        <v>122</v>
      </c>
      <c r="E9" s="48">
        <f>VEERG_10_1_1_1__1_EmissionsFromWasteManagement_Scope1_Result_Method1</f>
        <v>438.82805000000002</v>
      </c>
      <c r="F9" s="48">
        <f>E9</f>
        <v>438.82805000000002</v>
      </c>
      <c r="G9" s="28" t="s">
        <v>57</v>
      </c>
      <c r="H9" s="16"/>
    </row>
    <row r="10" spans="1:8" ht="20.100000000000001" customHeight="1" x14ac:dyDescent="0.25">
      <c r="C10" s="16"/>
      <c r="D10" s="1"/>
      <c r="E10" s="48"/>
      <c r="F10" s="48"/>
      <c r="G10" s="28"/>
      <c r="H10" s="16"/>
    </row>
    <row r="11" spans="1:8" ht="20.100000000000001" customHeight="1" x14ac:dyDescent="0.25">
      <c r="C11" s="16"/>
      <c r="D11" s="1"/>
      <c r="E11" s="1"/>
      <c r="F11" s="1"/>
      <c r="G11" s="1"/>
      <c r="H11" s="16"/>
    </row>
    <row r="12" spans="1:8" ht="20.100000000000001" customHeight="1" x14ac:dyDescent="0.25">
      <c r="A12" s="13" t="s">
        <v>44</v>
      </c>
      <c r="C12" s="16"/>
      <c r="D12" s="36" t="s">
        <v>123</v>
      </c>
      <c r="E12" s="36" t="s">
        <v>59</v>
      </c>
      <c r="F12" s="36" t="s">
        <v>60</v>
      </c>
      <c r="G12" s="36" t="s">
        <v>54</v>
      </c>
      <c r="H12" s="16"/>
    </row>
    <row r="13" spans="1:8" ht="20.100000000000001" customHeight="1" x14ac:dyDescent="0.25">
      <c r="A13" s="12" t="str">
        <f>HYPERLINK("#'10.1.1-2 Solid waste treatment'!A1", "10.1.1-2 Solid waste treatment")</f>
        <v>10.1.1-2 Solid waste treatment</v>
      </c>
      <c r="C13" s="16"/>
      <c r="D13" s="1" t="s">
        <v>122</v>
      </c>
      <c r="E13" s="48">
        <f>VEERG_10_1_1_1__1_EmissionsFromWasteManagement_Scope3_Result_Method1</f>
        <v>441.15000000000003</v>
      </c>
      <c r="F13" s="48">
        <f>E13</f>
        <v>441.15000000000003</v>
      </c>
      <c r="G13" s="28" t="s">
        <v>57</v>
      </c>
      <c r="H13" s="16"/>
    </row>
    <row r="14" spans="1:8" ht="20.100000000000001" customHeight="1" x14ac:dyDescent="0.25">
      <c r="C14" s="16"/>
      <c r="D14" s="1"/>
      <c r="E14" s="37"/>
      <c r="F14" s="28"/>
      <c r="G14" s="1"/>
      <c r="H14" s="16"/>
    </row>
    <row r="15" spans="1:8" ht="20.100000000000001" customHeight="1" x14ac:dyDescent="0.25">
      <c r="C15" s="16"/>
      <c r="D15" s="1"/>
      <c r="E15" s="37"/>
      <c r="F15" s="28"/>
      <c r="G15" s="1"/>
      <c r="H15" s="16"/>
    </row>
    <row r="16" spans="1:8" ht="20.100000000000001" customHeight="1" x14ac:dyDescent="0.25">
      <c r="A16" s="73" t="s">
        <v>1</v>
      </c>
      <c r="C16" s="16"/>
      <c r="D16" s="1"/>
      <c r="E16" s="1"/>
      <c r="F16" s="1"/>
      <c r="G16" s="1"/>
      <c r="H16" s="16"/>
    </row>
    <row r="17" spans="1:8" ht="20.100000000000001" customHeight="1" x14ac:dyDescent="0.25">
      <c r="A17" s="12" t="str">
        <f>HYPERLINK("#'Constants - Solid Waste'!A1", "Constants - Solid Waste")</f>
        <v>Constants - Solid Waste</v>
      </c>
      <c r="C17" s="16"/>
      <c r="D17" s="1"/>
      <c r="E17" s="1"/>
      <c r="F17" s="1"/>
      <c r="G17" s="1"/>
      <c r="H17" s="16"/>
    </row>
    <row r="18" spans="1:8" ht="20.100000000000001" customHeight="1" x14ac:dyDescent="0.25">
      <c r="A18" s="12" t="str">
        <f>HYPERLINK("#'Constants - Common'!A1", "Constants - Common")</f>
        <v>Constants - Common</v>
      </c>
      <c r="C18" s="16"/>
      <c r="D18" s="1"/>
      <c r="E18" s="1"/>
      <c r="F18" s="1"/>
      <c r="G18" s="1"/>
      <c r="H18" s="16"/>
    </row>
    <row r="19" spans="1:8" ht="20.100000000000001" customHeight="1" x14ac:dyDescent="0.25">
      <c r="C19" s="16"/>
      <c r="D19" s="1"/>
      <c r="E19" s="1"/>
      <c r="F19" s="1"/>
      <c r="G19" s="1"/>
      <c r="H19" s="16"/>
    </row>
    <row r="20" spans="1:8" ht="20.100000000000001" customHeight="1" x14ac:dyDescent="0.25">
      <c r="C20" s="16"/>
      <c r="D20" s="1"/>
      <c r="E20" s="1"/>
      <c r="F20" s="1"/>
      <c r="G20" s="1"/>
      <c r="H20" s="16"/>
    </row>
    <row r="21" spans="1:8" ht="20.100000000000001" customHeight="1" x14ac:dyDescent="0.25">
      <c r="C21" s="16"/>
      <c r="D21" s="1"/>
      <c r="E21" s="1"/>
      <c r="F21" s="1"/>
      <c r="G21" s="1"/>
      <c r="H21" s="16"/>
    </row>
    <row r="22" spans="1:8" ht="20.100000000000001" customHeight="1" x14ac:dyDescent="0.25">
      <c r="C22" s="16"/>
      <c r="D22" s="1"/>
      <c r="E22" s="1"/>
      <c r="F22" s="1"/>
      <c r="G22" s="1"/>
      <c r="H22" s="16"/>
    </row>
    <row r="23" spans="1:8" ht="20.100000000000001" customHeight="1" x14ac:dyDescent="0.25">
      <c r="C23" s="16"/>
      <c r="D23" s="1"/>
      <c r="E23" s="1"/>
      <c r="F23" s="1"/>
      <c r="G23" s="1"/>
      <c r="H23" s="16"/>
    </row>
    <row r="24" spans="1:8" ht="20.100000000000001" customHeight="1" x14ac:dyDescent="0.25">
      <c r="C24" s="16"/>
      <c r="D24" s="1"/>
      <c r="E24" s="1"/>
      <c r="F24" s="1"/>
      <c r="G24" s="1"/>
      <c r="H24" s="16"/>
    </row>
    <row r="25" spans="1:8" ht="20.100000000000001" customHeight="1" x14ac:dyDescent="0.25">
      <c r="C25" s="16"/>
      <c r="D25" s="1"/>
      <c r="E25" s="1"/>
      <c r="F25" s="1"/>
      <c r="G25" s="1"/>
      <c r="H25" s="16"/>
    </row>
    <row r="26" spans="1:8" ht="20.100000000000001" customHeight="1" x14ac:dyDescent="0.25">
      <c r="C26" s="16"/>
      <c r="D26" s="1"/>
      <c r="E26" s="1"/>
      <c r="F26" s="1"/>
      <c r="G26" s="1"/>
      <c r="H26" s="16"/>
    </row>
    <row r="27" spans="1:8" ht="20.100000000000001" customHeight="1" x14ac:dyDescent="0.25">
      <c r="C27" s="16"/>
      <c r="D27" s="1"/>
      <c r="E27" s="1"/>
      <c r="F27" s="1"/>
      <c r="G27" s="1"/>
      <c r="H27" s="16"/>
    </row>
    <row r="28" spans="1:8" ht="20.100000000000001" customHeight="1" x14ac:dyDescent="0.25">
      <c r="C28" s="16"/>
      <c r="D28" s="1"/>
      <c r="E28" s="1"/>
      <c r="F28" s="1"/>
      <c r="G28" s="1"/>
      <c r="H28" s="16"/>
    </row>
    <row r="29" spans="1:8" ht="20.100000000000001" customHeight="1" x14ac:dyDescent="0.25">
      <c r="C29" s="16"/>
      <c r="D29" s="1"/>
      <c r="E29" s="1"/>
      <c r="F29" s="1"/>
      <c r="G29" s="1"/>
      <c r="H29" s="16"/>
    </row>
    <row r="30" spans="1:8" ht="20.100000000000001" customHeight="1" x14ac:dyDescent="0.25">
      <c r="C30" s="16"/>
      <c r="D30" s="1"/>
      <c r="E30" s="1"/>
      <c r="F30" s="1"/>
      <c r="G30" s="1"/>
      <c r="H30" s="16"/>
    </row>
    <row r="31" spans="1:8" ht="20.100000000000001" customHeight="1" x14ac:dyDescent="0.25">
      <c r="C31" s="16"/>
      <c r="D31" s="1"/>
      <c r="E31" s="1"/>
      <c r="F31" s="1"/>
      <c r="G31" s="1"/>
      <c r="H31" s="16"/>
    </row>
    <row r="32" spans="1:8" ht="20.100000000000001" customHeight="1" x14ac:dyDescent="0.25">
      <c r="C32" s="16"/>
      <c r="D32" s="1"/>
      <c r="E32" s="1"/>
      <c r="F32" s="1"/>
      <c r="G32" s="1"/>
      <c r="H32" s="16"/>
    </row>
    <row r="33" spans="3:8" ht="20.100000000000001" customHeight="1" x14ac:dyDescent="0.25">
      <c r="C33" s="16"/>
      <c r="D33" s="1"/>
      <c r="E33" s="1"/>
      <c r="F33" s="1"/>
      <c r="G33" s="1"/>
      <c r="H33" s="16"/>
    </row>
    <row r="34" spans="3:8" ht="20.100000000000001" customHeight="1" x14ac:dyDescent="0.25">
      <c r="C34" s="16"/>
      <c r="D34" s="1"/>
      <c r="E34" s="1"/>
      <c r="F34" s="1"/>
      <c r="G34" s="1"/>
      <c r="H34" s="16"/>
    </row>
    <row r="35" spans="3:8" ht="20.100000000000001" customHeight="1" x14ac:dyDescent="0.25">
      <c r="C35" s="16"/>
      <c r="D35" s="1"/>
      <c r="E35" s="1"/>
      <c r="F35" s="1"/>
      <c r="G35" s="1"/>
      <c r="H35" s="16"/>
    </row>
    <row r="36" spans="3:8" ht="20.100000000000001" customHeight="1" x14ac:dyDescent="0.25">
      <c r="C36" s="16"/>
      <c r="D36" s="1"/>
      <c r="E36" s="1"/>
      <c r="F36" s="1"/>
      <c r="G36" s="1"/>
      <c r="H36" s="16"/>
    </row>
    <row r="37" spans="3:8" ht="20.100000000000001" customHeight="1" x14ac:dyDescent="0.25">
      <c r="C37" s="16"/>
      <c r="D37" s="1"/>
      <c r="E37" s="1"/>
      <c r="F37" s="1"/>
      <c r="G37" s="1"/>
      <c r="H37" s="16"/>
    </row>
    <row r="38" spans="3:8" ht="20.100000000000001" customHeight="1" x14ac:dyDescent="0.25">
      <c r="C38" s="16"/>
      <c r="D38" s="1"/>
      <c r="E38" s="1"/>
      <c r="F38" s="1"/>
      <c r="G38" s="1"/>
      <c r="H38" s="16"/>
    </row>
    <row r="39" spans="3:8" ht="20.100000000000001" customHeight="1" x14ac:dyDescent="0.25">
      <c r="C39" s="16"/>
      <c r="D39" s="1"/>
      <c r="E39" s="1"/>
      <c r="F39" s="1"/>
      <c r="G39" s="1"/>
      <c r="H39" s="16"/>
    </row>
    <row r="40" spans="3:8" ht="20.100000000000001" customHeight="1" x14ac:dyDescent="0.25">
      <c r="C40" s="16"/>
      <c r="D40" s="1"/>
      <c r="E40" s="1"/>
      <c r="F40" s="1"/>
      <c r="G40" s="1"/>
      <c r="H40" s="16"/>
    </row>
    <row r="41" spans="3:8" ht="20.100000000000001" customHeight="1" x14ac:dyDescent="0.25">
      <c r="C41" s="16"/>
      <c r="D41" s="1"/>
      <c r="E41" s="1"/>
      <c r="F41" s="1"/>
      <c r="G41" s="1"/>
      <c r="H41" s="16"/>
    </row>
    <row r="42" spans="3:8" ht="20.100000000000001" customHeight="1" x14ac:dyDescent="0.25">
      <c r="C42" s="16"/>
      <c r="D42" s="1"/>
      <c r="E42" s="1"/>
      <c r="F42" s="1"/>
      <c r="G42" s="1"/>
      <c r="H42" s="16"/>
    </row>
    <row r="43" spans="3:8" ht="20.100000000000001" customHeight="1" x14ac:dyDescent="0.25">
      <c r="C43" s="16"/>
      <c r="D43" s="1"/>
      <c r="E43" s="1"/>
      <c r="F43" s="1"/>
      <c r="G43" s="1"/>
      <c r="H43" s="16"/>
    </row>
    <row r="44" spans="3:8" ht="20.100000000000001" customHeight="1" x14ac:dyDescent="0.25">
      <c r="C44" s="16"/>
      <c r="D44" s="1"/>
      <c r="E44" s="1"/>
      <c r="F44" s="1"/>
      <c r="G44" s="1"/>
      <c r="H44" s="16"/>
    </row>
    <row r="45" spans="3:8" ht="20.100000000000001" customHeight="1" x14ac:dyDescent="0.25">
      <c r="C45" s="16"/>
      <c r="D45" s="1"/>
      <c r="E45" s="1"/>
      <c r="F45" s="1"/>
      <c r="G45" s="1"/>
      <c r="H45" s="16"/>
    </row>
    <row r="46" spans="3:8" ht="20.100000000000001" customHeight="1" x14ac:dyDescent="0.25">
      <c r="C46" s="16"/>
      <c r="D46" s="1"/>
      <c r="E46" s="1"/>
      <c r="F46" s="1"/>
      <c r="G46" s="1"/>
      <c r="H46" s="16"/>
    </row>
    <row r="47" spans="3:8" ht="20.100000000000001" customHeight="1" x14ac:dyDescent="0.25">
      <c r="C47" s="16"/>
      <c r="D47" s="1"/>
      <c r="E47" s="1"/>
      <c r="F47" s="1"/>
      <c r="G47" s="1"/>
      <c r="H47" s="16"/>
    </row>
    <row r="48" spans="3:8" ht="20.100000000000001" customHeight="1" x14ac:dyDescent="0.25">
      <c r="C48" s="16"/>
      <c r="D48" s="1"/>
      <c r="E48" s="1"/>
      <c r="F48" s="1"/>
      <c r="G48" s="1"/>
      <c r="H48" s="16"/>
    </row>
    <row r="49" spans="3:8" ht="20.100000000000001" customHeight="1" x14ac:dyDescent="0.25">
      <c r="C49" s="16"/>
      <c r="D49" s="1"/>
      <c r="E49" s="1"/>
      <c r="F49" s="1"/>
      <c r="G49" s="1"/>
      <c r="H49" s="16"/>
    </row>
    <row r="50" spans="3:8" ht="20.100000000000001" customHeight="1" x14ac:dyDescent="0.25">
      <c r="C50" s="16"/>
      <c r="D50" s="1"/>
      <c r="E50" s="1"/>
      <c r="F50" s="1"/>
      <c r="G50" s="1"/>
      <c r="H50" s="16"/>
    </row>
    <row r="51" spans="3:8" ht="20.100000000000001" customHeight="1" x14ac:dyDescent="0.25">
      <c r="C51" s="16"/>
      <c r="D51" s="1"/>
      <c r="E51" s="1"/>
      <c r="F51" s="1"/>
      <c r="G51" s="1"/>
      <c r="H51" s="16"/>
    </row>
    <row r="52" spans="3:8" ht="20.100000000000001" customHeight="1" x14ac:dyDescent="0.25">
      <c r="C52" s="16"/>
      <c r="D52" s="1"/>
      <c r="E52" s="1"/>
      <c r="F52" s="1"/>
      <c r="G52" s="1"/>
      <c r="H52" s="16"/>
    </row>
    <row r="53" spans="3:8" ht="20.100000000000001" customHeight="1" x14ac:dyDescent="0.25">
      <c r="C53" s="16"/>
      <c r="D53" s="1"/>
      <c r="E53" s="1"/>
      <c r="F53" s="1"/>
      <c r="G53" s="1"/>
      <c r="H53" s="16"/>
    </row>
    <row r="54" spans="3:8" ht="20.100000000000001" customHeight="1" x14ac:dyDescent="0.25">
      <c r="C54" s="16"/>
      <c r="D54" s="1"/>
      <c r="E54" s="1"/>
      <c r="F54" s="1"/>
      <c r="G54" s="1"/>
      <c r="H54" s="16"/>
    </row>
    <row r="55" spans="3:8" ht="20.100000000000001" customHeight="1" x14ac:dyDescent="0.25">
      <c r="C55" s="16"/>
      <c r="D55" s="1"/>
      <c r="E55" s="1"/>
      <c r="F55" s="1"/>
      <c r="G55" s="1"/>
      <c r="H55" s="16"/>
    </row>
    <row r="56" spans="3:8" ht="20.100000000000001" customHeight="1" x14ac:dyDescent="0.25">
      <c r="C56" s="16"/>
      <c r="D56" s="1"/>
      <c r="E56" s="1"/>
      <c r="F56" s="1"/>
      <c r="G56" s="1"/>
      <c r="H56" s="16"/>
    </row>
    <row r="57" spans="3:8" ht="20.100000000000001" customHeight="1" x14ac:dyDescent="0.25">
      <c r="C57" s="16"/>
      <c r="D57" s="1"/>
      <c r="E57" s="1"/>
      <c r="F57" s="1"/>
      <c r="G57" s="1"/>
      <c r="H57" s="16"/>
    </row>
    <row r="58" spans="3:8" ht="20.100000000000001" customHeight="1" x14ac:dyDescent="0.25">
      <c r="C58" s="16"/>
      <c r="D58" s="1"/>
      <c r="E58" s="22"/>
      <c r="F58" s="21"/>
      <c r="G58" s="16"/>
      <c r="H58" s="16"/>
    </row>
    <row r="59" spans="3:8" ht="20.100000000000001" customHeight="1" x14ac:dyDescent="0.25">
      <c r="C59" s="16"/>
      <c r="D59" s="1"/>
      <c r="E59" s="1"/>
      <c r="F59" s="1"/>
      <c r="G59" s="1"/>
      <c r="H59" s="16"/>
    </row>
    <row r="60" spans="3:8" ht="20.100000000000001" customHeight="1" x14ac:dyDescent="0.25">
      <c r="C60" s="16"/>
      <c r="D60" s="1"/>
      <c r="E60" s="1"/>
      <c r="F60" s="1"/>
      <c r="G60" s="1"/>
      <c r="H60" s="16"/>
    </row>
    <row r="61" spans="3:8" ht="20.100000000000001" customHeight="1" x14ac:dyDescent="0.25">
      <c r="C61" s="16"/>
      <c r="D61" s="1"/>
      <c r="E61" s="1"/>
      <c r="F61" s="1"/>
      <c r="G61" s="1"/>
      <c r="H61" s="16"/>
    </row>
    <row r="62" spans="3:8" ht="20.100000000000001" customHeight="1" x14ac:dyDescent="0.25">
      <c r="C62" s="16"/>
      <c r="D62" s="1"/>
      <c r="E62" s="1"/>
      <c r="F62" s="1"/>
      <c r="G62" s="1"/>
      <c r="H62" s="16"/>
    </row>
    <row r="63" spans="3:8" ht="20.100000000000001" customHeight="1" x14ac:dyDescent="0.25">
      <c r="C63" s="16"/>
      <c r="D63" s="1"/>
      <c r="E63" s="1"/>
      <c r="F63" s="1"/>
      <c r="G63" s="1"/>
      <c r="H63" s="16"/>
    </row>
    <row r="64" spans="3:8" ht="20.100000000000001" customHeight="1" x14ac:dyDescent="0.25">
      <c r="C64" s="16"/>
      <c r="D64" s="1"/>
      <c r="E64" s="1"/>
      <c r="F64" s="1"/>
      <c r="G64" s="1"/>
      <c r="H64" s="16"/>
    </row>
    <row r="65" spans="3:8" ht="20.100000000000001" customHeight="1" x14ac:dyDescent="0.25">
      <c r="C65" s="16"/>
      <c r="D65" s="1"/>
      <c r="E65" s="1"/>
      <c r="F65" s="1"/>
      <c r="G65" s="1"/>
      <c r="H65" s="16"/>
    </row>
    <row r="66" spans="3:8" ht="20.100000000000001" customHeight="1" x14ac:dyDescent="0.25">
      <c r="C66" s="16"/>
      <c r="D66" s="1"/>
      <c r="E66" s="1"/>
      <c r="F66" s="1"/>
      <c r="G66" s="1"/>
      <c r="H66" s="16"/>
    </row>
    <row r="67" spans="3:8" ht="20.100000000000001" customHeight="1" x14ac:dyDescent="0.25">
      <c r="C67" s="16"/>
      <c r="D67" s="1"/>
      <c r="E67" s="1"/>
      <c r="F67" s="1"/>
      <c r="G67" s="1"/>
      <c r="H67" s="16"/>
    </row>
    <row r="68" spans="3:8" ht="20.100000000000001" customHeight="1" x14ac:dyDescent="0.25">
      <c r="C68" s="16"/>
      <c r="D68" s="1"/>
      <c r="E68" s="1"/>
      <c r="F68" s="1"/>
      <c r="G68" s="1"/>
      <c r="H68" s="16"/>
    </row>
    <row r="69" spans="3:8" ht="20.100000000000001" customHeight="1" x14ac:dyDescent="0.25">
      <c r="C69" s="16"/>
      <c r="D69" s="1"/>
      <c r="E69" s="1"/>
      <c r="F69" s="1"/>
      <c r="G69" s="1"/>
      <c r="H69" s="16"/>
    </row>
    <row r="70" spans="3:8" ht="20.100000000000001" customHeight="1" x14ac:dyDescent="0.25">
      <c r="C70" s="16"/>
      <c r="D70" s="1"/>
      <c r="E70" s="1"/>
      <c r="F70" s="1"/>
      <c r="G70" s="1"/>
      <c r="H70" s="16"/>
    </row>
    <row r="71" spans="3:8" ht="20.100000000000001" customHeight="1" x14ac:dyDescent="0.25">
      <c r="C71" s="16"/>
      <c r="D71" s="1"/>
      <c r="E71" s="1"/>
      <c r="F71" s="1"/>
      <c r="G71" s="1"/>
      <c r="H71" s="16"/>
    </row>
    <row r="72" spans="3:8" ht="20.100000000000001" customHeight="1" x14ac:dyDescent="0.25">
      <c r="C72" s="16"/>
      <c r="D72" s="1"/>
      <c r="E72" s="1"/>
      <c r="F72" s="1"/>
      <c r="G72" s="1"/>
      <c r="H72" s="16"/>
    </row>
    <row r="73" spans="3:8" ht="20.100000000000001" customHeight="1" x14ac:dyDescent="0.25">
      <c r="C73" s="16"/>
      <c r="D73" s="1"/>
      <c r="E73" s="1"/>
      <c r="F73" s="1"/>
      <c r="G73" s="1"/>
      <c r="H73" s="16"/>
    </row>
    <row r="74" spans="3:8" ht="20.100000000000001" customHeight="1" x14ac:dyDescent="0.25">
      <c r="C74" s="16"/>
      <c r="D74" s="1"/>
      <c r="E74" s="1"/>
      <c r="F74" s="1"/>
      <c r="G74" s="1"/>
      <c r="H74" s="16"/>
    </row>
    <row r="75" spans="3:8" ht="20.100000000000001" customHeight="1" x14ac:dyDescent="0.25">
      <c r="C75" s="16"/>
      <c r="D75" s="1"/>
      <c r="E75" s="1"/>
      <c r="F75" s="1"/>
      <c r="G75" s="1"/>
      <c r="H75" s="16"/>
    </row>
    <row r="76" spans="3:8" ht="15.75" x14ac:dyDescent="0.25">
      <c r="C76" s="16"/>
      <c r="D76" s="1"/>
      <c r="E76" s="1"/>
      <c r="F76" s="1"/>
      <c r="G76" s="1"/>
      <c r="H76" s="16"/>
    </row>
    <row r="77" spans="3:8" ht="15.75" x14ac:dyDescent="0.25">
      <c r="C77" s="16"/>
      <c r="D77" s="1"/>
      <c r="E77" s="1"/>
      <c r="F77" s="1"/>
      <c r="G77" s="1"/>
      <c r="H77" s="16"/>
    </row>
    <row r="78" spans="3:8" ht="15.75" x14ac:dyDescent="0.25">
      <c r="C78" s="16"/>
      <c r="D78" s="1"/>
      <c r="E78" s="1"/>
      <c r="F78" s="1"/>
      <c r="G78" s="1"/>
      <c r="H78" s="16"/>
    </row>
    <row r="79" spans="3:8" ht="15.75" x14ac:dyDescent="0.25">
      <c r="C79" s="16"/>
      <c r="D79" s="1"/>
      <c r="E79" s="1"/>
      <c r="F79" s="1"/>
      <c r="G79" s="1"/>
      <c r="H79" s="16"/>
    </row>
    <row r="80" spans="3:8" ht="15.75" x14ac:dyDescent="0.25">
      <c r="C80" s="16"/>
      <c r="D80" s="1"/>
      <c r="E80" s="1"/>
      <c r="F80" s="1"/>
      <c r="G80" s="1"/>
      <c r="H80" s="16"/>
    </row>
    <row r="81" spans="3:8" ht="15.75" x14ac:dyDescent="0.25">
      <c r="C81" s="16"/>
      <c r="D81" s="1"/>
      <c r="E81" s="1"/>
      <c r="F81" s="1"/>
      <c r="G81" s="1"/>
      <c r="H81" s="16"/>
    </row>
    <row r="82" spans="3:8" ht="15.75" x14ac:dyDescent="0.25">
      <c r="C82" s="16"/>
      <c r="D82" s="1"/>
      <c r="E82" s="1"/>
      <c r="F82" s="1"/>
      <c r="G82" s="1"/>
      <c r="H82" s="16"/>
    </row>
    <row r="83" spans="3:8" ht="15.75" x14ac:dyDescent="0.25">
      <c r="C83" s="16"/>
      <c r="D83" s="1"/>
      <c r="E83" s="1"/>
      <c r="F83" s="1"/>
      <c r="G83" s="1"/>
      <c r="H83" s="16"/>
    </row>
    <row r="84" spans="3:8" ht="15.75" x14ac:dyDescent="0.25">
      <c r="C84" s="16"/>
      <c r="D84" s="1"/>
      <c r="E84" s="1"/>
      <c r="F84" s="1"/>
      <c r="G84" s="1"/>
      <c r="H84" s="16"/>
    </row>
    <row r="85" spans="3:8" ht="15.75" x14ac:dyDescent="0.25">
      <c r="C85" s="16"/>
      <c r="D85" s="1"/>
      <c r="E85" s="1"/>
      <c r="F85" s="1"/>
      <c r="G85" s="1"/>
      <c r="H85" s="16"/>
    </row>
    <row r="86" spans="3:8" x14ac:dyDescent="0.25">
      <c r="C86" s="16"/>
      <c r="D86" s="16"/>
      <c r="E86" s="16"/>
      <c r="F86" s="16"/>
      <c r="G86" s="16"/>
      <c r="H86" s="16"/>
    </row>
    <row r="87" spans="3:8" x14ac:dyDescent="0.25">
      <c r="C87" s="16"/>
      <c r="D87" s="16"/>
      <c r="E87" s="16"/>
      <c r="F87" s="16"/>
      <c r="G87" s="16"/>
      <c r="H87" s="16"/>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sheetPr>
    <tabColor theme="5" tint="-0.249977111117893"/>
  </sheetPr>
  <dimension ref="A1:L385"/>
  <sheetViews>
    <sheetView showGridLines="0"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66.7109375" style="1" customWidth="1"/>
    <col min="5" max="5" width="47" style="1" customWidth="1"/>
    <col min="6" max="6" width="67.7109375" style="1" customWidth="1"/>
    <col min="7" max="7" width="30.85546875" style="1" customWidth="1"/>
    <col min="8" max="8" width="24.85546875" style="1" customWidth="1"/>
    <col min="9" max="9" width="29.7109375" style="1" customWidth="1"/>
    <col min="10" max="10" width="4.7109375" style="1" customWidth="1"/>
    <col min="11" max="11" width="4.7109375" customWidth="1"/>
  </cols>
  <sheetData>
    <row r="1" spans="1:10" s="30" customFormat="1" ht="30" customHeight="1" x14ac:dyDescent="0.35">
      <c r="A1" s="30" t="e" vm="1">
        <v>#VALUE!</v>
      </c>
      <c r="C1" s="30" t="s">
        <v>98</v>
      </c>
    </row>
    <row r="2" spans="1:10" s="8" customFormat="1" ht="20.100000000000001" customHeight="1" x14ac:dyDescent="0.25">
      <c r="A2"/>
    </row>
    <row r="3" spans="1:10" ht="20.100000000000001" customHeight="1" x14ac:dyDescent="0.25">
      <c r="A3" s="12" t="str">
        <f>HYPERLINK("#'Home'!A1", "Home")</f>
        <v>Home</v>
      </c>
      <c r="C3" s="11"/>
      <c r="D3" s="11"/>
      <c r="E3" s="11"/>
      <c r="F3" s="11"/>
      <c r="G3" s="11"/>
      <c r="H3" s="11"/>
      <c r="I3" s="11"/>
      <c r="J3" s="11"/>
    </row>
    <row r="4" spans="1:10" ht="20.100000000000001" customHeight="1" x14ac:dyDescent="0.25">
      <c r="A4" s="12" t="str">
        <f>HYPERLINK("#'Overview'!A1", "Overview")</f>
        <v>Overview</v>
      </c>
    </row>
    <row r="5" spans="1:10" ht="20.100000000000001" customHeight="1" x14ac:dyDescent="0.25">
      <c r="A5" s="12" t="str">
        <f>HYPERLINK("#'Results'!A1", "Results")</f>
        <v>Results</v>
      </c>
      <c r="D5" s="5" t="s">
        <v>112</v>
      </c>
    </row>
    <row r="6" spans="1:10" ht="20.100000000000001" customHeight="1" x14ac:dyDescent="0.25"/>
    <row r="7" spans="1:10" ht="20.100000000000001" customHeight="1" x14ac:dyDescent="0.25">
      <c r="D7" s="55" t="s">
        <v>86</v>
      </c>
      <c r="E7" s="56"/>
    </row>
    <row r="8" spans="1:10" ht="20.100000000000001" customHeight="1" x14ac:dyDescent="0.25">
      <c r="A8" s="14" t="s">
        <v>0</v>
      </c>
    </row>
    <row r="9" spans="1:10" ht="20.100000000000001" customHeight="1" x14ac:dyDescent="0.25">
      <c r="A9" s="39" t="str">
        <f>HYPERLINK("#'Input - Solid waste'!A1", "Solid waste")</f>
        <v>Solid waste</v>
      </c>
      <c r="D9" s="62" t="s">
        <v>85</v>
      </c>
      <c r="E9" s="62" t="s">
        <v>103</v>
      </c>
      <c r="F9" s="62" t="s">
        <v>102</v>
      </c>
      <c r="G9" s="62" t="s">
        <v>101</v>
      </c>
      <c r="H9" s="62" t="s">
        <v>104</v>
      </c>
      <c r="I9" s="62" t="s">
        <v>100</v>
      </c>
    </row>
    <row r="10" spans="1:10" ht="20.100000000000001" customHeight="1" x14ac:dyDescent="0.25">
      <c r="D10" s="24" t="s">
        <v>147</v>
      </c>
      <c r="E10" s="25" t="s">
        <v>131</v>
      </c>
      <c r="F10" s="25" t="s">
        <v>115</v>
      </c>
      <c r="G10" s="25" t="s">
        <v>110</v>
      </c>
      <c r="H10" s="70">
        <v>50</v>
      </c>
      <c r="I10" s="25" t="s">
        <v>99</v>
      </c>
    </row>
    <row r="11" spans="1:10" ht="20.100000000000001" customHeight="1" x14ac:dyDescent="0.25">
      <c r="D11" s="24" t="s">
        <v>148</v>
      </c>
      <c r="E11" s="25" t="s">
        <v>131</v>
      </c>
      <c r="F11" s="25" t="s">
        <v>115</v>
      </c>
      <c r="G11" s="25" t="s">
        <v>113</v>
      </c>
      <c r="H11" s="70">
        <v>50</v>
      </c>
      <c r="I11" s="25" t="s">
        <v>111</v>
      </c>
    </row>
    <row r="12" spans="1:10" ht="20.100000000000001" customHeight="1" x14ac:dyDescent="0.25">
      <c r="A12" s="13" t="s">
        <v>44</v>
      </c>
      <c r="D12" s="24" t="s">
        <v>146</v>
      </c>
      <c r="E12" s="25" t="s">
        <v>131</v>
      </c>
      <c r="F12" s="25" t="s">
        <v>121</v>
      </c>
      <c r="G12" s="25" t="s">
        <v>110</v>
      </c>
      <c r="H12" s="70">
        <v>50</v>
      </c>
      <c r="I12" s="25" t="s">
        <v>99</v>
      </c>
    </row>
    <row r="13" spans="1:10" ht="20.100000000000001" customHeight="1" x14ac:dyDescent="0.25">
      <c r="A13" s="12" t="str">
        <f>HYPERLINK("#'10.1.1-2 Solid waste treatment'!A1", "10.1.1-2 Solid waste treatment")</f>
        <v>10.1.1-2 Solid waste treatment</v>
      </c>
      <c r="D13" s="24" t="s">
        <v>145</v>
      </c>
      <c r="E13" s="25" t="s">
        <v>131</v>
      </c>
      <c r="F13" s="25" t="s">
        <v>121</v>
      </c>
      <c r="G13" s="25" t="s">
        <v>113</v>
      </c>
      <c r="H13" s="70">
        <v>50</v>
      </c>
      <c r="I13" s="25" t="s">
        <v>111</v>
      </c>
    </row>
    <row r="14" spans="1:10" ht="20.100000000000001" customHeight="1" x14ac:dyDescent="0.25">
      <c r="D14" s="24" t="s">
        <v>134</v>
      </c>
      <c r="E14" s="25" t="s">
        <v>105</v>
      </c>
      <c r="F14" s="25" t="s">
        <v>121</v>
      </c>
      <c r="G14" s="25" t="s">
        <v>110</v>
      </c>
      <c r="H14" s="70">
        <v>50</v>
      </c>
      <c r="I14" s="25" t="s">
        <v>99</v>
      </c>
    </row>
    <row r="15" spans="1:10" ht="20.100000000000001" customHeight="1" x14ac:dyDescent="0.25">
      <c r="D15" s="24" t="s">
        <v>135</v>
      </c>
      <c r="E15" s="25" t="s">
        <v>105</v>
      </c>
      <c r="F15" s="25" t="s">
        <v>121</v>
      </c>
      <c r="G15" s="25" t="s">
        <v>110</v>
      </c>
      <c r="H15" s="70">
        <v>50</v>
      </c>
      <c r="I15" s="25" t="s">
        <v>111</v>
      </c>
    </row>
    <row r="16" spans="1:10" ht="20.100000000000001" customHeight="1" x14ac:dyDescent="0.25">
      <c r="A16" s="73" t="s">
        <v>1</v>
      </c>
      <c r="D16" s="24" t="s">
        <v>132</v>
      </c>
      <c r="E16" s="25" t="s">
        <v>105</v>
      </c>
      <c r="F16" s="25" t="s">
        <v>121</v>
      </c>
      <c r="G16" s="25" t="s">
        <v>113</v>
      </c>
      <c r="H16" s="70">
        <v>50</v>
      </c>
      <c r="I16" s="25" t="s">
        <v>99</v>
      </c>
    </row>
    <row r="17" spans="1:11" ht="20.100000000000001" customHeight="1" x14ac:dyDescent="0.25">
      <c r="A17" s="12" t="str">
        <f>HYPERLINK("#'Constants - Solid Waste'!A1", "Constants - Solid Waste")</f>
        <v>Constants - Solid Waste</v>
      </c>
      <c r="D17" s="24" t="s">
        <v>133</v>
      </c>
      <c r="E17" s="25" t="s">
        <v>105</v>
      </c>
      <c r="F17" s="25" t="s">
        <v>121</v>
      </c>
      <c r="G17" s="25" t="s">
        <v>113</v>
      </c>
      <c r="H17" s="70">
        <v>50</v>
      </c>
      <c r="I17" s="25" t="s">
        <v>111</v>
      </c>
    </row>
    <row r="18" spans="1:11" ht="20.100000000000001" customHeight="1" x14ac:dyDescent="0.25">
      <c r="A18" s="12" t="str">
        <f>HYPERLINK("#'Constants - Common'!A1", "Constants - Common")</f>
        <v>Constants - Common</v>
      </c>
      <c r="D18" s="24" t="s">
        <v>136</v>
      </c>
      <c r="E18" s="25" t="s">
        <v>105</v>
      </c>
      <c r="F18" s="25" t="s">
        <v>115</v>
      </c>
      <c r="G18" s="25" t="s">
        <v>110</v>
      </c>
      <c r="H18" s="70">
        <v>50</v>
      </c>
      <c r="I18" s="25" t="s">
        <v>99</v>
      </c>
    </row>
    <row r="19" spans="1:11" ht="20.100000000000001" customHeight="1" x14ac:dyDescent="0.25">
      <c r="D19" s="24" t="s">
        <v>137</v>
      </c>
      <c r="E19" s="25" t="s">
        <v>105</v>
      </c>
      <c r="F19" s="25" t="s">
        <v>115</v>
      </c>
      <c r="G19" s="25" t="s">
        <v>110</v>
      </c>
      <c r="H19" s="70">
        <v>50</v>
      </c>
      <c r="I19" s="25" t="s">
        <v>111</v>
      </c>
    </row>
    <row r="20" spans="1:11" ht="20.100000000000001" customHeight="1" x14ac:dyDescent="0.25">
      <c r="D20" s="24" t="s">
        <v>138</v>
      </c>
      <c r="E20" s="25" t="s">
        <v>105</v>
      </c>
      <c r="F20" s="25" t="s">
        <v>115</v>
      </c>
      <c r="G20" s="25" t="s">
        <v>113</v>
      </c>
      <c r="H20" s="70">
        <v>50</v>
      </c>
      <c r="I20" s="25" t="s">
        <v>99</v>
      </c>
    </row>
    <row r="21" spans="1:11" ht="20.100000000000001" customHeight="1" x14ac:dyDescent="0.25">
      <c r="D21" s="24" t="s">
        <v>139</v>
      </c>
      <c r="E21" s="25" t="s">
        <v>105</v>
      </c>
      <c r="F21" s="25" t="s">
        <v>115</v>
      </c>
      <c r="G21" s="25" t="s">
        <v>113</v>
      </c>
      <c r="H21" s="70">
        <v>50</v>
      </c>
      <c r="I21" s="25" t="s">
        <v>111</v>
      </c>
    </row>
    <row r="22" spans="1:11" ht="20.100000000000001" customHeight="1" x14ac:dyDescent="0.25">
      <c r="D22" s="24" t="s">
        <v>140</v>
      </c>
      <c r="E22" s="25" t="s">
        <v>105</v>
      </c>
      <c r="F22" s="25" t="s">
        <v>144</v>
      </c>
      <c r="G22" s="25" t="s">
        <v>110</v>
      </c>
      <c r="H22" s="70">
        <v>50</v>
      </c>
      <c r="I22" s="25" t="s">
        <v>99</v>
      </c>
    </row>
    <row r="23" spans="1:11" ht="20.100000000000001" customHeight="1" x14ac:dyDescent="0.25">
      <c r="D23" s="24" t="s">
        <v>141</v>
      </c>
      <c r="E23" s="25" t="s">
        <v>105</v>
      </c>
      <c r="F23" s="25" t="s">
        <v>144</v>
      </c>
      <c r="G23" s="25" t="s">
        <v>110</v>
      </c>
      <c r="H23" s="70">
        <v>50</v>
      </c>
      <c r="I23" s="25" t="s">
        <v>111</v>
      </c>
    </row>
    <row r="24" spans="1:11" ht="20.100000000000001" customHeight="1" x14ac:dyDescent="0.25">
      <c r="D24" s="24" t="s">
        <v>142</v>
      </c>
      <c r="E24" s="25" t="s">
        <v>105</v>
      </c>
      <c r="F24" s="25" t="s">
        <v>144</v>
      </c>
      <c r="G24" s="25" t="s">
        <v>113</v>
      </c>
      <c r="H24" s="70">
        <v>50</v>
      </c>
      <c r="I24" s="25" t="s">
        <v>99</v>
      </c>
    </row>
    <row r="25" spans="1:11" ht="20.100000000000001" customHeight="1" x14ac:dyDescent="0.25">
      <c r="D25" s="24" t="s">
        <v>143</v>
      </c>
      <c r="E25" s="25" t="s">
        <v>105</v>
      </c>
      <c r="F25" s="25" t="s">
        <v>144</v>
      </c>
      <c r="G25" s="25" t="s">
        <v>113</v>
      </c>
      <c r="H25" s="70">
        <v>50</v>
      </c>
      <c r="I25" s="25" t="s">
        <v>111</v>
      </c>
    </row>
    <row r="26" spans="1:11" ht="20.100000000000001" customHeight="1" x14ac:dyDescent="0.25">
      <c r="D26" s="24" t="s">
        <v>155</v>
      </c>
      <c r="E26" s="25" t="s">
        <v>114</v>
      </c>
      <c r="F26" s="25" t="s">
        <v>115</v>
      </c>
      <c r="G26" s="25" t="s">
        <v>113</v>
      </c>
      <c r="H26" s="70">
        <v>50</v>
      </c>
      <c r="I26" s="25" t="s">
        <v>99</v>
      </c>
    </row>
    <row r="27" spans="1:11" ht="20.100000000000001" customHeight="1" x14ac:dyDescent="0.25">
      <c r="D27" s="24" t="s">
        <v>156</v>
      </c>
      <c r="E27" s="25" t="s">
        <v>114</v>
      </c>
      <c r="F27" s="25" t="s">
        <v>115</v>
      </c>
      <c r="G27" s="25" t="s">
        <v>113</v>
      </c>
      <c r="H27" s="70">
        <v>50</v>
      </c>
      <c r="I27" s="25" t="s">
        <v>111</v>
      </c>
    </row>
    <row r="28" spans="1:11" ht="20.100000000000001" customHeight="1" x14ac:dyDescent="0.25">
      <c r="D28" s="24" t="s">
        <v>157</v>
      </c>
      <c r="E28" s="25" t="s">
        <v>114</v>
      </c>
      <c r="F28" s="25" t="s">
        <v>144</v>
      </c>
      <c r="G28" s="25" t="s">
        <v>113</v>
      </c>
      <c r="H28" s="70">
        <v>50</v>
      </c>
      <c r="I28" s="25" t="s">
        <v>99</v>
      </c>
    </row>
    <row r="29" spans="1:11" ht="20.100000000000001" customHeight="1" x14ac:dyDescent="0.25">
      <c r="D29" s="24" t="s">
        <v>158</v>
      </c>
      <c r="E29" s="25" t="s">
        <v>114</v>
      </c>
      <c r="F29" s="25" t="s">
        <v>144</v>
      </c>
      <c r="G29" s="25" t="s">
        <v>113</v>
      </c>
      <c r="H29" s="70">
        <v>50</v>
      </c>
      <c r="I29" s="25" t="s">
        <v>111</v>
      </c>
      <c r="K29" s="44"/>
    </row>
    <row r="30" spans="1:11" ht="20.100000000000001" customHeight="1" x14ac:dyDescent="0.25">
      <c r="D30" s="24" t="s">
        <v>159</v>
      </c>
      <c r="E30" s="25" t="s">
        <v>114</v>
      </c>
      <c r="F30" s="25" t="s">
        <v>144</v>
      </c>
      <c r="G30" s="25" t="s">
        <v>110</v>
      </c>
      <c r="H30" s="70">
        <v>50</v>
      </c>
      <c r="I30" s="25" t="s">
        <v>99</v>
      </c>
      <c r="K30" s="44"/>
    </row>
    <row r="31" spans="1:11" ht="20.100000000000001" customHeight="1" x14ac:dyDescent="0.25">
      <c r="D31" s="24" t="s">
        <v>160</v>
      </c>
      <c r="E31" s="25" t="s">
        <v>114</v>
      </c>
      <c r="F31" s="25" t="s">
        <v>144</v>
      </c>
      <c r="G31" s="25" t="s">
        <v>110</v>
      </c>
      <c r="H31" s="70">
        <v>50</v>
      </c>
      <c r="I31" s="25" t="s">
        <v>111</v>
      </c>
      <c r="K31" s="44"/>
    </row>
    <row r="32" spans="1:11" ht="20.100000000000001" customHeight="1" x14ac:dyDescent="0.25">
      <c r="D32" s="24" t="s">
        <v>158</v>
      </c>
      <c r="E32" s="25" t="s">
        <v>114</v>
      </c>
      <c r="F32" s="25" t="s">
        <v>144</v>
      </c>
      <c r="G32" s="25" t="s">
        <v>113</v>
      </c>
      <c r="H32" s="70">
        <v>50</v>
      </c>
      <c r="I32" s="25" t="s">
        <v>111</v>
      </c>
      <c r="K32" s="44"/>
    </row>
    <row r="33" spans="1:12" ht="20.100000000000001" customHeight="1" x14ac:dyDescent="0.25">
      <c r="K33" s="44"/>
    </row>
    <row r="34" spans="1:12" ht="20.100000000000001" customHeight="1" x14ac:dyDescent="0.25">
      <c r="K34" s="44"/>
    </row>
    <row r="35" spans="1:12" ht="20.100000000000001" customHeight="1" x14ac:dyDescent="0.25"/>
    <row r="36" spans="1:12" ht="20.100000000000001" customHeight="1" x14ac:dyDescent="0.25">
      <c r="L36" s="44"/>
    </row>
    <row r="37" spans="1:12" ht="20.100000000000001" customHeight="1" x14ac:dyDescent="0.25">
      <c r="L37" s="44"/>
    </row>
    <row r="38" spans="1:12" ht="20.100000000000001" customHeight="1" x14ac:dyDescent="0.25">
      <c r="C38" s="43"/>
    </row>
    <row r="39" spans="1:12" ht="20.100000000000001" customHeight="1" x14ac:dyDescent="0.25">
      <c r="C39" s="43"/>
      <c r="J39" s="43"/>
    </row>
    <row r="40" spans="1:12" s="44" customFormat="1" ht="20.100000000000001" customHeight="1" x14ac:dyDescent="0.25">
      <c r="A40"/>
      <c r="C40" s="1"/>
      <c r="D40" s="1"/>
      <c r="E40" s="1"/>
      <c r="F40" s="1"/>
      <c r="G40" s="1"/>
      <c r="H40" s="1"/>
      <c r="I40" s="1"/>
      <c r="J40" s="1"/>
    </row>
    <row r="41" spans="1:12" s="44" customFormat="1" ht="20.100000000000001" customHeight="1" x14ac:dyDescent="0.25">
      <c r="A41"/>
      <c r="C41" s="1"/>
      <c r="D41" s="1"/>
      <c r="E41" s="1"/>
      <c r="F41" s="1"/>
      <c r="G41" s="1"/>
      <c r="H41" s="1"/>
      <c r="I41" s="1"/>
      <c r="J41" s="1"/>
      <c r="L41" s="44" t="s">
        <v>84</v>
      </c>
    </row>
    <row r="42" spans="1:12" ht="20.100000000000001" customHeight="1" x14ac:dyDescent="0.25"/>
    <row r="43" spans="1:12" ht="20.100000000000001" customHeight="1" x14ac:dyDescent="0.25"/>
    <row r="44" spans="1:12" ht="20.100000000000001" customHeight="1" x14ac:dyDescent="0.25"/>
    <row r="45" spans="1:12" ht="20.100000000000001" customHeight="1" x14ac:dyDescent="0.25"/>
    <row r="46" spans="1:12" ht="20.100000000000001" customHeight="1" x14ac:dyDescent="0.25"/>
    <row r="47" spans="1:12" ht="20.100000000000001" customHeight="1" x14ac:dyDescent="0.25"/>
    <row r="48" spans="1:12"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row r="64" ht="20.100000000000001" customHeight="1" x14ac:dyDescent="0.25"/>
    <row r="65" spans="4:4" ht="20.100000000000001" customHeight="1" x14ac:dyDescent="0.25"/>
    <row r="66" spans="4:4" ht="20.100000000000001" customHeight="1" x14ac:dyDescent="0.25"/>
    <row r="67" spans="4:4" ht="20.100000000000001" customHeight="1" x14ac:dyDescent="0.25"/>
    <row r="68" spans="4:4" ht="20.100000000000001" customHeight="1" x14ac:dyDescent="0.25"/>
    <row r="69" spans="4:4" ht="20.100000000000001" customHeight="1" x14ac:dyDescent="0.25"/>
    <row r="70" spans="4:4" ht="20.100000000000001" customHeight="1" x14ac:dyDescent="0.25"/>
    <row r="71" spans="4:4" ht="20.100000000000001" customHeight="1" x14ac:dyDescent="0.25"/>
    <row r="72" spans="4:4" ht="20.100000000000001" customHeight="1" x14ac:dyDescent="0.25"/>
    <row r="73" spans="4:4" ht="20.100000000000001" customHeight="1" x14ac:dyDescent="0.25">
      <c r="D73" s="61"/>
    </row>
    <row r="74" spans="4:4" ht="20.100000000000001" customHeight="1" x14ac:dyDescent="0.25"/>
    <row r="75" spans="4:4" ht="20.100000000000001" customHeight="1" x14ac:dyDescent="0.25">
      <c r="D75" s="61"/>
    </row>
    <row r="76" spans="4:4" ht="20.100000000000001" customHeight="1" x14ac:dyDescent="0.25">
      <c r="D76" s="61"/>
    </row>
    <row r="77" spans="4:4" ht="20.100000000000001" customHeight="1" x14ac:dyDescent="0.25"/>
    <row r="78" spans="4:4" ht="20.100000000000001" customHeight="1" x14ac:dyDescent="0.25"/>
    <row r="79" spans="4:4" ht="20.100000000000001" customHeight="1" x14ac:dyDescent="0.25"/>
    <row r="80" spans="4:4"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385" spans="4:4" x14ac:dyDescent="0.25">
      <c r="D385" s="35"/>
    </row>
  </sheetData>
  <conditionalFormatting sqref="F162:F163">
    <cfRule type="cellIs" dxfId="53" priority="20" operator="lessThan">
      <formula>0</formula>
    </cfRule>
  </conditionalFormatting>
  <conditionalFormatting sqref="F174:F175">
    <cfRule type="cellIs" dxfId="52" priority="19" operator="lessThan">
      <formula>0</formula>
    </cfRule>
  </conditionalFormatting>
  <conditionalFormatting sqref="F186:F187">
    <cfRule type="cellIs" dxfId="51" priority="18" operator="lessThan">
      <formula>0</formula>
    </cfRule>
  </conditionalFormatting>
  <conditionalFormatting sqref="F274:F275">
    <cfRule type="cellIs" dxfId="50" priority="93" operator="lessThan">
      <formula>0</formula>
    </cfRule>
  </conditionalFormatting>
  <conditionalFormatting sqref="F279:F280">
    <cfRule type="cellIs" dxfId="49" priority="92" operator="lessThan">
      <formula>0</formula>
    </cfRule>
  </conditionalFormatting>
  <conditionalFormatting sqref="F284:F285">
    <cfRule type="cellIs" dxfId="48" priority="91" operator="lessThan">
      <formula>0</formula>
    </cfRule>
  </conditionalFormatting>
  <conditionalFormatting sqref="F308:F309">
    <cfRule type="cellIs" dxfId="47" priority="85" operator="lessThan">
      <formula>0</formula>
    </cfRule>
  </conditionalFormatting>
  <conditionalFormatting sqref="F313:F314">
    <cfRule type="cellIs" dxfId="46" priority="84" operator="lessThan">
      <formula>0</formula>
    </cfRule>
  </conditionalFormatting>
  <conditionalFormatting sqref="F318:F319">
    <cfRule type="cellIs" dxfId="45" priority="83" operator="lessThan">
      <formula>0</formula>
    </cfRule>
  </conditionalFormatting>
  <conditionalFormatting sqref="I33 F71">
    <cfRule type="cellIs" dxfId="44" priority="62" operator="lessThan">
      <formula>0</formula>
    </cfRule>
  </conditionalFormatting>
  <conditionalFormatting sqref="I79:I83">
    <cfRule type="cellIs" dxfId="43" priority="5" operator="lessThan">
      <formula>0</formula>
    </cfRule>
  </conditionalFormatting>
  <conditionalFormatting sqref="I87 I146">
    <cfRule type="cellIs" dxfId="42" priority="74" operator="lessThan">
      <formula>0</formula>
    </cfRule>
  </conditionalFormatting>
  <conditionalFormatting sqref="I98:I100">
    <cfRule type="cellIs" dxfId="41" priority="4" operator="lessThan">
      <formula>0</formula>
    </cfRule>
  </conditionalFormatting>
  <conditionalFormatting sqref="I104:I107">
    <cfRule type="cellIs" dxfId="40" priority="3" operator="lessThan">
      <formula>0</formula>
    </cfRule>
  </conditionalFormatting>
  <conditionalFormatting sqref="I111:I115">
    <cfRule type="cellIs" dxfId="39" priority="1" operator="lessThan">
      <formula>0</formula>
    </cfRule>
  </conditionalFormatting>
  <conditionalFormatting sqref="J8 I65:I66 H67:H69 I68 I70:I72 I74:I75 I226 I232 E234:G234">
    <cfRule type="cellIs" dxfId="38" priority="79" operator="lessThan">
      <formula>0</formula>
    </cfRule>
  </conditionalFormatting>
  <conditionalFormatting sqref="J37 I59 F150:F151">
    <cfRule type="cellIs" dxfId="37" priority="21" operator="lessThan">
      <formula>0</formula>
    </cfRule>
  </conditionalFormatting>
  <dataValidations count="9">
    <dataValidation type="list" allowBlank="1" showInputMessage="1" showErrorMessage="1" sqref="D301" xr:uid="{4E913AB3-F90B-4C35-BCE1-5DBB8FC05107}">
      <formula1>INDIRECT("Table_SourceData_PoultryMMSStage1[MMS]")</formula1>
    </dataValidation>
    <dataValidation type="list" allowBlank="1" showInputMessage="1" showErrorMessage="1" sqref="E249" xr:uid="{9FB53635-991F-44AA-A123-E8ABEF9EE0A6}">
      <formula1>INDIRECT("Table_SourceData_Dairy_ProductionSystemTemplates[Area]")</formula1>
    </dataValidation>
    <dataValidation type="list" allowBlank="1" showInputMessage="1" showErrorMessage="1" sqref="E273 E278 E283 E317 E312 E307 E185 E173 E149 E161" xr:uid="{00A4EA4C-90D3-4150-979D-4D71C7F37A31}">
      <formula1>"Yes, No"</formula1>
    </dataValidation>
    <dataValidation type="list" allowBlank="1" showInputMessage="1" showErrorMessage="1" sqref="E89" xr:uid="{DBA884B0-B52E-420E-8FD2-21B082EB75E2}">
      <formula1>INDIRECT("Table_SourceData_Swine_IrrigationMethods[Irrigation method]")</formula1>
    </dataValidation>
    <dataValidation type="list" allowBlank="1" showInputMessage="1" showErrorMessage="1" sqref="E35" xr:uid="{48A1E533-1334-4AAC-A5F5-B295A34573CB}">
      <formula1>INDIRECT("Table_SourceData_ElectricityEFs[State, Territory or grid description]")</formula1>
    </dataValidation>
    <dataValidation type="list" allowBlank="1" showInputMessage="1" showErrorMessage="1" sqref="E10:E32" xr:uid="{BE2CA0F8-93F9-493C-B304-DCA372760E4E}">
      <formula1>INDIRECT(_xlfn.UNIQUE("Table_SourceData_WasteSolid_WasteTreatmentEFs[Treatment type t]"))</formula1>
    </dataValidation>
    <dataValidation type="list" allowBlank="1" showInputMessage="1" showErrorMessage="1" sqref="G10:G32" xr:uid="{EB782CB2-069D-4346-96A4-9C640517727F}">
      <formula1>"Treated on-site, Removed and treated off-site"</formula1>
    </dataValidation>
    <dataValidation type="list" allowBlank="1" showInputMessage="1" showErrorMessage="1" sqref="I10:I32" xr:uid="{5637D9FB-43C0-46B6-8C23-E9E5D77EE5AE}">
      <formula1>"tonnes, cubic metres m3"</formula1>
    </dataValidation>
    <dataValidation type="list" allowBlank="1" showInputMessage="1" showErrorMessage="1" sqref="F10:F32" xr:uid="{502FA925-EB70-4F2C-8CD1-14FB9D0D2E6F}">
      <formula1>INDIRECT("Table_WasteTypes_" &amp; SUBSTITUTE(E10, " ", "") &amp; "[Waste type w]")</formula1>
    </dataValidation>
  </dataValidations>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sheetPr>
    <tabColor rgb="FF008000"/>
  </sheetPr>
  <dimension ref="A1:L342"/>
  <sheetViews>
    <sheetView showGridLines="0" topLeftCell="A174" zoomScaleNormal="100" workbookViewId="0">
      <selection activeCell="I185" sqref="I185"/>
    </sheetView>
  </sheetViews>
  <sheetFormatPr defaultRowHeight="15.75" x14ac:dyDescent="0.25"/>
  <cols>
    <col min="1" max="1" width="30.7109375" customWidth="1"/>
    <col min="2" max="2" width="4.7109375" customWidth="1"/>
    <col min="3" max="3" width="4.7109375" style="1" customWidth="1"/>
    <col min="4" max="4" width="46.28515625" style="1" customWidth="1"/>
    <col min="5" max="11" width="30.7109375" style="1" customWidth="1"/>
    <col min="12" max="12" width="4.7109375" style="1" customWidth="1"/>
  </cols>
  <sheetData>
    <row r="1" spans="1:12" s="7" customFormat="1" ht="30" customHeight="1" x14ac:dyDescent="0.35">
      <c r="A1" s="30" t="e" vm="1">
        <v>#VALUE!</v>
      </c>
      <c r="C1" s="7" t="s">
        <v>92</v>
      </c>
    </row>
    <row r="2" spans="1:12" s="8" customFormat="1" ht="20.100000000000001" customHeight="1" x14ac:dyDescent="0.25">
      <c r="A2"/>
    </row>
    <row r="3" spans="1:12" ht="20.100000000000001" customHeight="1" x14ac:dyDescent="0.25">
      <c r="A3" s="12" t="str">
        <f>HYPERLINK("#'Home'!A1", "Home")</f>
        <v>Home</v>
      </c>
      <c r="C3" s="3"/>
      <c r="D3" s="3" t="s">
        <v>48</v>
      </c>
      <c r="E3" s="3"/>
      <c r="F3" s="3"/>
      <c r="G3" s="3"/>
      <c r="H3" s="3"/>
      <c r="I3" s="3"/>
      <c r="J3" s="3"/>
      <c r="K3" s="3"/>
      <c r="L3" s="3"/>
    </row>
    <row r="4" spans="1:12" ht="20.100000000000001" customHeight="1" x14ac:dyDescent="0.25">
      <c r="A4" s="12" t="str">
        <f>HYPERLINK("#'Overview'!A1", "Overview")</f>
        <v>Overview</v>
      </c>
    </row>
    <row r="5" spans="1:12" ht="20.100000000000001" customHeight="1" x14ac:dyDescent="0.25">
      <c r="A5" s="12" t="str">
        <f>HYPERLINK("#'Results'!A1", "Results")</f>
        <v>Results</v>
      </c>
      <c r="D5" s="5" t="str" cm="1">
        <f t="array" ref="D5">WasteSolid_Equations.VEERG_10_1_1_1__2_MassOfWasteFromVolume_Title()</f>
        <v>Mass of waste from waste volume</v>
      </c>
    </row>
    <row r="6" spans="1:12" ht="20.100000000000001" customHeight="1" x14ac:dyDescent="0.25">
      <c r="D6" s="4" t="str" cm="1">
        <f t="array" ref="D6">WasteSolid_Equations.VEERG_10_1_1_1__2_MassOfWasteFromVolume_Source()</f>
        <v>VEERG 2026: 10.1.1.1, Equation (2)</v>
      </c>
    </row>
    <row r="7" spans="1:12" ht="20.100000000000001" customHeight="1" x14ac:dyDescent="0.25">
      <c r="D7" s="10" t="s">
        <v>9</v>
      </c>
      <c r="E7" s="10" t="str" cm="1">
        <f t="array" aca="1" ref="E7" ca="1">Common_InputFunctions.Utility_DisplayFunctionName(I21)</f>
        <v>=WasteSolid_Equations.VEERG_10_1_1_1__2_MassOfWasteFromVolume</v>
      </c>
    </row>
    <row r="8" spans="1:12" ht="20.100000000000001" customHeight="1" x14ac:dyDescent="0.25">
      <c r="A8" s="14" t="s">
        <v>0</v>
      </c>
    </row>
    <row r="9" spans="1:12" ht="20.100000000000001" customHeight="1" x14ac:dyDescent="0.25">
      <c r="A9" s="12" t="str">
        <f>HYPERLINK("#'Input - Solid waste'!A1", "Solid waste")</f>
        <v>Solid waste</v>
      </c>
    </row>
    <row r="10" spans="1:12" ht="20.100000000000001" customHeight="1" x14ac:dyDescent="0.25">
      <c r="D10" s="27" t="s">
        <v>12</v>
      </c>
      <c r="E10" s="1" t="str" cm="1">
        <f t="array" ref="E10">WasteSolid_Equations.VEERG_10_1_1_1__2_MassOfWasteFromVolume_Variable()</f>
        <v>Q_wt</v>
      </c>
    </row>
    <row r="11" spans="1:12" ht="20.100000000000001" customHeight="1" x14ac:dyDescent="0.25">
      <c r="D11" s="27" t="s">
        <v>4</v>
      </c>
      <c r="E11" s="28" t="str" cm="1">
        <f t="array" ref="E11">WasteSolid_Equations.VEERG_10_1_1_1__2_MassOfWasteFromVolume_Unit()</f>
        <v>t</v>
      </c>
    </row>
    <row r="12" spans="1:12" ht="20.100000000000001" customHeight="1" x14ac:dyDescent="0.25">
      <c r="A12" s="13" t="s">
        <v>44</v>
      </c>
    </row>
    <row r="13" spans="1:12" ht="20.100000000000001" customHeight="1" x14ac:dyDescent="0.25">
      <c r="A13" s="63" t="str">
        <f>HYPERLINK("#'10.1.1-2 Solid waste treatment'!A1", "10.1.1-2 Solid waste treatment")</f>
        <v>10.1.1-2 Solid waste treatment</v>
      </c>
      <c r="D13" s="45" t="str" cm="1">
        <f t="array" ref="D13:E16">_xlfn.CHOOSECOLS(WasteSolid_Equations.VEERG_10_1_1_1__2_MassOfWasteFromVolume_Arguments(),1,2)</f>
        <v>V_wt</v>
      </c>
      <c r="E13" s="47" t="str">
        <v>volume of solid waste type w being sent to treatment facility t</v>
      </c>
      <c r="F13" s="46"/>
      <c r="G13" s="45" t="str" cm="1">
        <f t="array" ref="G13:H16">_xlfn.CHOOSECOLS(WasteSolid_Equations.VEERG_10_1_1_1__2_MassOfWasteFromVolume_Arguments(),3,4)</f>
        <v>m3</v>
      </c>
      <c r="H13" s="42" t="str">
        <v>Input</v>
      </c>
      <c r="I13" s="71" t="str" cm="1">
        <f t="array" aca="1" ref="I13" ca="1">HYPERLINK(Common_InputFunctions.Utility_SourceHyperlink($D$18),$D$18)</f>
        <v>Table_V_w_t_onsite</v>
      </c>
      <c r="J13" s="71" t="str" cm="1">
        <f t="array" aca="1" ref="J13" ca="1">HYPERLINK(Common_InputFunctions.Utility_SourceHyperlink($D$56),$D$56)</f>
        <v>Table_V_w_t_offsite</v>
      </c>
    </row>
    <row r="14" spans="1:12" ht="20.100000000000001" customHeight="1" x14ac:dyDescent="0.25">
      <c r="D14" s="45" t="str">
        <v>VTM_w</v>
      </c>
      <c r="E14" s="47" t="str">
        <v>conversion factor of volume to mass for waste type w</v>
      </c>
      <c r="F14" s="46"/>
      <c r="G14" s="45" t="str">
        <v>t/m3</v>
      </c>
      <c r="H14" s="41" t="str">
        <v>Constant</v>
      </c>
      <c r="I14" s="71" t="str" cm="1">
        <f t="array" aca="1" ref="I14" ca="1">HYPERLINK(Common_InputFunctions.Utility_SourceHyperlink($D$18),$D$18)</f>
        <v>Table_V_w_t_onsite</v>
      </c>
      <c r="J14" s="71" t="str" cm="1">
        <f t="array" aca="1" ref="J14" ca="1">HYPERLINK(Common_InputFunctions.Utility_SourceHyperlink($D$56),$D$56)</f>
        <v>Table_V_w_t_offsite</v>
      </c>
    </row>
    <row r="15" spans="1:12" ht="20.100000000000001" customHeight="1" x14ac:dyDescent="0.25">
      <c r="D15" s="45" t="str">
        <v>w</v>
      </c>
      <c r="E15" s="47" t="str">
        <v>waste type</v>
      </c>
      <c r="F15" s="46"/>
      <c r="G15" s="45" t="str">
        <v/>
      </c>
      <c r="H15" s="42" t="str">
        <v>Input</v>
      </c>
      <c r="I15" s="71" t="str" cm="1">
        <f t="array" aca="1" ref="I15" ca="1">HYPERLINK(Common_InputFunctions.Utility_SourceHyperlink($D$18),$D$18)</f>
        <v>Table_V_w_t_onsite</v>
      </c>
      <c r="J15" s="71" t="str" cm="1">
        <f t="array" aca="1" ref="J15" ca="1">HYPERLINK(Common_InputFunctions.Utility_SourceHyperlink($D$56),$D$56)</f>
        <v>Table_V_w_t_offsite</v>
      </c>
    </row>
    <row r="16" spans="1:12" ht="20.100000000000001" customHeight="1" x14ac:dyDescent="0.25">
      <c r="A16" s="73" t="s">
        <v>1</v>
      </c>
      <c r="D16" s="45" t="str">
        <v>t</v>
      </c>
      <c r="E16" s="47" t="str">
        <v>treatment facility</v>
      </c>
      <c r="F16" s="46"/>
      <c r="G16" s="45" t="str">
        <v/>
      </c>
      <c r="H16" s="42" t="str">
        <v>Input</v>
      </c>
      <c r="I16" s="71" t="str" cm="1">
        <f t="array" aca="1" ref="I16" ca="1">HYPERLINK(Common_InputFunctions.Utility_SourceHyperlink($D$18),$D$18)</f>
        <v>Table_V_w_t_onsite</v>
      </c>
      <c r="J16" s="71" t="str" cm="1">
        <f t="array" aca="1" ref="J16" ca="1">HYPERLINK(Common_InputFunctions.Utility_SourceHyperlink($D$56),$D$56)</f>
        <v>Table_V_w_t_offsite</v>
      </c>
    </row>
    <row r="17" spans="1:9" ht="20.100000000000001" customHeight="1" x14ac:dyDescent="0.25">
      <c r="A17" s="12" t="str">
        <f>HYPERLINK("#'Constants - Solid Waste'!A1", "Constants - Solid Waste")</f>
        <v>Constants - Solid Waste</v>
      </c>
    </row>
    <row r="18" spans="1:9" ht="20.100000000000001" customHeight="1" x14ac:dyDescent="0.25">
      <c r="A18" s="12" t="str">
        <f>HYPERLINK("#'Constants - Common'!A1", "Constants - Common")</f>
        <v>Constants - Common</v>
      </c>
      <c r="D18" s="65" t="s">
        <v>116</v>
      </c>
    </row>
    <row r="19" spans="1:9" ht="20.100000000000001" customHeight="1" x14ac:dyDescent="0.25">
      <c r="D19" s="66" t="s">
        <v>119</v>
      </c>
    </row>
    <row r="20" spans="1:9" ht="20.100000000000001" customHeight="1" x14ac:dyDescent="0.25">
      <c r="D20" s="62" t="s">
        <v>93</v>
      </c>
      <c r="E20" s="62" t="s">
        <v>94</v>
      </c>
      <c r="F20" s="62"/>
      <c r="G20" s="62" t="s">
        <v>95</v>
      </c>
      <c r="H20" s="67" t="s">
        <v>97</v>
      </c>
      <c r="I20" s="67" t="s">
        <v>96</v>
      </c>
    </row>
    <row r="21" spans="1:9" ht="20.100000000000001" customHeight="1" x14ac:dyDescent="0.25">
      <c r="D21" s="45" t="str" cm="1">
        <f t="array" ref="D21:D54">Table_SourceData_WasteSolid_WasteTreatmentEFs[Treatment type t]</f>
        <v>Landfill</v>
      </c>
      <c r="E21" s="47" t="str" cm="1">
        <f t="array" ref="E21:E54">Table_SourceData_WasteSolid_WasteTreatmentEFs[Waste type w]</f>
        <v>Food waste (including animal carcasses, spoiled animal feed or crop)</v>
      </c>
      <c r="F21" s="68"/>
      <c r="G21" s="26" cm="1">
        <f t="array" ref="G21">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"cubic metres m3")</f>
        <v>50</v>
      </c>
      <c r="H21" s="26" cm="1">
        <f t="array" ref="H21">Common_InputFunctions.Utility_LookupValueInTableNumber(E21,Table_SourceData_WasteSolid_VolumeToMassConversion[Waste type w],Table_SourceData_WasteSolid_VolumeToMassConversion[VTMw])</f>
        <v>0.5</v>
      </c>
      <c r="I21" s="26" cm="1">
        <f t="array" ref="I21">WasteSolid_Equations.VEERG_10_1_1_1__2_MassOfWasteFromVolume(G21,H21)</f>
        <v>25</v>
      </c>
    </row>
    <row r="22" spans="1:9" ht="20.100000000000001" customHeight="1" x14ac:dyDescent="0.25">
      <c r="D22" s="45" t="str">
        <v>Landfill</v>
      </c>
      <c r="E22" s="47" t="str">
        <v>Paper and cardboard</v>
      </c>
      <c r="F22" s="68"/>
      <c r="G22" s="26" cm="1">
        <f t="array" ref="G22">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"cubic metres m3")</f>
        <v>50</v>
      </c>
      <c r="H22" s="26" cm="1">
        <f t="array" ref="H22">Common_InputFunctions.Utility_LookupValueInTableNumber(E22,Table_SourceData_WasteSolid_VolumeToMassConversion[Waste type w],Table_SourceData_WasteSolid_VolumeToMassConversion[VTMw])</f>
        <v>0.09</v>
      </c>
      <c r="I22" s="26" cm="1">
        <f t="array" ref="I22">WasteSolid_Equations.VEERG_10_1_1_1__2_MassOfWasteFromVolume(G22,H22)</f>
        <v>4.5</v>
      </c>
    </row>
    <row r="23" spans="1:9" ht="20.100000000000001" customHeight="1" x14ac:dyDescent="0.25">
      <c r="D23" s="45" t="str">
        <v>Landfill</v>
      </c>
      <c r="E23" s="47" t="str">
        <v>Green waste (including crop residues or prunings)</v>
      </c>
      <c r="F23" s="68"/>
      <c r="G23" s="26" cm="1">
        <f t="array" ref="G23">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"cubic metres m3")</f>
        <v>50</v>
      </c>
      <c r="H23" s="26" cm="1">
        <f t="array" ref="H23">Common_InputFunctions.Utility_LookupValueInTableNumber(E23,Table_SourceData_WasteSolid_VolumeToMassConversion[Waste type w],Table_SourceData_WasteSolid_VolumeToMassConversion[VTMw])</f>
        <v>0.24</v>
      </c>
      <c r="I23" s="26" cm="1">
        <f t="array" ref="I23">WasteSolid_Equations.VEERG_10_1_1_1__2_MassOfWasteFromVolume(G23,H23)</f>
        <v>12</v>
      </c>
    </row>
    <row r="24" spans="1:9" ht="20.100000000000001" customHeight="1" x14ac:dyDescent="0.25">
      <c r="D24" s="45" t="str">
        <v>Landfill</v>
      </c>
      <c r="E24" s="47" t="str">
        <v>Wood</v>
      </c>
      <c r="F24" s="68"/>
      <c r="G24" s="26" cm="1">
        <f t="array" ref="G24">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"cubic metres m3")</f>
        <v>0</v>
      </c>
      <c r="H24" s="26" cm="1">
        <f t="array" ref="H24">Common_InputFunctions.Utility_LookupValueInTableNumber(E24,Table_SourceData_WasteSolid_VolumeToMassConversion[Waste type w],Table_SourceData_WasteSolid_VolumeToMassConversion[VTMw])</f>
        <v>0.15</v>
      </c>
      <c r="I24" s="26" cm="1">
        <f t="array" ref="I24">WasteSolid_Equations.VEERG_10_1_1_1__2_MassOfWasteFromVolume(G24,H24)</f>
        <v>0</v>
      </c>
    </row>
    <row r="25" spans="1:9" ht="20.100000000000001" customHeight="1" x14ac:dyDescent="0.25">
      <c r="D25" s="45" t="str">
        <v>Landfill</v>
      </c>
      <c r="E25" s="47" t="str">
        <v>Textiles</v>
      </c>
      <c r="F25" s="68"/>
      <c r="G25" s="26" cm="1">
        <f t="array" ref="G25">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"cubic metres m3")</f>
        <v>0</v>
      </c>
      <c r="H25" s="26" cm="1">
        <f t="array" ref="H25">Common_InputFunctions.Utility_LookupValueInTableNumber(E25,Table_SourceData_WasteSolid_VolumeToMassConversion[Waste type w],Table_SourceData_WasteSolid_VolumeToMassConversion[VTMw])</f>
        <v>0.14000000000000001</v>
      </c>
      <c r="I25" s="26" cm="1">
        <f t="array" ref="I25">WasteSolid_Equations.VEERG_10_1_1_1__2_MassOfWasteFromVolume(G25,H25)</f>
        <v>0</v>
      </c>
    </row>
    <row r="26" spans="1:9" ht="20.100000000000001" customHeight="1" x14ac:dyDescent="0.25">
      <c r="D26" s="45" t="str">
        <v>Landfill</v>
      </c>
      <c r="E26" s="47" t="str">
        <v>Sludge</v>
      </c>
      <c r="F26" s="68"/>
      <c r="G26" s="26" cm="1">
        <f t="array" ref="G26">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"cubic metres m3")</f>
        <v>0</v>
      </c>
      <c r="H26" s="26" cm="1">
        <f t="array" ref="H26">Common_InputFunctions.Utility_LookupValueInTableNumber(E26,Table_SourceData_WasteSolid_VolumeToMassConversion[Waste type w],Table_SourceData_WasteSolid_VolumeToMassConversion[VTMw])</f>
        <v>0.72</v>
      </c>
      <c r="I26" s="26" cm="1">
        <f t="array" ref="I26">WasteSolid_Equations.VEERG_10_1_1_1__2_MassOfWasteFromVolume(G26,H26)</f>
        <v>0</v>
      </c>
    </row>
    <row r="27" spans="1:9" ht="20.100000000000001" customHeight="1" x14ac:dyDescent="0.25">
      <c r="D27" s="45" t="str">
        <v>Landfill</v>
      </c>
      <c r="E27" s="47" t="str">
        <v>Rubber and leather</v>
      </c>
      <c r="F27" s="68"/>
      <c r="G27" s="26" cm="1">
        <f t="array" ref="G27">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"cubic metres m3")</f>
        <v>0</v>
      </c>
      <c r="H27" s="26" cm="1">
        <f t="array" ref="H27">Common_InputFunctions.Utility_LookupValueInTableNumber(E27,Table_SourceData_WasteSolid_VolumeToMassConversion[Waste type w],Table_SourceData_WasteSolid_VolumeToMassConversion[VTMw])</f>
        <v>0.14000000000000001</v>
      </c>
      <c r="I27" s="26" cm="1">
        <f t="array" ref="I27">WasteSolid_Equations.VEERG_10_1_1_1__2_MassOfWasteFromVolume(G27,H27)</f>
        <v>0</v>
      </c>
    </row>
    <row r="28" spans="1:9" ht="20.100000000000001" customHeight="1" x14ac:dyDescent="0.25">
      <c r="D28" s="45" t="str">
        <v>Landfill</v>
      </c>
      <c r="E28" s="47" t="str">
        <v>Inert waste (including concrete, metal, plastic or glass)</v>
      </c>
      <c r="F28" s="68"/>
      <c r="G28" s="26" cm="1">
        <f t="array" ref="G28">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"cubic metres m3")</f>
        <v>0</v>
      </c>
      <c r="H28" s="26" cm="1">
        <f t="array" ref="H28">Common_InputFunctions.Utility_LookupValueInTableNumber(E28,Table_SourceData_WasteSolid_VolumeToMassConversion[Waste type w],Table_SourceData_WasteSolid_VolumeToMassConversion[VTMw])</f>
        <v>0.42</v>
      </c>
      <c r="I28" s="26" cm="1">
        <f t="array" ref="I28">WasteSolid_Equations.VEERG_10_1_1_1__2_MassOfWasteFromVolume(G28,H28)</f>
        <v>0</v>
      </c>
    </row>
    <row r="29" spans="1:9" ht="20.100000000000001" customHeight="1" x14ac:dyDescent="0.25">
      <c r="D29" s="45" t="str">
        <v>Landfill</v>
      </c>
      <c r="E29" s="47" t="str">
        <v>Municipal solid waste</v>
      </c>
      <c r="F29" s="68"/>
      <c r="G29" s="26" cm="1">
        <f t="array" ref="G29">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"cubic metres m3")</f>
        <v>0</v>
      </c>
      <c r="H29" s="26" cm="1">
        <f t="array" ref="H29">Common_InputFunctions.Utility_LookupValueInTableNumber(E29,Table_SourceData_WasteSolid_VolumeToMassConversion[Waste type w],Table_SourceData_WasteSolid_VolumeToMassConversion[VTMw])</f>
        <v>0.36</v>
      </c>
      <c r="I29" s="26" cm="1">
        <f t="array" ref="I29">WasteSolid_Equations.VEERG_10_1_1_1__2_MassOfWasteFromVolume(G29,H29)</f>
        <v>0</v>
      </c>
    </row>
    <row r="30" spans="1:9" ht="20.100000000000001" customHeight="1" x14ac:dyDescent="0.25">
      <c r="D30" s="45" t="str">
        <v>Landfill</v>
      </c>
      <c r="E30" s="47" t="str">
        <v>Commercial and industrial waste</v>
      </c>
      <c r="F30" s="68"/>
      <c r="G30" s="26" cm="1">
        <f t="array" ref="G30">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"cubic metres m3")</f>
        <v>0</v>
      </c>
      <c r="H30" s="26" cm="1">
        <f t="array" ref="H30">Common_InputFunctions.Utility_LookupValueInTableNumber(E30,Table_SourceData_WasteSolid_VolumeToMassConversion[Waste type w],Table_SourceData_WasteSolid_VolumeToMassConversion[VTMw])</f>
        <v>0.33</v>
      </c>
      <c r="I30" s="26" cm="1">
        <f t="array" ref="I30">WasteSolid_Equations.VEERG_10_1_1_1__2_MassOfWasteFromVolume(G30,H30)</f>
        <v>0</v>
      </c>
    </row>
    <row r="31" spans="1:9" ht="20.100000000000001" customHeight="1" x14ac:dyDescent="0.25">
      <c r="D31" s="45" t="str">
        <v>Landfill</v>
      </c>
      <c r="E31" s="47" t="str">
        <v>Construction and demolition waste</v>
      </c>
      <c r="F31" s="68"/>
      <c r="G31" s="26" cm="1">
        <f t="array" ref="G31">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"cubic metres m3")</f>
        <v>0</v>
      </c>
      <c r="H31" s="26" cm="1">
        <f t="array" ref="H31">Common_InputFunctions.Utility_LookupValueInTableNumber(E31,Table_SourceData_WasteSolid_VolumeToMassConversion[Waste type w],Table_SourceData_WasteSolid_VolumeToMassConversion[VTMw])</f>
        <v>0.39</v>
      </c>
      <c r="I31" s="26" cm="1">
        <f t="array" ref="I31">WasteSolid_Equations.VEERG_10_1_1_1__2_MassOfWasteFromVolume(G31,H31)</f>
        <v>0</v>
      </c>
    </row>
    <row r="32" spans="1:9" ht="20.100000000000001" customHeight="1" x14ac:dyDescent="0.25">
      <c r="D32" s="45" t="str">
        <v>Incineration</v>
      </c>
      <c r="E32" s="47" t="str">
        <v>Food waste, green waste, wood, sludge</v>
      </c>
      <c r="F32" s="68"/>
      <c r="G32" s="26" t="s">
        <v>149</v>
      </c>
      <c r="H32" s="26" t="s">
        <v>149</v>
      </c>
      <c r="I32" s="26" t="s">
        <v>149</v>
      </c>
    </row>
    <row r="33" spans="4:9" ht="20.100000000000001" customHeight="1" x14ac:dyDescent="0.25">
      <c r="D33" s="45" t="str">
        <v>Incineration</v>
      </c>
      <c r="E33" s="47" t="str">
        <v>Food waste (including animal carcasses, spoiled animal feed or crop)</v>
      </c>
      <c r="F33" s="68"/>
      <c r="G33" s="26" cm="1">
        <f t="array" ref="G33">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"cubic metres m3")</f>
        <v>0</v>
      </c>
      <c r="H33" s="26" cm="1">
        <f t="array" ref="H33">Common_InputFunctions.Utility_LookupValueInTableNumber(E33,Table_SourceData_WasteSolid_VolumeToMassConversion[Waste type w],Table_SourceData_WasteSolid_VolumeToMassConversion[VTMw])</f>
        <v>0.5</v>
      </c>
      <c r="I33" s="26" cm="1">
        <f t="array" ref="I33">WasteSolid_Equations.VEERG_10_1_1_1__2_MassOfWasteFromVolume(G33,H33)</f>
        <v>0</v>
      </c>
    </row>
    <row r="34" spans="4:9" ht="20.100000000000001" customHeight="1" x14ac:dyDescent="0.25">
      <c r="D34" s="45" t="str">
        <v>Incineration</v>
      </c>
      <c r="E34" s="47" t="str">
        <v>Green waste (including crop residues or prunings)</v>
      </c>
      <c r="F34" s="68"/>
      <c r="G34" s="26" cm="1">
        <f t="array" ref="G34">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"cubic metres m3")</f>
        <v>100</v>
      </c>
      <c r="H34" s="26" cm="1">
        <f t="array" ref="H34">Common_InputFunctions.Utility_LookupValueInTableNumber(E34,Table_SourceData_WasteSolid_VolumeToMassConversion[Waste type w],Table_SourceData_WasteSolid_VolumeToMassConversion[VTMw])</f>
        <v>0.24</v>
      </c>
      <c r="I34" s="26" cm="1">
        <f t="array" ref="I34">WasteSolid_Equations.VEERG_10_1_1_1__2_MassOfWasteFromVolume(G34,H34)</f>
        <v>24</v>
      </c>
    </row>
    <row r="35" spans="4:9" ht="20.100000000000001" customHeight="1" x14ac:dyDescent="0.25">
      <c r="D35" s="45" t="str">
        <v>Incineration</v>
      </c>
      <c r="E35" s="47" t="str">
        <v>Wood</v>
      </c>
      <c r="F35" s="68"/>
      <c r="G35" s="26" cm="1">
        <f t="array" ref="G35">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"cubic metres m3")</f>
        <v>0</v>
      </c>
      <c r="H35" s="26" cm="1">
        <f t="array" ref="H35">Common_InputFunctions.Utility_LookupValueInTableNumber(E35,Table_SourceData_WasteSolid_VolumeToMassConversion[Waste type w],Table_SourceData_WasteSolid_VolumeToMassConversion[VTMw])</f>
        <v>0.15</v>
      </c>
      <c r="I35" s="26" cm="1">
        <f t="array" ref="I35">WasteSolid_Equations.VEERG_10_1_1_1__2_MassOfWasteFromVolume(G35,H35)</f>
        <v>0</v>
      </c>
    </row>
    <row r="36" spans="4:9" ht="20.100000000000001" customHeight="1" x14ac:dyDescent="0.25">
      <c r="D36" s="45" t="str">
        <v>Incineration</v>
      </c>
      <c r="E36" s="47" t="str">
        <v>Sludge</v>
      </c>
      <c r="F36" s="68"/>
      <c r="G36" s="26" cm="1">
        <f t="array" ref="G36">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"cubic metres m3")</f>
        <v>0</v>
      </c>
      <c r="H36" s="26" cm="1">
        <f t="array" ref="H36">Common_InputFunctions.Utility_LookupValueInTableNumber(E36,Table_SourceData_WasteSolid_VolumeToMassConversion[Waste type w],Table_SourceData_WasteSolid_VolumeToMassConversion[VTMw])</f>
        <v>0.72</v>
      </c>
      <c r="I36" s="26" cm="1">
        <f t="array" ref="I36">WasteSolid_Equations.VEERG_10_1_1_1__2_MassOfWasteFromVolume(G36,H36)</f>
        <v>0</v>
      </c>
    </row>
    <row r="37" spans="4:9" ht="20.100000000000001" customHeight="1" x14ac:dyDescent="0.25">
      <c r="D37" s="45" t="str">
        <v>Incineration</v>
      </c>
      <c r="E37" s="47" t="str">
        <v>Paper and cardboard</v>
      </c>
      <c r="F37" s="68"/>
      <c r="G37" s="26" cm="1">
        <f t="array" ref="G37">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"cubic metres m3")</f>
        <v>50</v>
      </c>
      <c r="H37" s="26" cm="1">
        <f t="array" ref="H37">Common_InputFunctions.Utility_LookupValueInTableNumber(E37,Table_SourceData_WasteSolid_VolumeToMassConversion[Waste type w],Table_SourceData_WasteSolid_VolumeToMassConversion[VTMw])</f>
        <v>0.09</v>
      </c>
      <c r="I37" s="26" cm="1">
        <f t="array" ref="I37">WasteSolid_Equations.VEERG_10_1_1_1__2_MassOfWasteFromVolume(G37,H37)</f>
        <v>4.5</v>
      </c>
    </row>
    <row r="38" spans="4:9" ht="20.100000000000001" customHeight="1" x14ac:dyDescent="0.25">
      <c r="D38" s="45" t="str">
        <v>Incineration</v>
      </c>
      <c r="E38" s="47" t="str">
        <v>Textiles</v>
      </c>
      <c r="F38" s="68"/>
      <c r="G38" s="26" cm="1">
        <f t="array" ref="G38">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"cubic metres m3")</f>
        <v>0</v>
      </c>
      <c r="H38" s="26" cm="1">
        <f t="array" ref="H38">Common_InputFunctions.Utility_LookupValueInTableNumber(E38,Table_SourceData_WasteSolid_VolumeToMassConversion[Waste type w],Table_SourceData_WasteSolid_VolumeToMassConversion[VTMw])</f>
        <v>0.14000000000000001</v>
      </c>
      <c r="I38" s="26" cm="1">
        <f t="array" ref="I38">WasteSolid_Equations.VEERG_10_1_1_1__2_MassOfWasteFromVolume(G38,H38)</f>
        <v>0</v>
      </c>
    </row>
    <row r="39" spans="4:9" ht="20.100000000000001" customHeight="1" x14ac:dyDescent="0.25">
      <c r="D39" s="45" t="str">
        <v>Incineration</v>
      </c>
      <c r="E39" s="47" t="str">
        <v>Rubber and leather</v>
      </c>
      <c r="F39" s="68"/>
      <c r="G39" s="26" cm="1">
        <f t="array" ref="G39">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"cubic metres m3")</f>
        <v>0</v>
      </c>
      <c r="H39" s="26" cm="1">
        <f t="array" ref="H39">Common_InputFunctions.Utility_LookupValueInTableNumber(E39,Table_SourceData_WasteSolid_VolumeToMassConversion[Waste type w],Table_SourceData_WasteSolid_VolumeToMassConversion[VTMw])</f>
        <v>0.14000000000000001</v>
      </c>
      <c r="I39" s="26" cm="1">
        <f t="array" ref="I39">WasteSolid_Equations.VEERG_10_1_1_1__2_MassOfWasteFromVolume(G39,H39)</f>
        <v>0</v>
      </c>
    </row>
    <row r="40" spans="4:9" ht="20.100000000000001" customHeight="1" x14ac:dyDescent="0.25">
      <c r="D40" s="45" t="str">
        <v>Incineration</v>
      </c>
      <c r="E40" s="45" t="str">
        <v>Inert waste (including concrete, metal, plastic or glass)</v>
      </c>
      <c r="F40" s="45"/>
      <c r="G40" s="26" cm="1">
        <f t="array" ref="G40">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"cubic metres m3")</f>
        <v>0</v>
      </c>
      <c r="H40" s="26" cm="1">
        <f t="array" ref="H40">Common_InputFunctions.Utility_LookupValueInTableNumber(E40,Table_SourceData_WasteSolid_VolumeToMassConversion[Waste type w],Table_SourceData_WasteSolid_VolumeToMassConversion[VTMw])</f>
        <v>0.42</v>
      </c>
      <c r="I40" s="26" cm="1">
        <f t="array" ref="I40">WasteSolid_Equations.VEERG_10_1_1_1__2_MassOfWasteFromVolume(G40,H40)</f>
        <v>0</v>
      </c>
    </row>
    <row r="41" spans="4:9" ht="20.100000000000001" customHeight="1" x14ac:dyDescent="0.25">
      <c r="D41" s="45" t="str">
        <v>Incineration</v>
      </c>
      <c r="E41" s="47" t="str">
        <v>Municipal solid waste</v>
      </c>
      <c r="F41" s="46"/>
      <c r="G41" s="26" cm="1">
        <f t="array" ref="G41">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"cubic metres m3")</f>
        <v>0</v>
      </c>
      <c r="H41" s="26" cm="1">
        <f t="array" ref="H41">Common_InputFunctions.Utility_LookupValueInTableNumber(E41,Table_SourceData_WasteSolid_VolumeToMassConversion[Waste type w],Table_SourceData_WasteSolid_VolumeToMassConversion[VTMw])</f>
        <v>0.36</v>
      </c>
      <c r="I41" s="26" cm="1">
        <f t="array" ref="I41">WasteSolid_Equations.VEERG_10_1_1_1__2_MassOfWasteFromVolume(G41,H41)</f>
        <v>0</v>
      </c>
    </row>
    <row r="42" spans="4:9" ht="20.100000000000001" customHeight="1" x14ac:dyDescent="0.25">
      <c r="D42" s="45" t="str">
        <v>Incineration</v>
      </c>
      <c r="E42" s="47" t="str">
        <v>Commercial and industrial waste</v>
      </c>
      <c r="F42" s="46"/>
      <c r="G42" s="26" cm="1">
        <f t="array" ref="G42">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"cubic metres m3")</f>
        <v>0</v>
      </c>
      <c r="H42" s="26" cm="1">
        <f t="array" ref="H42">Common_InputFunctions.Utility_LookupValueInTableNumber(E42,Table_SourceData_WasteSolid_VolumeToMassConversion[Waste type w],Table_SourceData_WasteSolid_VolumeToMassConversion[VTMw])</f>
        <v>0.33</v>
      </c>
      <c r="I42" s="26" cm="1">
        <f t="array" ref="I42">WasteSolid_Equations.VEERG_10_1_1_1__2_MassOfWasteFromVolume(G42,H42)</f>
        <v>0</v>
      </c>
    </row>
    <row r="43" spans="4:9" ht="20.100000000000001" customHeight="1" x14ac:dyDescent="0.25">
      <c r="D43" s="45" t="str">
        <v>Composting</v>
      </c>
      <c r="E43" s="47" t="str">
        <v>All organic waste</v>
      </c>
      <c r="F43" s="46"/>
      <c r="G43" s="26" t="s">
        <v>149</v>
      </c>
      <c r="H43" s="26" t="s">
        <v>149</v>
      </c>
      <c r="I43" s="26" t="s">
        <v>149</v>
      </c>
    </row>
    <row r="44" spans="4:9" ht="20.100000000000001" customHeight="1" x14ac:dyDescent="0.25">
      <c r="D44" s="45" t="str">
        <v>Composting</v>
      </c>
      <c r="E44" s="47" t="str">
        <v>Food waste (including animal carcasses, spoiled animal feed or crop)</v>
      </c>
      <c r="F44" s="46"/>
      <c r="G44" s="26" cm="1">
        <f t="array" ref="G44">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"cubic metres m3")</f>
        <v>50</v>
      </c>
      <c r="H44" s="26" cm="1">
        <f t="array" ref="H44">Common_InputFunctions.Utility_LookupValueInTableNumber(E44,Table_SourceData_WasteSolid_VolumeToMassConversion[Waste type w],Table_SourceData_WasteSolid_VolumeToMassConversion[VTMw])</f>
        <v>0.5</v>
      </c>
      <c r="I44" s="26" cm="1">
        <f t="array" ref="I44">WasteSolid_Equations.VEERG_10_1_1_1__2_MassOfWasteFromVolume(G44,H44)</f>
        <v>25</v>
      </c>
    </row>
    <row r="45" spans="4:9" ht="20.100000000000001" customHeight="1" x14ac:dyDescent="0.25">
      <c r="D45" s="45" t="str">
        <v>Composting</v>
      </c>
      <c r="E45" s="47" t="str">
        <v>Green waste (including crop residues or prunings)</v>
      </c>
      <c r="F45" s="46"/>
      <c r="G45" s="26" cm="1">
        <f t="array" ref="G45">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"cubic metres m3")</f>
        <v>0</v>
      </c>
      <c r="H45" s="26" cm="1">
        <f t="array" ref="H45">Common_InputFunctions.Utility_LookupValueInTableNumber(E45,Table_SourceData_WasteSolid_VolumeToMassConversion[Waste type w],Table_SourceData_WasteSolid_VolumeToMassConversion[VTMw])</f>
        <v>0.24</v>
      </c>
      <c r="I45" s="26" cm="1">
        <f t="array" ref="I45">WasteSolid_Equations.VEERG_10_1_1_1__2_MassOfWasteFromVolume(G45,H45)</f>
        <v>0</v>
      </c>
    </row>
    <row r="46" spans="4:9" ht="20.100000000000001" customHeight="1" x14ac:dyDescent="0.25">
      <c r="D46" s="45" t="str">
        <v>Composting</v>
      </c>
      <c r="E46" s="47" t="str">
        <v>Wood</v>
      </c>
      <c r="F46" s="46"/>
      <c r="G46" s="26" cm="1">
        <f t="array" ref="G46">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"cubic metres m3")</f>
        <v>0</v>
      </c>
      <c r="H46" s="26" cm="1">
        <f t="array" ref="H46">Common_InputFunctions.Utility_LookupValueInTableNumber(E46,Table_SourceData_WasteSolid_VolumeToMassConversion[Waste type w],Table_SourceData_WasteSolid_VolumeToMassConversion[VTMw])</f>
        <v>0.15</v>
      </c>
      <c r="I46" s="26" cm="1">
        <f t="array" ref="I46">WasteSolid_Equations.VEERG_10_1_1_1__2_MassOfWasteFromVolume(G46,H46)</f>
        <v>0</v>
      </c>
    </row>
    <row r="47" spans="4:9" ht="20.100000000000001" customHeight="1" x14ac:dyDescent="0.25">
      <c r="D47" s="45" t="str">
        <v>Composting</v>
      </c>
      <c r="E47" s="47" t="str">
        <v>Sludge</v>
      </c>
      <c r="F47" s="46"/>
      <c r="G47" s="26" cm="1">
        <f t="array" ref="G47">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"cubic metres m3")</f>
        <v>0</v>
      </c>
      <c r="H47" s="26" cm="1">
        <f t="array" ref="H47">Common_InputFunctions.Utility_LookupValueInTableNumber(E47,Table_SourceData_WasteSolid_VolumeToMassConversion[Waste type w],Table_SourceData_WasteSolid_VolumeToMassConversion[VTMw])</f>
        <v>0.72</v>
      </c>
      <c r="I47" s="26" cm="1">
        <f t="array" ref="I47">WasteSolid_Equations.VEERG_10_1_1_1__2_MassOfWasteFromVolume(G47,H47)</f>
        <v>0</v>
      </c>
    </row>
    <row r="48" spans="4:9" ht="20.100000000000001" customHeight="1" x14ac:dyDescent="0.25">
      <c r="D48" s="45" t="str">
        <v>Composting</v>
      </c>
      <c r="E48" s="47" t="str">
        <v>Paper and cardboard</v>
      </c>
      <c r="F48" s="46"/>
      <c r="G48" s="26" cm="1">
        <f t="array" ref="G48">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"cubic metres m3")</f>
        <v>50</v>
      </c>
      <c r="H48" s="26" cm="1">
        <f t="array" ref="H48">Common_InputFunctions.Utility_LookupValueInTableNumber(E48,Table_SourceData_WasteSolid_VolumeToMassConversion[Waste type w],Table_SourceData_WasteSolid_VolumeToMassConversion[VTMw])</f>
        <v>0.09</v>
      </c>
      <c r="I48" s="26" cm="1">
        <f t="array" ref="I48">WasteSolid_Equations.VEERG_10_1_1_1__2_MassOfWasteFromVolume(G48,H48)</f>
        <v>4.5</v>
      </c>
    </row>
    <row r="49" spans="4:9" ht="20.100000000000001" customHeight="1" x14ac:dyDescent="0.25">
      <c r="D49" s="45" t="str">
        <v>Anaerobic digestion</v>
      </c>
      <c r="E49" s="47" t="str">
        <v>All organic waste</v>
      </c>
      <c r="F49" s="46"/>
      <c r="G49" s="26" t="s">
        <v>149</v>
      </c>
      <c r="H49" s="26" t="s">
        <v>149</v>
      </c>
      <c r="I49" s="26" t="s">
        <v>149</v>
      </c>
    </row>
    <row r="50" spans="4:9" ht="20.100000000000001" customHeight="1" x14ac:dyDescent="0.25">
      <c r="D50" s="45" t="str">
        <v>Anaerobic digestion</v>
      </c>
      <c r="E50" s="47" t="str">
        <v>Food waste (including animal carcasses, spoiled animal feed or crop)</v>
      </c>
      <c r="F50" s="46"/>
      <c r="G50" s="26" cm="1">
        <f t="array" ref="G50">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"cubic metres m3")</f>
        <v>0</v>
      </c>
      <c r="H50" s="26" cm="1">
        <f t="array" ref="H50">Common_InputFunctions.Utility_LookupValueInTableNumber(E50,Table_SourceData_WasteSolid_VolumeToMassConversion[Waste type w],Table_SourceData_WasteSolid_VolumeToMassConversion[VTMw])</f>
        <v>0.5</v>
      </c>
      <c r="I50" s="26" cm="1">
        <f t="array" ref="I50">WasteSolid_Equations.VEERG_10_1_1_1__2_MassOfWasteFromVolume(G50,H50)</f>
        <v>0</v>
      </c>
    </row>
    <row r="51" spans="4:9" ht="20.100000000000001" customHeight="1" x14ac:dyDescent="0.25">
      <c r="D51" s="45" t="str">
        <v>Anaerobic digestion</v>
      </c>
      <c r="E51" s="47" t="str">
        <v>Green waste (including crop residues or prunings)</v>
      </c>
      <c r="F51" s="46"/>
      <c r="G51" s="26" cm="1">
        <f t="array" ref="G51">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"cubic metres m3")</f>
        <v>0</v>
      </c>
      <c r="H51" s="26" cm="1">
        <f t="array" ref="H51">Common_InputFunctions.Utility_LookupValueInTableNumber(E51,Table_SourceData_WasteSolid_VolumeToMassConversion[Waste type w],Table_SourceData_WasteSolid_VolumeToMassConversion[VTMw])</f>
        <v>0.24</v>
      </c>
      <c r="I51" s="26" cm="1">
        <f t="array" ref="I51">WasteSolid_Equations.VEERG_10_1_1_1__2_MassOfWasteFromVolume(G51,H51)</f>
        <v>0</v>
      </c>
    </row>
    <row r="52" spans="4:9" ht="20.100000000000001" customHeight="1" x14ac:dyDescent="0.25">
      <c r="D52" s="45" t="str">
        <v>Anaerobic digestion</v>
      </c>
      <c r="E52" s="47" t="str">
        <v>Wood</v>
      </c>
      <c r="F52" s="46"/>
      <c r="G52" s="26" cm="1">
        <f t="array" ref="G52">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"cubic metres m3")</f>
        <v>0</v>
      </c>
      <c r="H52" s="26" cm="1">
        <f t="array" ref="H52">Common_InputFunctions.Utility_LookupValueInTableNumber(E52,Table_SourceData_WasteSolid_VolumeToMassConversion[Waste type w],Table_SourceData_WasteSolid_VolumeToMassConversion[VTMw])</f>
        <v>0.15</v>
      </c>
      <c r="I52" s="26" cm="1">
        <f t="array" ref="I52">WasteSolid_Equations.VEERG_10_1_1_1__2_MassOfWasteFromVolume(G52,H52)</f>
        <v>0</v>
      </c>
    </row>
    <row r="53" spans="4:9" ht="20.100000000000001" customHeight="1" x14ac:dyDescent="0.25">
      <c r="D53" s="45" t="str">
        <v>Anaerobic digestion</v>
      </c>
      <c r="E53" s="47" t="str">
        <v>Sludge</v>
      </c>
      <c r="F53" s="46"/>
      <c r="G53" s="26" cm="1">
        <f t="array" ref="G53">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"cubic metres m3")</f>
        <v>0</v>
      </c>
      <c r="H53" s="26" cm="1">
        <f t="array" ref="H53">Common_InputFunctions.Utility_LookupValueInTableNumber(E53,Table_SourceData_WasteSolid_VolumeToMassConversion[Waste type w],Table_SourceData_WasteSolid_VolumeToMassConversion[VTMw])</f>
        <v>0.72</v>
      </c>
      <c r="I53" s="26" cm="1">
        <f t="array" ref="I53">WasteSolid_Equations.VEERG_10_1_1_1__2_MassOfWasteFromVolume(G53,H53)</f>
        <v>0</v>
      </c>
    </row>
    <row r="54" spans="4:9" ht="20.100000000000001" customHeight="1" x14ac:dyDescent="0.25">
      <c r="D54" s="45" t="str">
        <v>Anaerobic digestion</v>
      </c>
      <c r="E54" s="47" t="str">
        <v>Paper and cardboard</v>
      </c>
      <c r="F54" s="46"/>
      <c r="G54" s="26" cm="1">
        <f t="array" ref="G54">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"cubic metres m3")</f>
        <v>0</v>
      </c>
      <c r="H54" s="26" cm="1">
        <f t="array" ref="H54">Common_InputFunctions.Utility_LookupValueInTableNumber(E54,Table_SourceData_WasteSolid_VolumeToMassConversion[Waste type w],Table_SourceData_WasteSolid_VolumeToMassConversion[VTMw])</f>
        <v>0.09</v>
      </c>
      <c r="I54" s="26" cm="1">
        <f t="array" ref="I54">WasteSolid_Equations.VEERG_10_1_1_1__2_MassOfWasteFromVolume(G54,H54)</f>
        <v>0</v>
      </c>
    </row>
    <row r="55" spans="4:9" ht="20.100000000000001" customHeight="1" x14ac:dyDescent="0.25"/>
    <row r="56" spans="4:9" ht="20.100000000000001" customHeight="1" x14ac:dyDescent="0.25">
      <c r="D56" s="65" t="s">
        <v>117</v>
      </c>
    </row>
    <row r="57" spans="4:9" ht="20.100000000000001" customHeight="1" x14ac:dyDescent="0.25">
      <c r="D57" s="66" t="s">
        <v>120</v>
      </c>
    </row>
    <row r="58" spans="4:9" ht="20.100000000000001" customHeight="1" x14ac:dyDescent="0.25">
      <c r="D58" s="62" t="s">
        <v>93</v>
      </c>
      <c r="E58" s="62" t="s">
        <v>94</v>
      </c>
      <c r="F58" s="62"/>
      <c r="G58" s="62" t="s">
        <v>95</v>
      </c>
      <c r="H58" s="67" t="s">
        <v>97</v>
      </c>
      <c r="I58" s="67" t="s">
        <v>96</v>
      </c>
    </row>
    <row r="59" spans="4:9" ht="20.100000000000001" customHeight="1" x14ac:dyDescent="0.25">
      <c r="D59" s="45" t="str" cm="1">
        <f t="array" ref="D59:D92">Table_SourceData_WasteSolid_WasteTreatmentEFs[Treatment type t]</f>
        <v>Landfill</v>
      </c>
      <c r="E59" s="47" t="str" cm="1">
        <f t="array" ref="E59:E92">Table_SourceData_WasteSolid_WasteTreatmentEFs[Waste type w]</f>
        <v>Food waste (including animal carcasses, spoiled animal feed or crop)</v>
      </c>
      <c r="F59" s="68"/>
      <c r="G59" s="26" cm="1">
        <f t="array" ref="G59">WasteSolid_InputFunctions.WasteSolid_InputFunctions_SumWasteTreatment(Table_Input_SolidWaste[Treatment type (select)],Table_Input_SolidWaste[Waste type (select)],Table_Input_SolidWaste[Treatment location (select)],Table_Input_SolidWaste[Amount unit (select)],Table_Input_SolidWaste[Amount],D59,E59, "Removed and treated off-site", "cubic metres m3")</f>
        <v>50</v>
      </c>
      <c r="H59" s="26" cm="1">
        <f t="array" ref="H59">Common_InputFunctions.Utility_LookupValueInTableNumber(E59,Table_SourceData_WasteSolid_VolumeToMassConversion[Waste type w],Table_SourceData_WasteSolid_VolumeToMassConversion[VTMw])</f>
        <v>0.5</v>
      </c>
      <c r="I59" s="26" cm="1">
        <f t="array" ref="I59">WasteSolid_Equations.VEERG_10_1_1_1__2_MassOfWasteFromVolume(G59,H59)</f>
        <v>25</v>
      </c>
    </row>
    <row r="60" spans="4:9" ht="20.100000000000001" customHeight="1" x14ac:dyDescent="0.25">
      <c r="D60" s="45" t="str">
        <v>Landfill</v>
      </c>
      <c r="E60" s="47" t="str">
        <v>Paper and cardboard</v>
      </c>
      <c r="F60" s="68"/>
      <c r="G60" s="26" cm="1">
        <f t="array" ref="G60">WasteSolid_InputFunctions.WasteSolid_InputFunctions_SumWasteTreatment(Table_Input_SolidWaste[Treatment type (select)],Table_Input_SolidWaste[Waste type (select)],Table_Input_SolidWaste[Treatment location (select)],Table_Input_SolidWaste[Amount unit (select)],Table_Input_SolidWaste[Amount],D60,E60, "Removed and treated off-site", "cubic metres m3")</f>
        <v>50</v>
      </c>
      <c r="H60" s="26" cm="1">
        <f t="array" ref="H60">Common_InputFunctions.Utility_LookupValueInTableNumber(E60,Table_SourceData_WasteSolid_VolumeToMassConversion[Waste type w],Table_SourceData_WasteSolid_VolumeToMassConversion[VTMw])</f>
        <v>0.09</v>
      </c>
      <c r="I60" s="26" cm="1">
        <f t="array" ref="I60">WasteSolid_Equations.VEERG_10_1_1_1__2_MassOfWasteFromVolume(G60,H60)</f>
        <v>4.5</v>
      </c>
    </row>
    <row r="61" spans="4:9" ht="20.100000000000001" customHeight="1" x14ac:dyDescent="0.25">
      <c r="D61" s="45" t="str">
        <v>Landfill</v>
      </c>
      <c r="E61" s="47" t="str">
        <v>Green waste (including crop residues or prunings)</v>
      </c>
      <c r="F61" s="68"/>
      <c r="G61" s="26" cm="1">
        <f t="array" ref="G61">WasteSolid_InputFunctions.WasteSolid_InputFunctions_SumWasteTreatment(Table_Input_SolidWaste[Treatment type (select)],Table_Input_SolidWaste[Waste type (select)],Table_Input_SolidWaste[Treatment location (select)],Table_Input_SolidWaste[Amount unit (select)],Table_Input_SolidWaste[Amount],D61,E61, "Removed and treated off-site", "cubic metres m3")</f>
        <v>50</v>
      </c>
      <c r="H61" s="26" cm="1">
        <f t="array" ref="H61">Common_InputFunctions.Utility_LookupValueInTableNumber(E61,Table_SourceData_WasteSolid_VolumeToMassConversion[Waste type w],Table_SourceData_WasteSolid_VolumeToMassConversion[VTMw])</f>
        <v>0.24</v>
      </c>
      <c r="I61" s="26" cm="1">
        <f t="array" ref="I61">WasteSolid_Equations.VEERG_10_1_1_1__2_MassOfWasteFromVolume(G61,H61)</f>
        <v>12</v>
      </c>
    </row>
    <row r="62" spans="4:9" ht="20.100000000000001" customHeight="1" x14ac:dyDescent="0.25">
      <c r="D62" s="45" t="str">
        <v>Landfill</v>
      </c>
      <c r="E62" s="47" t="str">
        <v>Wood</v>
      </c>
      <c r="F62" s="68"/>
      <c r="G62" s="26" cm="1">
        <f t="array" ref="G62">WasteSolid_InputFunctions.WasteSolid_InputFunctions_SumWasteTreatment(Table_Input_SolidWaste[Treatment type (select)],Table_Input_SolidWaste[Waste type (select)],Table_Input_SolidWaste[Treatment location (select)],Table_Input_SolidWaste[Amount unit (select)],Table_Input_SolidWaste[Amount],D62,E62, "Removed and treated off-site", "cubic metres m3")</f>
        <v>0</v>
      </c>
      <c r="H62" s="26" cm="1">
        <f t="array" ref="H62">Common_InputFunctions.Utility_LookupValueInTableNumber(E62,Table_SourceData_WasteSolid_VolumeToMassConversion[Waste type w],Table_SourceData_WasteSolid_VolumeToMassConversion[VTMw])</f>
        <v>0.15</v>
      </c>
      <c r="I62" s="26" cm="1">
        <f t="array" ref="I62">WasteSolid_Equations.VEERG_10_1_1_1__2_MassOfWasteFromVolume(G62,H62)</f>
        <v>0</v>
      </c>
    </row>
    <row r="63" spans="4:9" ht="20.100000000000001" customHeight="1" x14ac:dyDescent="0.25">
      <c r="D63" s="45" t="str">
        <v>Landfill</v>
      </c>
      <c r="E63" s="47" t="str">
        <v>Textiles</v>
      </c>
      <c r="F63" s="68"/>
      <c r="G63" s="26" cm="1">
        <f t="array" ref="G63">WasteSolid_InputFunctions.WasteSolid_InputFunctions_SumWasteTreatment(Table_Input_SolidWaste[Treatment type (select)],Table_Input_SolidWaste[Waste type (select)],Table_Input_SolidWaste[Treatment location (select)],Table_Input_SolidWaste[Amount unit (select)],Table_Input_SolidWaste[Amount],D63,E63, "Removed and treated off-site", "cubic metres m3")</f>
        <v>0</v>
      </c>
      <c r="H63" s="26" cm="1">
        <f t="array" ref="H63">Common_InputFunctions.Utility_LookupValueInTableNumber(E63,Table_SourceData_WasteSolid_VolumeToMassConversion[Waste type w],Table_SourceData_WasteSolid_VolumeToMassConversion[VTMw])</f>
        <v>0.14000000000000001</v>
      </c>
      <c r="I63" s="26" cm="1">
        <f t="array" ref="I63">WasteSolid_Equations.VEERG_10_1_1_1__2_MassOfWasteFromVolume(G63,H63)</f>
        <v>0</v>
      </c>
    </row>
    <row r="64" spans="4:9" ht="20.100000000000001" customHeight="1" x14ac:dyDescent="0.25">
      <c r="D64" s="45" t="str">
        <v>Landfill</v>
      </c>
      <c r="E64" s="47" t="str">
        <v>Sludge</v>
      </c>
      <c r="F64" s="68"/>
      <c r="G64" s="26" cm="1">
        <f t="array" ref="G64">WasteSolid_InputFunctions.WasteSolid_InputFunctions_SumWasteTreatment(Table_Input_SolidWaste[Treatment type (select)],Table_Input_SolidWaste[Waste type (select)],Table_Input_SolidWaste[Treatment location (select)],Table_Input_SolidWaste[Amount unit (select)],Table_Input_SolidWaste[Amount],D64,E64, "Removed and treated off-site", "cubic metres m3")</f>
        <v>0</v>
      </c>
      <c r="H64" s="26" cm="1">
        <f t="array" ref="H64">Common_InputFunctions.Utility_LookupValueInTableNumber(E64,Table_SourceData_WasteSolid_VolumeToMassConversion[Waste type w],Table_SourceData_WasteSolid_VolumeToMassConversion[VTMw])</f>
        <v>0.72</v>
      </c>
      <c r="I64" s="26" cm="1">
        <f t="array" ref="I64">WasteSolid_Equations.VEERG_10_1_1_1__2_MassOfWasteFromVolume(G64,H64)</f>
        <v>0</v>
      </c>
    </row>
    <row r="65" spans="4:9" ht="20.100000000000001" customHeight="1" x14ac:dyDescent="0.25">
      <c r="D65" s="45" t="str">
        <v>Landfill</v>
      </c>
      <c r="E65" s="47" t="str">
        <v>Rubber and leather</v>
      </c>
      <c r="F65" s="68"/>
      <c r="G65" s="26" cm="1">
        <f t="array" ref="G65">WasteSolid_InputFunctions.WasteSolid_InputFunctions_SumWasteTreatment(Table_Input_SolidWaste[Treatment type (select)],Table_Input_SolidWaste[Waste type (select)],Table_Input_SolidWaste[Treatment location (select)],Table_Input_SolidWaste[Amount unit (select)],Table_Input_SolidWaste[Amount],D65,E65, "Removed and treated off-site", "cubic metres m3")</f>
        <v>0</v>
      </c>
      <c r="H65" s="26" cm="1">
        <f t="array" ref="H65">Common_InputFunctions.Utility_LookupValueInTableNumber(E65,Table_SourceData_WasteSolid_VolumeToMassConversion[Waste type w],Table_SourceData_WasteSolid_VolumeToMassConversion[VTMw])</f>
        <v>0.14000000000000001</v>
      </c>
      <c r="I65" s="26" cm="1">
        <f t="array" ref="I65">WasteSolid_Equations.VEERG_10_1_1_1__2_MassOfWasteFromVolume(G65,H65)</f>
        <v>0</v>
      </c>
    </row>
    <row r="66" spans="4:9" ht="20.100000000000001" customHeight="1" x14ac:dyDescent="0.25">
      <c r="D66" s="45" t="str">
        <v>Landfill</v>
      </c>
      <c r="E66" s="47" t="str">
        <v>Inert waste (including concrete, metal, plastic or glass)</v>
      </c>
      <c r="F66" s="68"/>
      <c r="G66" s="26" cm="1">
        <f t="array" ref="G66">WasteSolid_InputFunctions.WasteSolid_InputFunctions_SumWasteTreatment(Table_Input_SolidWaste[Treatment type (select)],Table_Input_SolidWaste[Waste type (select)],Table_Input_SolidWaste[Treatment location (select)],Table_Input_SolidWaste[Amount unit (select)],Table_Input_SolidWaste[Amount],D66,E66, "Removed and treated off-site", "cubic metres m3")</f>
        <v>0</v>
      </c>
      <c r="H66" s="26" cm="1">
        <f t="array" ref="H66">Common_InputFunctions.Utility_LookupValueInTableNumber(E66,Table_SourceData_WasteSolid_VolumeToMassConversion[Waste type w],Table_SourceData_WasteSolid_VolumeToMassConversion[VTMw])</f>
        <v>0.42</v>
      </c>
      <c r="I66" s="26" cm="1">
        <f t="array" ref="I66">WasteSolid_Equations.VEERG_10_1_1_1__2_MassOfWasteFromVolume(G66,H66)</f>
        <v>0</v>
      </c>
    </row>
    <row r="67" spans="4:9" ht="20.100000000000001" customHeight="1" x14ac:dyDescent="0.25">
      <c r="D67" s="45" t="str">
        <v>Landfill</v>
      </c>
      <c r="E67" s="47" t="str">
        <v>Municipal solid waste</v>
      </c>
      <c r="F67" s="68"/>
      <c r="G67" s="26" cm="1">
        <f t="array" ref="G67">WasteSolid_InputFunctions.WasteSolid_InputFunctions_SumWasteTreatment(Table_Input_SolidWaste[Treatment type (select)],Table_Input_SolidWaste[Waste type (select)],Table_Input_SolidWaste[Treatment location (select)],Table_Input_SolidWaste[Amount unit (select)],Table_Input_SolidWaste[Amount],D67,E67, "Removed and treated off-site", "cubic metres m3")</f>
        <v>0</v>
      </c>
      <c r="H67" s="26" cm="1">
        <f t="array" ref="H67">Common_InputFunctions.Utility_LookupValueInTableNumber(E67,Table_SourceData_WasteSolid_VolumeToMassConversion[Waste type w],Table_SourceData_WasteSolid_VolumeToMassConversion[VTMw])</f>
        <v>0.36</v>
      </c>
      <c r="I67" s="26" cm="1">
        <f t="array" ref="I67">WasteSolid_Equations.VEERG_10_1_1_1__2_MassOfWasteFromVolume(G67,H67)</f>
        <v>0</v>
      </c>
    </row>
    <row r="68" spans="4:9" ht="20.100000000000001" customHeight="1" x14ac:dyDescent="0.25">
      <c r="D68" s="45" t="str">
        <v>Landfill</v>
      </c>
      <c r="E68" s="47" t="str">
        <v>Commercial and industrial waste</v>
      </c>
      <c r="F68" s="68"/>
      <c r="G68" s="26" cm="1">
        <f t="array" ref="G68">WasteSolid_InputFunctions.WasteSolid_InputFunctions_SumWasteTreatment(Table_Input_SolidWaste[Treatment type (select)],Table_Input_SolidWaste[Waste type (select)],Table_Input_SolidWaste[Treatment location (select)],Table_Input_SolidWaste[Amount unit (select)],Table_Input_SolidWaste[Amount],D68,E68, "Removed and treated off-site", "cubic metres m3")</f>
        <v>0</v>
      </c>
      <c r="H68" s="26" cm="1">
        <f t="array" ref="H68">Common_InputFunctions.Utility_LookupValueInTableNumber(E68,Table_SourceData_WasteSolid_VolumeToMassConversion[Waste type w],Table_SourceData_WasteSolid_VolumeToMassConversion[VTMw])</f>
        <v>0.33</v>
      </c>
      <c r="I68" s="26" cm="1">
        <f t="array" ref="I68">WasteSolid_Equations.VEERG_10_1_1_1__2_MassOfWasteFromVolume(G68,H68)</f>
        <v>0</v>
      </c>
    </row>
    <row r="69" spans="4:9" ht="20.100000000000001" customHeight="1" x14ac:dyDescent="0.25">
      <c r="D69" s="45" t="str">
        <v>Landfill</v>
      </c>
      <c r="E69" s="47" t="str">
        <v>Construction and demolition waste</v>
      </c>
      <c r="F69" s="68"/>
      <c r="G69" s="26" cm="1">
        <f t="array" ref="G69">WasteSolid_InputFunctions.WasteSolid_InputFunctions_SumWasteTreatment(Table_Input_SolidWaste[Treatment type (select)],Table_Input_SolidWaste[Waste type (select)],Table_Input_SolidWaste[Treatment location (select)],Table_Input_SolidWaste[Amount unit (select)],Table_Input_SolidWaste[Amount],D69,E69, "Removed and treated off-site", "cubic metres m3")</f>
        <v>0</v>
      </c>
      <c r="H69" s="26" cm="1">
        <f t="array" ref="H69">Common_InputFunctions.Utility_LookupValueInTableNumber(E69,Table_SourceData_WasteSolid_VolumeToMassConversion[Waste type w],Table_SourceData_WasteSolid_VolumeToMassConversion[VTMw])</f>
        <v>0.39</v>
      </c>
      <c r="I69" s="26" cm="1">
        <f t="array" ref="I69">WasteSolid_Equations.VEERG_10_1_1_1__2_MassOfWasteFromVolume(G69,H69)</f>
        <v>0</v>
      </c>
    </row>
    <row r="70" spans="4:9" ht="20.100000000000001" customHeight="1" x14ac:dyDescent="0.25">
      <c r="D70" s="45" t="str">
        <v>Incineration</v>
      </c>
      <c r="E70" s="47" t="str">
        <v>Food waste, green waste, wood, sludge</v>
      </c>
      <c r="F70" s="68"/>
      <c r="G70" s="26" t="s">
        <v>149</v>
      </c>
      <c r="H70" s="26" t="s">
        <v>149</v>
      </c>
      <c r="I70" s="26" t="s">
        <v>149</v>
      </c>
    </row>
    <row r="71" spans="4:9" ht="20.100000000000001" customHeight="1" x14ac:dyDescent="0.25">
      <c r="D71" s="45" t="str">
        <v>Incineration</v>
      </c>
      <c r="E71" s="47" t="str">
        <v>Food waste (including animal carcasses, spoiled animal feed or crop)</v>
      </c>
      <c r="F71" s="68"/>
      <c r="G71" s="26" cm="1">
        <f t="array" ref="G71">WasteSolid_InputFunctions.WasteSolid_InputFunctions_SumWasteTreatment(Table_Input_SolidWaste[Treatment type (select)],Table_Input_SolidWaste[Waste type (select)],Table_Input_SolidWaste[Treatment location (select)],Table_Input_SolidWaste[Amount unit (select)],Table_Input_SolidWaste[Amount],D71,E71, "Removed and treated off-site", "cubic metres m3")</f>
        <v>0</v>
      </c>
      <c r="H71" s="26" cm="1">
        <f t="array" ref="H71">Common_InputFunctions.Utility_LookupValueInTableNumber(E71,Table_SourceData_WasteSolid_VolumeToMassConversion[Waste type w],Table_SourceData_WasteSolid_VolumeToMassConversion[VTMw])</f>
        <v>0.5</v>
      </c>
      <c r="I71" s="26" cm="1">
        <f t="array" ref="I71">WasteSolid_Equations.VEERG_10_1_1_1__2_MassOfWasteFromVolume(G71,H71)</f>
        <v>0</v>
      </c>
    </row>
    <row r="72" spans="4:9" ht="20.100000000000001" customHeight="1" x14ac:dyDescent="0.25">
      <c r="D72" s="45" t="str">
        <v>Incineration</v>
      </c>
      <c r="E72" s="47" t="str">
        <v>Green waste (including crop residues or prunings)</v>
      </c>
      <c r="F72" s="68"/>
      <c r="G72" s="26" cm="1">
        <f t="array" ref="G72">WasteSolid_InputFunctions.WasteSolid_InputFunctions_SumWasteTreatment(Table_Input_SolidWaste[Treatment type (select)],Table_Input_SolidWaste[Waste type (select)],Table_Input_SolidWaste[Treatment location (select)],Table_Input_SolidWaste[Amount unit (select)],Table_Input_SolidWaste[Amount],D72,E72, "Removed and treated off-site", "cubic metres m3")</f>
        <v>50</v>
      </c>
      <c r="H72" s="26" cm="1">
        <f t="array" ref="H72">Common_InputFunctions.Utility_LookupValueInTableNumber(E72,Table_SourceData_WasteSolid_VolumeToMassConversion[Waste type w],Table_SourceData_WasteSolid_VolumeToMassConversion[VTMw])</f>
        <v>0.24</v>
      </c>
      <c r="I72" s="26" cm="1">
        <f t="array" ref="I72">WasteSolid_Equations.VEERG_10_1_1_1__2_MassOfWasteFromVolume(G72,H72)</f>
        <v>12</v>
      </c>
    </row>
    <row r="73" spans="4:9" ht="20.100000000000001" customHeight="1" x14ac:dyDescent="0.25">
      <c r="D73" s="45" t="str">
        <v>Incineration</v>
      </c>
      <c r="E73" s="47" t="str">
        <v>Wood</v>
      </c>
      <c r="F73" s="68"/>
      <c r="G73" s="26" cm="1">
        <f t="array" ref="G73">WasteSolid_InputFunctions.WasteSolid_InputFunctions_SumWasteTreatment(Table_Input_SolidWaste[Treatment type (select)],Table_Input_SolidWaste[Waste type (select)],Table_Input_SolidWaste[Treatment location (select)],Table_Input_SolidWaste[Amount unit (select)],Table_Input_SolidWaste[Amount],D73,E73, "Removed and treated off-site", "cubic metres m3")</f>
        <v>0</v>
      </c>
      <c r="H73" s="26" cm="1">
        <f t="array" ref="H73">Common_InputFunctions.Utility_LookupValueInTableNumber(E73,Table_SourceData_WasteSolid_VolumeToMassConversion[Waste type w],Table_SourceData_WasteSolid_VolumeToMassConversion[VTMw])</f>
        <v>0.15</v>
      </c>
      <c r="I73" s="26" cm="1">
        <f t="array" ref="I73">WasteSolid_Equations.VEERG_10_1_1_1__2_MassOfWasteFromVolume(G73,H73)</f>
        <v>0</v>
      </c>
    </row>
    <row r="74" spans="4:9" ht="20.100000000000001" customHeight="1" x14ac:dyDescent="0.25">
      <c r="D74" s="45" t="str">
        <v>Incineration</v>
      </c>
      <c r="E74" s="47" t="str">
        <v>Sludge</v>
      </c>
      <c r="F74" s="68"/>
      <c r="G74" s="26" cm="1">
        <f t="array" ref="G74">WasteSolid_InputFunctions.WasteSolid_InputFunctions_SumWasteTreatment(Table_Input_SolidWaste[Treatment type (select)],Table_Input_SolidWaste[Waste type (select)],Table_Input_SolidWaste[Treatment location (select)],Table_Input_SolidWaste[Amount unit (select)],Table_Input_SolidWaste[Amount],D74,E74, "Removed and treated off-site", "cubic metres m3")</f>
        <v>0</v>
      </c>
      <c r="H74" s="26" cm="1">
        <f t="array" ref="H74">Common_InputFunctions.Utility_LookupValueInTableNumber(E74,Table_SourceData_WasteSolid_VolumeToMassConversion[Waste type w],Table_SourceData_WasteSolid_VolumeToMassConversion[VTMw])</f>
        <v>0.72</v>
      </c>
      <c r="I74" s="26" cm="1">
        <f t="array" ref="I74">WasteSolid_Equations.VEERG_10_1_1_1__2_MassOfWasteFromVolume(G74,H74)</f>
        <v>0</v>
      </c>
    </row>
    <row r="75" spans="4:9" ht="20.100000000000001" customHeight="1" x14ac:dyDescent="0.25">
      <c r="D75" s="45" t="str">
        <v>Incineration</v>
      </c>
      <c r="E75" s="47" t="str">
        <v>Paper and cardboard</v>
      </c>
      <c r="F75" s="68"/>
      <c r="G75" s="26" cm="1">
        <f t="array" ref="G75">WasteSolid_InputFunctions.WasteSolid_InputFunctions_SumWasteTreatment(Table_Input_SolidWaste[Treatment type (select)],Table_Input_SolidWaste[Waste type (select)],Table_Input_SolidWaste[Treatment location (select)],Table_Input_SolidWaste[Amount unit (select)],Table_Input_SolidWaste[Amount],D75,E75, "Removed and treated off-site", "cubic metres m3")</f>
        <v>0</v>
      </c>
      <c r="H75" s="26" cm="1">
        <f t="array" ref="H75">Common_InputFunctions.Utility_LookupValueInTableNumber(E75,Table_SourceData_WasteSolid_VolumeToMassConversion[Waste type w],Table_SourceData_WasteSolid_VolumeToMassConversion[VTMw])</f>
        <v>0.09</v>
      </c>
      <c r="I75" s="26" cm="1">
        <f t="array" ref="I75">WasteSolid_Equations.VEERG_10_1_1_1__2_MassOfWasteFromVolume(G75,H75)</f>
        <v>0</v>
      </c>
    </row>
    <row r="76" spans="4:9" ht="20.100000000000001" customHeight="1" x14ac:dyDescent="0.25">
      <c r="D76" s="45" t="str">
        <v>Incineration</v>
      </c>
      <c r="E76" s="47" t="str">
        <v>Textiles</v>
      </c>
      <c r="F76" s="68"/>
      <c r="G76" s="26" cm="1">
        <f t="array" ref="G76">WasteSolid_InputFunctions.WasteSolid_InputFunctions_SumWasteTreatment(Table_Input_SolidWaste[Treatment type (select)],Table_Input_SolidWaste[Waste type (select)],Table_Input_SolidWaste[Treatment location (select)],Table_Input_SolidWaste[Amount unit (select)],Table_Input_SolidWaste[Amount],D76,E76, "Removed and treated off-site", "cubic metres m3")</f>
        <v>0</v>
      </c>
      <c r="H76" s="26" cm="1">
        <f t="array" ref="H76">Common_InputFunctions.Utility_LookupValueInTableNumber(E76,Table_SourceData_WasteSolid_VolumeToMassConversion[Waste type w],Table_SourceData_WasteSolid_VolumeToMassConversion[VTMw])</f>
        <v>0.14000000000000001</v>
      </c>
      <c r="I76" s="26" cm="1">
        <f t="array" ref="I76">WasteSolid_Equations.VEERG_10_1_1_1__2_MassOfWasteFromVolume(G76,H76)</f>
        <v>0</v>
      </c>
    </row>
    <row r="77" spans="4:9" ht="20.100000000000001" customHeight="1" x14ac:dyDescent="0.25">
      <c r="D77" s="45" t="str">
        <v>Incineration</v>
      </c>
      <c r="E77" s="47" t="str">
        <v>Rubber and leather</v>
      </c>
      <c r="F77" s="68"/>
      <c r="G77" s="26" cm="1">
        <f t="array" ref="G77">WasteSolid_InputFunctions.WasteSolid_InputFunctions_SumWasteTreatment(Table_Input_SolidWaste[Treatment type (select)],Table_Input_SolidWaste[Waste type (select)],Table_Input_SolidWaste[Treatment location (select)],Table_Input_SolidWaste[Amount unit (select)],Table_Input_SolidWaste[Amount],D77,E77, "Removed and treated off-site", "cubic metres m3")</f>
        <v>0</v>
      </c>
      <c r="H77" s="26" cm="1">
        <f t="array" ref="H77">Common_InputFunctions.Utility_LookupValueInTableNumber(E77,Table_SourceData_WasteSolid_VolumeToMassConversion[Waste type w],Table_SourceData_WasteSolid_VolumeToMassConversion[VTMw])</f>
        <v>0.14000000000000001</v>
      </c>
      <c r="I77" s="26" cm="1">
        <f t="array" ref="I77">WasteSolid_Equations.VEERG_10_1_1_1__2_MassOfWasteFromVolume(G77,H77)</f>
        <v>0</v>
      </c>
    </row>
    <row r="78" spans="4:9" ht="20.100000000000001" customHeight="1" x14ac:dyDescent="0.25">
      <c r="D78" s="45" t="str">
        <v>Incineration</v>
      </c>
      <c r="E78" s="47" t="str">
        <v>Inert waste (including concrete, metal, plastic or glass)</v>
      </c>
      <c r="F78" s="68"/>
      <c r="G78" s="26" cm="1">
        <f t="array" ref="G78">WasteSolid_InputFunctions.WasteSolid_InputFunctions_SumWasteTreatment(Table_Input_SolidWaste[Treatment type (select)],Table_Input_SolidWaste[Waste type (select)],Table_Input_SolidWaste[Treatment location (select)],Table_Input_SolidWaste[Amount unit (select)],Table_Input_SolidWaste[Amount],D78,E78, "Removed and treated off-site", "cubic metres m3")</f>
        <v>0</v>
      </c>
      <c r="H78" s="26" cm="1">
        <f t="array" ref="H78">Common_InputFunctions.Utility_LookupValueInTableNumber(E78,Table_SourceData_WasteSolid_VolumeToMassConversion[Waste type w],Table_SourceData_WasteSolid_VolumeToMassConversion[VTMw])</f>
        <v>0.42</v>
      </c>
      <c r="I78" s="26" cm="1">
        <f t="array" ref="I78">WasteSolid_Equations.VEERG_10_1_1_1__2_MassOfWasteFromVolume(G78,H78)</f>
        <v>0</v>
      </c>
    </row>
    <row r="79" spans="4:9" ht="20.100000000000001" customHeight="1" x14ac:dyDescent="0.25">
      <c r="D79" s="45" t="str">
        <v>Incineration</v>
      </c>
      <c r="E79" s="47" t="str">
        <v>Municipal solid waste</v>
      </c>
      <c r="F79" s="46"/>
      <c r="G79" s="26" cm="1">
        <f t="array" ref="G79">WasteSolid_InputFunctions.WasteSolid_InputFunctions_SumWasteTreatment(Table_Input_SolidWaste[Treatment type (select)],Table_Input_SolidWaste[Waste type (select)],Table_Input_SolidWaste[Treatment location (select)],Table_Input_SolidWaste[Amount unit (select)],Table_Input_SolidWaste[Amount],D79,E79, "Removed and treated off-site", "cubic metres m3")</f>
        <v>0</v>
      </c>
      <c r="H79" s="26" cm="1">
        <f t="array" ref="H79">Common_InputFunctions.Utility_LookupValueInTableNumber(E79,Table_SourceData_WasteSolid_VolumeToMassConversion[Waste type w],Table_SourceData_WasteSolid_VolumeToMassConversion[VTMw])</f>
        <v>0.36</v>
      </c>
      <c r="I79" s="26" cm="1">
        <f t="array" ref="I79">WasteSolid_Equations.VEERG_10_1_1_1__2_MassOfWasteFromVolume(G79,H79)</f>
        <v>0</v>
      </c>
    </row>
    <row r="80" spans="4:9" ht="20.100000000000001" customHeight="1" x14ac:dyDescent="0.25">
      <c r="D80" s="45" t="str">
        <v>Incineration</v>
      </c>
      <c r="E80" s="47" t="str">
        <v>Commercial and industrial waste</v>
      </c>
      <c r="F80" s="46"/>
      <c r="G80" s="26" cm="1">
        <f t="array" ref="G80">WasteSolid_InputFunctions.WasteSolid_InputFunctions_SumWasteTreatment(Table_Input_SolidWaste[Treatment type (select)],Table_Input_SolidWaste[Waste type (select)],Table_Input_SolidWaste[Treatment location (select)],Table_Input_SolidWaste[Amount unit (select)],Table_Input_SolidWaste[Amount],D80,E80, "Removed and treated off-site", "cubic metres m3")</f>
        <v>0</v>
      </c>
      <c r="H80" s="26" cm="1">
        <f t="array" ref="H80">Common_InputFunctions.Utility_LookupValueInTableNumber(E80,Table_SourceData_WasteSolid_VolumeToMassConversion[Waste type w],Table_SourceData_WasteSolid_VolumeToMassConversion[VTMw])</f>
        <v>0.33</v>
      </c>
      <c r="I80" s="26" cm="1">
        <f t="array" ref="I80">WasteSolid_Equations.VEERG_10_1_1_1__2_MassOfWasteFromVolume(G80,H80)</f>
        <v>0</v>
      </c>
    </row>
    <row r="81" spans="3:12" ht="20.100000000000001" customHeight="1" x14ac:dyDescent="0.25">
      <c r="D81" s="45" t="str">
        <v>Composting</v>
      </c>
      <c r="E81" s="47" t="str">
        <v>All organic waste</v>
      </c>
      <c r="F81" s="46"/>
      <c r="G81" s="26" t="s">
        <v>149</v>
      </c>
      <c r="H81" s="26" t="s">
        <v>149</v>
      </c>
      <c r="I81" s="26" t="s">
        <v>149</v>
      </c>
    </row>
    <row r="82" spans="3:12" ht="20.100000000000001" customHeight="1" x14ac:dyDescent="0.25">
      <c r="D82" s="45" t="str">
        <v>Composting</v>
      </c>
      <c r="E82" s="47" t="str">
        <v>Food waste (including animal carcasses, spoiled animal feed or crop)</v>
      </c>
      <c r="F82" s="46"/>
      <c r="G82" s="26" cm="1">
        <f t="array" ref="G82">WasteSolid_InputFunctions.WasteSolid_InputFunctions_SumWasteTreatment(Table_Input_SolidWaste[Treatment type (select)],Table_Input_SolidWaste[Waste type (select)],Table_Input_SolidWaste[Treatment location (select)],Table_Input_SolidWaste[Amount unit (select)],Table_Input_SolidWaste[Amount],D82,E82, "Removed and treated off-site", "cubic metres m3")</f>
        <v>0</v>
      </c>
      <c r="H82" s="26" cm="1">
        <f t="array" ref="H82">Common_InputFunctions.Utility_LookupValueInTableNumber(E82,Table_SourceData_WasteSolid_VolumeToMassConversion[Waste type w],Table_SourceData_WasteSolid_VolumeToMassConversion[VTMw])</f>
        <v>0.5</v>
      </c>
      <c r="I82" s="26" cm="1">
        <f t="array" ref="I82">WasteSolid_Equations.VEERG_10_1_1_1__2_MassOfWasteFromVolume(G82,H82)</f>
        <v>0</v>
      </c>
    </row>
    <row r="83" spans="3:12" ht="20.100000000000001" customHeight="1" x14ac:dyDescent="0.25">
      <c r="D83" s="45" t="str">
        <v>Composting</v>
      </c>
      <c r="E83" s="47" t="str">
        <v>Green waste (including crop residues or prunings)</v>
      </c>
      <c r="F83" s="46"/>
      <c r="G83" s="26" cm="1">
        <f t="array" ref="G83">WasteSolid_InputFunctions.WasteSolid_InputFunctions_SumWasteTreatment(Table_Input_SolidWaste[Treatment type (select)],Table_Input_SolidWaste[Waste type (select)],Table_Input_SolidWaste[Treatment location (select)],Table_Input_SolidWaste[Amount unit (select)],Table_Input_SolidWaste[Amount],D83,E83, "Removed and treated off-site", "cubic metres m3")</f>
        <v>0</v>
      </c>
      <c r="H83" s="26" cm="1">
        <f t="array" ref="H83">Common_InputFunctions.Utility_LookupValueInTableNumber(E83,Table_SourceData_WasteSolid_VolumeToMassConversion[Waste type w],Table_SourceData_WasteSolid_VolumeToMassConversion[VTMw])</f>
        <v>0.24</v>
      </c>
      <c r="I83" s="26" cm="1">
        <f t="array" ref="I83">WasteSolid_Equations.VEERG_10_1_1_1__2_MassOfWasteFromVolume(G83,H83)</f>
        <v>0</v>
      </c>
    </row>
    <row r="84" spans="3:12" ht="20.100000000000001" customHeight="1" x14ac:dyDescent="0.25">
      <c r="D84" s="45" t="str">
        <v>Composting</v>
      </c>
      <c r="E84" s="47" t="str">
        <v>Wood</v>
      </c>
      <c r="F84" s="46"/>
      <c r="G84" s="26" cm="1">
        <f t="array" ref="G84">WasteSolid_InputFunctions.WasteSolid_InputFunctions_SumWasteTreatment(Table_Input_SolidWaste[Treatment type (select)],Table_Input_SolidWaste[Waste type (select)],Table_Input_SolidWaste[Treatment location (select)],Table_Input_SolidWaste[Amount unit (select)],Table_Input_SolidWaste[Amount],D84,E84, "Removed and treated off-site", "cubic metres m3")</f>
        <v>0</v>
      </c>
      <c r="H84" s="26" cm="1">
        <f t="array" ref="H84">Common_InputFunctions.Utility_LookupValueInTableNumber(E84,Table_SourceData_WasteSolid_VolumeToMassConversion[Waste type w],Table_SourceData_WasteSolid_VolumeToMassConversion[VTMw])</f>
        <v>0.15</v>
      </c>
      <c r="I84" s="26" cm="1">
        <f t="array" ref="I84">WasteSolid_Equations.VEERG_10_1_1_1__2_MassOfWasteFromVolume(G84,H84)</f>
        <v>0</v>
      </c>
    </row>
    <row r="85" spans="3:12" ht="20.100000000000001" customHeight="1" x14ac:dyDescent="0.25">
      <c r="D85" s="45" t="str">
        <v>Composting</v>
      </c>
      <c r="E85" s="47" t="str">
        <v>Sludge</v>
      </c>
      <c r="F85" s="46"/>
      <c r="G85" s="26" cm="1">
        <f t="array" ref="G85">WasteSolid_InputFunctions.WasteSolid_InputFunctions_SumWasteTreatment(Table_Input_SolidWaste[Treatment type (select)],Table_Input_SolidWaste[Waste type (select)],Table_Input_SolidWaste[Treatment location (select)],Table_Input_SolidWaste[Amount unit (select)],Table_Input_SolidWaste[Amount],D85,E85, "Removed and treated off-site", "cubic metres m3")</f>
        <v>0</v>
      </c>
      <c r="H85" s="26" cm="1">
        <f t="array" ref="H85">Common_InputFunctions.Utility_LookupValueInTableNumber(E85,Table_SourceData_WasteSolid_VolumeToMassConversion[Waste type w],Table_SourceData_WasteSolid_VolumeToMassConversion[VTMw])</f>
        <v>0.72</v>
      </c>
      <c r="I85" s="26" cm="1">
        <f t="array" ref="I85">WasteSolid_Equations.VEERG_10_1_1_1__2_MassOfWasteFromVolume(G85,H85)</f>
        <v>0</v>
      </c>
    </row>
    <row r="86" spans="3:12" ht="20.100000000000001" customHeight="1" x14ac:dyDescent="0.25">
      <c r="D86" s="45" t="str">
        <v>Composting</v>
      </c>
      <c r="E86" s="47" t="str">
        <v>Paper and cardboard</v>
      </c>
      <c r="F86" s="46"/>
      <c r="G86" s="26" cm="1">
        <f t="array" ref="G86">WasteSolid_InputFunctions.WasteSolid_InputFunctions_SumWasteTreatment(Table_Input_SolidWaste[Treatment type (select)],Table_Input_SolidWaste[Waste type (select)],Table_Input_SolidWaste[Treatment location (select)],Table_Input_SolidWaste[Amount unit (select)],Table_Input_SolidWaste[Amount],D86,E86, "Removed and treated off-site", "cubic metres m3")</f>
        <v>0</v>
      </c>
      <c r="H86" s="26" cm="1">
        <f t="array" ref="H86">Common_InputFunctions.Utility_LookupValueInTableNumber(E86,Table_SourceData_WasteSolid_VolumeToMassConversion[Waste type w],Table_SourceData_WasteSolid_VolumeToMassConversion[VTMw])</f>
        <v>0.09</v>
      </c>
      <c r="I86" s="26" cm="1">
        <f t="array" ref="I86">WasteSolid_Equations.VEERG_10_1_1_1__2_MassOfWasteFromVolume(G86,H86)</f>
        <v>0</v>
      </c>
    </row>
    <row r="87" spans="3:12" ht="20.100000000000001" customHeight="1" x14ac:dyDescent="0.25">
      <c r="D87" s="45" t="str">
        <v>Anaerobic digestion</v>
      </c>
      <c r="E87" s="47" t="str">
        <v>All organic waste</v>
      </c>
      <c r="F87" s="46"/>
      <c r="G87" s="26" t="s">
        <v>149</v>
      </c>
      <c r="H87" s="26" t="s">
        <v>149</v>
      </c>
      <c r="I87" s="26" t="s">
        <v>149</v>
      </c>
    </row>
    <row r="88" spans="3:12" ht="20.100000000000001" customHeight="1" x14ac:dyDescent="0.25">
      <c r="D88" s="45" t="str">
        <v>Anaerobic digestion</v>
      </c>
      <c r="E88" s="47" t="str">
        <v>Food waste (including animal carcasses, spoiled animal feed or crop)</v>
      </c>
      <c r="F88" s="46"/>
      <c r="G88" s="26" cm="1">
        <f t="array" ref="G88">WasteSolid_InputFunctions.WasteSolid_InputFunctions_SumWasteTreatment(Table_Input_SolidWaste[Treatment type (select)],Table_Input_SolidWaste[Waste type (select)],Table_Input_SolidWaste[Treatment location (select)],Table_Input_SolidWaste[Amount unit (select)],Table_Input_SolidWaste[Amount],D88,E88, "Removed and treated off-site", "cubic metres m3")</f>
        <v>0</v>
      </c>
      <c r="H88" s="26" cm="1">
        <f t="array" ref="H88">Common_InputFunctions.Utility_LookupValueInTableNumber(E88,Table_SourceData_WasteSolid_VolumeToMassConversion[Waste type w],Table_SourceData_WasteSolid_VolumeToMassConversion[VTMw])</f>
        <v>0.5</v>
      </c>
      <c r="I88" s="26" cm="1">
        <f t="array" ref="I88">WasteSolid_Equations.VEERG_10_1_1_1__2_MassOfWasteFromVolume(G88,H88)</f>
        <v>0</v>
      </c>
    </row>
    <row r="89" spans="3:12" ht="20.100000000000001" customHeight="1" x14ac:dyDescent="0.25">
      <c r="D89" s="45" t="str">
        <v>Anaerobic digestion</v>
      </c>
      <c r="E89" s="47" t="str">
        <v>Green waste (including crop residues or prunings)</v>
      </c>
      <c r="F89" s="46"/>
      <c r="G89" s="26" cm="1">
        <f t="array" ref="G89">WasteSolid_InputFunctions.WasteSolid_InputFunctions_SumWasteTreatment(Table_Input_SolidWaste[Treatment type (select)],Table_Input_SolidWaste[Waste type (select)],Table_Input_SolidWaste[Treatment location (select)],Table_Input_SolidWaste[Amount unit (select)],Table_Input_SolidWaste[Amount],D89,E89, "Removed and treated off-site", "cubic metres m3")</f>
        <v>0</v>
      </c>
      <c r="H89" s="26" cm="1">
        <f t="array" ref="H89">Common_InputFunctions.Utility_LookupValueInTableNumber(E89,Table_SourceData_WasteSolid_VolumeToMassConversion[Waste type w],Table_SourceData_WasteSolid_VolumeToMassConversion[VTMw])</f>
        <v>0.24</v>
      </c>
      <c r="I89" s="26" cm="1">
        <f t="array" ref="I89">WasteSolid_Equations.VEERG_10_1_1_1__2_MassOfWasteFromVolume(G89,H89)</f>
        <v>0</v>
      </c>
    </row>
    <row r="90" spans="3:12" ht="20.100000000000001" customHeight="1" x14ac:dyDescent="0.25">
      <c r="D90" s="45" t="str">
        <v>Anaerobic digestion</v>
      </c>
      <c r="E90" s="47" t="str">
        <v>Wood</v>
      </c>
      <c r="F90" s="46"/>
      <c r="G90" s="26" cm="1">
        <f t="array" ref="G90">WasteSolid_InputFunctions.WasteSolid_InputFunctions_SumWasteTreatment(Table_Input_SolidWaste[Treatment type (select)],Table_Input_SolidWaste[Waste type (select)],Table_Input_SolidWaste[Treatment location (select)],Table_Input_SolidWaste[Amount unit (select)],Table_Input_SolidWaste[Amount],D90,E90, "Removed and treated off-site", "cubic metres m3")</f>
        <v>0</v>
      </c>
      <c r="H90" s="26" cm="1">
        <f t="array" ref="H90">Common_InputFunctions.Utility_LookupValueInTableNumber(E90,Table_SourceData_WasteSolid_VolumeToMassConversion[Waste type w],Table_SourceData_WasteSolid_VolumeToMassConversion[VTMw])</f>
        <v>0.15</v>
      </c>
      <c r="I90" s="26" cm="1">
        <f t="array" ref="I90">WasteSolid_Equations.VEERG_10_1_1_1__2_MassOfWasteFromVolume(G90,H90)</f>
        <v>0</v>
      </c>
    </row>
    <row r="91" spans="3:12" ht="20.100000000000001" customHeight="1" x14ac:dyDescent="0.25">
      <c r="D91" s="45" t="str">
        <v>Anaerobic digestion</v>
      </c>
      <c r="E91" s="47" t="str">
        <v>Sludge</v>
      </c>
      <c r="F91" s="46"/>
      <c r="G91" s="26" cm="1">
        <f t="array" ref="G91">WasteSolid_InputFunctions.WasteSolid_InputFunctions_SumWasteTreatment(Table_Input_SolidWaste[Treatment type (select)],Table_Input_SolidWaste[Waste type (select)],Table_Input_SolidWaste[Treatment location (select)],Table_Input_SolidWaste[Amount unit (select)],Table_Input_SolidWaste[Amount],D91,E91, "Removed and treated off-site", "cubic metres m3")</f>
        <v>0</v>
      </c>
      <c r="H91" s="26" cm="1">
        <f t="array" ref="H91">Common_InputFunctions.Utility_LookupValueInTableNumber(E91,Table_SourceData_WasteSolid_VolumeToMassConversion[Waste type w],Table_SourceData_WasteSolid_VolumeToMassConversion[VTMw])</f>
        <v>0.72</v>
      </c>
      <c r="I91" s="26" cm="1">
        <f t="array" ref="I91">WasteSolid_Equations.VEERG_10_1_1_1__2_MassOfWasteFromVolume(G91,H91)</f>
        <v>0</v>
      </c>
    </row>
    <row r="92" spans="3:12" ht="20.100000000000001" customHeight="1" x14ac:dyDescent="0.25">
      <c r="D92" s="45" t="str">
        <v>Anaerobic digestion</v>
      </c>
      <c r="E92" s="47" t="str">
        <v>Paper and cardboard</v>
      </c>
      <c r="F92" s="46"/>
      <c r="G92" s="26" cm="1">
        <f t="array" ref="G92">WasteSolid_InputFunctions.WasteSolid_InputFunctions_SumWasteTreatment(Table_Input_SolidWaste[Treatment type (select)],Table_Input_SolidWaste[Waste type (select)],Table_Input_SolidWaste[Treatment location (select)],Table_Input_SolidWaste[Amount unit (select)],Table_Input_SolidWaste[Amount],D92,E92, "Removed and treated off-site", "cubic metres m3")</f>
        <v>0</v>
      </c>
      <c r="H92" s="26" cm="1">
        <f t="array" ref="H92">Common_InputFunctions.Utility_LookupValueInTableNumber(E92,Table_SourceData_WasteSolid_VolumeToMassConversion[Waste type w],Table_SourceData_WasteSolid_VolumeToMassConversion[VTMw])</f>
        <v>0.09</v>
      </c>
      <c r="I92" s="26" cm="1">
        <f t="array" ref="I92">WasteSolid_Equations.VEERG_10_1_1_1__2_MassOfWasteFromVolume(G92,H92)</f>
        <v>0</v>
      </c>
    </row>
    <row r="93" spans="3:12" ht="20.100000000000001" customHeight="1" x14ac:dyDescent="0.25"/>
    <row r="94" spans="3:12" ht="20.100000000000001" customHeight="1" x14ac:dyDescent="0.25"/>
    <row r="95" spans="3:12" ht="20.100000000000001" customHeight="1" x14ac:dyDescent="0.25">
      <c r="C95" s="58"/>
      <c r="D95" s="58"/>
      <c r="E95" s="58"/>
      <c r="F95" s="58"/>
      <c r="G95" s="58"/>
      <c r="H95" s="58"/>
      <c r="I95" s="58"/>
      <c r="J95" s="58"/>
      <c r="K95" s="58"/>
      <c r="L95" s="58"/>
    </row>
    <row r="96" spans="3:12" ht="20.100000000000001" customHeight="1" x14ac:dyDescent="0.25">
      <c r="D96" s="5" t="str" cm="1">
        <f t="array" ref="D96">WasteSolid_Equations.VEERG_10_1_1_1__1_EmissionsFromWasteManagement_Title()</f>
        <v>Emissions from waste management by greenhouse gas</v>
      </c>
    </row>
    <row r="97" spans="4:9" ht="20.100000000000001" customHeight="1" x14ac:dyDescent="0.25">
      <c r="D97" s="4" t="str" cm="1">
        <f t="array" ref="D97">WasteSolid_Equations.VEERG_10_1_1_1__1_EmissionsFromWasteManagement_Source()</f>
        <v>VEERG 2026: 10.1.1.1, Equation (1)</v>
      </c>
    </row>
    <row r="98" spans="4:9" ht="20.100000000000001" customHeight="1" x14ac:dyDescent="0.25">
      <c r="D98" s="29" t="str" cm="1">
        <f t="array" ref="D98">WasteSolid_Equations.VEERG_10_1_1_1__1_EmissionsFromWasteManagement_Variation()</f>
        <v>VARIATION ON SOURCE: Added Q_volwt and Q_masswt variables to clearly track input or calculated Q values</v>
      </c>
    </row>
    <row r="99" spans="4:9" ht="20.100000000000001" customHeight="1" x14ac:dyDescent="0.25">
      <c r="D99" s="10" t="s">
        <v>9</v>
      </c>
      <c r="E99" s="10" t="str" cm="1">
        <f t="array" aca="1" ref="E99" ca="1">Common_InputFunctions.Utility_DisplayFunctionName(K116)</f>
        <v>=WasteSolid_Equations.VEERG_10_1_1_1__1_EmissionsFromWasteManagement</v>
      </c>
    </row>
    <row r="100" spans="4:9" ht="20.100000000000001" customHeight="1" x14ac:dyDescent="0.25"/>
    <row r="101" spans="4:9" ht="20.100000000000001" customHeight="1" x14ac:dyDescent="0.25"/>
    <row r="102" spans="4:9" ht="20.100000000000001" customHeight="1" x14ac:dyDescent="0.25">
      <c r="D102" s="27" t="s">
        <v>12</v>
      </c>
      <c r="E102" s="1" t="str" cm="1">
        <f t="array" ref="E102">WasteSolid_Equations.VEERG_10_1_1_1__1_EmissionsFromWasteManagement_Variable()</f>
        <v>E_g</v>
      </c>
    </row>
    <row r="103" spans="4:9" ht="20.100000000000001" customHeight="1" x14ac:dyDescent="0.25">
      <c r="D103" s="27" t="s">
        <v>4</v>
      </c>
      <c r="E103" s="28" t="str" cm="1">
        <f t="array" ref="E103">WasteSolid_Equations.VEERG_10_1_1_1__1_EmissionsFromWasteManagement_Unit()</f>
        <v>t CO2e</v>
      </c>
    </row>
    <row r="104" spans="4:9" ht="20.100000000000001" customHeight="1" x14ac:dyDescent="0.25"/>
    <row r="105" spans="4:9" ht="20.100000000000001" customHeight="1" x14ac:dyDescent="0.25">
      <c r="D105" s="45" t="str" cm="1">
        <f t="array" ref="D105:E111">_xlfn.CHOOSECOLS(WasteSolid_Equations.VEERG_10_1_1_1__1_EmissionsFromWasteManagement_Arguments(),1,2)</f>
        <v>Q_wt</v>
      </c>
      <c r="E105" s="47" t="str">
        <v>quantity of solid waste of type w being sent to treatment facility t, on a wet weight basis</v>
      </c>
      <c r="F105" s="60"/>
      <c r="G105" s="46"/>
      <c r="H105" s="45" t="str" cm="1">
        <f t="array" ref="H105:I111">_xlfn.CHOOSECOLS(WasteSolid_Equations.VEERG_10_1_1_1__1_EmissionsFromWasteManagement_Arguments(),3,4)</f>
        <v>t</v>
      </c>
      <c r="I105" s="41" t="str">
        <v>Sum of Q_volwt and Q_masswt</v>
      </c>
    </row>
    <row r="106" spans="4:9" ht="20.100000000000001" customHeight="1" x14ac:dyDescent="0.25">
      <c r="D106" s="45" t="str">
        <v>EF_wtg</v>
      </c>
      <c r="E106" s="47" t="str">
        <v>emission factor for greenhouse gas g for the management of waste at treatment facility t</v>
      </c>
      <c r="F106" s="60"/>
      <c r="G106" s="46"/>
      <c r="H106" s="45" t="str">
        <v>t CO2e/t</v>
      </c>
      <c r="I106" s="41" t="str">
        <v>Constant</v>
      </c>
    </row>
    <row r="107" spans="4:9" ht="20.100000000000001" customHeight="1" x14ac:dyDescent="0.25">
      <c r="D107" s="45" t="str">
        <v>w</v>
      </c>
      <c r="E107" s="47" t="str">
        <v>waste type</v>
      </c>
      <c r="F107" s="60"/>
      <c r="G107" s="46"/>
      <c r="H107" s="45" t="str">
        <v/>
      </c>
      <c r="I107" s="42" t="str">
        <v>Input</v>
      </c>
    </row>
    <row r="108" spans="4:9" ht="20.100000000000001" customHeight="1" x14ac:dyDescent="0.25">
      <c r="D108" s="45" t="str">
        <v>t</v>
      </c>
      <c r="E108" s="47" t="str">
        <v>treatment facility</v>
      </c>
      <c r="F108" s="60"/>
      <c r="G108" s="46"/>
      <c r="H108" s="45" t="str">
        <v/>
      </c>
      <c r="I108" s="42" t="str">
        <v>Input</v>
      </c>
    </row>
    <row r="109" spans="4:9" ht="20.100000000000001" customHeight="1" x14ac:dyDescent="0.25">
      <c r="D109" s="45" t="str">
        <v>g</v>
      </c>
      <c r="E109" s="47" t="str">
        <v>greenhouse gas</v>
      </c>
      <c r="F109" s="60"/>
      <c r="G109" s="46"/>
      <c r="H109" s="45" t="str">
        <v/>
      </c>
      <c r="I109" s="42" t="str">
        <v>Input</v>
      </c>
    </row>
    <row r="110" spans="4:9" ht="20.100000000000001" customHeight="1" x14ac:dyDescent="0.25">
      <c r="D110" s="45" t="str">
        <v>Q_volwt</v>
      </c>
      <c r="E110" s="47" t="str">
        <v>quantity of sold waste input as volume and converted to tonnes</v>
      </c>
      <c r="F110" s="60"/>
      <c r="G110" s="46"/>
      <c r="H110" s="45" t="str">
        <v>tonnes</v>
      </c>
      <c r="I110" s="41" t="str">
        <v>Calculated from 10.1.1.1 (2)</v>
      </c>
    </row>
    <row r="111" spans="4:9" ht="20.100000000000001" customHeight="1" x14ac:dyDescent="0.25">
      <c r="D111" s="45" t="str">
        <v>Q_masswt</v>
      </c>
      <c r="E111" s="47" t="str">
        <v>quantity of solid waste input as mass</v>
      </c>
      <c r="F111" s="60"/>
      <c r="G111" s="46"/>
      <c r="H111" s="45" t="str">
        <v>tonnes</v>
      </c>
      <c r="I111" s="42" t="str">
        <v>Input</v>
      </c>
    </row>
    <row r="112" spans="4:9" ht="20.100000000000001" customHeight="1" x14ac:dyDescent="0.25"/>
    <row r="113" spans="4:11" ht="20.100000000000001" customHeight="1" x14ac:dyDescent="0.25">
      <c r="D113" s="65" t="s">
        <v>126</v>
      </c>
    </row>
    <row r="114" spans="4:11" ht="20.100000000000001" customHeight="1" x14ac:dyDescent="0.25">
      <c r="D114" s="66" t="s">
        <v>127</v>
      </c>
    </row>
    <row r="115" spans="4:11" ht="20.100000000000001" customHeight="1" x14ac:dyDescent="0.25">
      <c r="D115" s="62" t="s">
        <v>93</v>
      </c>
      <c r="E115" s="62" t="s">
        <v>94</v>
      </c>
      <c r="F115" s="62"/>
      <c r="G115" s="62" t="s">
        <v>153</v>
      </c>
      <c r="H115" s="67" t="s">
        <v>152</v>
      </c>
      <c r="I115" s="67" t="s">
        <v>96</v>
      </c>
      <c r="J115" s="67" t="s">
        <v>151</v>
      </c>
      <c r="K115" s="67" t="s">
        <v>150</v>
      </c>
    </row>
    <row r="116" spans="4:11" ht="20.100000000000001" customHeight="1" x14ac:dyDescent="0.25">
      <c r="D116" s="45" t="str" cm="1">
        <f t="array" ref="D116:D149">Table_SourceData_WasteSolid_WasteTreatmentEFs[Treatment type t]</f>
        <v>Landfill</v>
      </c>
      <c r="E116" s="47" t="str" cm="1">
        <f t="array" ref="E116:E149">Table_SourceData_WasteSolid_WasteTreatmentEFs[Waste type w]</f>
        <v>Food waste (including animal carcasses, spoiled animal feed or crop)</v>
      </c>
      <c r="F116" s="68"/>
      <c r="G116" s="26" cm="1">
        <f t="array" ref="G116">WasteSolid_InputFunctions.WasteSolid_InputFunctions_SumWasteTreatment(Table_Input_SolidWaste[Treatment type (select)],Table_Input_SolidWaste[Waste type (select)],Table_Input_SolidWaste[Treatment location (select)],Table_Input_SolidWaste[Amount unit (select)],Table_Input_SolidWaste[Amount],D21,E21, "Treated on-site", "tonnes")</f>
        <v>50</v>
      </c>
      <c r="H116" s="26">
        <f t="shared" ref="H116:H135" si="0">I21</f>
        <v>25</v>
      </c>
      <c r="I116" s="26">
        <f>G116+H116</f>
        <v>75</v>
      </c>
      <c r="J116" s="26" cm="1">
        <f t="array" ref="J116">Common_InputFunctions.Utility_LookupValueInTableTwoColumns(D116,E116,Table_SourceData_WasteSolid_WasteTreatmentEFs[Treatment type t],Table_SourceData_WasteSolid_WasteTreatmentEFs[Waste type w],Table_SourceData_WasteSolid_WasteTreatmentEFs[EFwt])</f>
        <v>2.1</v>
      </c>
      <c r="K116" s="26" cm="1">
        <f t="array" ref="K116">WasteSolid_Equations.VEERG_10_1_1_1__1_EmissionsFromWasteManagement(I116, J116)</f>
        <v>157.5</v>
      </c>
    </row>
    <row r="117" spans="4:11" ht="20.100000000000001" customHeight="1" x14ac:dyDescent="0.25">
      <c r="D117" s="45" t="str">
        <v>Landfill</v>
      </c>
      <c r="E117" s="47" t="str">
        <v>Paper and cardboard</v>
      </c>
      <c r="F117" s="68"/>
      <c r="G117" s="26" cm="1">
        <f t="array" ref="G117">WasteSolid_InputFunctions.WasteSolid_InputFunctions_SumWasteTreatment(Table_Input_SolidWaste[Treatment type (select)],Table_Input_SolidWaste[Waste type (select)],Table_Input_SolidWaste[Treatment location (select)],Table_Input_SolidWaste[Amount unit (select)],Table_Input_SolidWaste[Amount],D22,E22, "Treated on-site", "tonnes")</f>
        <v>50</v>
      </c>
      <c r="H117" s="26">
        <f t="shared" si="0"/>
        <v>4.5</v>
      </c>
      <c r="I117" s="26">
        <f t="shared" ref="I117:I135" si="1">G117+H117</f>
        <v>54.5</v>
      </c>
      <c r="J117" s="26" cm="1">
        <f t="array" ref="J117">Common_InputFunctions.Utility_LookupValueInTableTwoColumns(D117,E117,Table_SourceData_WasteSolid_WasteTreatmentEFs[Treatment type t],Table_SourceData_WasteSolid_WasteTreatmentEFs[Waste type w],Table_SourceData_WasteSolid_WasteTreatmentEFs[EFwt])</f>
        <v>3.3</v>
      </c>
      <c r="K117" s="26" cm="1">
        <f t="array" ref="K117">WasteSolid_Equations.VEERG_10_1_1_1__1_EmissionsFromWasteManagement(I117, J117)</f>
        <v>179.85</v>
      </c>
    </row>
    <row r="118" spans="4:11" ht="20.100000000000001" customHeight="1" x14ac:dyDescent="0.25">
      <c r="D118" s="45" t="str">
        <v>Landfill</v>
      </c>
      <c r="E118" s="47" t="str">
        <v>Green waste (including crop residues or prunings)</v>
      </c>
      <c r="F118" s="68"/>
      <c r="G118" s="26" cm="1">
        <f t="array" ref="G118">WasteSolid_InputFunctions.WasteSolid_InputFunctions_SumWasteTreatment(Table_Input_SolidWaste[Treatment type (select)],Table_Input_SolidWaste[Waste type (select)],Table_Input_SolidWaste[Treatment location (select)],Table_Input_SolidWaste[Amount unit (select)],Table_Input_SolidWaste[Amount],D23,E23, "Treated on-site", "tonnes")</f>
        <v>50</v>
      </c>
      <c r="H118" s="26">
        <f t="shared" si="0"/>
        <v>12</v>
      </c>
      <c r="I118" s="26">
        <f t="shared" si="1"/>
        <v>62</v>
      </c>
      <c r="J118" s="26" cm="1">
        <f t="array" ref="J118">Common_InputFunctions.Utility_LookupValueInTableTwoColumns(D118,E118,Table_SourceData_WasteSolid_WasteTreatmentEFs[Treatment type t],Table_SourceData_WasteSolid_WasteTreatmentEFs[Waste type w],Table_SourceData_WasteSolid_WasteTreatmentEFs[EFwt])</f>
        <v>1.6</v>
      </c>
      <c r="K118" s="26" cm="1">
        <f t="array" ref="K118">WasteSolid_Equations.VEERG_10_1_1_1__1_EmissionsFromWasteManagement(I118, J118)</f>
        <v>99.2</v>
      </c>
    </row>
    <row r="119" spans="4:11" ht="20.100000000000001" customHeight="1" x14ac:dyDescent="0.25">
      <c r="D119" s="45" t="str">
        <v>Landfill</v>
      </c>
      <c r="E119" s="47" t="str">
        <v>Wood</v>
      </c>
      <c r="F119" s="68"/>
      <c r="G119" s="26" cm="1">
        <f t="array" ref="G119">WasteSolid_InputFunctions.WasteSolid_InputFunctions_SumWasteTreatment(Table_Input_SolidWaste[Treatment type (select)],Table_Input_SolidWaste[Waste type (select)],Table_Input_SolidWaste[Treatment location (select)],Table_Input_SolidWaste[Amount unit (select)],Table_Input_SolidWaste[Amount],D24,E24, "Treated on-site", "tonnes")</f>
        <v>0</v>
      </c>
      <c r="H119" s="26">
        <f t="shared" si="0"/>
        <v>0</v>
      </c>
      <c r="I119" s="26">
        <f t="shared" si="1"/>
        <v>0</v>
      </c>
      <c r="J119" s="26" cm="1">
        <f t="array" ref="J119">Common_InputFunctions.Utility_LookupValueInTableTwoColumns(D119,E119,Table_SourceData_WasteSolid_WasteTreatmentEFs[Treatment type t],Table_SourceData_WasteSolid_WasteTreatmentEFs[Waste type w],Table_SourceData_WasteSolid_WasteTreatmentEFs[EFwt])</f>
        <v>0.7</v>
      </c>
      <c r="K119" s="26" cm="1">
        <f t="array" ref="K119">WasteSolid_Equations.VEERG_10_1_1_1__1_EmissionsFromWasteManagement(I119, J119)</f>
        <v>0</v>
      </c>
    </row>
    <row r="120" spans="4:11" ht="20.100000000000001" customHeight="1" x14ac:dyDescent="0.25">
      <c r="D120" s="45" t="str">
        <v>Landfill</v>
      </c>
      <c r="E120" s="47" t="str">
        <v>Textiles</v>
      </c>
      <c r="F120" s="68"/>
      <c r="G120" s="26" cm="1">
        <f t="array" ref="G120">WasteSolid_InputFunctions.WasteSolid_InputFunctions_SumWasteTreatment(Table_Input_SolidWaste[Treatment type (select)],Table_Input_SolidWaste[Waste type (select)],Table_Input_SolidWaste[Treatment location (select)],Table_Input_SolidWaste[Amount unit (select)],Table_Input_SolidWaste[Amount],D25,E25, "Treated on-site", "tonnes")</f>
        <v>0</v>
      </c>
      <c r="H120" s="26">
        <f t="shared" si="0"/>
        <v>0</v>
      </c>
      <c r="I120" s="26">
        <f t="shared" si="1"/>
        <v>0</v>
      </c>
      <c r="J120" s="26" cm="1">
        <f t="array" ref="J120">Common_InputFunctions.Utility_LookupValueInTableTwoColumns(D120,E120,Table_SourceData_WasteSolid_WasteTreatmentEFs[Treatment type t],Table_SourceData_WasteSolid_WasteTreatmentEFs[Waste type w],Table_SourceData_WasteSolid_WasteTreatmentEFs[EFwt])</f>
        <v>2</v>
      </c>
      <c r="K120" s="26" cm="1">
        <f t="array" ref="K120">WasteSolid_Equations.VEERG_10_1_1_1__1_EmissionsFromWasteManagement(I120, J120)</f>
        <v>0</v>
      </c>
    </row>
    <row r="121" spans="4:11" ht="20.100000000000001" customHeight="1" x14ac:dyDescent="0.25">
      <c r="D121" s="45" t="str">
        <v>Landfill</v>
      </c>
      <c r="E121" s="47" t="str">
        <v>Sludge</v>
      </c>
      <c r="F121" s="68"/>
      <c r="G121" s="26" cm="1">
        <f t="array" ref="G121">WasteSolid_InputFunctions.WasteSolid_InputFunctions_SumWasteTreatment(Table_Input_SolidWaste[Treatment type (select)],Table_Input_SolidWaste[Waste type (select)],Table_Input_SolidWaste[Treatment location (select)],Table_Input_SolidWaste[Amount unit (select)],Table_Input_SolidWaste[Amount],D26,E26, "Treated on-site", "tonnes")</f>
        <v>0</v>
      </c>
      <c r="H121" s="26">
        <f t="shared" si="0"/>
        <v>0</v>
      </c>
      <c r="I121" s="26">
        <f t="shared" si="1"/>
        <v>0</v>
      </c>
      <c r="J121" s="26" cm="1">
        <f t="array" ref="J121">Common_InputFunctions.Utility_LookupValueInTableTwoColumns(D121,E121,Table_SourceData_WasteSolid_WasteTreatmentEFs[Treatment type t],Table_SourceData_WasteSolid_WasteTreatmentEFs[Waste type w],Table_SourceData_WasteSolid_WasteTreatmentEFs[EFwt])</f>
        <v>0.4</v>
      </c>
      <c r="K121" s="26" cm="1">
        <f t="array" ref="K121">WasteSolid_Equations.VEERG_10_1_1_1__1_EmissionsFromWasteManagement(I121, J121)</f>
        <v>0</v>
      </c>
    </row>
    <row r="122" spans="4:11" ht="20.100000000000001" customHeight="1" x14ac:dyDescent="0.25">
      <c r="D122" s="45" t="str">
        <v>Landfill</v>
      </c>
      <c r="E122" s="47" t="str">
        <v>Rubber and leather</v>
      </c>
      <c r="F122" s="68"/>
      <c r="G122" s="26" cm="1">
        <f t="array" ref="G122">WasteSolid_InputFunctions.WasteSolid_InputFunctions_SumWasteTreatment(Table_Input_SolidWaste[Treatment type (select)],Table_Input_SolidWaste[Waste type (select)],Table_Input_SolidWaste[Treatment location (select)],Table_Input_SolidWaste[Amount unit (select)],Table_Input_SolidWaste[Amount],D27,E27, "Treated on-site", "tonnes")</f>
        <v>0</v>
      </c>
      <c r="H122" s="26">
        <f t="shared" si="0"/>
        <v>0</v>
      </c>
      <c r="I122" s="26">
        <f t="shared" si="1"/>
        <v>0</v>
      </c>
      <c r="J122" s="26" cm="1">
        <f t="array" ref="J122">Common_InputFunctions.Utility_LookupValueInTableTwoColumns(D122,E122,Table_SourceData_WasteSolid_WasteTreatmentEFs[Treatment type t],Table_SourceData_WasteSolid_WasteTreatmentEFs[Waste type w],Table_SourceData_WasteSolid_WasteTreatmentEFs[EFwt])</f>
        <v>3.3</v>
      </c>
      <c r="K122" s="26" cm="1">
        <f t="array" ref="K122">WasteSolid_Equations.VEERG_10_1_1_1__1_EmissionsFromWasteManagement(I122, J122)</f>
        <v>0</v>
      </c>
    </row>
    <row r="123" spans="4:11" ht="20.100000000000001" customHeight="1" x14ac:dyDescent="0.25">
      <c r="D123" s="45" t="str">
        <v>Landfill</v>
      </c>
      <c r="E123" s="47" t="str">
        <v>Inert waste (including concrete, metal, plastic or glass)</v>
      </c>
      <c r="F123" s="68"/>
      <c r="G123" s="26" cm="1">
        <f t="array" ref="G123">WasteSolid_InputFunctions.WasteSolid_InputFunctions_SumWasteTreatment(Table_Input_SolidWaste[Treatment type (select)],Table_Input_SolidWaste[Waste type (select)],Table_Input_SolidWaste[Treatment location (select)],Table_Input_SolidWaste[Amount unit (select)],Table_Input_SolidWaste[Amount],D28,E28, "Treated on-site", "tonnes")</f>
        <v>0</v>
      </c>
      <c r="H123" s="26">
        <f t="shared" si="0"/>
        <v>0</v>
      </c>
      <c r="I123" s="26">
        <f t="shared" si="1"/>
        <v>0</v>
      </c>
      <c r="J123" s="26" cm="1">
        <f t="array" ref="J123">Common_InputFunctions.Utility_LookupValueInTableTwoColumns(D123,E123,Table_SourceData_WasteSolid_WasteTreatmentEFs[Treatment type t],Table_SourceData_WasteSolid_WasteTreatmentEFs[Waste type w],Table_SourceData_WasteSolid_WasteTreatmentEFs[EFwt])</f>
        <v>0</v>
      </c>
      <c r="K123" s="26" cm="1">
        <f t="array" ref="K123">WasteSolid_Equations.VEERG_10_1_1_1__1_EmissionsFromWasteManagement(I123, J123)</f>
        <v>0</v>
      </c>
    </row>
    <row r="124" spans="4:11" ht="20.100000000000001" customHeight="1" x14ac:dyDescent="0.25">
      <c r="D124" s="45" t="str">
        <v>Landfill</v>
      </c>
      <c r="E124" s="47" t="str">
        <v>Municipal solid waste</v>
      </c>
      <c r="F124" s="68"/>
      <c r="G124" s="26" cm="1">
        <f t="array" ref="G124">WasteSolid_InputFunctions.WasteSolid_InputFunctions_SumWasteTreatment(Table_Input_SolidWaste[Treatment type (select)],Table_Input_SolidWaste[Waste type (select)],Table_Input_SolidWaste[Treatment location (select)],Table_Input_SolidWaste[Amount unit (select)],Table_Input_SolidWaste[Amount],D29,E29, "Treated on-site", "tonnes")</f>
        <v>0</v>
      </c>
      <c r="H124" s="26">
        <f t="shared" si="0"/>
        <v>0</v>
      </c>
      <c r="I124" s="26">
        <f t="shared" si="1"/>
        <v>0</v>
      </c>
      <c r="J124" s="26" cm="1">
        <f t="array" ref="J124">Common_InputFunctions.Utility_LookupValueInTableTwoColumns(D124,E124,Table_SourceData_WasteSolid_WasteTreatmentEFs[Treatment type t],Table_SourceData_WasteSolid_WasteTreatmentEFs[Waste type w],Table_SourceData_WasteSolid_WasteTreatmentEFs[EFwt])</f>
        <v>1.6</v>
      </c>
      <c r="K124" s="26" cm="1">
        <f t="array" ref="K124">WasteSolid_Equations.VEERG_10_1_1_1__1_EmissionsFromWasteManagement(I124, J124)</f>
        <v>0</v>
      </c>
    </row>
    <row r="125" spans="4:11" ht="20.100000000000001" customHeight="1" x14ac:dyDescent="0.25">
      <c r="D125" s="45" t="str">
        <v>Landfill</v>
      </c>
      <c r="E125" s="47" t="str">
        <v>Commercial and industrial waste</v>
      </c>
      <c r="F125" s="68"/>
      <c r="G125" s="26" cm="1">
        <f t="array" ref="G125">WasteSolid_InputFunctions.WasteSolid_InputFunctions_SumWasteTreatment(Table_Input_SolidWaste[Treatment type (select)],Table_Input_SolidWaste[Waste type (select)],Table_Input_SolidWaste[Treatment location (select)],Table_Input_SolidWaste[Amount unit (select)],Table_Input_SolidWaste[Amount],D30,E30, "Treated on-site", "tonnes")</f>
        <v>0</v>
      </c>
      <c r="H125" s="26">
        <f t="shared" si="0"/>
        <v>0</v>
      </c>
      <c r="I125" s="26">
        <f t="shared" si="1"/>
        <v>0</v>
      </c>
      <c r="J125" s="26" cm="1">
        <f t="array" ref="J125">Common_InputFunctions.Utility_LookupValueInTableTwoColumns(D125,E125,Table_SourceData_WasteSolid_WasteTreatmentEFs[Treatment type t],Table_SourceData_WasteSolid_WasteTreatmentEFs[Waste type w],Table_SourceData_WasteSolid_WasteTreatmentEFs[EFwt])</f>
        <v>1.3</v>
      </c>
      <c r="K125" s="26" cm="1">
        <f t="array" ref="K125">WasteSolid_Equations.VEERG_10_1_1_1__1_EmissionsFromWasteManagement(I125, J125)</f>
        <v>0</v>
      </c>
    </row>
    <row r="126" spans="4:11" ht="20.100000000000001" customHeight="1" x14ac:dyDescent="0.25">
      <c r="D126" s="45" t="str">
        <v>Landfill</v>
      </c>
      <c r="E126" s="47" t="str">
        <v>Construction and demolition waste</v>
      </c>
      <c r="F126" s="68"/>
      <c r="G126" s="26" cm="1">
        <f t="array" ref="G126">WasteSolid_InputFunctions.WasteSolid_InputFunctions_SumWasteTreatment(Table_Input_SolidWaste[Treatment type (select)],Table_Input_SolidWaste[Waste type (select)],Table_Input_SolidWaste[Treatment location (select)],Table_Input_SolidWaste[Amount unit (select)],Table_Input_SolidWaste[Amount],D31,E31, "Treated on-site", "tonnes")</f>
        <v>0</v>
      </c>
      <c r="H126" s="26">
        <f t="shared" si="0"/>
        <v>0</v>
      </c>
      <c r="I126" s="26">
        <f t="shared" si="1"/>
        <v>0</v>
      </c>
      <c r="J126" s="26" cm="1">
        <f t="array" ref="J126">Common_InputFunctions.Utility_LookupValueInTableTwoColumns(D126,E126,Table_SourceData_WasteSolid_WasteTreatmentEFs[Treatment type t],Table_SourceData_WasteSolid_WasteTreatmentEFs[Waste type w],Table_SourceData_WasteSolid_WasteTreatmentEFs[EFwt])</f>
        <v>0.2</v>
      </c>
      <c r="K126" s="26" cm="1">
        <f t="array" ref="K126">WasteSolid_Equations.VEERG_10_1_1_1__1_EmissionsFromWasteManagement(I126, J126)</f>
        <v>0</v>
      </c>
    </row>
    <row r="127" spans="4:11" ht="20.100000000000001" customHeight="1" x14ac:dyDescent="0.25">
      <c r="D127" s="45" t="str">
        <v>Incineration</v>
      </c>
      <c r="E127" s="47" t="str">
        <v>Food waste, green waste, wood, sludge</v>
      </c>
      <c r="F127" s="68"/>
      <c r="G127" s="26" t="s">
        <v>149</v>
      </c>
      <c r="H127" s="26" t="str">
        <f t="shared" si="0"/>
        <v>Not used</v>
      </c>
      <c r="I127" s="26">
        <f>SUM(G128:G131)+SUM(H128:H131)+N("Partial sum")</f>
        <v>74</v>
      </c>
      <c r="J127" s="26" cm="1">
        <f t="array" ref="J127">Common_InputFunctions.Utility_LookupValueInTableTwoColumns(D127,E127,Table_SourceData_WasteSolid_WasteTreatmentEFs[Treatment type t],Table_SourceData_WasteSolid_WasteTreatmentEFs[Waste type w],Table_SourceData_WasteSolid_WasteTreatmentEFs[EFwt])</f>
        <v>0</v>
      </c>
      <c r="K127" s="26" cm="1">
        <f t="array" ref="K127">WasteSolid_Equations.VEERG_10_1_1_1__1_EmissionsFromWasteManagement(I127, J127)</f>
        <v>0</v>
      </c>
    </row>
    <row r="128" spans="4:11" ht="20.100000000000001" customHeight="1" x14ac:dyDescent="0.25">
      <c r="D128" s="45" t="str">
        <v>Incineration</v>
      </c>
      <c r="E128" s="47" t="str">
        <v>Food waste (including animal carcasses, spoiled animal feed or crop)</v>
      </c>
      <c r="F128" s="68"/>
      <c r="G128" s="26" cm="1">
        <f t="array" ref="G128">WasteSolid_InputFunctions.WasteSolid_InputFunctions_SumWasteTreatment(Table_Input_SolidWaste[Treatment type (select)],Table_Input_SolidWaste[Waste type (select)],Table_Input_SolidWaste[Treatment location (select)],Table_Input_SolidWaste[Amount unit (select)],Table_Input_SolidWaste[Amount],D33,E33, "Treated on-site", "tonnes")</f>
        <v>0</v>
      </c>
      <c r="H128" s="26">
        <f t="shared" si="0"/>
        <v>0</v>
      </c>
      <c r="I128" s="26" t="s">
        <v>154</v>
      </c>
      <c r="J128" s="26" t="s">
        <v>149</v>
      </c>
      <c r="K128" s="26" t="s">
        <v>149</v>
      </c>
    </row>
    <row r="129" spans="4:11" ht="20.100000000000001" customHeight="1" x14ac:dyDescent="0.25">
      <c r="D129" s="45" t="str">
        <v>Incineration</v>
      </c>
      <c r="E129" s="47" t="str">
        <v>Green waste (including crop residues or prunings)</v>
      </c>
      <c r="F129" s="68"/>
      <c r="G129" s="26" cm="1">
        <f t="array" ref="G129">WasteSolid_InputFunctions.WasteSolid_InputFunctions_SumWasteTreatment(Table_Input_SolidWaste[Treatment type (select)],Table_Input_SolidWaste[Waste type (select)],Table_Input_SolidWaste[Treatment location (select)],Table_Input_SolidWaste[Amount unit (select)],Table_Input_SolidWaste[Amount],D34,E34, "Treated on-site", "tonnes")</f>
        <v>50</v>
      </c>
      <c r="H129" s="26">
        <f t="shared" si="0"/>
        <v>24</v>
      </c>
      <c r="I129" s="26" t="s">
        <v>154</v>
      </c>
      <c r="J129" s="26" t="s">
        <v>149</v>
      </c>
      <c r="K129" s="26" t="s">
        <v>149</v>
      </c>
    </row>
    <row r="130" spans="4:11" ht="20.100000000000001" customHeight="1" x14ac:dyDescent="0.25">
      <c r="D130" s="45" t="str">
        <v>Incineration</v>
      </c>
      <c r="E130" s="47" t="str">
        <v>Wood</v>
      </c>
      <c r="F130" s="68"/>
      <c r="G130" s="26" cm="1">
        <f t="array" ref="G130">WasteSolid_InputFunctions.WasteSolid_InputFunctions_SumWasteTreatment(Table_Input_SolidWaste[Treatment type (select)],Table_Input_SolidWaste[Waste type (select)],Table_Input_SolidWaste[Treatment location (select)],Table_Input_SolidWaste[Amount unit (select)],Table_Input_SolidWaste[Amount],D35,E35, "Treated on-site", "tonnes")</f>
        <v>0</v>
      </c>
      <c r="H130" s="26">
        <f t="shared" si="0"/>
        <v>0</v>
      </c>
      <c r="I130" s="26" t="s">
        <v>154</v>
      </c>
      <c r="J130" s="26" t="s">
        <v>149</v>
      </c>
      <c r="K130" s="26" t="s">
        <v>149</v>
      </c>
    </row>
    <row r="131" spans="4:11" ht="20.100000000000001" customHeight="1" x14ac:dyDescent="0.25">
      <c r="D131" s="45" t="str">
        <v>Incineration</v>
      </c>
      <c r="E131" s="47" t="str">
        <v>Sludge</v>
      </c>
      <c r="F131" s="68"/>
      <c r="G131" s="26" cm="1">
        <f t="array" ref="G131">WasteSolid_InputFunctions.WasteSolid_InputFunctions_SumWasteTreatment(Table_Input_SolidWaste[Treatment type (select)],Table_Input_SolidWaste[Waste type (select)],Table_Input_SolidWaste[Treatment location (select)],Table_Input_SolidWaste[Amount unit (select)],Table_Input_SolidWaste[Amount],D36,E36, "Treated on-site", "tonnes")</f>
        <v>0</v>
      </c>
      <c r="H131" s="26">
        <f t="shared" si="0"/>
        <v>0</v>
      </c>
      <c r="I131" s="26" t="s">
        <v>154</v>
      </c>
      <c r="J131" s="26" t="s">
        <v>149</v>
      </c>
      <c r="K131" s="26" t="s">
        <v>149</v>
      </c>
    </row>
    <row r="132" spans="4:11" ht="20.100000000000001" customHeight="1" x14ac:dyDescent="0.25">
      <c r="D132" s="45" t="str">
        <v>Incineration</v>
      </c>
      <c r="E132" s="47" t="str">
        <v>Paper and cardboard</v>
      </c>
      <c r="F132" s="68"/>
      <c r="G132" s="26" cm="1">
        <f t="array" ref="G132">WasteSolid_InputFunctions.WasteSolid_InputFunctions_SumWasteTreatment(Table_Input_SolidWaste[Treatment type (select)],Table_Input_SolidWaste[Waste type (select)],Table_Input_SolidWaste[Treatment location (select)],Table_Input_SolidWaste[Amount unit (select)],Table_Input_SolidWaste[Amount],D37,E37, "Treated on-site", "tonnes")</f>
        <v>50</v>
      </c>
      <c r="H132" s="26">
        <f t="shared" si="0"/>
        <v>4.5</v>
      </c>
      <c r="I132" s="26">
        <f>G132+H132+N("Partial sum")</f>
        <v>54.5</v>
      </c>
      <c r="J132" s="26" cm="1">
        <f t="array" ref="J132">Common_InputFunctions.Utility_LookupValueInTableTwoColumns(D132,E132,Table_SourceData_WasteSolid_WasteTreatmentEFs[Treatment type t],Table_SourceData_WasteSolid_WasteTreatmentEFs[Waste type w],Table_SourceData_WasteSolid_WasteTreatmentEFs[EFwt])</f>
        <v>1.6899999999999998E-2</v>
      </c>
      <c r="K132" s="26" cm="1">
        <f t="array" ref="K132">WasteSolid_Equations.VEERG_10_1_1_1__1_EmissionsFromWasteManagement(I132, J132)</f>
        <v>0.92104999999999992</v>
      </c>
    </row>
    <row r="133" spans="4:11" ht="20.100000000000001" customHeight="1" x14ac:dyDescent="0.25">
      <c r="D133" s="45" t="str">
        <v>Incineration</v>
      </c>
      <c r="E133" s="47" t="str">
        <v>Textiles</v>
      </c>
      <c r="F133" s="68"/>
      <c r="G133" s="26" cm="1">
        <f t="array" ref="G133">WasteSolid_InputFunctions.WasteSolid_InputFunctions_SumWasteTreatment(Table_Input_SolidWaste[Treatment type (select)],Table_Input_SolidWaste[Waste type (select)],Table_Input_SolidWaste[Treatment location (select)],Table_Input_SolidWaste[Amount unit (select)],Table_Input_SolidWaste[Amount],D38,E38, "Treated on-site", "tonnes")</f>
        <v>0</v>
      </c>
      <c r="H133" s="26">
        <f t="shared" si="0"/>
        <v>0</v>
      </c>
      <c r="I133" s="26">
        <f t="shared" si="1"/>
        <v>0</v>
      </c>
      <c r="J133" s="26" cm="1">
        <f t="array" ref="J133">Common_InputFunctions.Utility_LookupValueInTableTwoColumns(D133,E133,Table_SourceData_WasteSolid_WasteTreatmentEFs[Treatment type t],Table_SourceData_WasteSolid_WasteTreatmentEFs[Waste type w],Table_SourceData_WasteSolid_WasteTreatmentEFs[EFwt])</f>
        <v>0.36670000000000003</v>
      </c>
      <c r="K133" s="26" cm="1">
        <f t="array" ref="K133">WasteSolid_Equations.VEERG_10_1_1_1__1_EmissionsFromWasteManagement(I133, J133)</f>
        <v>0</v>
      </c>
    </row>
    <row r="134" spans="4:11" ht="20.100000000000001" customHeight="1" x14ac:dyDescent="0.25">
      <c r="D134" s="45" t="str">
        <v>Incineration</v>
      </c>
      <c r="E134" s="47" t="str">
        <v>Rubber and leather</v>
      </c>
      <c r="F134" s="68"/>
      <c r="G134" s="26" cm="1">
        <f t="array" ref="G134">WasteSolid_InputFunctions.WasteSolid_InputFunctions_SumWasteTreatment(Table_Input_SolidWaste[Treatment type (select)],Table_Input_SolidWaste[Waste type (select)],Table_Input_SolidWaste[Treatment location (select)],Table_Input_SolidWaste[Amount unit (select)],Table_Input_SolidWaste[Amount],D39,E39, "Treated on-site", "tonnes")</f>
        <v>0</v>
      </c>
      <c r="H134" s="26">
        <f t="shared" si="0"/>
        <v>0</v>
      </c>
      <c r="I134" s="26">
        <f t="shared" si="1"/>
        <v>0</v>
      </c>
      <c r="J134" s="26" cm="1">
        <f t="array" ref="J134">Common_InputFunctions.Utility_LookupValueInTableTwoColumns(D134,E134,Table_SourceData_WasteSolid_WasteTreatmentEFs[Treatment type t],Table_SourceData_WasteSolid_WasteTreatmentEFs[Waste type w],Table_SourceData_WasteSolid_WasteTreatmentEFs[EFwt])</f>
        <v>0.4919</v>
      </c>
      <c r="K134" s="26" cm="1">
        <f t="array" ref="K134">WasteSolid_Equations.VEERG_10_1_1_1__1_EmissionsFromWasteManagement(I134, J134)</f>
        <v>0</v>
      </c>
    </row>
    <row r="135" spans="4:11" ht="20.100000000000001" customHeight="1" x14ac:dyDescent="0.25">
      <c r="D135" s="45" t="str">
        <v>Incineration</v>
      </c>
      <c r="E135" s="47" t="str">
        <v>Inert waste (including concrete, metal, plastic or glass)</v>
      </c>
      <c r="F135" s="68"/>
      <c r="G135" s="26" cm="1">
        <f t="array" ref="G135">WasteSolid_InputFunctions.WasteSolid_InputFunctions_SumWasteTreatment(Table_Input_SolidWaste[Treatment type (select)],Table_Input_SolidWaste[Waste type (select)],Table_Input_SolidWaste[Treatment location (select)],Table_Input_SolidWaste[Amount unit (select)],Table_Input_SolidWaste[Amount],D40,E40, "Treated on-site", "tonnes")</f>
        <v>0</v>
      </c>
      <c r="H135" s="26">
        <f t="shared" si="0"/>
        <v>0</v>
      </c>
      <c r="I135" s="26">
        <f t="shared" si="1"/>
        <v>0</v>
      </c>
      <c r="J135" s="26" cm="1">
        <f t="array" ref="J135">Common_InputFunctions.Utility_LookupValueInTableTwoColumns(D135,E135,Table_SourceData_WasteSolid_WasteTreatmentEFs[Treatment type t],Table_SourceData_WasteSolid_WasteTreatmentEFs[Waste type w],Table_SourceData_WasteSolid_WasteTreatmentEFs[EFwt])</f>
        <v>0.11</v>
      </c>
      <c r="K135" s="26" cm="1">
        <f t="array" ref="K135">WasteSolid_Equations.VEERG_10_1_1_1__1_EmissionsFromWasteManagement(I135, J135)</f>
        <v>0</v>
      </c>
    </row>
    <row r="136" spans="4:11" ht="20.100000000000001" customHeight="1" x14ac:dyDescent="0.25">
      <c r="D136" s="45" t="str">
        <v>Incineration</v>
      </c>
      <c r="E136" s="47" t="str">
        <v>Municipal solid waste</v>
      </c>
      <c r="F136" s="46"/>
      <c r="G136" s="26" cm="1">
        <f t="array" ref="G136">WasteSolid_InputFunctions.WasteSolid_InputFunctions_SumWasteTreatment(Table_Input_SolidWaste[Treatment type (select)],Table_Input_SolidWaste[Waste type (select)],Table_Input_SolidWaste[Treatment location (select)],Table_Input_SolidWaste[Amount unit (select)],Table_Input_SolidWaste[Amount],D41,E41, "Treated on-site", "tonnes")</f>
        <v>0</v>
      </c>
      <c r="H136" s="26">
        <f t="shared" ref="H136:H149" si="2">I41</f>
        <v>0</v>
      </c>
      <c r="I136" s="26">
        <f t="shared" ref="I136:I137" si="3">G136+H136</f>
        <v>0</v>
      </c>
      <c r="J136" s="26" cm="1">
        <f t="array" ref="J136">Common_InputFunctions.Utility_LookupValueInTableTwoColumns(D136,E136,Table_SourceData_WasteSolid_WasteTreatmentEFs[Treatment type t],Table_SourceData_WasteSolid_WasteTreatmentEFs[Waste type w],Table_SourceData_WasteSolid_WasteTreatmentEFs[EFwt])</f>
        <v>5.3699999999999998E-2</v>
      </c>
      <c r="K136" s="26" cm="1">
        <f t="array" ref="K136">WasteSolid_Equations.VEERG_10_1_1_1__1_EmissionsFromWasteManagement(I136, J136)</f>
        <v>0</v>
      </c>
    </row>
    <row r="137" spans="4:11" ht="20.100000000000001" customHeight="1" x14ac:dyDescent="0.25">
      <c r="D137" s="45" t="str">
        <v>Incineration</v>
      </c>
      <c r="E137" s="47" t="str">
        <v>Commercial and industrial waste</v>
      </c>
      <c r="F137" s="46"/>
      <c r="G137" s="26" cm="1">
        <f t="array" ref="G137">WasteSolid_InputFunctions.WasteSolid_InputFunctions_SumWasteTreatment(Table_Input_SolidWaste[Treatment type (select)],Table_Input_SolidWaste[Waste type (select)],Table_Input_SolidWaste[Treatment location (select)],Table_Input_SolidWaste[Amount unit (select)],Table_Input_SolidWaste[Amount],D42,E42, "Treated on-site", "tonnes")</f>
        <v>0</v>
      </c>
      <c r="H137" s="26">
        <f t="shared" si="2"/>
        <v>0</v>
      </c>
      <c r="I137" s="26">
        <f t="shared" si="3"/>
        <v>0</v>
      </c>
      <c r="J137" s="26" cm="1">
        <f t="array" ref="J137">Common_InputFunctions.Utility_LookupValueInTableTwoColumns(D137,E137,Table_SourceData_WasteSolid_WasteTreatmentEFs[Treatment type t],Table_SourceData_WasteSolid_WasteTreatmentEFs[Waste type w],Table_SourceData_WasteSolid_WasteTreatmentEFs[EFwt])</f>
        <v>1.649</v>
      </c>
      <c r="K137" s="26" cm="1">
        <f t="array" ref="K137">WasteSolid_Equations.VEERG_10_1_1_1__1_EmissionsFromWasteManagement(I137, J137)</f>
        <v>0</v>
      </c>
    </row>
    <row r="138" spans="4:11" ht="20.100000000000001" customHeight="1" x14ac:dyDescent="0.25">
      <c r="D138" s="45" t="str">
        <v>Composting</v>
      </c>
      <c r="E138" s="47" t="str">
        <v>All organic waste</v>
      </c>
      <c r="F138" s="46"/>
      <c r="G138" s="26" t="s">
        <v>149</v>
      </c>
      <c r="H138" s="26" t="str">
        <f t="shared" si="2"/>
        <v>Not used</v>
      </c>
      <c r="I138" s="26">
        <f>SUM(G139:G143)+SUM(H139:H143)+N("Partial sum")</f>
        <v>29.5</v>
      </c>
      <c r="J138" s="26" cm="1">
        <f t="array" ref="J138">Common_InputFunctions.Utility_LookupValueInTableTwoColumns(D138,E138,Table_SourceData_WasteSolid_WasteTreatmentEFs[Treatment type t],Table_SourceData_WasteSolid_WasteTreatmentEFs[Waste type w],Table_SourceData_WasteSolid_WasteTreatmentEFs[EFwt])</f>
        <v>4.5999999999999999E-2</v>
      </c>
      <c r="K138" s="26" cm="1">
        <f t="array" ref="K138">WasteSolid_Equations.VEERG_10_1_1_1__1_EmissionsFromWasteManagement(I138, J138)</f>
        <v>1.357</v>
      </c>
    </row>
    <row r="139" spans="4:11" ht="20.100000000000001" customHeight="1" x14ac:dyDescent="0.25">
      <c r="D139" s="45" t="str">
        <v>Composting</v>
      </c>
      <c r="E139" s="47" t="str">
        <v>Food waste (including animal carcasses, spoiled animal feed or crop)</v>
      </c>
      <c r="F139" s="46"/>
      <c r="G139" s="26" cm="1">
        <f t="array" ref="G139">WasteSolid_InputFunctions.WasteSolid_InputFunctions_SumWasteTreatment(Table_Input_SolidWaste[Treatment type (select)],Table_Input_SolidWaste[Waste type (select)],Table_Input_SolidWaste[Treatment location (select)],Table_Input_SolidWaste[Amount unit (select)],Table_Input_SolidWaste[Amount],D44,E44, "Treated on-site", "tonnes")</f>
        <v>0</v>
      </c>
      <c r="H139" s="26">
        <f t="shared" si="2"/>
        <v>25</v>
      </c>
      <c r="I139" s="26" t="s">
        <v>154</v>
      </c>
      <c r="J139" s="26" t="s">
        <v>149</v>
      </c>
      <c r="K139" s="26" t="s">
        <v>149</v>
      </c>
    </row>
    <row r="140" spans="4:11" ht="20.100000000000001" customHeight="1" x14ac:dyDescent="0.25">
      <c r="D140" s="45" t="str">
        <v>Composting</v>
      </c>
      <c r="E140" s="47" t="str">
        <v>Green waste (including crop residues or prunings)</v>
      </c>
      <c r="F140" s="46"/>
      <c r="G140" s="26" cm="1">
        <f t="array" ref="G140">WasteSolid_InputFunctions.WasteSolid_InputFunctions_SumWasteTreatment(Table_Input_SolidWaste[Treatment type (select)],Table_Input_SolidWaste[Waste type (select)],Table_Input_SolidWaste[Treatment location (select)],Table_Input_SolidWaste[Amount unit (select)],Table_Input_SolidWaste[Amount],D45,E45, "Treated on-site", "tonnes")</f>
        <v>0</v>
      </c>
      <c r="H140" s="26">
        <f t="shared" si="2"/>
        <v>0</v>
      </c>
      <c r="I140" s="26" t="s">
        <v>154</v>
      </c>
      <c r="J140" s="26" t="s">
        <v>149</v>
      </c>
      <c r="K140" s="26" t="s">
        <v>149</v>
      </c>
    </row>
    <row r="141" spans="4:11" ht="20.100000000000001" customHeight="1" x14ac:dyDescent="0.25">
      <c r="D141" s="45" t="str">
        <v>Composting</v>
      </c>
      <c r="E141" s="47" t="str">
        <v>Wood</v>
      </c>
      <c r="F141" s="46"/>
      <c r="G141" s="26" cm="1">
        <f t="array" ref="G141">WasteSolid_InputFunctions.WasteSolid_InputFunctions_SumWasteTreatment(Table_Input_SolidWaste[Treatment type (select)],Table_Input_SolidWaste[Waste type (select)],Table_Input_SolidWaste[Treatment location (select)],Table_Input_SolidWaste[Amount unit (select)],Table_Input_SolidWaste[Amount],D46,E46, "Treated on-site", "tonnes")</f>
        <v>0</v>
      </c>
      <c r="H141" s="26">
        <f t="shared" si="2"/>
        <v>0</v>
      </c>
      <c r="I141" s="26" t="s">
        <v>154</v>
      </c>
      <c r="J141" s="26" t="s">
        <v>149</v>
      </c>
      <c r="K141" s="26" t="s">
        <v>149</v>
      </c>
    </row>
    <row r="142" spans="4:11" ht="20.100000000000001" customHeight="1" x14ac:dyDescent="0.25">
      <c r="D142" s="45" t="str">
        <v>Composting</v>
      </c>
      <c r="E142" s="47" t="str">
        <v>Sludge</v>
      </c>
      <c r="F142" s="46"/>
      <c r="G142" s="26" cm="1">
        <f t="array" ref="G142">WasteSolid_InputFunctions.WasteSolid_InputFunctions_SumWasteTreatment(Table_Input_SolidWaste[Treatment type (select)],Table_Input_SolidWaste[Waste type (select)],Table_Input_SolidWaste[Treatment location (select)],Table_Input_SolidWaste[Amount unit (select)],Table_Input_SolidWaste[Amount],D47,E47, "Treated on-site", "tonnes")</f>
        <v>0</v>
      </c>
      <c r="H142" s="26">
        <f t="shared" si="2"/>
        <v>0</v>
      </c>
      <c r="I142" s="26" t="s">
        <v>154</v>
      </c>
      <c r="J142" s="26" t="s">
        <v>149</v>
      </c>
      <c r="K142" s="26" t="s">
        <v>149</v>
      </c>
    </row>
    <row r="143" spans="4:11" ht="20.100000000000001" customHeight="1" x14ac:dyDescent="0.25">
      <c r="D143" s="45" t="str">
        <v>Composting</v>
      </c>
      <c r="E143" s="47" t="str">
        <v>Paper and cardboard</v>
      </c>
      <c r="F143" s="46"/>
      <c r="G143" s="26" cm="1">
        <f t="array" ref="G143">WasteSolid_InputFunctions.WasteSolid_InputFunctions_SumWasteTreatment(Table_Input_SolidWaste[Treatment type (select)],Table_Input_SolidWaste[Waste type (select)],Table_Input_SolidWaste[Treatment location (select)],Table_Input_SolidWaste[Amount unit (select)],Table_Input_SolidWaste[Amount],D48,E48, "Treated on-site", "tonnes")</f>
        <v>0</v>
      </c>
      <c r="H143" s="26">
        <f t="shared" si="2"/>
        <v>4.5</v>
      </c>
      <c r="I143" s="26" t="s">
        <v>154</v>
      </c>
      <c r="J143" s="26" t="s">
        <v>149</v>
      </c>
      <c r="K143" s="26" t="s">
        <v>149</v>
      </c>
    </row>
    <row r="144" spans="4:11" ht="20.100000000000001" customHeight="1" x14ac:dyDescent="0.25">
      <c r="D144" s="45" t="str">
        <v>Anaerobic digestion</v>
      </c>
      <c r="E144" s="47" t="str">
        <v>All organic waste</v>
      </c>
      <c r="F144" s="46"/>
      <c r="G144" s="26" t="s">
        <v>149</v>
      </c>
      <c r="H144" s="26" t="str">
        <f t="shared" si="2"/>
        <v>Not used</v>
      </c>
      <c r="I144" s="26">
        <f>SUM(G145:G149)+SUM(H145:H149)+N("Partial sum")</f>
        <v>0</v>
      </c>
      <c r="J144" s="26" cm="1">
        <f t="array" ref="J144">Common_InputFunctions.Utility_LookupValueInTableTwoColumns(D144,E144,Table_SourceData_WasteSolid_WasteTreatmentEFs[Treatment type t],Table_SourceData_WasteSolid_WasteTreatmentEFs[Waste type w],Table_SourceData_WasteSolid_WasteTreatmentEFs[EFwt])</f>
        <v>2.8000000000000001E-2</v>
      </c>
      <c r="K144" s="26" cm="1">
        <f t="array" ref="K144">WasteSolid_Equations.VEERG_10_1_1_1__1_EmissionsFromWasteManagement(I144, J144)</f>
        <v>0</v>
      </c>
    </row>
    <row r="145" spans="4:11" ht="20.100000000000001" customHeight="1" x14ac:dyDescent="0.25">
      <c r="D145" s="45" t="str">
        <v>Anaerobic digestion</v>
      </c>
      <c r="E145" s="47" t="str">
        <v>Food waste (including animal carcasses, spoiled animal feed or crop)</v>
      </c>
      <c r="F145" s="46"/>
      <c r="G145" s="26" cm="1">
        <f t="array" ref="G145">WasteSolid_InputFunctions.WasteSolid_InputFunctions_SumWasteTreatment(Table_Input_SolidWaste[Treatment type (select)],Table_Input_SolidWaste[Waste type (select)],Table_Input_SolidWaste[Treatment location (select)],Table_Input_SolidWaste[Amount unit (select)],Table_Input_SolidWaste[Amount],D50,E50, "Treated on-site", "tonnes")</f>
        <v>0</v>
      </c>
      <c r="H145" s="26">
        <f t="shared" si="2"/>
        <v>0</v>
      </c>
      <c r="I145" s="26" t="s">
        <v>154</v>
      </c>
      <c r="J145" s="26" t="s">
        <v>149</v>
      </c>
      <c r="K145" s="26" t="s">
        <v>149</v>
      </c>
    </row>
    <row r="146" spans="4:11" ht="20.100000000000001" customHeight="1" x14ac:dyDescent="0.25">
      <c r="D146" s="45" t="str">
        <v>Anaerobic digestion</v>
      </c>
      <c r="E146" s="47" t="str">
        <v>Green waste (including crop residues or prunings)</v>
      </c>
      <c r="F146" s="46"/>
      <c r="G146" s="26" cm="1">
        <f t="array" ref="G146">WasteSolid_InputFunctions.WasteSolid_InputFunctions_SumWasteTreatment(Table_Input_SolidWaste[Treatment type (select)],Table_Input_SolidWaste[Waste type (select)],Table_Input_SolidWaste[Treatment location (select)],Table_Input_SolidWaste[Amount unit (select)],Table_Input_SolidWaste[Amount],D51,E51, "Treated on-site", "tonnes")</f>
        <v>0</v>
      </c>
      <c r="H146" s="26">
        <f t="shared" si="2"/>
        <v>0</v>
      </c>
      <c r="I146" s="26" t="s">
        <v>154</v>
      </c>
      <c r="J146" s="26" t="s">
        <v>149</v>
      </c>
      <c r="K146" s="26" t="s">
        <v>149</v>
      </c>
    </row>
    <row r="147" spans="4:11" ht="20.100000000000001" customHeight="1" x14ac:dyDescent="0.25">
      <c r="D147" s="45" t="str">
        <v>Anaerobic digestion</v>
      </c>
      <c r="E147" s="47" t="str">
        <v>Wood</v>
      </c>
      <c r="F147" s="46"/>
      <c r="G147" s="26" cm="1">
        <f t="array" ref="G147">WasteSolid_InputFunctions.WasteSolid_InputFunctions_SumWasteTreatment(Table_Input_SolidWaste[Treatment type (select)],Table_Input_SolidWaste[Waste type (select)],Table_Input_SolidWaste[Treatment location (select)],Table_Input_SolidWaste[Amount unit (select)],Table_Input_SolidWaste[Amount],D52,E52, "Treated on-site", "tonnes")</f>
        <v>0</v>
      </c>
      <c r="H147" s="26">
        <f t="shared" si="2"/>
        <v>0</v>
      </c>
      <c r="I147" s="26" t="s">
        <v>154</v>
      </c>
      <c r="J147" s="26" t="s">
        <v>149</v>
      </c>
      <c r="K147" s="26" t="s">
        <v>149</v>
      </c>
    </row>
    <row r="148" spans="4:11" ht="20.100000000000001" customHeight="1" x14ac:dyDescent="0.25">
      <c r="D148" s="45" t="str">
        <v>Anaerobic digestion</v>
      </c>
      <c r="E148" s="47" t="str">
        <v>Sludge</v>
      </c>
      <c r="F148" s="46"/>
      <c r="G148" s="26" cm="1">
        <f t="array" ref="G148">WasteSolid_InputFunctions.WasteSolid_InputFunctions_SumWasteTreatment(Table_Input_SolidWaste[Treatment type (select)],Table_Input_SolidWaste[Waste type (select)],Table_Input_SolidWaste[Treatment location (select)],Table_Input_SolidWaste[Amount unit (select)],Table_Input_SolidWaste[Amount],D53,E53, "Treated on-site", "tonnes")</f>
        <v>0</v>
      </c>
      <c r="H148" s="26">
        <f t="shared" si="2"/>
        <v>0</v>
      </c>
      <c r="I148" s="26" t="s">
        <v>154</v>
      </c>
      <c r="J148" s="26" t="s">
        <v>149</v>
      </c>
      <c r="K148" s="26" t="s">
        <v>149</v>
      </c>
    </row>
    <row r="149" spans="4:11" ht="20.100000000000001" customHeight="1" x14ac:dyDescent="0.25">
      <c r="D149" s="45" t="str">
        <v>Anaerobic digestion</v>
      </c>
      <c r="E149" s="47" t="str">
        <v>Paper and cardboard</v>
      </c>
      <c r="F149" s="46"/>
      <c r="G149" s="26" cm="1">
        <f t="array" ref="G149">WasteSolid_InputFunctions.WasteSolid_InputFunctions_SumWasteTreatment(Table_Input_SolidWaste[Treatment type (select)],Table_Input_SolidWaste[Waste type (select)],Table_Input_SolidWaste[Treatment location (select)],Table_Input_SolidWaste[Amount unit (select)],Table_Input_SolidWaste[Amount],D54,E54, "Treated on-site", "tonnes")</f>
        <v>0</v>
      </c>
      <c r="H149" s="26">
        <f t="shared" si="2"/>
        <v>0</v>
      </c>
      <c r="I149" s="26" t="s">
        <v>154</v>
      </c>
      <c r="J149" s="26" t="s">
        <v>149</v>
      </c>
      <c r="K149" s="26" t="s">
        <v>149</v>
      </c>
    </row>
    <row r="150" spans="4:11" ht="20.100000000000001" customHeight="1" x14ac:dyDescent="0.25"/>
    <row r="151" spans="4:11" ht="20.100000000000001" customHeight="1" x14ac:dyDescent="0.25">
      <c r="D151" s="57" t="s">
        <v>118</v>
      </c>
      <c r="E151" s="59">
        <f>SUM(K116:K149)</f>
        <v>438.82805000000002</v>
      </c>
      <c r="F151" s="64" t="str">
        <f>$E$103</f>
        <v>t CO2e</v>
      </c>
    </row>
    <row r="152" spans="4:11" ht="20.100000000000001" customHeight="1" x14ac:dyDescent="0.25"/>
    <row r="153" spans="4:11" ht="20.100000000000001" customHeight="1" x14ac:dyDescent="0.25"/>
    <row r="154" spans="4:11" ht="20.100000000000001" customHeight="1" x14ac:dyDescent="0.25">
      <c r="D154" s="65" t="s">
        <v>124</v>
      </c>
    </row>
    <row r="155" spans="4:11" ht="20.100000000000001" customHeight="1" x14ac:dyDescent="0.25">
      <c r="D155" s="66" t="s">
        <v>125</v>
      </c>
    </row>
    <row r="156" spans="4:11" ht="20.100000000000001" customHeight="1" x14ac:dyDescent="0.25">
      <c r="D156" s="62" t="s">
        <v>93</v>
      </c>
      <c r="E156" s="62" t="s">
        <v>94</v>
      </c>
      <c r="F156" s="62"/>
      <c r="G156" s="62" t="s">
        <v>153</v>
      </c>
      <c r="H156" s="67" t="s">
        <v>152</v>
      </c>
      <c r="I156" s="67" t="s">
        <v>96</v>
      </c>
      <c r="J156" s="67" t="s">
        <v>151</v>
      </c>
      <c r="K156" s="67" t="s">
        <v>150</v>
      </c>
    </row>
    <row r="157" spans="4:11" ht="20.100000000000001" customHeight="1" x14ac:dyDescent="0.25">
      <c r="D157" s="45" t="str" cm="1">
        <f t="array" ref="D157:D190">Table_SourceData_WasteSolid_WasteTreatmentEFs[Treatment type t]</f>
        <v>Landfill</v>
      </c>
      <c r="E157" s="47" t="str" cm="1">
        <f t="array" ref="E157:E190">Table_SourceData_WasteSolid_WasteTreatmentEFs[Waste type w]</f>
        <v>Food waste (including animal carcasses, spoiled animal feed or crop)</v>
      </c>
      <c r="F157" s="68"/>
      <c r="G157" s="26" cm="1">
        <f t="array" ref="G157">WasteSolid_InputFunctions.WasteSolid_InputFunctions_SumWasteTreatment(Table_Input_SolidWaste[Treatment type (select)],Table_Input_SolidWaste[Waste type (select)],Table_Input_SolidWaste[Treatment location (select)],Table_Input_SolidWaste[Amount unit (select)],Table_Input_SolidWaste[Amount],D21,E21, "Removed and treated off-site", "tonnes")</f>
        <v>50</v>
      </c>
      <c r="H157" s="26">
        <f t="shared" ref="H157:H176" si="4">I59</f>
        <v>25</v>
      </c>
      <c r="I157" s="26">
        <f>G157+H157</f>
        <v>75</v>
      </c>
      <c r="J157" s="26" cm="1">
        <f t="array" ref="J157">Common_InputFunctions.Utility_LookupValueInTableTwoColumns(D157,E157,Table_SourceData_WasteSolid_WasteTreatmentEFs[Treatment type t],Table_SourceData_WasteSolid_WasteTreatmentEFs[Waste type w],Table_SourceData_WasteSolid_WasteTreatmentEFs[EFwt])</f>
        <v>2.1</v>
      </c>
      <c r="K157" s="26" cm="1">
        <f t="array" ref="K157">WasteSolid_Equations.VEERG_10_1_1_1__1_EmissionsFromWasteManagement(I157, J157)</f>
        <v>157.5</v>
      </c>
    </row>
    <row r="158" spans="4:11" ht="20.100000000000001" customHeight="1" x14ac:dyDescent="0.25">
      <c r="D158" s="45" t="str">
        <v>Landfill</v>
      </c>
      <c r="E158" s="47" t="str">
        <v>Paper and cardboard</v>
      </c>
      <c r="F158" s="68"/>
      <c r="G158" s="26" cm="1">
        <f t="array" ref="G158">WasteSolid_InputFunctions.WasteSolid_InputFunctions_SumWasteTreatment(Table_Input_SolidWaste[Treatment type (select)],Table_Input_SolidWaste[Waste type (select)],Table_Input_SolidWaste[Treatment location (select)],Table_Input_SolidWaste[Amount unit (select)],Table_Input_SolidWaste[Amount],D22,E22, "Removed and treated off-site", "tonnes")</f>
        <v>50</v>
      </c>
      <c r="H158" s="26">
        <f t="shared" si="4"/>
        <v>4.5</v>
      </c>
      <c r="I158" s="26">
        <f t="shared" ref="I158:I176" si="5">G158+H158</f>
        <v>54.5</v>
      </c>
      <c r="J158" s="26" cm="1">
        <f t="array" ref="J158">Common_InputFunctions.Utility_LookupValueInTableTwoColumns(D158,E158,Table_SourceData_WasteSolid_WasteTreatmentEFs[Treatment type t],Table_SourceData_WasteSolid_WasteTreatmentEFs[Waste type w],Table_SourceData_WasteSolid_WasteTreatmentEFs[EFwt])</f>
        <v>3.3</v>
      </c>
      <c r="K158" s="26" cm="1">
        <f t="array" ref="K158">WasteSolid_Equations.VEERG_10_1_1_1__1_EmissionsFromWasteManagement(I158, J158)</f>
        <v>179.85</v>
      </c>
    </row>
    <row r="159" spans="4:11" ht="20.100000000000001" customHeight="1" x14ac:dyDescent="0.25">
      <c r="D159" s="45" t="str">
        <v>Landfill</v>
      </c>
      <c r="E159" s="47" t="str">
        <v>Green waste (including crop residues or prunings)</v>
      </c>
      <c r="F159" s="68"/>
      <c r="G159" s="26" cm="1">
        <f t="array" ref="G159">WasteSolid_InputFunctions.WasteSolid_InputFunctions_SumWasteTreatment(Table_Input_SolidWaste[Treatment type (select)],Table_Input_SolidWaste[Waste type (select)],Table_Input_SolidWaste[Treatment location (select)],Table_Input_SolidWaste[Amount unit (select)],Table_Input_SolidWaste[Amount],D23,E23, "Removed and treated off-site", "tonnes")</f>
        <v>50</v>
      </c>
      <c r="H159" s="26">
        <f t="shared" si="4"/>
        <v>12</v>
      </c>
      <c r="I159" s="26">
        <f t="shared" si="5"/>
        <v>62</v>
      </c>
      <c r="J159" s="26" cm="1">
        <f t="array" ref="J159">Common_InputFunctions.Utility_LookupValueInTableTwoColumns(D159,E159,Table_SourceData_WasteSolid_WasteTreatmentEFs[Treatment type t],Table_SourceData_WasteSolid_WasteTreatmentEFs[Waste type w],Table_SourceData_WasteSolid_WasteTreatmentEFs[EFwt])</f>
        <v>1.6</v>
      </c>
      <c r="K159" s="26" cm="1">
        <f t="array" ref="K159">WasteSolid_Equations.VEERG_10_1_1_1__1_EmissionsFromWasteManagement(I159, J159)</f>
        <v>99.2</v>
      </c>
    </row>
    <row r="160" spans="4:11" ht="20.100000000000001" customHeight="1" x14ac:dyDescent="0.25">
      <c r="D160" s="45" t="str">
        <v>Landfill</v>
      </c>
      <c r="E160" s="47" t="str">
        <v>Wood</v>
      </c>
      <c r="F160" s="68"/>
      <c r="G160" s="26" cm="1">
        <f t="array" ref="G160">WasteSolid_InputFunctions.WasteSolid_InputFunctions_SumWasteTreatment(Table_Input_SolidWaste[Treatment type (select)],Table_Input_SolidWaste[Waste type (select)],Table_Input_SolidWaste[Treatment location (select)],Table_Input_SolidWaste[Amount unit (select)],Table_Input_SolidWaste[Amount],D24,E24, "Removed and treated off-site", "tonnes")</f>
        <v>0</v>
      </c>
      <c r="H160" s="26">
        <f t="shared" si="4"/>
        <v>0</v>
      </c>
      <c r="I160" s="26">
        <f t="shared" si="5"/>
        <v>0</v>
      </c>
      <c r="J160" s="26" cm="1">
        <f t="array" ref="J160">Common_InputFunctions.Utility_LookupValueInTableTwoColumns(D160,E160,Table_SourceData_WasteSolid_WasteTreatmentEFs[Treatment type t],Table_SourceData_WasteSolid_WasteTreatmentEFs[Waste type w],Table_SourceData_WasteSolid_WasteTreatmentEFs[EFwt])</f>
        <v>0.7</v>
      </c>
      <c r="K160" s="26" cm="1">
        <f t="array" ref="K160">WasteSolid_Equations.VEERG_10_1_1_1__1_EmissionsFromWasteManagement(I160, J160)</f>
        <v>0</v>
      </c>
    </row>
    <row r="161" spans="4:11" ht="20.100000000000001" customHeight="1" x14ac:dyDescent="0.25">
      <c r="D161" s="45" t="str">
        <v>Landfill</v>
      </c>
      <c r="E161" s="47" t="str">
        <v>Textiles</v>
      </c>
      <c r="F161" s="68"/>
      <c r="G161" s="26" cm="1">
        <f t="array" ref="G161">WasteSolid_InputFunctions.WasteSolid_InputFunctions_SumWasteTreatment(Table_Input_SolidWaste[Treatment type (select)],Table_Input_SolidWaste[Waste type (select)],Table_Input_SolidWaste[Treatment location (select)],Table_Input_SolidWaste[Amount unit (select)],Table_Input_SolidWaste[Amount],D25,E25, "Removed and treated off-site", "tonnes")</f>
        <v>0</v>
      </c>
      <c r="H161" s="26">
        <f t="shared" si="4"/>
        <v>0</v>
      </c>
      <c r="I161" s="26">
        <f t="shared" si="5"/>
        <v>0</v>
      </c>
      <c r="J161" s="26" cm="1">
        <f t="array" ref="J161">Common_InputFunctions.Utility_LookupValueInTableTwoColumns(D161,E161,Table_SourceData_WasteSolid_WasteTreatmentEFs[Treatment type t],Table_SourceData_WasteSolid_WasteTreatmentEFs[Waste type w],Table_SourceData_WasteSolid_WasteTreatmentEFs[EFwt])</f>
        <v>2</v>
      </c>
      <c r="K161" s="26" cm="1">
        <f t="array" ref="K161">WasteSolid_Equations.VEERG_10_1_1_1__1_EmissionsFromWasteManagement(I161, J161)</f>
        <v>0</v>
      </c>
    </row>
    <row r="162" spans="4:11" ht="20.100000000000001" customHeight="1" x14ac:dyDescent="0.25">
      <c r="D162" s="45" t="str">
        <v>Landfill</v>
      </c>
      <c r="E162" s="47" t="str">
        <v>Sludge</v>
      </c>
      <c r="F162" s="68"/>
      <c r="G162" s="26" cm="1">
        <f t="array" ref="G162">WasteSolid_InputFunctions.WasteSolid_InputFunctions_SumWasteTreatment(Table_Input_SolidWaste[Treatment type (select)],Table_Input_SolidWaste[Waste type (select)],Table_Input_SolidWaste[Treatment location (select)],Table_Input_SolidWaste[Amount unit (select)],Table_Input_SolidWaste[Amount],D26,E26, "Removed and treated off-site", "tonnes")</f>
        <v>0</v>
      </c>
      <c r="H162" s="26">
        <f t="shared" si="4"/>
        <v>0</v>
      </c>
      <c r="I162" s="26">
        <f t="shared" si="5"/>
        <v>0</v>
      </c>
      <c r="J162" s="26" cm="1">
        <f t="array" ref="J162">Common_InputFunctions.Utility_LookupValueInTableTwoColumns(D162,E162,Table_SourceData_WasteSolid_WasteTreatmentEFs[Treatment type t],Table_SourceData_WasteSolid_WasteTreatmentEFs[Waste type w],Table_SourceData_WasteSolid_WasteTreatmentEFs[EFwt])</f>
        <v>0.4</v>
      </c>
      <c r="K162" s="26" cm="1">
        <f t="array" ref="K162">WasteSolid_Equations.VEERG_10_1_1_1__1_EmissionsFromWasteManagement(I162, J162)</f>
        <v>0</v>
      </c>
    </row>
    <row r="163" spans="4:11" ht="20.100000000000001" customHeight="1" x14ac:dyDescent="0.25">
      <c r="D163" s="45" t="str">
        <v>Landfill</v>
      </c>
      <c r="E163" s="47" t="str">
        <v>Rubber and leather</v>
      </c>
      <c r="F163" s="68"/>
      <c r="G163" s="26" cm="1">
        <f t="array" ref="G163">WasteSolid_InputFunctions.WasteSolid_InputFunctions_SumWasteTreatment(Table_Input_SolidWaste[Treatment type (select)],Table_Input_SolidWaste[Waste type (select)],Table_Input_SolidWaste[Treatment location (select)],Table_Input_SolidWaste[Amount unit (select)],Table_Input_SolidWaste[Amount],D27,E27, "Removed and treated off-site", "tonnes")</f>
        <v>0</v>
      </c>
      <c r="H163" s="26">
        <f t="shared" si="4"/>
        <v>0</v>
      </c>
      <c r="I163" s="26">
        <f t="shared" si="5"/>
        <v>0</v>
      </c>
      <c r="J163" s="26" cm="1">
        <f t="array" ref="J163">Common_InputFunctions.Utility_LookupValueInTableTwoColumns(D163,E163,Table_SourceData_WasteSolid_WasteTreatmentEFs[Treatment type t],Table_SourceData_WasteSolid_WasteTreatmentEFs[Waste type w],Table_SourceData_WasteSolid_WasteTreatmentEFs[EFwt])</f>
        <v>3.3</v>
      </c>
      <c r="K163" s="26" cm="1">
        <f t="array" ref="K163">WasteSolid_Equations.VEERG_10_1_1_1__1_EmissionsFromWasteManagement(I163, J163)</f>
        <v>0</v>
      </c>
    </row>
    <row r="164" spans="4:11" ht="20.100000000000001" customHeight="1" x14ac:dyDescent="0.25">
      <c r="D164" s="45" t="str">
        <v>Landfill</v>
      </c>
      <c r="E164" s="47" t="str">
        <v>Inert waste (including concrete, metal, plastic or glass)</v>
      </c>
      <c r="F164" s="68"/>
      <c r="G164" s="26" cm="1">
        <f t="array" ref="G164">WasteSolid_InputFunctions.WasteSolid_InputFunctions_SumWasteTreatment(Table_Input_SolidWaste[Treatment type (select)],Table_Input_SolidWaste[Waste type (select)],Table_Input_SolidWaste[Treatment location (select)],Table_Input_SolidWaste[Amount unit (select)],Table_Input_SolidWaste[Amount],D28,E28, "Removed and treated off-site", "tonnes")</f>
        <v>0</v>
      </c>
      <c r="H164" s="26">
        <f t="shared" si="4"/>
        <v>0</v>
      </c>
      <c r="I164" s="26">
        <f t="shared" si="5"/>
        <v>0</v>
      </c>
      <c r="J164" s="26" cm="1">
        <f t="array" ref="J164">Common_InputFunctions.Utility_LookupValueInTableTwoColumns(D164,E164,Table_SourceData_WasteSolid_WasteTreatmentEFs[Treatment type t],Table_SourceData_WasteSolid_WasteTreatmentEFs[Waste type w],Table_SourceData_WasteSolid_WasteTreatmentEFs[EFwt])</f>
        <v>0</v>
      </c>
      <c r="K164" s="26" cm="1">
        <f t="array" ref="K164">WasteSolid_Equations.VEERG_10_1_1_1__1_EmissionsFromWasteManagement(I164, J164)</f>
        <v>0</v>
      </c>
    </row>
    <row r="165" spans="4:11" ht="20.100000000000001" customHeight="1" x14ac:dyDescent="0.25">
      <c r="D165" s="45" t="str">
        <v>Landfill</v>
      </c>
      <c r="E165" s="47" t="str">
        <v>Municipal solid waste</v>
      </c>
      <c r="F165" s="68"/>
      <c r="G165" s="26" cm="1">
        <f t="array" ref="G165">WasteSolid_InputFunctions.WasteSolid_InputFunctions_SumWasteTreatment(Table_Input_SolidWaste[Treatment type (select)],Table_Input_SolidWaste[Waste type (select)],Table_Input_SolidWaste[Treatment location (select)],Table_Input_SolidWaste[Amount unit (select)],Table_Input_SolidWaste[Amount],D29,E29, "Removed and treated off-site", "tonnes")</f>
        <v>0</v>
      </c>
      <c r="H165" s="26">
        <f t="shared" si="4"/>
        <v>0</v>
      </c>
      <c r="I165" s="26">
        <f t="shared" si="5"/>
        <v>0</v>
      </c>
      <c r="J165" s="26" cm="1">
        <f t="array" ref="J165">Common_InputFunctions.Utility_LookupValueInTableTwoColumns(D165,E165,Table_SourceData_WasteSolid_WasteTreatmentEFs[Treatment type t],Table_SourceData_WasteSolid_WasteTreatmentEFs[Waste type w],Table_SourceData_WasteSolid_WasteTreatmentEFs[EFwt])</f>
        <v>1.6</v>
      </c>
      <c r="K165" s="26" cm="1">
        <f t="array" ref="K165">WasteSolid_Equations.VEERG_10_1_1_1__1_EmissionsFromWasteManagement(I165, J165)</f>
        <v>0</v>
      </c>
    </row>
    <row r="166" spans="4:11" ht="20.100000000000001" customHeight="1" x14ac:dyDescent="0.25">
      <c r="D166" s="45" t="str">
        <v>Landfill</v>
      </c>
      <c r="E166" s="47" t="str">
        <v>Commercial and industrial waste</v>
      </c>
      <c r="F166" s="68"/>
      <c r="G166" s="26" cm="1">
        <f t="array" ref="G166">WasteSolid_InputFunctions.WasteSolid_InputFunctions_SumWasteTreatment(Table_Input_SolidWaste[Treatment type (select)],Table_Input_SolidWaste[Waste type (select)],Table_Input_SolidWaste[Treatment location (select)],Table_Input_SolidWaste[Amount unit (select)],Table_Input_SolidWaste[Amount],D30,E30, "Removed and treated off-site", "tonnes")</f>
        <v>0</v>
      </c>
      <c r="H166" s="26">
        <f t="shared" si="4"/>
        <v>0</v>
      </c>
      <c r="I166" s="26">
        <f t="shared" si="5"/>
        <v>0</v>
      </c>
      <c r="J166" s="26" cm="1">
        <f t="array" ref="J166">Common_InputFunctions.Utility_LookupValueInTableTwoColumns(D166,E166,Table_SourceData_WasteSolid_WasteTreatmentEFs[Treatment type t],Table_SourceData_WasteSolid_WasteTreatmentEFs[Waste type w],Table_SourceData_WasteSolid_WasteTreatmentEFs[EFwt])</f>
        <v>1.3</v>
      </c>
      <c r="K166" s="26" cm="1">
        <f t="array" ref="K166">WasteSolid_Equations.VEERG_10_1_1_1__1_EmissionsFromWasteManagement(I166, J166)</f>
        <v>0</v>
      </c>
    </row>
    <row r="167" spans="4:11" ht="20.100000000000001" customHeight="1" x14ac:dyDescent="0.25">
      <c r="D167" s="45" t="str">
        <v>Landfill</v>
      </c>
      <c r="E167" s="47" t="str">
        <v>Construction and demolition waste</v>
      </c>
      <c r="F167" s="68"/>
      <c r="G167" s="26" cm="1">
        <f t="array" ref="G167">WasteSolid_InputFunctions.WasteSolid_InputFunctions_SumWasteTreatment(Table_Input_SolidWaste[Treatment type (select)],Table_Input_SolidWaste[Waste type (select)],Table_Input_SolidWaste[Treatment location (select)],Table_Input_SolidWaste[Amount unit (select)],Table_Input_SolidWaste[Amount],D31,E31, "Removed and treated off-site", "tonnes")</f>
        <v>0</v>
      </c>
      <c r="H167" s="26">
        <f t="shared" si="4"/>
        <v>0</v>
      </c>
      <c r="I167" s="26">
        <f t="shared" si="5"/>
        <v>0</v>
      </c>
      <c r="J167" s="26" cm="1">
        <f t="array" ref="J167">Common_InputFunctions.Utility_LookupValueInTableTwoColumns(D167,E167,Table_SourceData_WasteSolid_WasteTreatmentEFs[Treatment type t],Table_SourceData_WasteSolid_WasteTreatmentEFs[Waste type w],Table_SourceData_WasteSolid_WasteTreatmentEFs[EFwt])</f>
        <v>0.2</v>
      </c>
      <c r="K167" s="26" cm="1">
        <f t="array" ref="K167">WasteSolid_Equations.VEERG_10_1_1_1__1_EmissionsFromWasteManagement(I167, J167)</f>
        <v>0</v>
      </c>
    </row>
    <row r="168" spans="4:11" ht="20.100000000000001" customHeight="1" x14ac:dyDescent="0.25">
      <c r="D168" s="45" t="str">
        <v>Incineration</v>
      </c>
      <c r="E168" s="47" t="str">
        <v>Food waste, green waste, wood, sludge</v>
      </c>
      <c r="F168" s="68"/>
      <c r="G168" s="26" t="s">
        <v>149</v>
      </c>
      <c r="H168" s="26" t="str">
        <f t="shared" si="4"/>
        <v>Not used</v>
      </c>
      <c r="I168" s="26">
        <f>SUM(G169:G172)+SUM(H169:H172)+N("Partial sum")</f>
        <v>62</v>
      </c>
      <c r="J168" s="26" cm="1">
        <f t="array" ref="J168">Common_InputFunctions.Utility_LookupValueInTableTwoColumns(D168,E168,Table_SourceData_WasteSolid_WasteTreatmentEFs[Treatment type t],Table_SourceData_WasteSolid_WasteTreatmentEFs[Waste type w],Table_SourceData_WasteSolid_WasteTreatmentEFs[EFwt])</f>
        <v>0</v>
      </c>
      <c r="K168" s="26" cm="1">
        <f t="array" ref="K168">WasteSolid_Equations.VEERG_10_1_1_1__1_EmissionsFromWasteManagement(I168, J168)</f>
        <v>0</v>
      </c>
    </row>
    <row r="169" spans="4:11" ht="20.100000000000001" customHeight="1" x14ac:dyDescent="0.25">
      <c r="D169" s="45" t="str">
        <v>Incineration</v>
      </c>
      <c r="E169" s="47" t="str">
        <v>Food waste (including animal carcasses, spoiled animal feed or crop)</v>
      </c>
      <c r="F169" s="68"/>
      <c r="G169" s="26" cm="1">
        <f t="array" ref="G169">WasteSolid_InputFunctions.WasteSolid_InputFunctions_SumWasteTreatment(Table_Input_SolidWaste[Treatment type (select)],Table_Input_SolidWaste[Waste type (select)],Table_Input_SolidWaste[Treatment location (select)],Table_Input_SolidWaste[Amount unit (select)],Table_Input_SolidWaste[Amount],D33,E33, "Removed and treated off-site", "tonnes")</f>
        <v>0</v>
      </c>
      <c r="H169" s="26">
        <f t="shared" si="4"/>
        <v>0</v>
      </c>
      <c r="I169" s="26" t="s">
        <v>154</v>
      </c>
      <c r="J169" s="26" t="s">
        <v>149</v>
      </c>
      <c r="K169" s="26" t="s">
        <v>149</v>
      </c>
    </row>
    <row r="170" spans="4:11" ht="20.100000000000001" customHeight="1" x14ac:dyDescent="0.25">
      <c r="D170" s="45" t="str">
        <v>Incineration</v>
      </c>
      <c r="E170" s="47" t="str">
        <v>Green waste (including crop residues or prunings)</v>
      </c>
      <c r="F170" s="68"/>
      <c r="G170" s="26" cm="1">
        <f t="array" ref="G170">WasteSolid_InputFunctions.WasteSolid_InputFunctions_SumWasteTreatment(Table_Input_SolidWaste[Treatment type (select)],Table_Input_SolidWaste[Waste type (select)],Table_Input_SolidWaste[Treatment location (select)],Table_Input_SolidWaste[Amount unit (select)],Table_Input_SolidWaste[Amount],D34,E34, "Removed and treated off-site", "tonnes")</f>
        <v>50</v>
      </c>
      <c r="H170" s="26">
        <f t="shared" si="4"/>
        <v>12</v>
      </c>
      <c r="I170" s="26" t="s">
        <v>154</v>
      </c>
      <c r="J170" s="26" t="s">
        <v>149</v>
      </c>
      <c r="K170" s="26" t="s">
        <v>149</v>
      </c>
    </row>
    <row r="171" spans="4:11" ht="20.100000000000001" customHeight="1" x14ac:dyDescent="0.25">
      <c r="D171" s="45" t="str">
        <v>Incineration</v>
      </c>
      <c r="E171" s="47" t="str">
        <v>Wood</v>
      </c>
      <c r="F171" s="68"/>
      <c r="G171" s="26" cm="1">
        <f t="array" ref="G171">WasteSolid_InputFunctions.WasteSolid_InputFunctions_SumWasteTreatment(Table_Input_SolidWaste[Treatment type (select)],Table_Input_SolidWaste[Waste type (select)],Table_Input_SolidWaste[Treatment location (select)],Table_Input_SolidWaste[Amount unit (select)],Table_Input_SolidWaste[Amount],D35,E35, "Removed and treated off-site", "tonnes")</f>
        <v>0</v>
      </c>
      <c r="H171" s="26">
        <f t="shared" si="4"/>
        <v>0</v>
      </c>
      <c r="I171" s="26" t="s">
        <v>154</v>
      </c>
      <c r="J171" s="26" t="s">
        <v>149</v>
      </c>
      <c r="K171" s="26" t="s">
        <v>149</v>
      </c>
    </row>
    <row r="172" spans="4:11" ht="20.100000000000001" customHeight="1" x14ac:dyDescent="0.25">
      <c r="D172" s="45" t="str">
        <v>Incineration</v>
      </c>
      <c r="E172" s="47" t="str">
        <v>Sludge</v>
      </c>
      <c r="F172" s="68"/>
      <c r="G172" s="26" cm="1">
        <f t="array" ref="G172">WasteSolid_InputFunctions.WasteSolid_InputFunctions_SumWasteTreatment(Table_Input_SolidWaste[Treatment type (select)],Table_Input_SolidWaste[Waste type (select)],Table_Input_SolidWaste[Treatment location (select)],Table_Input_SolidWaste[Amount unit (select)],Table_Input_SolidWaste[Amount],D36,E36, "Removed and treated off-site", "tonnes")</f>
        <v>0</v>
      </c>
      <c r="H172" s="26">
        <f t="shared" si="4"/>
        <v>0</v>
      </c>
      <c r="I172" s="26" t="s">
        <v>154</v>
      </c>
      <c r="J172" s="26" t="s">
        <v>149</v>
      </c>
      <c r="K172" s="26" t="s">
        <v>149</v>
      </c>
    </row>
    <row r="173" spans="4:11" ht="20.100000000000001" customHeight="1" x14ac:dyDescent="0.25">
      <c r="D173" s="45" t="str">
        <v>Incineration</v>
      </c>
      <c r="E173" s="47" t="str">
        <v>Paper and cardboard</v>
      </c>
      <c r="F173" s="68"/>
      <c r="G173" s="26" cm="1">
        <f t="array" ref="G173">WasteSolid_InputFunctions.WasteSolid_InputFunctions_SumWasteTreatment(Table_Input_SolidWaste[Treatment type (select)],Table_Input_SolidWaste[Waste type (select)],Table_Input_SolidWaste[Treatment location (select)],Table_Input_SolidWaste[Amount unit (select)],Table_Input_SolidWaste[Amount],D37,E37, "Removed and treated off-site", "tonnes")</f>
        <v>0</v>
      </c>
      <c r="H173" s="26">
        <f t="shared" si="4"/>
        <v>0</v>
      </c>
      <c r="I173" s="26">
        <f t="shared" si="5"/>
        <v>0</v>
      </c>
      <c r="J173" s="26" cm="1">
        <f t="array" ref="J173">Common_InputFunctions.Utility_LookupValueInTableTwoColumns(D173,E173,Table_SourceData_WasteSolid_WasteTreatmentEFs[Treatment type t],Table_SourceData_WasteSolid_WasteTreatmentEFs[Waste type w],Table_SourceData_WasteSolid_WasteTreatmentEFs[EFwt])</f>
        <v>1.6899999999999998E-2</v>
      </c>
      <c r="K173" s="26" cm="1">
        <f t="array" ref="K173">WasteSolid_Equations.VEERG_10_1_1_1__1_EmissionsFromWasteManagement(I173, J173)</f>
        <v>0</v>
      </c>
    </row>
    <row r="174" spans="4:11" ht="20.100000000000001" customHeight="1" x14ac:dyDescent="0.25">
      <c r="D174" s="45" t="str">
        <v>Incineration</v>
      </c>
      <c r="E174" s="47" t="str">
        <v>Textiles</v>
      </c>
      <c r="F174" s="68"/>
      <c r="G174" s="26" cm="1">
        <f t="array" ref="G174">WasteSolid_InputFunctions.WasteSolid_InputFunctions_SumWasteTreatment(Table_Input_SolidWaste[Treatment type (select)],Table_Input_SolidWaste[Waste type (select)],Table_Input_SolidWaste[Treatment location (select)],Table_Input_SolidWaste[Amount unit (select)],Table_Input_SolidWaste[Amount],D38,E38, "Removed and treated off-site", "tonnes")</f>
        <v>0</v>
      </c>
      <c r="H174" s="26">
        <f t="shared" si="4"/>
        <v>0</v>
      </c>
      <c r="I174" s="26">
        <f t="shared" si="5"/>
        <v>0</v>
      </c>
      <c r="J174" s="26" cm="1">
        <f t="array" ref="J174">Common_InputFunctions.Utility_LookupValueInTableTwoColumns(D174,E174,Table_SourceData_WasteSolid_WasteTreatmentEFs[Treatment type t],Table_SourceData_WasteSolid_WasteTreatmentEFs[Waste type w],Table_SourceData_WasteSolid_WasteTreatmentEFs[EFwt])</f>
        <v>0.36670000000000003</v>
      </c>
      <c r="K174" s="26" cm="1">
        <f t="array" ref="K174">WasteSolid_Equations.VEERG_10_1_1_1__1_EmissionsFromWasteManagement(I174, J174)</f>
        <v>0</v>
      </c>
    </row>
    <row r="175" spans="4:11" ht="20.100000000000001" customHeight="1" x14ac:dyDescent="0.25">
      <c r="D175" s="45" t="str">
        <v>Incineration</v>
      </c>
      <c r="E175" s="47" t="str">
        <v>Rubber and leather</v>
      </c>
      <c r="F175" s="68"/>
      <c r="G175" s="26" cm="1">
        <f t="array" ref="G175">WasteSolid_InputFunctions.WasteSolid_InputFunctions_SumWasteTreatment(Table_Input_SolidWaste[Treatment type (select)],Table_Input_SolidWaste[Waste type (select)],Table_Input_SolidWaste[Treatment location (select)],Table_Input_SolidWaste[Amount unit (select)],Table_Input_SolidWaste[Amount],D39,E39, "Removed and treated off-site", "tonnes")</f>
        <v>0</v>
      </c>
      <c r="H175" s="26">
        <f t="shared" si="4"/>
        <v>0</v>
      </c>
      <c r="I175" s="26">
        <f t="shared" si="5"/>
        <v>0</v>
      </c>
      <c r="J175" s="26" cm="1">
        <f t="array" ref="J175">Common_InputFunctions.Utility_LookupValueInTableTwoColumns(D175,E175,Table_SourceData_WasteSolid_WasteTreatmentEFs[Treatment type t],Table_SourceData_WasteSolid_WasteTreatmentEFs[Waste type w],Table_SourceData_WasteSolid_WasteTreatmentEFs[EFwt])</f>
        <v>0.4919</v>
      </c>
      <c r="K175" s="26" cm="1">
        <f t="array" ref="K175">WasteSolid_Equations.VEERG_10_1_1_1__1_EmissionsFromWasteManagement(I175, J175)</f>
        <v>0</v>
      </c>
    </row>
    <row r="176" spans="4:11" ht="20.100000000000001" customHeight="1" x14ac:dyDescent="0.25">
      <c r="D176" s="45" t="str">
        <v>Incineration</v>
      </c>
      <c r="E176" s="47" t="str">
        <v>Inert waste (including concrete, metal, plastic or glass)</v>
      </c>
      <c r="F176" s="68"/>
      <c r="G176" s="26" cm="1">
        <f t="array" ref="G176">WasteSolid_InputFunctions.WasteSolid_InputFunctions_SumWasteTreatment(Table_Input_SolidWaste[Treatment type (select)],Table_Input_SolidWaste[Waste type (select)],Table_Input_SolidWaste[Treatment location (select)],Table_Input_SolidWaste[Amount unit (select)],Table_Input_SolidWaste[Amount],D40,E40, "Removed and treated off-site", "tonnes")</f>
        <v>0</v>
      </c>
      <c r="H176" s="26">
        <f t="shared" si="4"/>
        <v>0</v>
      </c>
      <c r="I176" s="26">
        <f t="shared" si="5"/>
        <v>0</v>
      </c>
      <c r="J176" s="26" cm="1">
        <f t="array" ref="J176">Common_InputFunctions.Utility_LookupValueInTableTwoColumns(D176,E176,Table_SourceData_WasteSolid_WasteTreatmentEFs[Treatment type t],Table_SourceData_WasteSolid_WasteTreatmentEFs[Waste type w],Table_SourceData_WasteSolid_WasteTreatmentEFs[EFwt])</f>
        <v>0.11</v>
      </c>
      <c r="K176" s="26" cm="1">
        <f t="array" ref="K176">WasteSolid_Equations.VEERG_10_1_1_1__1_EmissionsFromWasteManagement(I176, J176)</f>
        <v>0</v>
      </c>
    </row>
    <row r="177" spans="4:11" ht="20.100000000000001" customHeight="1" x14ac:dyDescent="0.25">
      <c r="D177" s="45" t="str">
        <v>Incineration</v>
      </c>
      <c r="E177" s="47" t="str">
        <v>Municipal solid waste</v>
      </c>
      <c r="F177" s="46"/>
      <c r="G177" s="26" cm="1">
        <f t="array" ref="G177">WasteSolid_InputFunctions.WasteSolid_InputFunctions_SumWasteTreatment(Table_Input_SolidWaste[Treatment type (select)],Table_Input_SolidWaste[Waste type (select)],Table_Input_SolidWaste[Treatment location (select)],Table_Input_SolidWaste[Amount unit (select)],Table_Input_SolidWaste[Amount],D41,E41, "Removed and treated off-site", "tonnes")</f>
        <v>0</v>
      </c>
      <c r="H177" s="26">
        <f t="shared" ref="H177:H190" si="6">I79</f>
        <v>0</v>
      </c>
      <c r="I177" s="26">
        <f t="shared" ref="I177:I178" si="7">G177+H177</f>
        <v>0</v>
      </c>
      <c r="J177" s="26" cm="1">
        <f t="array" ref="J177">Common_InputFunctions.Utility_LookupValueInTableTwoColumns(D177,E177,Table_SourceData_WasteSolid_WasteTreatmentEFs[Treatment type t],Table_SourceData_WasteSolid_WasteTreatmentEFs[Waste type w],Table_SourceData_WasteSolid_WasteTreatmentEFs[EFwt])</f>
        <v>5.3699999999999998E-2</v>
      </c>
      <c r="K177" s="26" cm="1">
        <f t="array" ref="K177">WasteSolid_Equations.VEERG_10_1_1_1__1_EmissionsFromWasteManagement(I177, J177)</f>
        <v>0</v>
      </c>
    </row>
    <row r="178" spans="4:11" ht="20.100000000000001" customHeight="1" x14ac:dyDescent="0.25">
      <c r="D178" s="45" t="str">
        <v>Incineration</v>
      </c>
      <c r="E178" s="47" t="str">
        <v>Commercial and industrial waste</v>
      </c>
      <c r="F178" s="46"/>
      <c r="G178" s="26" cm="1">
        <f t="array" ref="G178">WasteSolid_InputFunctions.WasteSolid_InputFunctions_SumWasteTreatment(Table_Input_SolidWaste[Treatment type (select)],Table_Input_SolidWaste[Waste type (select)],Table_Input_SolidWaste[Treatment location (select)],Table_Input_SolidWaste[Amount unit (select)],Table_Input_SolidWaste[Amount],D42,E42, "Removed and treated off-site", "tonnes")</f>
        <v>0</v>
      </c>
      <c r="H178" s="26">
        <f t="shared" si="6"/>
        <v>0</v>
      </c>
      <c r="I178" s="26">
        <f t="shared" si="7"/>
        <v>0</v>
      </c>
      <c r="J178" s="26" cm="1">
        <f t="array" ref="J178">Common_InputFunctions.Utility_LookupValueInTableTwoColumns(D178,E178,Table_SourceData_WasteSolid_WasteTreatmentEFs[Treatment type t],Table_SourceData_WasteSolid_WasteTreatmentEFs[Waste type w],Table_SourceData_WasteSolid_WasteTreatmentEFs[EFwt])</f>
        <v>1.649</v>
      </c>
      <c r="K178" s="26" cm="1">
        <f t="array" ref="K178">WasteSolid_Equations.VEERG_10_1_1_1__1_EmissionsFromWasteManagement(I178, J178)</f>
        <v>0</v>
      </c>
    </row>
    <row r="179" spans="4:11" ht="20.100000000000001" customHeight="1" x14ac:dyDescent="0.25">
      <c r="D179" s="45" t="str">
        <v>Composting</v>
      </c>
      <c r="E179" s="47" t="str">
        <v>All organic waste</v>
      </c>
      <c r="F179" s="46"/>
      <c r="G179" s="26" t="s">
        <v>149</v>
      </c>
      <c r="H179" s="26" t="str">
        <f t="shared" si="6"/>
        <v>Not used</v>
      </c>
      <c r="I179" s="26">
        <f>SUM(G180:G184)+SUM(H180:H184)+N("Partial sum")</f>
        <v>100</v>
      </c>
      <c r="J179" s="26" cm="1">
        <f t="array" ref="J179">Common_InputFunctions.Utility_LookupValueInTableTwoColumns(D179,E179,Table_SourceData_WasteSolid_WasteTreatmentEFs[Treatment type t],Table_SourceData_WasteSolid_WasteTreatmentEFs[Waste type w],Table_SourceData_WasteSolid_WasteTreatmentEFs[EFwt])</f>
        <v>4.5999999999999999E-2</v>
      </c>
      <c r="K179" s="26" cm="1">
        <f t="array" ref="K179">WasteSolid_Equations.VEERG_10_1_1_1__1_EmissionsFromWasteManagement(I179, J179)</f>
        <v>4.5999999999999996</v>
      </c>
    </row>
    <row r="180" spans="4:11" ht="20.100000000000001" customHeight="1" x14ac:dyDescent="0.25">
      <c r="D180" s="45" t="str">
        <v>Composting</v>
      </c>
      <c r="E180" s="47" t="str">
        <v>Food waste (including animal carcasses, spoiled animal feed or crop)</v>
      </c>
      <c r="F180" s="46"/>
      <c r="G180" s="26" cm="1">
        <f t="array" ref="G180">WasteSolid_InputFunctions.WasteSolid_InputFunctions_SumWasteTreatment(Table_Input_SolidWaste[Treatment type (select)],Table_Input_SolidWaste[Waste type (select)],Table_Input_SolidWaste[Treatment location (select)],Table_Input_SolidWaste[Amount unit (select)],Table_Input_SolidWaste[Amount],D44,E44, "Removed and treated off-site", "tonnes")</f>
        <v>50</v>
      </c>
      <c r="H180" s="26">
        <f t="shared" si="6"/>
        <v>0</v>
      </c>
      <c r="I180" s="26" t="s">
        <v>154</v>
      </c>
      <c r="J180" s="26" t="s">
        <v>149</v>
      </c>
      <c r="K180" s="26" t="s">
        <v>149</v>
      </c>
    </row>
    <row r="181" spans="4:11" ht="20.100000000000001" customHeight="1" x14ac:dyDescent="0.25">
      <c r="D181" s="45" t="str">
        <v>Composting</v>
      </c>
      <c r="E181" s="47" t="str">
        <v>Green waste (including crop residues or prunings)</v>
      </c>
      <c r="F181" s="46"/>
      <c r="G181" s="26" cm="1">
        <f t="array" ref="G181">WasteSolid_InputFunctions.WasteSolid_InputFunctions_SumWasteTreatment(Table_Input_SolidWaste[Treatment type (select)],Table_Input_SolidWaste[Waste type (select)],Table_Input_SolidWaste[Treatment location (select)],Table_Input_SolidWaste[Amount unit (select)],Table_Input_SolidWaste[Amount],D45,E45, "Removed and treated off-site", "tonnes")</f>
        <v>0</v>
      </c>
      <c r="H181" s="26">
        <f t="shared" si="6"/>
        <v>0</v>
      </c>
      <c r="I181" s="26" t="s">
        <v>154</v>
      </c>
      <c r="J181" s="26" t="s">
        <v>149</v>
      </c>
      <c r="K181" s="26" t="s">
        <v>149</v>
      </c>
    </row>
    <row r="182" spans="4:11" ht="20.100000000000001" customHeight="1" x14ac:dyDescent="0.25">
      <c r="D182" s="45" t="str">
        <v>Composting</v>
      </c>
      <c r="E182" s="47" t="str">
        <v>Wood</v>
      </c>
      <c r="F182" s="46"/>
      <c r="G182" s="26" cm="1">
        <f t="array" ref="G182">WasteSolid_InputFunctions.WasteSolid_InputFunctions_SumWasteTreatment(Table_Input_SolidWaste[Treatment type (select)],Table_Input_SolidWaste[Waste type (select)],Table_Input_SolidWaste[Treatment location (select)],Table_Input_SolidWaste[Amount unit (select)],Table_Input_SolidWaste[Amount],D46,E46, "Removed and treated off-site", "tonnes")</f>
        <v>0</v>
      </c>
      <c r="H182" s="26">
        <f t="shared" si="6"/>
        <v>0</v>
      </c>
      <c r="I182" s="26" t="s">
        <v>154</v>
      </c>
      <c r="J182" s="26" t="s">
        <v>149</v>
      </c>
      <c r="K182" s="26" t="s">
        <v>149</v>
      </c>
    </row>
    <row r="183" spans="4:11" ht="20.100000000000001" customHeight="1" x14ac:dyDescent="0.25">
      <c r="D183" s="45" t="str">
        <v>Composting</v>
      </c>
      <c r="E183" s="47" t="str">
        <v>Sludge</v>
      </c>
      <c r="F183" s="46"/>
      <c r="G183" s="26" cm="1">
        <f t="array" ref="G183">WasteSolid_InputFunctions.WasteSolid_InputFunctions_SumWasteTreatment(Table_Input_SolidWaste[Treatment type (select)],Table_Input_SolidWaste[Waste type (select)],Table_Input_SolidWaste[Treatment location (select)],Table_Input_SolidWaste[Amount unit (select)],Table_Input_SolidWaste[Amount],D47,E47, "Removed and treated off-site", "tonnes")</f>
        <v>0</v>
      </c>
      <c r="H183" s="26">
        <f t="shared" si="6"/>
        <v>0</v>
      </c>
      <c r="I183" s="26" t="s">
        <v>154</v>
      </c>
      <c r="J183" s="26" t="s">
        <v>149</v>
      </c>
      <c r="K183" s="26" t="s">
        <v>149</v>
      </c>
    </row>
    <row r="184" spans="4:11" ht="20.100000000000001" customHeight="1" x14ac:dyDescent="0.25">
      <c r="D184" s="45" t="str">
        <v>Composting</v>
      </c>
      <c r="E184" s="47" t="str">
        <v>Paper and cardboard</v>
      </c>
      <c r="F184" s="46"/>
      <c r="G184" s="26" cm="1">
        <f t="array" ref="G184">WasteSolid_InputFunctions.WasteSolid_InputFunctions_SumWasteTreatment(Table_Input_SolidWaste[Treatment type (select)],Table_Input_SolidWaste[Waste type (select)],Table_Input_SolidWaste[Treatment location (select)],Table_Input_SolidWaste[Amount unit (select)],Table_Input_SolidWaste[Amount],D48,E48, "Removed and treated off-site", "tonnes")</f>
        <v>50</v>
      </c>
      <c r="H184" s="26">
        <f t="shared" si="6"/>
        <v>0</v>
      </c>
      <c r="I184" s="26" t="s">
        <v>154</v>
      </c>
      <c r="J184" s="26" t="s">
        <v>149</v>
      </c>
      <c r="K184" s="26" t="s">
        <v>149</v>
      </c>
    </row>
    <row r="185" spans="4:11" ht="20.100000000000001" customHeight="1" x14ac:dyDescent="0.25">
      <c r="D185" s="45" t="str">
        <v>Anaerobic digestion</v>
      </c>
      <c r="E185" s="47" t="str">
        <v>All organic waste</v>
      </c>
      <c r="F185" s="46"/>
      <c r="G185" s="26" t="s">
        <v>149</v>
      </c>
      <c r="H185" s="26" t="str">
        <f t="shared" si="6"/>
        <v>Not used</v>
      </c>
      <c r="I185" s="26">
        <f>SUM(G186:G190)+SUM(H186:H190)+N("Partial sum")</f>
        <v>0</v>
      </c>
      <c r="J185" s="26" cm="1">
        <f t="array" ref="J185">Common_InputFunctions.Utility_LookupValueInTableTwoColumns(D185,E185,Table_SourceData_WasteSolid_WasteTreatmentEFs[Treatment type t],Table_SourceData_WasteSolid_WasteTreatmentEFs[Waste type w],Table_SourceData_WasteSolid_WasteTreatmentEFs[EFwt])</f>
        <v>2.8000000000000001E-2</v>
      </c>
      <c r="K185" s="26" cm="1">
        <f t="array" ref="K185">WasteSolid_Equations.VEERG_10_1_1_1__1_EmissionsFromWasteManagement(I185, J185)</f>
        <v>0</v>
      </c>
    </row>
    <row r="186" spans="4:11" ht="20.100000000000001" customHeight="1" x14ac:dyDescent="0.25">
      <c r="D186" s="45" t="str">
        <v>Anaerobic digestion</v>
      </c>
      <c r="E186" s="47" t="str">
        <v>Food waste (including animal carcasses, spoiled animal feed or crop)</v>
      </c>
      <c r="F186" s="46"/>
      <c r="G186" s="26" cm="1">
        <f t="array" ref="G186">WasteSolid_InputFunctions.WasteSolid_InputFunctions_SumWasteTreatment(Table_Input_SolidWaste[Treatment type (select)],Table_Input_SolidWaste[Waste type (select)],Table_Input_SolidWaste[Treatment location (select)],Table_Input_SolidWaste[Amount unit (select)],Table_Input_SolidWaste[Amount],D50,E50, "Removed and treated off-site", "tonnes")</f>
        <v>0</v>
      </c>
      <c r="H186" s="26">
        <f t="shared" si="6"/>
        <v>0</v>
      </c>
      <c r="I186" s="26" t="s">
        <v>154</v>
      </c>
      <c r="J186" s="26" t="s">
        <v>149</v>
      </c>
      <c r="K186" s="26" t="s">
        <v>149</v>
      </c>
    </row>
    <row r="187" spans="4:11" ht="20.100000000000001" customHeight="1" x14ac:dyDescent="0.25">
      <c r="D187" s="45" t="str">
        <v>Anaerobic digestion</v>
      </c>
      <c r="E187" s="47" t="str">
        <v>Green waste (including crop residues or prunings)</v>
      </c>
      <c r="F187" s="46"/>
      <c r="G187" s="26" cm="1">
        <f t="array" ref="G187">WasteSolid_InputFunctions.WasteSolid_InputFunctions_SumWasteTreatment(Table_Input_SolidWaste[Treatment type (select)],Table_Input_SolidWaste[Waste type (select)],Table_Input_SolidWaste[Treatment location (select)],Table_Input_SolidWaste[Amount unit (select)],Table_Input_SolidWaste[Amount],D51,E51, "Removed and treated off-site", "tonnes")</f>
        <v>0</v>
      </c>
      <c r="H187" s="26">
        <f t="shared" si="6"/>
        <v>0</v>
      </c>
      <c r="I187" s="26" t="s">
        <v>154</v>
      </c>
      <c r="J187" s="26" t="s">
        <v>149</v>
      </c>
      <c r="K187" s="26" t="s">
        <v>149</v>
      </c>
    </row>
    <row r="188" spans="4:11" ht="20.100000000000001" customHeight="1" x14ac:dyDescent="0.25">
      <c r="D188" s="45" t="str">
        <v>Anaerobic digestion</v>
      </c>
      <c r="E188" s="47" t="str">
        <v>Wood</v>
      </c>
      <c r="F188" s="46"/>
      <c r="G188" s="26" cm="1">
        <f t="array" ref="G188">WasteSolid_InputFunctions.WasteSolid_InputFunctions_SumWasteTreatment(Table_Input_SolidWaste[Treatment type (select)],Table_Input_SolidWaste[Waste type (select)],Table_Input_SolidWaste[Treatment location (select)],Table_Input_SolidWaste[Amount unit (select)],Table_Input_SolidWaste[Amount],D52,E52, "Removed and treated off-site", "tonnes")</f>
        <v>0</v>
      </c>
      <c r="H188" s="26">
        <f t="shared" si="6"/>
        <v>0</v>
      </c>
      <c r="I188" s="26" t="s">
        <v>154</v>
      </c>
      <c r="J188" s="26" t="s">
        <v>149</v>
      </c>
      <c r="K188" s="26" t="s">
        <v>149</v>
      </c>
    </row>
    <row r="189" spans="4:11" ht="20.100000000000001" customHeight="1" x14ac:dyDescent="0.25">
      <c r="D189" s="45" t="str">
        <v>Anaerobic digestion</v>
      </c>
      <c r="E189" s="47" t="str">
        <v>Sludge</v>
      </c>
      <c r="F189" s="46"/>
      <c r="G189" s="26" cm="1">
        <f t="array" ref="G189">WasteSolid_InputFunctions.WasteSolid_InputFunctions_SumWasteTreatment(Table_Input_SolidWaste[Treatment type (select)],Table_Input_SolidWaste[Waste type (select)],Table_Input_SolidWaste[Treatment location (select)],Table_Input_SolidWaste[Amount unit (select)],Table_Input_SolidWaste[Amount],D53,E53, "Removed and treated off-site", "tonnes")</f>
        <v>0</v>
      </c>
      <c r="H189" s="26">
        <f t="shared" si="6"/>
        <v>0</v>
      </c>
      <c r="I189" s="26" t="s">
        <v>154</v>
      </c>
      <c r="J189" s="26" t="s">
        <v>149</v>
      </c>
      <c r="K189" s="26" t="s">
        <v>149</v>
      </c>
    </row>
    <row r="190" spans="4:11" ht="20.100000000000001" customHeight="1" x14ac:dyDescent="0.25">
      <c r="D190" s="45" t="str">
        <v>Anaerobic digestion</v>
      </c>
      <c r="E190" s="47" t="str">
        <v>Paper and cardboard</v>
      </c>
      <c r="F190" s="46"/>
      <c r="G190" s="26" cm="1">
        <f t="array" ref="G190">WasteSolid_InputFunctions.WasteSolid_InputFunctions_SumWasteTreatment(Table_Input_SolidWaste[Treatment type (select)],Table_Input_SolidWaste[Waste type (select)],Table_Input_SolidWaste[Treatment location (select)],Table_Input_SolidWaste[Amount unit (select)],Table_Input_SolidWaste[Amount],D54,E54, "Removed and treated off-site", "tonnes")</f>
        <v>0</v>
      </c>
      <c r="H190" s="26">
        <f t="shared" si="6"/>
        <v>0</v>
      </c>
      <c r="I190" s="26" t="s">
        <v>154</v>
      </c>
      <c r="J190" s="26" t="s">
        <v>149</v>
      </c>
      <c r="K190" s="26" t="s">
        <v>149</v>
      </c>
    </row>
    <row r="191" spans="4:11" ht="20.100000000000001" customHeight="1" x14ac:dyDescent="0.25"/>
    <row r="192" spans="4:11" ht="20.100000000000001" customHeight="1" x14ac:dyDescent="0.25">
      <c r="D192" s="57" t="s">
        <v>118</v>
      </c>
      <c r="E192" s="59">
        <f>SUM(K157:K190)</f>
        <v>441.15000000000003</v>
      </c>
      <c r="F192" s="64" t="str">
        <f>$E$103</f>
        <v>t CO2e</v>
      </c>
    </row>
    <row r="193" ht="20.100000000000001" customHeight="1" x14ac:dyDescent="0.25"/>
    <row r="194" ht="20.100000000000001" customHeight="1" x14ac:dyDescent="0.25"/>
    <row r="195" ht="20.100000000000001" customHeight="1" x14ac:dyDescent="0.25"/>
    <row r="196" ht="20.100000000000001" customHeight="1" x14ac:dyDescent="0.25"/>
    <row r="197" ht="20.100000000000001" customHeight="1" x14ac:dyDescent="0.25"/>
    <row r="198" ht="20.100000000000001" customHeight="1" x14ac:dyDescent="0.25"/>
    <row r="199" ht="20.100000000000001" customHeight="1" x14ac:dyDescent="0.25"/>
    <row r="200" ht="20.100000000000001" customHeight="1" x14ac:dyDescent="0.25"/>
    <row r="201" ht="20.100000000000001" customHeight="1" x14ac:dyDescent="0.25"/>
    <row r="202" ht="20.100000000000001" customHeight="1" x14ac:dyDescent="0.25"/>
    <row r="203" ht="20.100000000000001" customHeight="1" x14ac:dyDescent="0.25"/>
    <row r="204" ht="20.100000000000001" customHeight="1" x14ac:dyDescent="0.25"/>
    <row r="205" ht="20.100000000000001" customHeight="1" x14ac:dyDescent="0.25"/>
    <row r="206" ht="20.100000000000001" customHeight="1" x14ac:dyDescent="0.25"/>
    <row r="207" ht="20.100000000000001" customHeight="1" x14ac:dyDescent="0.25"/>
    <row r="208"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341" spans="8:8" x14ac:dyDescent="0.25">
      <c r="H341" s="16"/>
    </row>
    <row r="342" spans="8:8" x14ac:dyDescent="0.25">
      <c r="H342" s="16"/>
    </row>
  </sheetData>
  <dataValidations disablePrompts="1" count="1">
    <dataValidation operator="equal" allowBlank="1" showInputMessage="1" showErrorMessage="1" sqref="E269 E228" xr:uid="{AF7BB680-B75F-4AE8-AA2D-EDF03FCB10D8}"/>
  </dataValidations>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4A5A36D-67BF-491B-8BEC-65303FBC20AD}">
  <sheetPr>
    <tabColor theme="2" tint="-0.499984740745262"/>
  </sheetPr>
  <dimension ref="A1:AI165"/>
  <sheetViews>
    <sheetView showGridLines="0" topLeftCell="A29" zoomScaleNormal="100" workbookViewId="0">
      <selection activeCell="A18" sqref="A18"/>
    </sheetView>
  </sheetViews>
  <sheetFormatPr defaultRowHeight="15.75" x14ac:dyDescent="0.25"/>
  <cols>
    <col min="1" max="1" width="30.7109375" customWidth="1"/>
    <col min="2" max="2" width="4.7109375" customWidth="1"/>
    <col min="3" max="3" width="4.7109375" style="1" customWidth="1"/>
    <col min="4" max="4" width="39.140625" style="1" customWidth="1"/>
    <col min="5" max="5" width="30.7109375" style="1" customWidth="1"/>
    <col min="6" max="6" width="29.5703125" style="1" customWidth="1"/>
    <col min="7" max="8" width="43.42578125" style="1" customWidth="1"/>
    <col min="9" max="9" width="43.5703125" style="1" customWidth="1"/>
    <col min="10" max="10" width="37.5703125" style="1" customWidth="1"/>
    <col min="11" max="11" width="33.5703125" style="1" customWidth="1"/>
    <col min="12" max="31" width="20.7109375" style="1" customWidth="1"/>
    <col min="32" max="32" width="4.7109375" style="1" customWidth="1"/>
  </cols>
  <sheetData>
    <row r="1" spans="1:35" s="7" customFormat="1" ht="30" customHeight="1" x14ac:dyDescent="0.35">
      <c r="A1" s="30" t="e" vm="1">
        <v>#VALUE!</v>
      </c>
      <c r="C1" s="7" t="s">
        <v>87</v>
      </c>
      <c r="AG1"/>
      <c r="AH1"/>
      <c r="AI1"/>
    </row>
    <row r="2" spans="1:35" s="8" customFormat="1" ht="20.100000000000001" customHeight="1" x14ac:dyDescent="0.25">
      <c r="A2"/>
      <c r="AG2"/>
      <c r="AH2"/>
      <c r="AI2"/>
    </row>
    <row r="3" spans="1:35" ht="20.100000000000001" customHeight="1" x14ac:dyDescent="0.25">
      <c r="A3" s="12" t="str">
        <f>HYPERLINK("#'Home'!A1", "Home")</f>
        <v>Home</v>
      </c>
      <c r="C3" s="3"/>
      <c r="D3" s="3"/>
      <c r="E3" s="3"/>
      <c r="F3" s="3"/>
      <c r="G3" s="3"/>
      <c r="H3" s="3"/>
      <c r="I3" s="3"/>
      <c r="J3" s="3"/>
      <c r="K3" s="3"/>
      <c r="L3" s="3"/>
      <c r="M3" s="3"/>
      <c r="N3" s="3"/>
      <c r="O3" s="3"/>
      <c r="P3" s="3"/>
      <c r="Q3" s="3"/>
      <c r="R3" s="3"/>
      <c r="S3" s="3"/>
      <c r="T3" s="3"/>
      <c r="U3" s="3"/>
      <c r="V3" s="3"/>
      <c r="W3" s="3"/>
      <c r="X3" s="3"/>
      <c r="Y3" s="3"/>
      <c r="Z3" s="3"/>
      <c r="AA3" s="3"/>
      <c r="AB3" s="3"/>
      <c r="AC3" s="3"/>
      <c r="AD3" s="3"/>
      <c r="AE3" s="3"/>
      <c r="AF3" s="3"/>
    </row>
    <row r="4" spans="1:35" ht="20.100000000000001" customHeight="1" x14ac:dyDescent="0.25">
      <c r="A4" s="12" t="str">
        <f>HYPERLINK("#'Overview'!A1", "Overview")</f>
        <v>Overview</v>
      </c>
    </row>
    <row r="5" spans="1:35" ht="20.100000000000001" customHeight="1" x14ac:dyDescent="0.25">
      <c r="A5" s="12" t="str">
        <f>HYPERLINK("#'Results'!A1", "Results")</f>
        <v>Results</v>
      </c>
      <c r="D5" s="5" t="str" cm="1">
        <f t="array" ref="D5">WasteSolid_SourceData.Waste_EmissionFactorsForWasteTreatment_Title()</f>
        <v>Emission factors for wastes disposed of at different treatment facilities</v>
      </c>
    </row>
    <row r="6" spans="1:35" ht="20.100000000000001" customHeight="1" x14ac:dyDescent="0.25">
      <c r="D6" s="4" t="str" cm="1">
        <f t="array" ref="D6">WasteSolid_SourceData.Waste_EmissionFactorsForWasteTreatment_Source()</f>
        <v>VEERG 2026: Table A.4.1.1</v>
      </c>
    </row>
    <row r="7" spans="1:35" ht="20.100000000000001" customHeight="1" x14ac:dyDescent="0.25">
      <c r="D7" s="29" t="str" cm="1">
        <f t="array" ref="D7:D13">WasteSolid_SourceData.Waste_EmissionFactorsForWasteTreatment_Variation()</f>
        <v>VARIATION ON SOURCE:</v>
      </c>
    </row>
    <row r="8" spans="1:35" ht="20.100000000000001" customHeight="1" x14ac:dyDescent="0.25">
      <c r="A8" s="14" t="s">
        <v>0</v>
      </c>
      <c r="D8" s="29" t="str">
        <v>Fixed typo 'paper and carboard' to 'paper and cardboard'</v>
      </c>
    </row>
    <row r="9" spans="1:35" ht="20.100000000000001" customHeight="1" x14ac:dyDescent="0.25">
      <c r="A9" s="12" t="str">
        <f>HYPERLINK("#'Input - Solid waste'!A1", "Solid waste")</f>
        <v>Solid waste</v>
      </c>
      <c r="D9" s="29" t="str">
        <v>Fixed typo 'prunnings' to 'prunings'</v>
      </c>
    </row>
    <row r="10" spans="1:35" ht="20.100000000000001" customHeight="1" x14ac:dyDescent="0.25">
      <c r="D10" s="29" t="str">
        <v>Added EF source column with specific references</v>
      </c>
    </row>
    <row r="11" spans="1:35" ht="20.100000000000001" customHeight="1" x14ac:dyDescent="0.25">
      <c r="D11" s="29" t="str">
        <v>Added sub-categories for 'Incineration: Food waste, green waste, wood, sludge' in order to use volume to mass conversion factor values</v>
      </c>
    </row>
    <row r="12" spans="1:35" ht="20.100000000000001" customHeight="1" x14ac:dyDescent="0.25">
      <c r="A12" s="13" t="s">
        <v>44</v>
      </c>
      <c r="D12" s="29" t="str">
        <v>Added sub-categories for 'Composting: All organic waste' in order to use volume to mass conversion factor values</v>
      </c>
    </row>
    <row r="13" spans="1:35" ht="20.100000000000001" customHeight="1" x14ac:dyDescent="0.25">
      <c r="A13" s="12" t="str">
        <f>HYPERLINK("#'10.1.1-2 Solid waste treatment'!A1", "10.1.1-2 Solid waste treatment")</f>
        <v>10.1.1-2 Solid waste treatment</v>
      </c>
      <c r="D13" s="29" t="str">
        <v>Added sub-categories for 'Anaerobic digestion: All organic waste' in order to use volume to mass conversion factor values</v>
      </c>
    </row>
    <row r="14" spans="1:35" ht="20.100000000000001" customHeight="1" x14ac:dyDescent="0.25">
      <c r="D14" s="1" t="str" cm="1">
        <f t="array" ref="D14">WasteSolid_SourceData.Waste_EmissionFactorsForWasteTreatment_Variable()</f>
        <v>EFwt</v>
      </c>
    </row>
    <row r="15" spans="1:35" ht="20.100000000000001" customHeight="1" x14ac:dyDescent="0.25">
      <c r="D15" s="28" t="str" cm="1">
        <f t="array" ref="D15">WasteSolid_SourceData.Waste_EmissionFactorsForWasteTreatment_Unit()</f>
        <v>t CO2e / t</v>
      </c>
      <c r="I15" s="1" t="s">
        <v>106</v>
      </c>
      <c r="K15" s="1" t="s">
        <v>107</v>
      </c>
      <c r="M15" s="1" t="s">
        <v>108</v>
      </c>
      <c r="O15" s="1" t="s">
        <v>109</v>
      </c>
    </row>
    <row r="16" spans="1:35" ht="20.100000000000001" customHeight="1" x14ac:dyDescent="0.25">
      <c r="A16" s="73" t="s">
        <v>1</v>
      </c>
      <c r="D16" s="24" t="s">
        <v>88</v>
      </c>
      <c r="E16" s="24" t="s">
        <v>89</v>
      </c>
      <c r="F16" s="24" t="s">
        <v>90</v>
      </c>
      <c r="G16" s="24" t="s">
        <v>128</v>
      </c>
      <c r="I16" s="24" t="s">
        <v>89</v>
      </c>
      <c r="K16" s="69" t="s">
        <v>89</v>
      </c>
      <c r="M16" s="69" t="s">
        <v>89</v>
      </c>
      <c r="O16" s="69" t="s">
        <v>89</v>
      </c>
    </row>
    <row r="17" spans="1:15" ht="20.100000000000001" customHeight="1" x14ac:dyDescent="0.25">
      <c r="A17" s="54" t="str">
        <f>HYPERLINK("#'Constants - Solid Waste'!A1", "Constants - Solid Waste")</f>
        <v>Constants - Solid Waste</v>
      </c>
      <c r="D17" s="24" t="str" cm="1">
        <f t="array" ref="D17">Common_InputFunctions.Utility_DisplayArrayInTable(WasteSolid_SourceData.Waste_EmissionFactorsForWasteTreatment_Data(), Table_SourceData_WasteSolid_WasteTreatmentEFs[[#Headers],[Treatment type t]], 0)</f>
        <v>Landfill</v>
      </c>
      <c r="E17" s="24" t="str" cm="1">
        <f t="array" ref="E17">Common_InputFunctions.Utility_DisplayArrayInTable(WasteSolid_SourceData.Waste_EmissionFactorsForWasteTreatment_Data(), Table_SourceData_WasteSolid_WasteTreatmentEFs[[#Headers],[Treatment type t]], 0)</f>
        <v>Food waste (including animal carcasses, spoiled animal feed or crop)</v>
      </c>
      <c r="F17" s="24" cm="1">
        <f t="array" ref="F17">Common_InputFunctions.Utility_DisplayArrayInTable(WasteSolid_SourceData.Waste_EmissionFactorsForWasteTreatment_Data(), Table_SourceData_WasteSolid_WasteTreatmentEFs[[#Headers],[Treatment type t]], 0)</f>
        <v>2.1</v>
      </c>
      <c r="G17" s="24" t="str" cm="1">
        <f t="array" ref="G17">Common_InputFunctions.Utility_DisplayArrayInTable(WasteSolid_SourceData.Waste_EmissionFactorsForWasteTreatment_Data(), Table_SourceData_WasteSolid_WasteTreatmentEFs[[#Headers],[Treatment type t]], 0)</f>
        <v>NGAF 2025 table 15</v>
      </c>
      <c r="I17" s="24" t="str">
        <f>Table_SourceData_WasteSolid_WasteTreatmentEFs[[#This Row],[Waste type w]]</f>
        <v>Food waste (including animal carcasses, spoiled animal feed or crop)</v>
      </c>
      <c r="K17" s="1" t="str">
        <f t="shared" ref="K17:K26" si="0">E29</f>
        <v>Food waste (including animal carcasses, spoiled animal feed or crop)</v>
      </c>
      <c r="M17" s="1" t="str">
        <f>E40</f>
        <v>Food waste (including animal carcasses, spoiled animal feed or crop)</v>
      </c>
      <c r="O17" s="1" t="str">
        <f>E46</f>
        <v>Food waste (including animal carcasses, spoiled animal feed or crop)</v>
      </c>
    </row>
    <row r="18" spans="1:15" ht="20.100000000000001" customHeight="1" x14ac:dyDescent="0.25">
      <c r="A18" s="12" t="str">
        <f>HYPERLINK("#'Constants - Common'!A1", "Constants - Common")</f>
        <v>Constants - Common</v>
      </c>
      <c r="D18" s="1" t="str" cm="1">
        <f t="array" ref="D18">Common_InputFunctions.Utility_DisplayArrayInTable(WasteSolid_SourceData.Waste_EmissionFactorsForWasteTreatment_Data(), Table_SourceData_WasteSolid_WasteTreatmentEFs[[#Headers],[Treatment type t]], 0)</f>
        <v>Landfill</v>
      </c>
      <c r="E18" s="24" t="str" cm="1">
        <f t="array" ref="E18">Common_InputFunctions.Utility_DisplayArrayInTable(WasteSolid_SourceData.Waste_EmissionFactorsForWasteTreatment_Data(), Table_SourceData_WasteSolid_WasteTreatmentEFs[[#Headers],[Treatment type t]], 0)</f>
        <v>Paper and cardboard</v>
      </c>
      <c r="F18" s="24" cm="1">
        <f t="array" ref="F18">Common_InputFunctions.Utility_DisplayArrayInTable(WasteSolid_SourceData.Waste_EmissionFactorsForWasteTreatment_Data(), Table_SourceData_WasteSolid_WasteTreatmentEFs[[#Headers],[Treatment type t]], 0)</f>
        <v>3.3</v>
      </c>
      <c r="G18" s="24" t="str" cm="1">
        <f t="array" ref="G18">Common_InputFunctions.Utility_DisplayArrayInTable(WasteSolid_SourceData.Waste_EmissionFactorsForWasteTreatment_Data(), Table_SourceData_WasteSolid_WasteTreatmentEFs[[#Headers],[Treatment type t]], 0)</f>
        <v>NGAF 2025 table 15</v>
      </c>
      <c r="I18" s="24" t="str">
        <f>Table_SourceData_WasteSolid_WasteTreatmentEFs[[#This Row],[Waste type w]]</f>
        <v>Paper and cardboard</v>
      </c>
      <c r="K18" s="1" t="str">
        <f t="shared" si="0"/>
        <v>Green waste (including crop residues or prunings)</v>
      </c>
      <c r="M18" s="1" t="str">
        <f>E41</f>
        <v>Green waste (including crop residues or prunings)</v>
      </c>
      <c r="O18" s="1" t="str">
        <f>E47</f>
        <v>Green waste (including crop residues or prunings)</v>
      </c>
    </row>
    <row r="19" spans="1:15" ht="20.100000000000001" customHeight="1" x14ac:dyDescent="0.25">
      <c r="D19" s="1" t="str" cm="1">
        <f t="array" ref="D19">Common_InputFunctions.Utility_DisplayArrayInTable(WasteSolid_SourceData.Waste_EmissionFactorsForWasteTreatment_Data(), Table_SourceData_WasteSolid_WasteTreatmentEFs[[#Headers],[Treatment type t]], 0)</f>
        <v>Landfill</v>
      </c>
      <c r="E19" s="24" t="str" cm="1">
        <f t="array" ref="E19">Common_InputFunctions.Utility_DisplayArrayInTable(WasteSolid_SourceData.Waste_EmissionFactorsForWasteTreatment_Data(), Table_SourceData_WasteSolid_WasteTreatmentEFs[[#Headers],[Treatment type t]], 0)</f>
        <v>Green waste (including crop residues or prunings)</v>
      </c>
      <c r="F19" s="24" cm="1">
        <f t="array" ref="F19">Common_InputFunctions.Utility_DisplayArrayInTable(WasteSolid_SourceData.Waste_EmissionFactorsForWasteTreatment_Data(), Table_SourceData_WasteSolid_WasteTreatmentEFs[[#Headers],[Treatment type t]], 0)</f>
        <v>1.6</v>
      </c>
      <c r="G19" s="24" t="str" cm="1">
        <f t="array" ref="G19">Common_InputFunctions.Utility_DisplayArrayInTable(WasteSolid_SourceData.Waste_EmissionFactorsForWasteTreatment_Data(), Table_SourceData_WasteSolid_WasteTreatmentEFs[[#Headers],[Treatment type t]], 0)</f>
        <v>NGAF 2025 table 15</v>
      </c>
      <c r="I19" s="24" t="str">
        <f>Table_SourceData_WasteSolid_WasteTreatmentEFs[[#This Row],[Waste type w]]</f>
        <v>Green waste (including crop residues or prunings)</v>
      </c>
      <c r="K19" s="1" t="str">
        <f t="shared" si="0"/>
        <v>Wood</v>
      </c>
      <c r="M19" s="1" t="str">
        <f>E42</f>
        <v>Wood</v>
      </c>
      <c r="O19" s="1" t="str">
        <f>E48</f>
        <v>Wood</v>
      </c>
    </row>
    <row r="20" spans="1:15" ht="20.100000000000001" customHeight="1" x14ac:dyDescent="0.25">
      <c r="D20" s="1" t="str" cm="1">
        <f t="array" ref="D20">Common_InputFunctions.Utility_DisplayArrayInTable(WasteSolid_SourceData.Waste_EmissionFactorsForWasteTreatment_Data(), Table_SourceData_WasteSolid_WasteTreatmentEFs[[#Headers],[Treatment type t]], 0)</f>
        <v>Landfill</v>
      </c>
      <c r="E20" s="24" t="str" cm="1">
        <f t="array" ref="E20">Common_InputFunctions.Utility_DisplayArrayInTable(WasteSolid_SourceData.Waste_EmissionFactorsForWasteTreatment_Data(), Table_SourceData_WasteSolid_WasteTreatmentEFs[[#Headers],[Treatment type t]], 0)</f>
        <v>Wood</v>
      </c>
      <c r="F20" s="24" cm="1">
        <f t="array" ref="F20">Common_InputFunctions.Utility_DisplayArrayInTable(WasteSolid_SourceData.Waste_EmissionFactorsForWasteTreatment_Data(), Table_SourceData_WasteSolid_WasteTreatmentEFs[[#Headers],[Treatment type t]], 0)</f>
        <v>0.7</v>
      </c>
      <c r="G20" s="24" t="str" cm="1">
        <f t="array" ref="G20">Common_InputFunctions.Utility_DisplayArrayInTable(WasteSolid_SourceData.Waste_EmissionFactorsForWasteTreatment_Data(), Table_SourceData_WasteSolid_WasteTreatmentEFs[[#Headers],[Treatment type t]], 0)</f>
        <v>NGAF 2025 table 15</v>
      </c>
      <c r="I20" s="24" t="str">
        <f>Table_SourceData_WasteSolid_WasteTreatmentEFs[[#This Row],[Waste type w]]</f>
        <v>Wood</v>
      </c>
      <c r="K20" s="1" t="str">
        <f t="shared" si="0"/>
        <v>Sludge</v>
      </c>
      <c r="M20" s="1" t="str">
        <f>E43</f>
        <v>Sludge</v>
      </c>
      <c r="O20" s="1" t="str">
        <f>E49</f>
        <v>Sludge</v>
      </c>
    </row>
    <row r="21" spans="1:15" ht="20.100000000000001" customHeight="1" x14ac:dyDescent="0.25">
      <c r="D21" s="1" t="str" cm="1">
        <f t="array" ref="D21">Common_InputFunctions.Utility_DisplayArrayInTable(WasteSolid_SourceData.Waste_EmissionFactorsForWasteTreatment_Data(), Table_SourceData_WasteSolid_WasteTreatmentEFs[[#Headers],[Treatment type t]], 0)</f>
        <v>Landfill</v>
      </c>
      <c r="E21" s="24" t="str" cm="1">
        <f t="array" ref="E21">Common_InputFunctions.Utility_DisplayArrayInTable(WasteSolid_SourceData.Waste_EmissionFactorsForWasteTreatment_Data(), Table_SourceData_WasteSolid_WasteTreatmentEFs[[#Headers],[Treatment type t]], 0)</f>
        <v>Textiles</v>
      </c>
      <c r="F21" s="24" cm="1">
        <f t="array" ref="F21">Common_InputFunctions.Utility_DisplayArrayInTable(WasteSolid_SourceData.Waste_EmissionFactorsForWasteTreatment_Data(), Table_SourceData_WasteSolid_WasteTreatmentEFs[[#Headers],[Treatment type t]], 0)</f>
        <v>2</v>
      </c>
      <c r="G21" s="24" t="str" cm="1">
        <f t="array" ref="G21">Common_InputFunctions.Utility_DisplayArrayInTable(WasteSolid_SourceData.Waste_EmissionFactorsForWasteTreatment_Data(), Table_SourceData_WasteSolid_WasteTreatmentEFs[[#Headers],[Treatment type t]], 0)</f>
        <v>NGAF 2025 table 15</v>
      </c>
      <c r="I21" s="24" t="str">
        <f>Table_SourceData_WasteSolid_WasteTreatmentEFs[[#This Row],[Waste type w]]</f>
        <v>Textiles</v>
      </c>
      <c r="K21" s="1" t="str">
        <f t="shared" si="0"/>
        <v>Paper and cardboard</v>
      </c>
      <c r="M21" s="1" t="str">
        <f>E44</f>
        <v>Paper and cardboard</v>
      </c>
      <c r="O21" s="1" t="str">
        <f>E50</f>
        <v>Paper and cardboard</v>
      </c>
    </row>
    <row r="22" spans="1:15" ht="20.100000000000001" customHeight="1" x14ac:dyDescent="0.25">
      <c r="D22" s="1" t="str" cm="1">
        <f t="array" ref="D22">Common_InputFunctions.Utility_DisplayArrayInTable(WasteSolid_SourceData.Waste_EmissionFactorsForWasteTreatment_Data(), Table_SourceData_WasteSolid_WasteTreatmentEFs[[#Headers],[Treatment type t]], 0)</f>
        <v>Landfill</v>
      </c>
      <c r="E22" s="24" t="str" cm="1">
        <f t="array" ref="E22">Common_InputFunctions.Utility_DisplayArrayInTable(WasteSolid_SourceData.Waste_EmissionFactorsForWasteTreatment_Data(), Table_SourceData_WasteSolid_WasteTreatmentEFs[[#Headers],[Treatment type t]], 0)</f>
        <v>Sludge</v>
      </c>
      <c r="F22" s="24" cm="1">
        <f t="array" ref="F22">Common_InputFunctions.Utility_DisplayArrayInTable(WasteSolid_SourceData.Waste_EmissionFactorsForWasteTreatment_Data(), Table_SourceData_WasteSolid_WasteTreatmentEFs[[#Headers],[Treatment type t]], 0)</f>
        <v>0.4</v>
      </c>
      <c r="G22" s="24" t="str" cm="1">
        <f t="array" ref="G22">Common_InputFunctions.Utility_DisplayArrayInTable(WasteSolid_SourceData.Waste_EmissionFactorsForWasteTreatment_Data(), Table_SourceData_WasteSolid_WasteTreatmentEFs[[#Headers],[Treatment type t]], 0)</f>
        <v>NGAF 2025 table 15</v>
      </c>
      <c r="I22" s="24" t="str">
        <f>Table_SourceData_WasteSolid_WasteTreatmentEFs[[#This Row],[Waste type w]]</f>
        <v>Sludge</v>
      </c>
      <c r="K22" s="1" t="str">
        <f t="shared" si="0"/>
        <v>Textiles</v>
      </c>
    </row>
    <row r="23" spans="1:15" ht="20.100000000000001" customHeight="1" x14ac:dyDescent="0.25">
      <c r="D23" s="1" t="str" cm="1">
        <f t="array" ref="D23">Common_InputFunctions.Utility_DisplayArrayInTable(WasteSolid_SourceData.Waste_EmissionFactorsForWasteTreatment_Data(), Table_SourceData_WasteSolid_WasteTreatmentEFs[[#Headers],[Treatment type t]], 0)</f>
        <v>Landfill</v>
      </c>
      <c r="E23" s="24" t="str" cm="1">
        <f t="array" ref="E23">Common_InputFunctions.Utility_DisplayArrayInTable(WasteSolid_SourceData.Waste_EmissionFactorsForWasteTreatment_Data(), Table_SourceData_WasteSolid_WasteTreatmentEFs[[#Headers],[Treatment type t]], 0)</f>
        <v>Rubber and leather</v>
      </c>
      <c r="F23" s="24" cm="1">
        <f t="array" ref="F23">Common_InputFunctions.Utility_DisplayArrayInTable(WasteSolid_SourceData.Waste_EmissionFactorsForWasteTreatment_Data(), Table_SourceData_WasteSolid_WasteTreatmentEFs[[#Headers],[Treatment type t]], 0)</f>
        <v>3.3</v>
      </c>
      <c r="G23" s="24" t="str" cm="1">
        <f t="array" ref="G23">Common_InputFunctions.Utility_DisplayArrayInTable(WasteSolid_SourceData.Waste_EmissionFactorsForWasteTreatment_Data(), Table_SourceData_WasteSolid_WasteTreatmentEFs[[#Headers],[Treatment type t]], 0)</f>
        <v>NGAF 2025 table 15</v>
      </c>
      <c r="I23" s="24" t="str">
        <f>Table_SourceData_WasteSolid_WasteTreatmentEFs[[#This Row],[Waste type w]]</f>
        <v>Rubber and leather</v>
      </c>
      <c r="K23" s="1" t="str">
        <f t="shared" si="0"/>
        <v>Rubber and leather</v>
      </c>
    </row>
    <row r="24" spans="1:15" ht="20.100000000000001" customHeight="1" x14ac:dyDescent="0.25">
      <c r="D24" s="1" t="str" cm="1">
        <f t="array" ref="D24">Common_InputFunctions.Utility_DisplayArrayInTable(WasteSolid_SourceData.Waste_EmissionFactorsForWasteTreatment_Data(), Table_SourceData_WasteSolid_WasteTreatmentEFs[[#Headers],[Treatment type t]], 0)</f>
        <v>Landfill</v>
      </c>
      <c r="E24" s="24" t="str" cm="1">
        <f t="array" ref="E24">Common_InputFunctions.Utility_DisplayArrayInTable(WasteSolid_SourceData.Waste_EmissionFactorsForWasteTreatment_Data(), Table_SourceData_WasteSolid_WasteTreatmentEFs[[#Headers],[Treatment type t]], 0)</f>
        <v>Inert waste (including concrete, metal, plastic or glass)</v>
      </c>
      <c r="F24" s="24" cm="1">
        <f t="array" ref="F24">Common_InputFunctions.Utility_DisplayArrayInTable(WasteSolid_SourceData.Waste_EmissionFactorsForWasteTreatment_Data(), Table_SourceData_WasteSolid_WasteTreatmentEFs[[#Headers],[Treatment type t]], 0)</f>
        <v>0</v>
      </c>
      <c r="G24" s="24" t="str" cm="1">
        <f t="array" ref="G24">Common_InputFunctions.Utility_DisplayArrayInTable(WasteSolid_SourceData.Waste_EmissionFactorsForWasteTreatment_Data(), Table_SourceData_WasteSolid_WasteTreatmentEFs[[#Headers],[Treatment type t]], 0)</f>
        <v>NGAF 2025 table 15</v>
      </c>
      <c r="I24" s="24" t="str">
        <f>Table_SourceData_WasteSolid_WasteTreatmentEFs[[#This Row],[Waste type w]]</f>
        <v>Inert waste (including concrete, metal, plastic or glass)</v>
      </c>
      <c r="K24" s="1" t="str">
        <f t="shared" si="0"/>
        <v>Inert waste (including concrete, metal, plastic or glass)</v>
      </c>
    </row>
    <row r="25" spans="1:15" ht="20.100000000000001" customHeight="1" x14ac:dyDescent="0.25">
      <c r="D25" s="1" t="str" cm="1">
        <f t="array" ref="D25">Common_InputFunctions.Utility_DisplayArrayInTable(WasteSolid_SourceData.Waste_EmissionFactorsForWasteTreatment_Data(), Table_SourceData_WasteSolid_WasteTreatmentEFs[[#Headers],[Treatment type t]], 0)</f>
        <v>Landfill</v>
      </c>
      <c r="E25" s="24" t="str" cm="1">
        <f t="array" ref="E25">Common_InputFunctions.Utility_DisplayArrayInTable(WasteSolid_SourceData.Waste_EmissionFactorsForWasteTreatment_Data(), Table_SourceData_WasteSolid_WasteTreatmentEFs[[#Headers],[Treatment type t]], 0)</f>
        <v>Municipal solid waste</v>
      </c>
      <c r="F25" s="24" cm="1">
        <f t="array" ref="F25">Common_InputFunctions.Utility_DisplayArrayInTable(WasteSolid_SourceData.Waste_EmissionFactorsForWasteTreatment_Data(), Table_SourceData_WasteSolid_WasteTreatmentEFs[[#Headers],[Treatment type t]], 0)</f>
        <v>1.6</v>
      </c>
      <c r="G25" s="24" t="str" cm="1">
        <f t="array" ref="G25">Common_InputFunctions.Utility_DisplayArrayInTable(WasteSolid_SourceData.Waste_EmissionFactorsForWasteTreatment_Data(), Table_SourceData_WasteSolid_WasteTreatmentEFs[[#Headers],[Treatment type t]], 0)</f>
        <v>NGAF 2025 table 15</v>
      </c>
      <c r="I25" s="24" t="str">
        <f>Table_SourceData_WasteSolid_WasteTreatmentEFs[[#This Row],[Waste type w]]</f>
        <v>Municipal solid waste</v>
      </c>
      <c r="K25" s="1" t="str">
        <f t="shared" si="0"/>
        <v>Municipal solid waste</v>
      </c>
    </row>
    <row r="26" spans="1:15" ht="20.100000000000001" customHeight="1" x14ac:dyDescent="0.25">
      <c r="D26" s="1" t="str" cm="1">
        <f t="array" ref="D26">Common_InputFunctions.Utility_DisplayArrayInTable(WasteSolid_SourceData.Waste_EmissionFactorsForWasteTreatment_Data(), Table_SourceData_WasteSolid_WasteTreatmentEFs[[#Headers],[Treatment type t]], 0)</f>
        <v>Landfill</v>
      </c>
      <c r="E26" s="24" t="str" cm="1">
        <f t="array" ref="E26">Common_InputFunctions.Utility_DisplayArrayInTable(WasteSolid_SourceData.Waste_EmissionFactorsForWasteTreatment_Data(), Table_SourceData_WasteSolid_WasteTreatmentEFs[[#Headers],[Treatment type t]], 0)</f>
        <v>Commercial and industrial waste</v>
      </c>
      <c r="F26" s="24" cm="1">
        <f t="array" ref="F26">Common_InputFunctions.Utility_DisplayArrayInTable(WasteSolid_SourceData.Waste_EmissionFactorsForWasteTreatment_Data(), Table_SourceData_WasteSolid_WasteTreatmentEFs[[#Headers],[Treatment type t]], 0)</f>
        <v>1.3</v>
      </c>
      <c r="G26" s="24" t="str" cm="1">
        <f t="array" ref="G26">Common_InputFunctions.Utility_DisplayArrayInTable(WasteSolid_SourceData.Waste_EmissionFactorsForWasteTreatment_Data(), Table_SourceData_WasteSolid_WasteTreatmentEFs[[#Headers],[Treatment type t]], 0)</f>
        <v>NGAF 2025 table 15</v>
      </c>
      <c r="I26" s="24" t="str">
        <f>Table_SourceData_WasteSolid_WasteTreatmentEFs[[#This Row],[Waste type w]]</f>
        <v>Commercial and industrial waste</v>
      </c>
      <c r="K26" s="1" t="str">
        <f t="shared" si="0"/>
        <v>Commercial and industrial waste</v>
      </c>
    </row>
    <row r="27" spans="1:15" ht="20.100000000000001" customHeight="1" x14ac:dyDescent="0.25">
      <c r="D27" s="1" t="str" cm="1">
        <f t="array" ref="D27">Common_InputFunctions.Utility_DisplayArrayInTable(WasteSolid_SourceData.Waste_EmissionFactorsForWasteTreatment_Data(), Table_SourceData_WasteSolid_WasteTreatmentEFs[[#Headers],[Treatment type t]], 0)</f>
        <v>Landfill</v>
      </c>
      <c r="E27" s="24" t="str" cm="1">
        <f t="array" ref="E27">Common_InputFunctions.Utility_DisplayArrayInTable(WasteSolid_SourceData.Waste_EmissionFactorsForWasteTreatment_Data(), Table_SourceData_WasteSolid_WasteTreatmentEFs[[#Headers],[Treatment type t]], 0)</f>
        <v>Construction and demolition waste</v>
      </c>
      <c r="F27" s="24" cm="1">
        <f t="array" ref="F27">Common_InputFunctions.Utility_DisplayArrayInTable(WasteSolid_SourceData.Waste_EmissionFactorsForWasteTreatment_Data(), Table_SourceData_WasteSolid_WasteTreatmentEFs[[#Headers],[Treatment type t]], 0)</f>
        <v>0.2</v>
      </c>
      <c r="G27" s="24" t="str" cm="1">
        <f t="array" ref="G27">Common_InputFunctions.Utility_DisplayArrayInTable(WasteSolid_SourceData.Waste_EmissionFactorsForWasteTreatment_Data(), Table_SourceData_WasteSolid_WasteTreatmentEFs[[#Headers],[Treatment type t]], 0)</f>
        <v>NGAF 2025 table 15</v>
      </c>
      <c r="I27" s="24" t="str">
        <f>Table_SourceData_WasteSolid_WasteTreatmentEFs[[#This Row],[Waste type w]]</f>
        <v>Construction and demolition waste</v>
      </c>
    </row>
    <row r="28" spans="1:15" ht="20.100000000000001" customHeight="1" x14ac:dyDescent="0.25">
      <c r="D28" s="1" t="str" cm="1">
        <f t="array" ref="D28">Common_InputFunctions.Utility_DisplayArrayInTable(WasteSolid_SourceData.Waste_EmissionFactorsForWasteTreatment_Data(), Table_SourceData_WasteSolid_WasteTreatmentEFs[[#Headers],[Treatment type t]], 0)</f>
        <v>Incineration</v>
      </c>
      <c r="E28" s="24" t="str" cm="1">
        <f t="array" ref="E28">Common_InputFunctions.Utility_DisplayArrayInTable(WasteSolid_SourceData.Waste_EmissionFactorsForWasteTreatment_Data(), Table_SourceData_WasteSolid_WasteTreatmentEFs[[#Headers],[Treatment type t]], 0)</f>
        <v>Food waste, green waste, wood, sludge</v>
      </c>
      <c r="F28" s="24" cm="1">
        <f t="array" ref="F28">Common_InputFunctions.Utility_DisplayArrayInTable(WasteSolid_SourceData.Waste_EmissionFactorsForWasteTreatment_Data(), Table_SourceData_WasteSolid_WasteTreatmentEFs[[#Headers],[Treatment type t]], 0)</f>
        <v>0</v>
      </c>
      <c r="G28" s="24" t="str" cm="1">
        <f t="array" ref="G28">Common_InputFunctions.Utility_DisplayArrayInTable(WasteSolid_SourceData.Waste_EmissionFactorsForWasteTreatment_Data(), Table_SourceData_WasteSolid_WasteTreatmentEFs[[#Headers],[Treatment type t]], 0)</f>
        <v/>
      </c>
    </row>
    <row r="29" spans="1:15" ht="20.100000000000001" customHeight="1" x14ac:dyDescent="0.25">
      <c r="D29" s="1" t="str" cm="1">
        <f t="array" ref="D29">Common_InputFunctions.Utility_DisplayArrayInTable(WasteSolid_SourceData.Waste_EmissionFactorsForWasteTreatment_Data(), Table_SourceData_WasteSolid_WasteTreatmentEFs[[#Headers],[Treatment type t]], 0)</f>
        <v>Incineration</v>
      </c>
      <c r="E29" s="24" t="str" cm="1">
        <f t="array" ref="E29">Common_InputFunctions.Utility_DisplayArrayInTable(WasteSolid_SourceData.Waste_EmissionFactorsForWasteTreatment_Data(), Table_SourceData_WasteSolid_WasteTreatmentEFs[[#Headers],[Treatment type t]], 0)</f>
        <v>Food waste (including animal carcasses, spoiled animal feed or crop)</v>
      </c>
      <c r="F29" s="24" cm="1">
        <f t="array" ref="F29">Common_InputFunctions.Utility_DisplayArrayInTable(WasteSolid_SourceData.Waste_EmissionFactorsForWasteTreatment_Data(), Table_SourceData_WasteSolid_WasteTreatmentEFs[[#Headers],[Treatment type t]], 0)</f>
        <v>0</v>
      </c>
      <c r="G29" s="24" t="str" cm="1">
        <f t="array" ref="G29">Common_InputFunctions.Utility_DisplayArrayInTable(WasteSolid_SourceData.Waste_EmissionFactorsForWasteTreatment_Data(), Table_SourceData_WasteSolid_WasteTreatmentEFs[[#Headers],[Treatment type t]], 0)</f>
        <v/>
      </c>
    </row>
    <row r="30" spans="1:15" ht="20.100000000000001" customHeight="1" x14ac:dyDescent="0.25">
      <c r="D30" s="1" t="str" cm="1">
        <f t="array" ref="D30">Common_InputFunctions.Utility_DisplayArrayInTable(WasteSolid_SourceData.Waste_EmissionFactorsForWasteTreatment_Data(), Table_SourceData_WasteSolid_WasteTreatmentEFs[[#Headers],[Treatment type t]], 0)</f>
        <v>Incineration</v>
      </c>
      <c r="E30" s="24" t="str" cm="1">
        <f t="array" ref="E30">Common_InputFunctions.Utility_DisplayArrayInTable(WasteSolid_SourceData.Waste_EmissionFactorsForWasteTreatment_Data(), Table_SourceData_WasteSolid_WasteTreatmentEFs[[#Headers],[Treatment type t]], 0)</f>
        <v>Green waste (including crop residues or prunings)</v>
      </c>
      <c r="F30" s="24" cm="1">
        <f t="array" ref="F30">Common_InputFunctions.Utility_DisplayArrayInTable(WasteSolid_SourceData.Waste_EmissionFactorsForWasteTreatment_Data(), Table_SourceData_WasteSolid_WasteTreatmentEFs[[#Headers],[Treatment type t]], 0)</f>
        <v>0</v>
      </c>
      <c r="G30" s="24" t="str" cm="1">
        <f t="array" ref="G30">Common_InputFunctions.Utility_DisplayArrayInTable(WasteSolid_SourceData.Waste_EmissionFactorsForWasteTreatment_Data(), Table_SourceData_WasteSolid_WasteTreatmentEFs[[#Headers],[Treatment type t]], 0)</f>
        <v/>
      </c>
    </row>
    <row r="31" spans="1:15" ht="20.100000000000001" customHeight="1" x14ac:dyDescent="0.25">
      <c r="D31" s="1" t="str" cm="1">
        <f t="array" ref="D31">Common_InputFunctions.Utility_DisplayArrayInTable(WasteSolid_SourceData.Waste_EmissionFactorsForWasteTreatment_Data(), Table_SourceData_WasteSolid_WasteTreatmentEFs[[#Headers],[Treatment type t]], 0)</f>
        <v>Incineration</v>
      </c>
      <c r="E31" s="24" t="str" cm="1">
        <f t="array" ref="E31">Common_InputFunctions.Utility_DisplayArrayInTable(WasteSolid_SourceData.Waste_EmissionFactorsForWasteTreatment_Data(), Table_SourceData_WasteSolid_WasteTreatmentEFs[[#Headers],[Treatment type t]], 0)</f>
        <v>Wood</v>
      </c>
      <c r="F31" s="24" cm="1">
        <f t="array" ref="F31">Common_InputFunctions.Utility_DisplayArrayInTable(WasteSolid_SourceData.Waste_EmissionFactorsForWasteTreatment_Data(), Table_SourceData_WasteSolid_WasteTreatmentEFs[[#Headers],[Treatment type t]], 0)</f>
        <v>0</v>
      </c>
      <c r="G31" s="24" t="str" cm="1">
        <f t="array" ref="G31">Common_InputFunctions.Utility_DisplayArrayInTable(WasteSolid_SourceData.Waste_EmissionFactorsForWasteTreatment_Data(), Table_SourceData_WasteSolid_WasteTreatmentEFs[[#Headers],[Treatment type t]], 0)</f>
        <v/>
      </c>
    </row>
    <row r="32" spans="1:15" ht="20.100000000000001" customHeight="1" x14ac:dyDescent="0.25">
      <c r="D32" s="1" t="str" cm="1">
        <f t="array" ref="D32">Common_InputFunctions.Utility_DisplayArrayInTable(WasteSolid_SourceData.Waste_EmissionFactorsForWasteTreatment_Data(), Table_SourceData_WasteSolid_WasteTreatmentEFs[[#Headers],[Treatment type t]], 0)</f>
        <v>Incineration</v>
      </c>
      <c r="E32" s="24" t="str" cm="1">
        <f t="array" ref="E32">Common_InputFunctions.Utility_DisplayArrayInTable(WasteSolid_SourceData.Waste_EmissionFactorsForWasteTreatment_Data(), Table_SourceData_WasteSolid_WasteTreatmentEFs[[#Headers],[Treatment type t]], 0)</f>
        <v>Sludge</v>
      </c>
      <c r="F32" s="24" cm="1">
        <f t="array" ref="F32">Common_InputFunctions.Utility_DisplayArrayInTable(WasteSolid_SourceData.Waste_EmissionFactorsForWasteTreatment_Data(), Table_SourceData_WasteSolid_WasteTreatmentEFs[[#Headers],[Treatment type t]], 0)</f>
        <v>0</v>
      </c>
      <c r="G32" s="24" t="str" cm="1">
        <f t="array" ref="G32">Common_InputFunctions.Utility_DisplayArrayInTable(WasteSolid_SourceData.Waste_EmissionFactorsForWasteTreatment_Data(), Table_SourceData_WasteSolid_WasteTreatmentEFs[[#Headers],[Treatment type t]], 0)</f>
        <v/>
      </c>
    </row>
    <row r="33" spans="4:7" ht="20.100000000000001" customHeight="1" x14ac:dyDescent="0.25">
      <c r="D33" s="1" t="str" cm="1">
        <f t="array" ref="D33">Common_InputFunctions.Utility_DisplayArrayInTable(WasteSolid_SourceData.Waste_EmissionFactorsForWasteTreatment_Data(), Table_SourceData_WasteSolid_WasteTreatmentEFs[[#Headers],[Treatment type t]], 0)</f>
        <v>Incineration</v>
      </c>
      <c r="E33" s="24" t="str" cm="1">
        <f t="array" ref="E33">Common_InputFunctions.Utility_DisplayArrayInTable(WasteSolid_SourceData.Waste_EmissionFactorsForWasteTreatment_Data(), Table_SourceData_WasteSolid_WasteTreatmentEFs[[#Headers],[Treatment type t]], 0)</f>
        <v>Paper and cardboard</v>
      </c>
      <c r="F33" s="24" cm="1">
        <f t="array" ref="F33">Common_InputFunctions.Utility_DisplayArrayInTable(WasteSolid_SourceData.Waste_EmissionFactorsForWasteTreatment_Data(), Table_SourceData_WasteSolid_WasteTreatmentEFs[[#Headers],[Treatment type t]], 0)</f>
        <v>1.6899999999999998E-2</v>
      </c>
      <c r="G33" s="24" t="str" cm="1">
        <f t="array" ref="G33">Common_InputFunctions.Utility_DisplayArrayInTable(WasteSolid_SourceData.Waste_EmissionFactorsForWasteTreatment_Data(), Table_SourceData_WasteSolid_WasteTreatmentEFs[[#Headers],[Treatment type t]], 0)</f>
        <v/>
      </c>
    </row>
    <row r="34" spans="4:7" ht="20.100000000000001" customHeight="1" x14ac:dyDescent="0.25">
      <c r="D34" s="1" t="str" cm="1">
        <f t="array" ref="D34">Common_InputFunctions.Utility_DisplayArrayInTable(WasteSolid_SourceData.Waste_EmissionFactorsForWasteTreatment_Data(), Table_SourceData_WasteSolid_WasteTreatmentEFs[[#Headers],[Treatment type t]], 0)</f>
        <v>Incineration</v>
      </c>
      <c r="E34" s="24" t="str" cm="1">
        <f t="array" ref="E34">Common_InputFunctions.Utility_DisplayArrayInTable(WasteSolid_SourceData.Waste_EmissionFactorsForWasteTreatment_Data(), Table_SourceData_WasteSolid_WasteTreatmentEFs[[#Headers],[Treatment type t]], 0)</f>
        <v>Textiles</v>
      </c>
      <c r="F34" s="24" cm="1">
        <f t="array" ref="F34">Common_InputFunctions.Utility_DisplayArrayInTable(WasteSolid_SourceData.Waste_EmissionFactorsForWasteTreatment_Data(), Table_SourceData_WasteSolid_WasteTreatmentEFs[[#Headers],[Treatment type t]], 0)</f>
        <v>0.36670000000000003</v>
      </c>
      <c r="G34" s="24" t="str" cm="1">
        <f t="array" ref="G34">Common_InputFunctions.Utility_DisplayArrayInTable(WasteSolid_SourceData.Waste_EmissionFactorsForWasteTreatment_Data(), Table_SourceData_WasteSolid_WasteTreatmentEFs[[#Headers],[Treatment type t]], 0)</f>
        <v/>
      </c>
    </row>
    <row r="35" spans="4:7" ht="20.100000000000001" customHeight="1" x14ac:dyDescent="0.25">
      <c r="D35" s="1" t="str" cm="1">
        <f t="array" ref="D35">Common_InputFunctions.Utility_DisplayArrayInTable(WasteSolid_SourceData.Waste_EmissionFactorsForWasteTreatment_Data(), Table_SourceData_WasteSolid_WasteTreatmentEFs[[#Headers],[Treatment type t]], 0)</f>
        <v>Incineration</v>
      </c>
      <c r="E35" s="24" t="str" cm="1">
        <f t="array" ref="E35">Common_InputFunctions.Utility_DisplayArrayInTable(WasteSolid_SourceData.Waste_EmissionFactorsForWasteTreatment_Data(), Table_SourceData_WasteSolid_WasteTreatmentEFs[[#Headers],[Treatment type t]], 0)</f>
        <v>Rubber and leather</v>
      </c>
      <c r="F35" s="24" cm="1">
        <f t="array" ref="F35">Common_InputFunctions.Utility_DisplayArrayInTable(WasteSolid_SourceData.Waste_EmissionFactorsForWasteTreatment_Data(), Table_SourceData_WasteSolid_WasteTreatmentEFs[[#Headers],[Treatment type t]], 0)</f>
        <v>0.4919</v>
      </c>
      <c r="G35" s="24" t="str" cm="1">
        <f t="array" ref="G35">Common_InputFunctions.Utility_DisplayArrayInTable(WasteSolid_SourceData.Waste_EmissionFactorsForWasteTreatment_Data(), Table_SourceData_WasteSolid_WasteTreatmentEFs[[#Headers],[Treatment type t]], 0)</f>
        <v/>
      </c>
    </row>
    <row r="36" spans="4:7" ht="20.100000000000001" customHeight="1" x14ac:dyDescent="0.25">
      <c r="D36" s="1" t="str" cm="1">
        <f t="array" ref="D36">Common_InputFunctions.Utility_DisplayArrayInTable(WasteSolid_SourceData.Waste_EmissionFactorsForWasteTreatment_Data(), Table_SourceData_WasteSolid_WasteTreatmentEFs[[#Headers],[Treatment type t]], 0)</f>
        <v>Incineration</v>
      </c>
      <c r="E36" s="24" t="str" cm="1">
        <f t="array" ref="E36">Common_InputFunctions.Utility_DisplayArrayInTable(WasteSolid_SourceData.Waste_EmissionFactorsForWasteTreatment_Data(), Table_SourceData_WasteSolid_WasteTreatmentEFs[[#Headers],[Treatment type t]], 0)</f>
        <v>Inert waste (including concrete, metal, plastic or glass)</v>
      </c>
      <c r="F36" s="24" cm="1">
        <f t="array" ref="F36">Common_InputFunctions.Utility_DisplayArrayInTable(WasteSolid_SourceData.Waste_EmissionFactorsForWasteTreatment_Data(), Table_SourceData_WasteSolid_WasteTreatmentEFs[[#Headers],[Treatment type t]], 0)</f>
        <v>0.11</v>
      </c>
      <c r="G36" s="24" t="str" cm="1">
        <f t="array" ref="G36">Common_InputFunctions.Utility_DisplayArrayInTable(WasteSolid_SourceData.Waste_EmissionFactorsForWasteTreatment_Data(), Table_SourceData_WasteSolid_WasteTreatmentEFs[[#Headers],[Treatment type t]], 0)</f>
        <v/>
      </c>
    </row>
    <row r="37" spans="4:7" ht="20.100000000000001" customHeight="1" x14ac:dyDescent="0.25">
      <c r="D37" s="1" t="str" cm="1">
        <f t="array" ref="D37">Common_InputFunctions.Utility_DisplayArrayInTable(WasteSolid_SourceData.Waste_EmissionFactorsForWasteTreatment_Data(), Table_SourceData_WasteSolid_WasteTreatmentEFs[[#Headers],[Treatment type t]], 0)</f>
        <v>Incineration</v>
      </c>
      <c r="E37" s="24" t="str" cm="1">
        <f t="array" ref="E37">Common_InputFunctions.Utility_DisplayArrayInTable(WasteSolid_SourceData.Waste_EmissionFactorsForWasteTreatment_Data(), Table_SourceData_WasteSolid_WasteTreatmentEFs[[#Headers],[Treatment type t]], 0)</f>
        <v>Municipal solid waste</v>
      </c>
      <c r="F37" s="24" cm="1">
        <f t="array" ref="F37">Common_InputFunctions.Utility_DisplayArrayInTable(WasteSolid_SourceData.Waste_EmissionFactorsForWasteTreatment_Data(), Table_SourceData_WasteSolid_WasteTreatmentEFs[[#Headers],[Treatment type t]], 0)</f>
        <v>5.3699999999999998E-2</v>
      </c>
      <c r="G37" s="72" t="str" cm="1">
        <f t="array" ref="G37">Common_InputFunctions.Utility_DisplayArrayInTable(WasteSolid_SourceData.Waste_EmissionFactorsForWasteTreatment_Data(), Table_SourceData_WasteSolid_WasteTreatmentEFs[[#Headers],[Treatment type t]], 0)</f>
        <v>NGAF 2025 Table 18</v>
      </c>
    </row>
    <row r="38" spans="4:7" ht="20.100000000000001" customHeight="1" x14ac:dyDescent="0.25">
      <c r="D38" s="1" t="str" cm="1">
        <f t="array" ref="D38">Common_InputFunctions.Utility_DisplayArrayInTable(WasteSolid_SourceData.Waste_EmissionFactorsForWasteTreatment_Data(), Table_SourceData_WasteSolid_WasteTreatmentEFs[[#Headers],[Treatment type t]], 0)</f>
        <v>Incineration</v>
      </c>
      <c r="E38" s="24" t="str" cm="1">
        <f t="array" ref="E38">Common_InputFunctions.Utility_DisplayArrayInTable(WasteSolid_SourceData.Waste_EmissionFactorsForWasteTreatment_Data(), Table_SourceData_WasteSolid_WasteTreatmentEFs[[#Headers],[Treatment type t]], 0)</f>
        <v>Commercial and industrial waste</v>
      </c>
      <c r="F38" s="24" cm="1">
        <f t="array" ref="F38">Common_InputFunctions.Utility_DisplayArrayInTable(WasteSolid_SourceData.Waste_EmissionFactorsForWasteTreatment_Data(), Table_SourceData_WasteSolid_WasteTreatmentEFs[[#Headers],[Treatment type t]], 0)</f>
        <v>1.649</v>
      </c>
      <c r="G38" s="72" t="str" cm="1">
        <f t="array" ref="G38">Common_InputFunctions.Utility_DisplayArrayInTable(WasteSolid_SourceData.Waste_EmissionFactorsForWasteTreatment_Data(), Table_SourceData_WasteSolid_WasteTreatmentEFs[[#Headers],[Treatment type t]], 0)</f>
        <v>NGAF 2025 Table 18</v>
      </c>
    </row>
    <row r="39" spans="4:7" ht="20.100000000000001" customHeight="1" x14ac:dyDescent="0.25">
      <c r="D39" s="1" t="str" cm="1">
        <f t="array" ref="D39">Common_InputFunctions.Utility_DisplayArrayInTable(WasteSolid_SourceData.Waste_EmissionFactorsForWasteTreatment_Data(), Table_SourceData_WasteSolid_WasteTreatmentEFs[[#Headers],[Treatment type t]], 0)</f>
        <v>Composting</v>
      </c>
      <c r="E39" s="24" t="str" cm="1">
        <f t="array" ref="E39">Common_InputFunctions.Utility_DisplayArrayInTable(WasteSolid_SourceData.Waste_EmissionFactorsForWasteTreatment_Data(), Table_SourceData_WasteSolid_WasteTreatmentEFs[[#Headers],[Treatment type t]], 0)</f>
        <v>All organic waste</v>
      </c>
      <c r="F39" s="24" cm="1">
        <f t="array" ref="F39">Common_InputFunctions.Utility_DisplayArrayInTable(WasteSolid_SourceData.Waste_EmissionFactorsForWasteTreatment_Data(), Table_SourceData_WasteSolid_WasteTreatmentEFs[[#Headers],[Treatment type t]], 0)</f>
        <v>4.5999999999999999E-2</v>
      </c>
      <c r="G39" s="72" t="str" cm="1">
        <f t="array" ref="G39">Common_InputFunctions.Utility_DisplayArrayInTable(WasteSolid_SourceData.Waste_EmissionFactorsForWasteTreatment_Data(), Table_SourceData_WasteSolid_WasteTreatmentEFs[[#Headers],[Treatment type t]], 0)</f>
        <v>NGAF 2025 Table 19</v>
      </c>
    </row>
    <row r="40" spans="4:7" ht="20.100000000000001" customHeight="1" x14ac:dyDescent="0.25">
      <c r="D40" s="1" t="str" cm="1">
        <f t="array" ref="D40">Common_InputFunctions.Utility_DisplayArrayInTable(WasteSolid_SourceData.Waste_EmissionFactorsForWasteTreatment_Data(), Table_SourceData_WasteSolid_WasteTreatmentEFs[[#Headers],[Treatment type t]], 0)</f>
        <v>Composting</v>
      </c>
      <c r="E40" s="24" t="str" cm="1">
        <f t="array" ref="E40">Common_InputFunctions.Utility_DisplayArrayInTable(WasteSolid_SourceData.Waste_EmissionFactorsForWasteTreatment_Data(), Table_SourceData_WasteSolid_WasteTreatmentEFs[[#Headers],[Treatment type t]], 0)</f>
        <v>Food waste (including animal carcasses, spoiled animal feed or crop)</v>
      </c>
      <c r="F40" s="24" cm="1">
        <f t="array" ref="F40">Common_InputFunctions.Utility_DisplayArrayInTable(WasteSolid_SourceData.Waste_EmissionFactorsForWasteTreatment_Data(), Table_SourceData_WasteSolid_WasteTreatmentEFs[[#Headers],[Treatment type t]], 0)</f>
        <v>4.5999999999999999E-2</v>
      </c>
      <c r="G40" s="72" t="str" cm="1">
        <f t="array" ref="G40">Common_InputFunctions.Utility_DisplayArrayInTable(WasteSolid_SourceData.Waste_EmissionFactorsForWasteTreatment_Data(), Table_SourceData_WasteSolid_WasteTreatmentEFs[[#Headers],[Treatment type t]], 0)</f>
        <v/>
      </c>
    </row>
    <row r="41" spans="4:7" ht="20.100000000000001" customHeight="1" x14ac:dyDescent="0.25">
      <c r="D41" s="1" t="str" cm="1">
        <f t="array" ref="D41">Common_InputFunctions.Utility_DisplayArrayInTable(WasteSolid_SourceData.Waste_EmissionFactorsForWasteTreatment_Data(), Table_SourceData_WasteSolid_WasteTreatmentEFs[[#Headers],[Treatment type t]], 0)</f>
        <v>Composting</v>
      </c>
      <c r="E41" s="24" t="str" cm="1">
        <f t="array" ref="E41">Common_InputFunctions.Utility_DisplayArrayInTable(WasteSolid_SourceData.Waste_EmissionFactorsForWasteTreatment_Data(), Table_SourceData_WasteSolid_WasteTreatmentEFs[[#Headers],[Treatment type t]], 0)</f>
        <v>Green waste (including crop residues or prunings)</v>
      </c>
      <c r="F41" s="24" cm="1">
        <f t="array" ref="F41">Common_InputFunctions.Utility_DisplayArrayInTable(WasteSolid_SourceData.Waste_EmissionFactorsForWasteTreatment_Data(), Table_SourceData_WasteSolid_WasteTreatmentEFs[[#Headers],[Treatment type t]], 0)</f>
        <v>4.5999999999999999E-2</v>
      </c>
      <c r="G41" s="72" t="str" cm="1">
        <f t="array" ref="G41">Common_InputFunctions.Utility_DisplayArrayInTable(WasteSolid_SourceData.Waste_EmissionFactorsForWasteTreatment_Data(), Table_SourceData_WasteSolid_WasteTreatmentEFs[[#Headers],[Treatment type t]], 0)</f>
        <v/>
      </c>
    </row>
    <row r="42" spans="4:7" ht="20.100000000000001" customHeight="1" x14ac:dyDescent="0.25">
      <c r="D42" s="1" t="str" cm="1">
        <f t="array" ref="D42">Common_InputFunctions.Utility_DisplayArrayInTable(WasteSolid_SourceData.Waste_EmissionFactorsForWasteTreatment_Data(), Table_SourceData_WasteSolid_WasteTreatmentEFs[[#Headers],[Treatment type t]], 0)</f>
        <v>Composting</v>
      </c>
      <c r="E42" s="24" t="str" cm="1">
        <f t="array" ref="E42">Common_InputFunctions.Utility_DisplayArrayInTable(WasteSolid_SourceData.Waste_EmissionFactorsForWasteTreatment_Data(), Table_SourceData_WasteSolid_WasteTreatmentEFs[[#Headers],[Treatment type t]], 0)</f>
        <v>Wood</v>
      </c>
      <c r="F42" s="24" cm="1">
        <f t="array" ref="F42">Common_InputFunctions.Utility_DisplayArrayInTable(WasteSolid_SourceData.Waste_EmissionFactorsForWasteTreatment_Data(), Table_SourceData_WasteSolid_WasteTreatmentEFs[[#Headers],[Treatment type t]], 0)</f>
        <v>4.5999999999999999E-2</v>
      </c>
      <c r="G42" s="72" t="str" cm="1">
        <f t="array" ref="G42">Common_InputFunctions.Utility_DisplayArrayInTable(WasteSolid_SourceData.Waste_EmissionFactorsForWasteTreatment_Data(), Table_SourceData_WasteSolid_WasteTreatmentEFs[[#Headers],[Treatment type t]], 0)</f>
        <v/>
      </c>
    </row>
    <row r="43" spans="4:7" ht="20.100000000000001" customHeight="1" x14ac:dyDescent="0.25">
      <c r="D43" s="1" t="str" cm="1">
        <f t="array" ref="D43">Common_InputFunctions.Utility_DisplayArrayInTable(WasteSolid_SourceData.Waste_EmissionFactorsForWasteTreatment_Data(), Table_SourceData_WasteSolid_WasteTreatmentEFs[[#Headers],[Treatment type t]], 0)</f>
        <v>Composting</v>
      </c>
      <c r="E43" s="24" t="str" cm="1">
        <f t="array" ref="E43">Common_InputFunctions.Utility_DisplayArrayInTable(WasteSolid_SourceData.Waste_EmissionFactorsForWasteTreatment_Data(), Table_SourceData_WasteSolid_WasteTreatmentEFs[[#Headers],[Treatment type t]], 0)</f>
        <v>Sludge</v>
      </c>
      <c r="F43" s="24" cm="1">
        <f t="array" ref="F43">Common_InputFunctions.Utility_DisplayArrayInTable(WasteSolid_SourceData.Waste_EmissionFactorsForWasteTreatment_Data(), Table_SourceData_WasteSolid_WasteTreatmentEFs[[#Headers],[Treatment type t]], 0)</f>
        <v>4.5999999999999999E-2</v>
      </c>
      <c r="G43" s="72" t="str" cm="1">
        <f t="array" ref="G43">Common_InputFunctions.Utility_DisplayArrayInTable(WasteSolid_SourceData.Waste_EmissionFactorsForWasteTreatment_Data(), Table_SourceData_WasteSolid_WasteTreatmentEFs[[#Headers],[Treatment type t]], 0)</f>
        <v/>
      </c>
    </row>
    <row r="44" spans="4:7" ht="20.100000000000001" customHeight="1" x14ac:dyDescent="0.25">
      <c r="D44" s="1" t="str" cm="1">
        <f t="array" ref="D44">Common_InputFunctions.Utility_DisplayArrayInTable(WasteSolid_SourceData.Waste_EmissionFactorsForWasteTreatment_Data(), Table_SourceData_WasteSolid_WasteTreatmentEFs[[#Headers],[Treatment type t]], 0)</f>
        <v>Composting</v>
      </c>
      <c r="E44" s="24" t="str" cm="1">
        <f t="array" ref="E44">Common_InputFunctions.Utility_DisplayArrayInTable(WasteSolid_SourceData.Waste_EmissionFactorsForWasteTreatment_Data(), Table_SourceData_WasteSolid_WasteTreatmentEFs[[#Headers],[Treatment type t]], 0)</f>
        <v>Paper and cardboard</v>
      </c>
      <c r="F44" s="24" cm="1">
        <f t="array" ref="F44">Common_InputFunctions.Utility_DisplayArrayInTable(WasteSolid_SourceData.Waste_EmissionFactorsForWasteTreatment_Data(), Table_SourceData_WasteSolid_WasteTreatmentEFs[[#Headers],[Treatment type t]], 0)</f>
        <v>4.5999999999999999E-2</v>
      </c>
      <c r="G44" s="72" t="str" cm="1">
        <f t="array" ref="G44">Common_InputFunctions.Utility_DisplayArrayInTable(WasteSolid_SourceData.Waste_EmissionFactorsForWasteTreatment_Data(), Table_SourceData_WasteSolid_WasteTreatmentEFs[[#Headers],[Treatment type t]], 0)</f>
        <v/>
      </c>
    </row>
    <row r="45" spans="4:7" ht="20.100000000000001" customHeight="1" x14ac:dyDescent="0.25">
      <c r="D45" s="1" t="str" cm="1">
        <f t="array" ref="D45">Common_InputFunctions.Utility_DisplayArrayInTable(WasteSolid_SourceData.Waste_EmissionFactorsForWasteTreatment_Data(), Table_SourceData_WasteSolid_WasteTreatmentEFs[[#Headers],[Treatment type t]], 0)</f>
        <v>Anaerobic digestion</v>
      </c>
      <c r="E45" s="24" t="str" cm="1">
        <f t="array" ref="E45">Common_InputFunctions.Utility_DisplayArrayInTable(WasteSolid_SourceData.Waste_EmissionFactorsForWasteTreatment_Data(), Table_SourceData_WasteSolid_WasteTreatmentEFs[[#Headers],[Treatment type t]], 0)</f>
        <v>All organic waste</v>
      </c>
      <c r="F45" s="24" cm="1">
        <f t="array" ref="F45">Common_InputFunctions.Utility_DisplayArrayInTable(WasteSolid_SourceData.Waste_EmissionFactorsForWasteTreatment_Data(), Table_SourceData_WasteSolid_WasteTreatmentEFs[[#Headers],[Treatment type t]], 0)</f>
        <v>2.8000000000000001E-2</v>
      </c>
      <c r="G45" s="72" t="str" cm="1">
        <f t="array" ref="G45">Common_InputFunctions.Utility_DisplayArrayInTable(WasteSolid_SourceData.Waste_EmissionFactorsForWasteTreatment_Data(), Table_SourceData_WasteSolid_WasteTreatmentEFs[[#Headers],[Treatment type t]], 0)</f>
        <v>NGAF 2025 Table 19</v>
      </c>
    </row>
    <row r="46" spans="4:7" ht="20.100000000000001" customHeight="1" x14ac:dyDescent="0.25">
      <c r="D46" s="1" t="str" cm="1">
        <f t="array" ref="D46">Common_InputFunctions.Utility_DisplayArrayInTable(WasteSolid_SourceData.Waste_EmissionFactorsForWasteTreatment_Data(), Table_SourceData_WasteSolid_WasteTreatmentEFs[[#Headers],[Treatment type t]], 0)</f>
        <v>Anaerobic digestion</v>
      </c>
      <c r="E46" s="24" t="str" cm="1">
        <f t="array" ref="E46">Common_InputFunctions.Utility_DisplayArrayInTable(WasteSolid_SourceData.Waste_EmissionFactorsForWasteTreatment_Data(), Table_SourceData_WasteSolid_WasteTreatmentEFs[[#Headers],[Treatment type t]], 0)</f>
        <v>Food waste (including animal carcasses, spoiled animal feed or crop)</v>
      </c>
      <c r="F46" s="24" cm="1">
        <f t="array" ref="F46">Common_InputFunctions.Utility_DisplayArrayInTable(WasteSolid_SourceData.Waste_EmissionFactorsForWasteTreatment_Data(), Table_SourceData_WasteSolid_WasteTreatmentEFs[[#Headers],[Treatment type t]], 0)</f>
        <v>2.8000000000000001E-2</v>
      </c>
      <c r="G46" s="72" t="str" cm="1">
        <f t="array" ref="G46">Common_InputFunctions.Utility_DisplayArrayInTable(WasteSolid_SourceData.Waste_EmissionFactorsForWasteTreatment_Data(), Table_SourceData_WasteSolid_WasteTreatmentEFs[[#Headers],[Treatment type t]], 0)</f>
        <v/>
      </c>
    </row>
    <row r="47" spans="4:7" ht="20.100000000000001" customHeight="1" x14ac:dyDescent="0.25">
      <c r="D47" s="1" t="str" cm="1">
        <f t="array" ref="D47">Common_InputFunctions.Utility_DisplayArrayInTable(WasteSolid_SourceData.Waste_EmissionFactorsForWasteTreatment_Data(), Table_SourceData_WasteSolid_WasteTreatmentEFs[[#Headers],[Treatment type t]], 0)</f>
        <v>Anaerobic digestion</v>
      </c>
      <c r="E47" s="24" t="str" cm="1">
        <f t="array" ref="E47">Common_InputFunctions.Utility_DisplayArrayInTable(WasteSolid_SourceData.Waste_EmissionFactorsForWasteTreatment_Data(), Table_SourceData_WasteSolid_WasteTreatmentEFs[[#Headers],[Treatment type t]], 0)</f>
        <v>Green waste (including crop residues or prunings)</v>
      </c>
      <c r="F47" s="24" cm="1">
        <f t="array" ref="F47">Common_InputFunctions.Utility_DisplayArrayInTable(WasteSolid_SourceData.Waste_EmissionFactorsForWasteTreatment_Data(), Table_SourceData_WasteSolid_WasteTreatmentEFs[[#Headers],[Treatment type t]], 0)</f>
        <v>2.8000000000000001E-2</v>
      </c>
      <c r="G47" s="72" t="str" cm="1">
        <f t="array" ref="G47">Common_InputFunctions.Utility_DisplayArrayInTable(WasteSolid_SourceData.Waste_EmissionFactorsForWasteTreatment_Data(), Table_SourceData_WasteSolid_WasteTreatmentEFs[[#Headers],[Treatment type t]], 0)</f>
        <v/>
      </c>
    </row>
    <row r="48" spans="4:7" ht="20.100000000000001" customHeight="1" x14ac:dyDescent="0.25">
      <c r="D48" s="1" t="str" cm="1">
        <f t="array" ref="D48">Common_InputFunctions.Utility_DisplayArrayInTable(WasteSolid_SourceData.Waste_EmissionFactorsForWasteTreatment_Data(), Table_SourceData_WasteSolid_WasteTreatmentEFs[[#Headers],[Treatment type t]], 0)</f>
        <v>Anaerobic digestion</v>
      </c>
      <c r="E48" s="24" t="str" cm="1">
        <f t="array" ref="E48">Common_InputFunctions.Utility_DisplayArrayInTable(WasteSolid_SourceData.Waste_EmissionFactorsForWasteTreatment_Data(), Table_SourceData_WasteSolid_WasteTreatmentEFs[[#Headers],[Treatment type t]], 0)</f>
        <v>Wood</v>
      </c>
      <c r="F48" s="24" cm="1">
        <f t="array" ref="F48">Common_InputFunctions.Utility_DisplayArrayInTable(WasteSolid_SourceData.Waste_EmissionFactorsForWasteTreatment_Data(), Table_SourceData_WasteSolid_WasteTreatmentEFs[[#Headers],[Treatment type t]], 0)</f>
        <v>2.8000000000000001E-2</v>
      </c>
      <c r="G48" s="72" t="str" cm="1">
        <f t="array" ref="G48">Common_InputFunctions.Utility_DisplayArrayInTable(WasteSolid_SourceData.Waste_EmissionFactorsForWasteTreatment_Data(), Table_SourceData_WasteSolid_WasteTreatmentEFs[[#Headers],[Treatment type t]], 0)</f>
        <v/>
      </c>
    </row>
    <row r="49" spans="4:7" ht="20.100000000000001" customHeight="1" x14ac:dyDescent="0.25">
      <c r="D49" s="1" t="str" cm="1">
        <f t="array" ref="D49">Common_InputFunctions.Utility_DisplayArrayInTable(WasteSolid_SourceData.Waste_EmissionFactorsForWasteTreatment_Data(), Table_SourceData_WasteSolid_WasteTreatmentEFs[[#Headers],[Treatment type t]], 0)</f>
        <v>Anaerobic digestion</v>
      </c>
      <c r="E49" s="24" t="str" cm="1">
        <f t="array" ref="E49">Common_InputFunctions.Utility_DisplayArrayInTable(WasteSolid_SourceData.Waste_EmissionFactorsForWasteTreatment_Data(), Table_SourceData_WasteSolid_WasteTreatmentEFs[[#Headers],[Treatment type t]], 0)</f>
        <v>Sludge</v>
      </c>
      <c r="F49" s="24" cm="1">
        <f t="array" ref="F49">Common_InputFunctions.Utility_DisplayArrayInTable(WasteSolid_SourceData.Waste_EmissionFactorsForWasteTreatment_Data(), Table_SourceData_WasteSolid_WasteTreatmentEFs[[#Headers],[Treatment type t]], 0)</f>
        <v>2.8000000000000001E-2</v>
      </c>
      <c r="G49" s="72" t="str" cm="1">
        <f t="array" ref="G49">Common_InputFunctions.Utility_DisplayArrayInTable(WasteSolid_SourceData.Waste_EmissionFactorsForWasteTreatment_Data(), Table_SourceData_WasteSolid_WasteTreatmentEFs[[#Headers],[Treatment type t]], 0)</f>
        <v/>
      </c>
    </row>
    <row r="50" spans="4:7" ht="20.100000000000001" customHeight="1" x14ac:dyDescent="0.25">
      <c r="D50" s="1" t="str" cm="1">
        <f t="array" ref="D50">Common_InputFunctions.Utility_DisplayArrayInTable(WasteSolid_SourceData.Waste_EmissionFactorsForWasteTreatment_Data(), Table_SourceData_WasteSolid_WasteTreatmentEFs[[#Headers],[Treatment type t]], 0)</f>
        <v>Anaerobic digestion</v>
      </c>
      <c r="E50" s="24" t="str" cm="1">
        <f t="array" ref="E50">Common_InputFunctions.Utility_DisplayArrayInTable(WasteSolid_SourceData.Waste_EmissionFactorsForWasteTreatment_Data(), Table_SourceData_WasteSolid_WasteTreatmentEFs[[#Headers],[Treatment type t]], 0)</f>
        <v>Paper and cardboard</v>
      </c>
      <c r="F50" s="24" cm="1">
        <f t="array" ref="F50">Common_InputFunctions.Utility_DisplayArrayInTable(WasteSolid_SourceData.Waste_EmissionFactorsForWasteTreatment_Data(), Table_SourceData_WasteSolid_WasteTreatmentEFs[[#Headers],[Treatment type t]], 0)</f>
        <v>2.8000000000000001E-2</v>
      </c>
      <c r="G50" s="72" t="str" cm="1">
        <f t="array" ref="G50">Common_InputFunctions.Utility_DisplayArrayInTable(WasteSolid_SourceData.Waste_EmissionFactorsForWasteTreatment_Data(), Table_SourceData_WasteSolid_WasteTreatmentEFs[[#Headers],[Treatment type t]], 0)</f>
        <v/>
      </c>
    </row>
    <row r="51" spans="4:7" ht="20.100000000000001" customHeight="1" x14ac:dyDescent="0.25"/>
    <row r="52" spans="4:7" ht="20.100000000000001" customHeight="1" x14ac:dyDescent="0.25">
      <c r="D52" s="5" t="str" cm="1">
        <f t="array" ref="D52">WasteSolid_SourceData.Waste_WasteVolumeToMassConversion_Title()</f>
        <v>Volume to mass conversion factor for various waste types</v>
      </c>
    </row>
    <row r="53" spans="4:7" ht="20.100000000000001" customHeight="1" x14ac:dyDescent="0.25">
      <c r="D53" s="4" t="str" cm="1">
        <f t="array" ref="D53">WasteSolid_SourceData.Waste_WasteVolumeToMassConversion_Source()</f>
        <v>VEERG 2026: Table A.4.1.2</v>
      </c>
    </row>
    <row r="54" spans="4:7" ht="20.100000000000001" customHeight="1" x14ac:dyDescent="0.25">
      <c r="D54" s="29" t="str" cm="1">
        <f t="array" ref="D54">WasteSolid_SourceData.Waste_WasteVolumeToMassConversion_Variation()</f>
        <v>VARIATION OF SOURCE: Changed column header CFw to VTMw to match title variable.</v>
      </c>
    </row>
    <row r="55" spans="4:7" ht="20.100000000000001" customHeight="1" x14ac:dyDescent="0.25">
      <c r="D55" s="1" t="str" cm="1">
        <f t="array" ref="D55">WasteSolid_SourceData.Waste_WasteVolumeToMassConversion_Variable()</f>
        <v>VTMw</v>
      </c>
    </row>
    <row r="56" spans="4:7" ht="20.100000000000001" customHeight="1" x14ac:dyDescent="0.25">
      <c r="D56" s="28" t="str" cm="1">
        <f t="array" ref="D56">WasteSolid_SourceData.Waste_WasteVolumeToMassConversion_Unit()</f>
        <v>t/m3</v>
      </c>
    </row>
    <row r="57" spans="4:7" ht="20.100000000000001" customHeight="1" x14ac:dyDescent="0.25">
      <c r="D57" s="24" t="s">
        <v>89</v>
      </c>
      <c r="E57" s="24" t="s">
        <v>91</v>
      </c>
    </row>
    <row r="58" spans="4:7" ht="20.100000000000001" customHeight="1" x14ac:dyDescent="0.25">
      <c r="D58" s="24" t="str" cm="1">
        <f t="array" ref="D58">Common_InputFunctions.Utility_DisplayArrayInTable(WasteSolid_SourceData.Waste_WasteVolumeToMassConversion_Data(), Table_SourceData_WasteSolid_VolumeToMassConversion[[#Headers],[Waste type w]], 0)</f>
        <v>Food waste (including animal carcasses, spoiled animal feed or crop)</v>
      </c>
      <c r="E58" s="24" cm="1">
        <f t="array" ref="E58">Common_InputFunctions.Utility_DisplayArrayInTable(WasteSolid_SourceData.Waste_WasteVolumeToMassConversion_Data(), Table_SourceData_WasteSolid_VolumeToMassConversion[[#Headers],[Waste type w]], 0)</f>
        <v>0.5</v>
      </c>
    </row>
    <row r="59" spans="4:7" ht="20.100000000000001" customHeight="1" x14ac:dyDescent="0.25">
      <c r="D59" s="1" t="str" cm="1">
        <f t="array" ref="D59">Common_InputFunctions.Utility_DisplayArrayInTable(WasteSolid_SourceData.Waste_WasteVolumeToMassConversion_Data(), Table_SourceData_WasteSolid_VolumeToMassConversion[[#Headers],[Waste type w]], 0)</f>
        <v>Paper and cardboard</v>
      </c>
      <c r="E59" s="24" cm="1">
        <f t="array" ref="E59">Common_InputFunctions.Utility_DisplayArrayInTable(WasteSolid_SourceData.Waste_WasteVolumeToMassConversion_Data(), Table_SourceData_WasteSolid_VolumeToMassConversion[[#Headers],[Waste type w]], 0)</f>
        <v>0.09</v>
      </c>
    </row>
    <row r="60" spans="4:7" ht="20.100000000000001" customHeight="1" x14ac:dyDescent="0.25">
      <c r="D60" s="1" t="str" cm="1">
        <f t="array" ref="D60">Common_InputFunctions.Utility_DisplayArrayInTable(WasteSolid_SourceData.Waste_WasteVolumeToMassConversion_Data(), Table_SourceData_WasteSolid_VolumeToMassConversion[[#Headers],[Waste type w]], 0)</f>
        <v>Green waste (including crop residues or prunings)</v>
      </c>
      <c r="E60" s="24" cm="1">
        <f t="array" ref="E60">Common_InputFunctions.Utility_DisplayArrayInTable(WasteSolid_SourceData.Waste_WasteVolumeToMassConversion_Data(), Table_SourceData_WasteSolid_VolumeToMassConversion[[#Headers],[Waste type w]], 0)</f>
        <v>0.24</v>
      </c>
    </row>
    <row r="61" spans="4:7" ht="20.100000000000001" customHeight="1" x14ac:dyDescent="0.25">
      <c r="D61" s="1" t="str" cm="1">
        <f t="array" ref="D61">Common_InputFunctions.Utility_DisplayArrayInTable(WasteSolid_SourceData.Waste_WasteVolumeToMassConversion_Data(), Table_SourceData_WasteSolid_VolumeToMassConversion[[#Headers],[Waste type w]], 0)</f>
        <v>Wood</v>
      </c>
      <c r="E61" s="24" cm="1">
        <f t="array" ref="E61">Common_InputFunctions.Utility_DisplayArrayInTable(WasteSolid_SourceData.Waste_WasteVolumeToMassConversion_Data(), Table_SourceData_WasteSolid_VolumeToMassConversion[[#Headers],[Waste type w]], 0)</f>
        <v>0.15</v>
      </c>
    </row>
    <row r="62" spans="4:7" ht="20.100000000000001" customHeight="1" x14ac:dyDescent="0.25">
      <c r="D62" s="1" t="str" cm="1">
        <f t="array" ref="D62">Common_InputFunctions.Utility_DisplayArrayInTable(WasteSolid_SourceData.Waste_WasteVolumeToMassConversion_Data(), Table_SourceData_WasteSolid_VolumeToMassConversion[[#Headers],[Waste type w]], 0)</f>
        <v>Textiles</v>
      </c>
      <c r="E62" s="24" cm="1">
        <f t="array" ref="E62">Common_InputFunctions.Utility_DisplayArrayInTable(WasteSolid_SourceData.Waste_WasteVolumeToMassConversion_Data(), Table_SourceData_WasteSolid_VolumeToMassConversion[[#Headers],[Waste type w]], 0)</f>
        <v>0.14000000000000001</v>
      </c>
    </row>
    <row r="63" spans="4:7" ht="20.100000000000001" customHeight="1" x14ac:dyDescent="0.25">
      <c r="D63" s="1" t="str" cm="1">
        <f t="array" ref="D63">Common_InputFunctions.Utility_DisplayArrayInTable(WasteSolid_SourceData.Waste_WasteVolumeToMassConversion_Data(), Table_SourceData_WasteSolid_VolumeToMassConversion[[#Headers],[Waste type w]], 0)</f>
        <v>Sludge</v>
      </c>
      <c r="E63" s="24" cm="1">
        <f t="array" ref="E63">Common_InputFunctions.Utility_DisplayArrayInTable(WasteSolid_SourceData.Waste_WasteVolumeToMassConversion_Data(), Table_SourceData_WasteSolid_VolumeToMassConversion[[#Headers],[Waste type w]], 0)</f>
        <v>0.72</v>
      </c>
    </row>
    <row r="64" spans="4:7" ht="20.100000000000001" customHeight="1" x14ac:dyDescent="0.25">
      <c r="D64" s="1" t="str" cm="1">
        <f t="array" ref="D64">Common_InputFunctions.Utility_DisplayArrayInTable(WasteSolid_SourceData.Waste_WasteVolumeToMassConversion_Data(), Table_SourceData_WasteSolid_VolumeToMassConversion[[#Headers],[Waste type w]], 0)</f>
        <v>Rubber and leather</v>
      </c>
      <c r="E64" s="24" cm="1">
        <f t="array" ref="E64">Common_InputFunctions.Utility_DisplayArrayInTable(WasteSolid_SourceData.Waste_WasteVolumeToMassConversion_Data(), Table_SourceData_WasteSolid_VolumeToMassConversion[[#Headers],[Waste type w]], 0)</f>
        <v>0.14000000000000001</v>
      </c>
    </row>
    <row r="65" spans="4:5" ht="20.100000000000001" customHeight="1" x14ac:dyDescent="0.25">
      <c r="D65" s="1" t="str" cm="1">
        <f t="array" ref="D65">Common_InputFunctions.Utility_DisplayArrayInTable(WasteSolid_SourceData.Waste_WasteVolumeToMassConversion_Data(), Table_SourceData_WasteSolid_VolumeToMassConversion[[#Headers],[Waste type w]], 0)</f>
        <v>Inert waste (including concrete, metal, plastic or glass)</v>
      </c>
      <c r="E65" s="24" cm="1">
        <f t="array" ref="E65">Common_InputFunctions.Utility_DisplayArrayInTable(WasteSolid_SourceData.Waste_WasteVolumeToMassConversion_Data(), Table_SourceData_WasteSolid_VolumeToMassConversion[[#Headers],[Waste type w]], 0)</f>
        <v>0.42</v>
      </c>
    </row>
    <row r="66" spans="4:5" ht="20.100000000000001" customHeight="1" x14ac:dyDescent="0.25">
      <c r="D66" s="1" t="str" cm="1">
        <f t="array" ref="D66">Common_InputFunctions.Utility_DisplayArrayInTable(WasteSolid_SourceData.Waste_WasteVolumeToMassConversion_Data(), Table_SourceData_WasteSolid_VolumeToMassConversion[[#Headers],[Waste type w]], 0)</f>
        <v>Municipal solid waste</v>
      </c>
      <c r="E66" s="24" cm="1">
        <f t="array" ref="E66">Common_InputFunctions.Utility_DisplayArrayInTable(WasteSolid_SourceData.Waste_WasteVolumeToMassConversion_Data(), Table_SourceData_WasteSolid_VolumeToMassConversion[[#Headers],[Waste type w]], 0)</f>
        <v>0.36</v>
      </c>
    </row>
    <row r="67" spans="4:5" ht="20.100000000000001" customHeight="1" x14ac:dyDescent="0.25">
      <c r="D67" s="1" t="str" cm="1">
        <f t="array" ref="D67">Common_InputFunctions.Utility_DisplayArrayInTable(WasteSolid_SourceData.Waste_WasteVolumeToMassConversion_Data(), Table_SourceData_WasteSolid_VolumeToMassConversion[[#Headers],[Waste type w]], 0)</f>
        <v>Commercial and industrial waste</v>
      </c>
      <c r="E67" s="24" cm="1">
        <f t="array" ref="E67">Common_InputFunctions.Utility_DisplayArrayInTable(WasteSolid_SourceData.Waste_WasteVolumeToMassConversion_Data(), Table_SourceData_WasteSolid_VolumeToMassConversion[[#Headers],[Waste type w]], 0)</f>
        <v>0.33</v>
      </c>
    </row>
    <row r="68" spans="4:5" ht="20.100000000000001" customHeight="1" x14ac:dyDescent="0.25">
      <c r="D68" s="1" t="str" cm="1">
        <f t="array" ref="D68">Common_InputFunctions.Utility_DisplayArrayInTable(WasteSolid_SourceData.Waste_WasteVolumeToMassConversion_Data(), Table_SourceData_WasteSolid_VolumeToMassConversion[[#Headers],[Waste type w]], 0)</f>
        <v>Construction and demolition waste</v>
      </c>
      <c r="E68" s="24" cm="1">
        <f t="array" ref="E68">Common_InputFunctions.Utility_DisplayArrayInTable(WasteSolid_SourceData.Waste_WasteVolumeToMassConversion_Data(), Table_SourceData_WasteSolid_VolumeToMassConversion[[#Headers],[Waste type w]], 0)</f>
        <v>0.39</v>
      </c>
    </row>
    <row r="69" spans="4:5" ht="20.100000000000001" customHeight="1" x14ac:dyDescent="0.25"/>
    <row r="70" spans="4:5" ht="20.100000000000001" customHeight="1" x14ac:dyDescent="0.25"/>
    <row r="71" spans="4:5" ht="20.100000000000001" customHeight="1" x14ac:dyDescent="0.25"/>
    <row r="72" spans="4:5" ht="20.100000000000001" customHeight="1" x14ac:dyDescent="0.25"/>
    <row r="73" spans="4:5" ht="20.100000000000001" customHeight="1" x14ac:dyDescent="0.25"/>
    <row r="74" spans="4:5" ht="20.100000000000001" customHeight="1" x14ac:dyDescent="0.25"/>
    <row r="75" spans="4:5" ht="20.100000000000001" customHeight="1" x14ac:dyDescent="0.25"/>
    <row r="76" spans="4:5" ht="20.100000000000001" customHeight="1" x14ac:dyDescent="0.25"/>
    <row r="77" spans="4:5" ht="20.100000000000001" customHeight="1" x14ac:dyDescent="0.25"/>
    <row r="78" spans="4:5" ht="20.100000000000001" customHeight="1" x14ac:dyDescent="0.25"/>
    <row r="79" spans="4:5" ht="20.100000000000001" customHeight="1" x14ac:dyDescent="0.25"/>
    <row r="80" spans="4:5"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phoneticPr fontId="21" type="noConversion"/>
  <pageMargins left="0.7" right="0.7" top="0.75" bottom="0.75" header="0.3" footer="0.3"/>
  <pageSetup paperSize="9" orientation="portrait" r:id="rId1"/>
  <tableParts count="6">
    <tablePart r:id="rId2"/>
    <tablePart r:id="rId3"/>
    <tablePart r:id="rId4"/>
    <tablePart r:id="rId5"/>
    <tablePart r:id="rId6"/>
    <tablePart r:id="rId7"/>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BFFC95-CEE4-4A82-BB1B-4F3E38FA0E87}">
  <sheetPr>
    <tabColor theme="2" tint="-0.499984740745262"/>
  </sheetPr>
  <dimension ref="A1:BY297"/>
  <sheetViews>
    <sheetView showGridLines="0" tabSelected="1" topLeftCell="A239" zoomScaleNormal="100" workbookViewId="0">
      <selection activeCell="I279" sqref="I279"/>
    </sheetView>
  </sheetViews>
  <sheetFormatPr defaultColWidth="9.140625" defaultRowHeight="15.75" x14ac:dyDescent="0.25"/>
  <cols>
    <col min="1" max="1" width="30.7109375" style="6" customWidth="1"/>
    <col min="2" max="2" width="2.7109375" style="6"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6" customWidth="1"/>
    <col min="34" max="39" width="21.85546875" style="6" customWidth="1"/>
    <col min="40" max="44" width="20.7109375" style="6" customWidth="1"/>
    <col min="45" max="65" width="9.140625" style="6"/>
    <col min="66" max="16384" width="9.140625" style="2"/>
  </cols>
  <sheetData>
    <row r="1" spans="1:65" s="7" customFormat="1" ht="30" customHeight="1" x14ac:dyDescent="0.35">
      <c r="A1" s="7" t="e" vm="1">
        <v>#VALUE!</v>
      </c>
      <c r="C1" s="7" t="s">
        <v>45</v>
      </c>
    </row>
    <row r="2" spans="1:65" s="8" customFormat="1" ht="20.100000000000001" customHeight="1" x14ac:dyDescent="0.25">
      <c r="A2"/>
    </row>
    <row r="3" spans="1:65" ht="20.100000000000001" customHeight="1" x14ac:dyDescent="0.25">
      <c r="A3" s="12" t="str">
        <f>HYPERLINK("#'Home'!A1", "Home")</f>
        <v>Home</v>
      </c>
      <c r="C3" s="3"/>
      <c r="D3" s="3"/>
      <c r="E3" s="3"/>
      <c r="F3" s="3"/>
      <c r="G3" s="3"/>
      <c r="H3" s="3"/>
      <c r="I3" s="3"/>
      <c r="J3" s="3"/>
      <c r="K3" s="3"/>
      <c r="L3" s="3"/>
      <c r="M3" s="3"/>
      <c r="N3" s="3"/>
      <c r="O3" s="3"/>
      <c r="P3" s="3"/>
      <c r="Q3" s="3"/>
      <c r="R3" s="3"/>
      <c r="S3" s="3"/>
      <c r="T3" s="3"/>
      <c r="U3" s="3"/>
      <c r="V3" s="9"/>
      <c r="W3" s="9"/>
    </row>
    <row r="4" spans="1:65" ht="20.100000000000001" customHeight="1" x14ac:dyDescent="0.25">
      <c r="A4"/>
      <c r="BM4" s="2"/>
    </row>
    <row r="5" spans="1:65" ht="20.100000000000001" customHeight="1" x14ac:dyDescent="0.25">
      <c r="A5"/>
      <c r="D5" s="5" t="str" cm="1">
        <f t="array" ref="D5">Common_SourceData.Common_SourceData_AustralianStatesTerritories_Title()</f>
        <v>Australian states and territories</v>
      </c>
      <c r="BM5" s="2"/>
    </row>
    <row r="6" spans="1:65" ht="20.100000000000001" customHeight="1" x14ac:dyDescent="0.25">
      <c r="A6" s="73" t="s">
        <v>1</v>
      </c>
      <c r="D6" s="24" t="s">
        <v>5</v>
      </c>
      <c r="E6" s="24" t="s">
        <v>6</v>
      </c>
      <c r="F6" s="24" t="s">
        <v>7</v>
      </c>
    </row>
    <row r="7" spans="1:65" ht="20.100000000000001" customHeight="1" x14ac:dyDescent="0.25">
      <c r="A7" s="54" t="str">
        <f>HYPERLINK("#'Constants - Common'!A1", "Constants - Common")</f>
        <v>Constants - Common</v>
      </c>
      <c r="D7" s="24" t="str" cm="1">
        <f t="array" ref="D7">Common_InputFunctions.Utility_DisplayArrayInTable(Common_SourceData.Common_SourceData_AustralianStatesTerritories_Data(),Table_AustralianStates[[#Headers],[State/Territory]],0)</f>
        <v>New South Wales</v>
      </c>
      <c r="E7" s="24" t="str" cm="1">
        <f t="array" ref="E7">Common_InputFunctions.Utility_DisplayArrayInTable(Common_SourceData.Common_SourceData_AustralianStatesTerritories_Data(),Table_AustralianStates[[#Headers],[State/Territory]],0)</f>
        <v>New South Wales</v>
      </c>
      <c r="F7" s="24" t="str" cm="1">
        <f t="array" ref="F7">Common_InputFunctions.Utility_DisplayArrayInTable(Common_SourceData.Common_SourceData_AustralianStatesTerritories_Data(),Table_AustralianStates[[#Headers],[State/Territory]],0)</f>
        <v>NSW</v>
      </c>
    </row>
    <row r="8" spans="1:65" ht="20.100000000000001" customHeight="1" x14ac:dyDescent="0.25">
      <c r="A8" s="12" t="str">
        <f>HYPERLINK("#'Acknowledgements'!A1", "Acknowledgements")</f>
        <v>Acknowledgements</v>
      </c>
      <c r="D8" s="24" t="str" cm="1">
        <f t="array" ref="D8">Common_InputFunctions.Utility_DisplayArrayInTable(Common_SourceData.Common_SourceData_AustralianStatesTerritories_Data(),Table_AustralianStates[[#Headers],[State/Territory]],0)</f>
        <v>Australian Capital Territory</v>
      </c>
      <c r="E8" s="24" t="str" cm="1">
        <f t="array" ref="E8">Common_InputFunctions.Utility_DisplayArrayInTable(Common_SourceData.Common_SourceData_AustralianStatesTerritories_Data(),Table_AustralianStates[[#Headers],[State/Territory]],0)</f>
        <v>ACT</v>
      </c>
      <c r="F8" s="24" t="str" cm="1">
        <f t="array" ref="F8">Common_InputFunctions.Utility_DisplayArrayInTable(Common_SourceData.Common_SourceData_AustralianStatesTerritories_Data(),Table_AustralianStates[[#Headers],[State/Territory]],0)</f>
        <v>ACT</v>
      </c>
    </row>
    <row r="9" spans="1:65" ht="20.100000000000001" customHeight="1" x14ac:dyDescent="0.25">
      <c r="A9"/>
      <c r="D9" s="24" t="str" cm="1">
        <f t="array" ref="D9">Common_InputFunctions.Utility_DisplayArrayInTable(Common_SourceData.Common_SourceData_AustralianStatesTerritories_Data(),Table_AustralianStates[[#Headers],[State/Territory]],0)</f>
        <v>Victoria</v>
      </c>
      <c r="E9" s="24" t="str" cm="1">
        <f t="array" ref="E9">Common_InputFunctions.Utility_DisplayArrayInTable(Common_SourceData.Common_SourceData_AustralianStatesTerritories_Data(),Table_AustralianStates[[#Headers],[State/Territory]],0)</f>
        <v>Victoria</v>
      </c>
      <c r="F9" s="24"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24" t="str" cm="1">
        <f t="array" ref="D10">Common_InputFunctions.Utility_DisplayArrayInTable(Common_SourceData.Common_SourceData_AustralianStatesTerritories_Data(),Table_AustralianStates[[#Headers],[State/Territory]],0)</f>
        <v>Queensland</v>
      </c>
      <c r="E10" s="24" t="str" cm="1">
        <f t="array" ref="E10">Common_InputFunctions.Utility_DisplayArrayInTable(Common_SourceData.Common_SourceData_AustralianStatesTerritories_Data(),Table_AustralianStates[[#Headers],[State/Territory]],0)</f>
        <v>Queensland</v>
      </c>
      <c r="F10" s="24"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24" t="str" cm="1">
        <f t="array" ref="D11">Common_InputFunctions.Utility_DisplayArrayInTable(Common_SourceData.Common_SourceData_AustralianStatesTerritories_Data(),Table_AustralianStates[[#Headers],[State/Territory]],0)</f>
        <v>South Australia</v>
      </c>
      <c r="E11" s="24" t="str" cm="1">
        <f t="array" ref="E11">Common_InputFunctions.Utility_DisplayArrayInTable(Common_SourceData.Common_SourceData_AustralianStatesTerritories_Data(),Table_AustralianStates[[#Headers],[State/Territory]],0)</f>
        <v>South Australia</v>
      </c>
      <c r="F11" s="24" t="str" cm="1">
        <f t="array" ref="F11">Common_InputFunctions.Utility_DisplayArrayInTable(Common_SourceData.Common_SourceData_AustralianStatesTerritories_Data(),Table_AustralianStates[[#Headers],[State/Territory]],0)</f>
        <v>SA</v>
      </c>
      <c r="BM11" s="2"/>
    </row>
    <row r="12" spans="1:65" ht="20.100000000000001" customHeight="1" x14ac:dyDescent="0.25">
      <c r="A12"/>
      <c r="D12" s="24" t="str" cm="1">
        <f t="array" ref="D12">Common_InputFunctions.Utility_DisplayArrayInTable(Common_SourceData.Common_SourceData_AustralianStatesTerritories_Data(),Table_AustralianStates[[#Headers],[State/Territory]],0)</f>
        <v>Western Australia</v>
      </c>
      <c r="E12" s="24" t="str" cm="1">
        <f t="array" ref="E12">Common_InputFunctions.Utility_DisplayArrayInTable(Common_SourceData.Common_SourceData_AustralianStatesTerritories_Data(),Table_AustralianStates[[#Headers],[State/Territory]],0)</f>
        <v>Western Australia</v>
      </c>
      <c r="F12" s="24" t="str" cm="1">
        <f t="array" ref="F12">Common_InputFunctions.Utility_DisplayArrayInTable(Common_SourceData.Common_SourceData_AustralianStatesTerritories_Data(),Table_AustralianStates[[#Headers],[State/Territory]],0)</f>
        <v>WA</v>
      </c>
      <c r="BM12" s="2"/>
    </row>
    <row r="13" spans="1:65" ht="20.100000000000001" customHeight="1" x14ac:dyDescent="0.25">
      <c r="A13"/>
      <c r="D13" s="24" t="str" cm="1">
        <f t="array" ref="D13">Common_InputFunctions.Utility_DisplayArrayInTable(Common_SourceData.Common_SourceData_AustralianStatesTerritories_Data(),Table_AustralianStates[[#Headers],[State/Territory]],0)</f>
        <v>Tasmania</v>
      </c>
      <c r="E13" s="24" t="str" cm="1">
        <f t="array" ref="E13">Common_InputFunctions.Utility_DisplayArrayInTable(Common_SourceData.Common_SourceData_AustralianStatesTerritories_Data(),Table_AustralianStates[[#Headers],[State/Territory]],0)</f>
        <v>Tasmania</v>
      </c>
      <c r="F13" s="24"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24" t="str" cm="1">
        <f t="array" ref="D14">Common_InputFunctions.Utility_DisplayArrayInTable(Common_SourceData.Common_SourceData_AustralianStatesTerritories_Data(),Table_AustralianStates[[#Headers],[State/Territory]],0)</f>
        <v>Northern Territory</v>
      </c>
      <c r="E14" s="24" t="str" cm="1">
        <f t="array" ref="E14">Common_InputFunctions.Utility_DisplayArrayInTable(Common_SourceData.Common_SourceData_AustralianStatesTerritories_Data(),Table_AustralianStates[[#Headers],[State/Territory]],0)</f>
        <v>Northern Territory</v>
      </c>
      <c r="F14" s="24"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5" t="str" cm="1">
        <f t="array" ref="D18">Common_SourceData.Common_SourceData_WASA4Areas_Title()</f>
        <v>ABS Statistcal Areas Level 4 - Western Australia</v>
      </c>
    </row>
    <row r="19" spans="1:4" ht="20.100000000000001" customHeight="1" x14ac:dyDescent="0.25">
      <c r="A19"/>
      <c r="D19" s="4" t="str" cm="1">
        <f t="array" ref="D19">Common_SourceData.Common_SourceData_WASA4Areas_Source()</f>
        <v>Australian Bureau of Statistics (ABS) - Statistical Areas Level 2 - 2021 - Shapefile</v>
      </c>
    </row>
    <row r="20" spans="1:4" ht="20.100000000000001" customHeight="1" x14ac:dyDescent="0.25">
      <c r="A20"/>
      <c r="D20" s="24" t="s">
        <v>8</v>
      </c>
    </row>
    <row r="21" spans="1:4" ht="20.100000000000001" customHeight="1" x14ac:dyDescent="0.25">
      <c r="A21"/>
      <c r="D21" s="24" t="str" cm="1">
        <f t="array" ref="D21">Common_InputFunctions.Utility_DisplayArrayInTable(Common_SourceData.Common_SourceData_WASA4Areas_Data(), Table_WASA4Areas[[#Headers],[SA 4 Name]], 0)</f>
        <v>Bunbury</v>
      </c>
    </row>
    <row r="22" spans="1:4" ht="20.100000000000001" customHeight="1" x14ac:dyDescent="0.25">
      <c r="A22"/>
      <c r="D22" s="24" t="str" cm="1">
        <f t="array" ref="D22">Common_InputFunctions.Utility_DisplayArrayInTable(Common_SourceData.Common_SourceData_WASA4Areas_Data(), Table_WASA4Areas[[#Headers],[SA 4 Name]], 0)</f>
        <v>Mandurah</v>
      </c>
    </row>
    <row r="23" spans="1:4" ht="20.100000000000001" customHeight="1" x14ac:dyDescent="0.25">
      <c r="A23"/>
      <c r="D23" s="24" t="str" cm="1">
        <f t="array" ref="D23">Common_InputFunctions.Utility_DisplayArrayInTable(Common_SourceData.Common_SourceData_WASA4Areas_Data(), Table_WASA4Areas[[#Headers],[SA 4 Name]], 0)</f>
        <v>Perth - Inner</v>
      </c>
    </row>
    <row r="24" spans="1:4" ht="20.100000000000001" customHeight="1" x14ac:dyDescent="0.25">
      <c r="A24"/>
      <c r="D24" s="24" t="str" cm="1">
        <f t="array" ref="D24">Common_InputFunctions.Utility_DisplayArrayInTable(Common_SourceData.Common_SourceData_WASA4Areas_Data(), Table_WASA4Areas[[#Headers],[SA 4 Name]], 0)</f>
        <v>Perth - North East</v>
      </c>
    </row>
    <row r="25" spans="1:4" ht="20.100000000000001" customHeight="1" x14ac:dyDescent="0.25">
      <c r="A25"/>
      <c r="D25" s="24" t="str" cm="1">
        <f t="array" ref="D25">Common_InputFunctions.Utility_DisplayArrayInTable(Common_SourceData.Common_SourceData_WASA4Areas_Data(), Table_WASA4Areas[[#Headers],[SA 4 Name]], 0)</f>
        <v>Perth - North West</v>
      </c>
    </row>
    <row r="26" spans="1:4" ht="20.100000000000001" customHeight="1" x14ac:dyDescent="0.25">
      <c r="A26"/>
      <c r="D26" s="24" t="str" cm="1">
        <f t="array" ref="D26">Common_InputFunctions.Utility_DisplayArrayInTable(Common_SourceData.Common_SourceData_WASA4Areas_Data(), Table_WASA4Areas[[#Headers],[SA 4 Name]], 0)</f>
        <v>Perth - South East</v>
      </c>
    </row>
    <row r="27" spans="1:4" ht="20.100000000000001" customHeight="1" x14ac:dyDescent="0.25">
      <c r="A27"/>
      <c r="D27" s="24" t="str" cm="1">
        <f t="array" ref="D27">Common_InputFunctions.Utility_DisplayArrayInTable(Common_SourceData.Common_SourceData_WASA4Areas_Data(), Table_WASA4Areas[[#Headers],[SA 4 Name]], 0)</f>
        <v>Perth - South West</v>
      </c>
    </row>
    <row r="28" spans="1:4" ht="20.100000000000001" customHeight="1" x14ac:dyDescent="0.25">
      <c r="A28"/>
      <c r="D28" s="24"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24"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24"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5" t="str" cm="1">
        <f t="array" ref="D34">Common_SourceData.Common_SourceData_GWP_Title()</f>
        <v>Global warming potential for greenhouse gases</v>
      </c>
    </row>
    <row r="35" spans="1:8" ht="20.100000000000001" customHeight="1" x14ac:dyDescent="0.25">
      <c r="A35"/>
      <c r="D35" s="4" t="str" cm="1">
        <f t="array" ref="D35">Common_SourceData.Common_SourceData_GWP_Source()</f>
        <v>XXXXXXX</v>
      </c>
    </row>
    <row r="36" spans="1:8" ht="20.100000000000001" customHeight="1" x14ac:dyDescent="0.25">
      <c r="A36"/>
      <c r="D36" s="24" t="s">
        <v>10</v>
      </c>
      <c r="E36" s="24" t="s">
        <v>11</v>
      </c>
    </row>
    <row r="37" spans="1:8" ht="20.100000000000001" customHeight="1" x14ac:dyDescent="0.25">
      <c r="A37"/>
      <c r="D37" s="24" t="str" cm="1">
        <f t="array" ref="D37">Common_InputFunctions.Utility_DisplayArrayInTable(Common_SourceData.Common_SourceData_GWP_Data(), Table_GWPData[[#Headers],[Gas]], 0)</f>
        <v>CO2</v>
      </c>
      <c r="E37" s="24" cm="1">
        <f t="array" ref="E37">Common_InputFunctions.Utility_DisplayArrayInTable(Common_SourceData.Common_SourceData_GWP_Data(), Table_GWPData[[#Headers],[Gas]], 0)</f>
        <v>1</v>
      </c>
    </row>
    <row r="38" spans="1:8" ht="20.100000000000001" customHeight="1" x14ac:dyDescent="0.25">
      <c r="A38"/>
      <c r="D38" s="24" t="str" cm="1">
        <f t="array" ref="D38">Common_InputFunctions.Utility_DisplayArrayInTable(Common_SourceData.Common_SourceData_GWP_Data(), Table_GWPData[[#Headers],[Gas]], 0)</f>
        <v>CH4</v>
      </c>
      <c r="E38" s="24" cm="1">
        <f t="array" ref="E38">Common_InputFunctions.Utility_DisplayArrayInTable(Common_SourceData.Common_SourceData_GWP_Data(), Table_GWPData[[#Headers],[Gas]], 0)</f>
        <v>28</v>
      </c>
    </row>
    <row r="39" spans="1:8" ht="20.100000000000001" customHeight="1" x14ac:dyDescent="0.25">
      <c r="A39"/>
      <c r="D39" s="24" t="str" cm="1">
        <f t="array" ref="D39">Common_InputFunctions.Utility_DisplayArrayInTable(Common_SourceData.Common_SourceData_GWP_Data(), Table_GWPData[[#Headers],[Gas]], 0)</f>
        <v>N2O</v>
      </c>
      <c r="E39" s="24" cm="1">
        <f t="array" ref="E39">Common_InputFunctions.Utility_DisplayArrayInTable(Common_SourceData.Common_SourceData_GWP_Data(), Table_GWPData[[#Headers],[Gas]], 0)</f>
        <v>265</v>
      </c>
    </row>
    <row r="40" spans="1:8" ht="20.100000000000001" customHeight="1" x14ac:dyDescent="0.25">
      <c r="A40"/>
      <c r="D40" s="24" t="str" cm="1">
        <f t="array" ref="D40">Common_InputFunctions.Utility_DisplayArrayInTable(Common_SourceData.Common_SourceData_GWP_Data(), Table_GWPData[[#Headers],[Gas]], 0)</f>
        <v>CF4</v>
      </c>
      <c r="E40" s="24" cm="1">
        <f t="array" ref="E40">Common_InputFunctions.Utility_DisplayArrayInTable(Common_SourceData.Common_SourceData_GWP_Data(), Table_GWPData[[#Headers],[Gas]], 0)</f>
        <v>6630</v>
      </c>
    </row>
    <row r="41" spans="1:8" ht="20.100000000000001" customHeight="1" x14ac:dyDescent="0.25">
      <c r="A41"/>
      <c r="D41" s="24" t="str" cm="1">
        <f t="array" ref="D41">Common_InputFunctions.Utility_DisplayArrayInTable(Common_SourceData.Common_SourceData_GWP_Data(), Table_GWPData[[#Headers],[Gas]], 0)</f>
        <v>C2F6</v>
      </c>
      <c r="E41" s="24" cm="1">
        <f t="array" ref="E41">Common_InputFunctions.Utility_DisplayArrayInTable(Common_SourceData.Common_SourceData_GWP_Data(), Table_GWPData[[#Headers],[Gas]], 0)</f>
        <v>12200</v>
      </c>
    </row>
    <row r="42" spans="1:8" ht="20.100000000000001" customHeight="1" x14ac:dyDescent="0.25">
      <c r="A42"/>
      <c r="D42" s="24" t="str" cm="1">
        <f t="array" ref="D42">Common_InputFunctions.Utility_DisplayArrayInTable(Common_SourceData.Common_SourceData_GWP_Data(), Table_GWPData[[#Headers],[Gas]], 0)</f>
        <v>SF6</v>
      </c>
      <c r="E42" s="24" cm="1">
        <f t="array" ref="E42">Common_InputFunctions.Utility_DisplayArrayInTable(Common_SourceData.Common_SourceData_GWP_Data(), Table_GWPData[[#Headers],[Gas]], 0)</f>
        <v>22800</v>
      </c>
    </row>
    <row r="43" spans="1:8" ht="20.100000000000001" customHeight="1" x14ac:dyDescent="0.25">
      <c r="A43"/>
      <c r="D43" s="24" t="str" cm="1">
        <f t="array" ref="D43">Common_InputFunctions.Utility_DisplayArrayInTable(Common_SourceData.Common_SourceData_GWP_Data(), Table_GWPData[[#Headers],[Gas]], 0)</f>
        <v>NF3</v>
      </c>
      <c r="E43" s="24" cm="1">
        <f t="array" ref="E43">Common_InputFunctions.Utility_DisplayArrayInTable(Common_SourceData.Common_SourceData_GWP_Data(), Table_GWPData[[#Headers],[Gas]], 0)</f>
        <v>17200</v>
      </c>
    </row>
    <row r="44" spans="1:8" ht="20.100000000000001" customHeight="1" x14ac:dyDescent="0.25">
      <c r="A44"/>
    </row>
    <row r="45" spans="1:8" ht="20.100000000000001" customHeight="1" x14ac:dyDescent="0.25">
      <c r="A45"/>
      <c r="D45" s="5" t="str" cm="1">
        <f t="array" ref="D45">Common_SourceData.Common_SourceData_ConvertGasElementalToMolecular_Title()</f>
        <v>Factor to convert elemental mass of gas to molecular mass</v>
      </c>
    </row>
    <row r="46" spans="1:8" ht="20.100000000000001" customHeight="1" x14ac:dyDescent="0.25">
      <c r="A46"/>
      <c r="D46" s="4" t="str" cm="1">
        <f t="array" ref="D46">Common_SourceData.Common_SourceData_ConvertGasElementalToMolecular_Source()</f>
        <v>XXXXXXX</v>
      </c>
    </row>
    <row r="47" spans="1:8" ht="20.100000000000001" customHeight="1" x14ac:dyDescent="0.25">
      <c r="A47"/>
      <c r="D47" s="24" t="s">
        <v>10</v>
      </c>
      <c r="E47" s="24" t="s">
        <v>13</v>
      </c>
      <c r="F47" s="24" t="s">
        <v>14</v>
      </c>
      <c r="G47" s="24" t="s">
        <v>15</v>
      </c>
      <c r="H47" s="24" t="s">
        <v>16</v>
      </c>
    </row>
    <row r="48" spans="1:8" ht="20.100000000000001" customHeight="1" x14ac:dyDescent="0.25">
      <c r="A48"/>
      <c r="D48" s="24" t="str" cm="1">
        <f t="array" ref="D48">Common_InputFunctions.Utility_DisplayArrayInTable(Common_SourceData.Common_SourceData_ConvertGasElementalToMolecular_Data(),Table_GasToMolecularConversionFactor[[#Headers],[Gas]], 0)</f>
        <v>CO2</v>
      </c>
      <c r="E48" s="24" t="str" cm="1">
        <f t="array" ref="E48">Common_InputFunctions.Utility_DisplayArrayInTable(Common_SourceData.Common_SourceData_ConvertGasElementalToMolecular_Data(),Table_GasToMolecularConversionFactor[[#Headers],[Gas]], 0)</f>
        <v>44/12</v>
      </c>
      <c r="F48" s="24" cm="1">
        <f t="array" ref="F48">Common_InputFunctions.Utility_DisplayArrayInTable(Common_SourceData.Common_SourceData_ConvertGasElementalToMolecular_Data(),Table_GasToMolecularConversionFactor[[#Headers],[Gas]], 0)</f>
        <v>44</v>
      </c>
      <c r="G48" s="24" cm="1">
        <f t="array" ref="G48">Common_InputFunctions.Utility_DisplayArrayInTable(Common_SourceData.Common_SourceData_ConvertGasElementalToMolecular_Data(),Table_GasToMolecularConversionFactor[[#Headers],[Gas]], 0)</f>
        <v>12</v>
      </c>
      <c r="H48" s="24">
        <f>Table_GasToMolecularConversionFactor[[#This Row],[Conversion factor 1]]/Table_GasToMolecularConversionFactor[[#This Row],[Conversion factor 2]]</f>
        <v>3.6666666666666665</v>
      </c>
    </row>
    <row r="49" spans="1:8" ht="20.100000000000001" customHeight="1" x14ac:dyDescent="0.25">
      <c r="A49"/>
      <c r="D49" s="24" t="str" cm="1">
        <f t="array" ref="D49">Common_InputFunctions.Utility_DisplayArrayInTable(Common_SourceData.Common_SourceData_ConvertGasElementalToMolecular_Data(),Table_GasToMolecularConversionFactor[[#Headers],[Gas]], 0)</f>
        <v>CH4</v>
      </c>
      <c r="E49" s="24" t="str" cm="1">
        <f t="array" ref="E49">Common_InputFunctions.Utility_DisplayArrayInTable(Common_SourceData.Common_SourceData_ConvertGasElementalToMolecular_Data(),Table_GasToMolecularConversionFactor[[#Headers],[Gas]], 0)</f>
        <v>16/12</v>
      </c>
      <c r="F49" s="24" cm="1">
        <f t="array" ref="F49">Common_InputFunctions.Utility_DisplayArrayInTable(Common_SourceData.Common_SourceData_ConvertGasElementalToMolecular_Data(),Table_GasToMolecularConversionFactor[[#Headers],[Gas]], 0)</f>
        <v>16</v>
      </c>
      <c r="G49" s="24" cm="1">
        <f t="array" ref="G49">Common_InputFunctions.Utility_DisplayArrayInTable(Common_SourceData.Common_SourceData_ConvertGasElementalToMolecular_Data(),Table_GasToMolecularConversionFactor[[#Headers],[Gas]], 0)</f>
        <v>12</v>
      </c>
      <c r="H49" s="24">
        <f>Table_GasToMolecularConversionFactor[[#This Row],[Conversion factor 1]]/Table_GasToMolecularConversionFactor[[#This Row],[Conversion factor 2]]</f>
        <v>1.3333333333333333</v>
      </c>
    </row>
    <row r="50" spans="1:8" ht="20.100000000000001" customHeight="1" x14ac:dyDescent="0.25">
      <c r="A50"/>
      <c r="D50" s="24" t="str" cm="1">
        <f t="array" ref="D50">Common_InputFunctions.Utility_DisplayArrayInTable(Common_SourceData.Common_SourceData_ConvertGasElementalToMolecular_Data(),Table_GasToMolecularConversionFactor[[#Headers],[Gas]], 0)</f>
        <v>N2O</v>
      </c>
      <c r="E50" s="24" t="str" cm="1">
        <f t="array" ref="E50">Common_InputFunctions.Utility_DisplayArrayInTable(Common_SourceData.Common_SourceData_ConvertGasElementalToMolecular_Data(),Table_GasToMolecularConversionFactor[[#Headers],[Gas]], 0)</f>
        <v>44/28</v>
      </c>
      <c r="F50" s="24" cm="1">
        <f t="array" ref="F50">Common_InputFunctions.Utility_DisplayArrayInTable(Common_SourceData.Common_SourceData_ConvertGasElementalToMolecular_Data(),Table_GasToMolecularConversionFactor[[#Headers],[Gas]], 0)</f>
        <v>44</v>
      </c>
      <c r="G50" s="24" cm="1">
        <f t="array" ref="G50">Common_InputFunctions.Utility_DisplayArrayInTable(Common_SourceData.Common_SourceData_ConvertGasElementalToMolecular_Data(),Table_GasToMolecularConversionFactor[[#Headers],[Gas]], 0)</f>
        <v>28</v>
      </c>
      <c r="H50" s="24">
        <f>Table_GasToMolecularConversionFactor[[#This Row],[Conversion factor 1]]/Table_GasToMolecularConversionFactor[[#This Row],[Conversion factor 2]]</f>
        <v>1.5714285714285714</v>
      </c>
    </row>
    <row r="51" spans="1:8" ht="20.100000000000001" customHeight="1" x14ac:dyDescent="0.25">
      <c r="A51"/>
      <c r="D51" s="24" t="str" cm="1">
        <f t="array" ref="D51">Common_InputFunctions.Utility_DisplayArrayInTable(Common_SourceData.Common_SourceData_ConvertGasElementalToMolecular_Data(),Table_GasToMolecularConversionFactor[[#Headers],[Gas]], 0)</f>
        <v>Nox</v>
      </c>
      <c r="E51" s="24" t="str" cm="1">
        <f t="array" ref="E51">Common_InputFunctions.Utility_DisplayArrayInTable(Common_SourceData.Common_SourceData_ConvertGasElementalToMolecular_Data(),Table_GasToMolecularConversionFactor[[#Headers],[Gas]], 0)</f>
        <v>46/14</v>
      </c>
      <c r="F51" s="24" cm="1">
        <f t="array" ref="F51">Common_InputFunctions.Utility_DisplayArrayInTable(Common_SourceData.Common_SourceData_ConvertGasElementalToMolecular_Data(),Table_GasToMolecularConversionFactor[[#Headers],[Gas]], 0)</f>
        <v>46</v>
      </c>
      <c r="G51" s="24" cm="1">
        <f t="array" ref="G51">Common_InputFunctions.Utility_DisplayArrayInTable(Common_SourceData.Common_SourceData_ConvertGasElementalToMolecular_Data(),Table_GasToMolecularConversionFactor[[#Headers],[Gas]], 0)</f>
        <v>14</v>
      </c>
      <c r="H51" s="24">
        <f>Table_GasToMolecularConversionFactor[[#This Row],[Conversion factor 1]]/Table_GasToMolecularConversionFactor[[#This Row],[Conversion factor 2]]</f>
        <v>3.2857142857142856</v>
      </c>
    </row>
    <row r="52" spans="1:8" ht="20.100000000000001" customHeight="1" x14ac:dyDescent="0.25">
      <c r="A52"/>
      <c r="D52" s="24" t="str" cm="1">
        <f t="array" ref="D52">Common_InputFunctions.Utility_DisplayArrayInTable(Common_SourceData.Common_SourceData_ConvertGasElementalToMolecular_Data(),Table_GasToMolecularConversionFactor[[#Headers],[Gas]], 0)</f>
        <v>CO</v>
      </c>
      <c r="E52" s="24" t="str" cm="1">
        <f t="array" ref="E52">Common_InputFunctions.Utility_DisplayArrayInTable(Common_SourceData.Common_SourceData_ConvertGasElementalToMolecular_Data(),Table_GasToMolecularConversionFactor[[#Headers],[Gas]], 0)</f>
        <v>28/12</v>
      </c>
      <c r="F52" s="24" cm="1">
        <f t="array" ref="F52">Common_InputFunctions.Utility_DisplayArrayInTable(Common_SourceData.Common_SourceData_ConvertGasElementalToMolecular_Data(),Table_GasToMolecularConversionFactor[[#Headers],[Gas]], 0)</f>
        <v>28</v>
      </c>
      <c r="G52" s="24" cm="1">
        <f t="array" ref="G52">Common_InputFunctions.Utility_DisplayArrayInTable(Common_SourceData.Common_SourceData_ConvertGasElementalToMolecular_Data(),Table_GasToMolecularConversionFactor[[#Headers],[Gas]], 0)</f>
        <v>12</v>
      </c>
      <c r="H52" s="24">
        <f>Table_GasToMolecularConversionFactor[[#This Row],[Conversion factor 1]]/Table_GasToMolecularConversionFactor[[#This Row],[Conversion factor 2]]</f>
        <v>2.3333333333333335</v>
      </c>
    </row>
    <row r="53" spans="1:8" ht="20.100000000000001" customHeight="1" x14ac:dyDescent="0.25">
      <c r="A53"/>
      <c r="D53" s="24" t="str" cm="1">
        <f t="array" ref="D53">Common_InputFunctions.Utility_DisplayArrayInTable(Common_SourceData.Common_SourceData_ConvertGasElementalToMolecular_Data(),Table_GasToMolecularConversionFactor[[#Headers],[Gas]], 0)</f>
        <v>CO2 Lime</v>
      </c>
      <c r="E53" s="24" t="str" cm="1">
        <f t="array" ref="E53">Common_InputFunctions.Utility_DisplayArrayInTable(Common_SourceData.Common_SourceData_ConvertGasElementalToMolecular_Data(),Table_GasToMolecularConversionFactor[[#Headers],[Gas]], 0)</f>
        <v>44/12</v>
      </c>
      <c r="F53" s="24" cm="1">
        <f t="array" ref="F53">Common_InputFunctions.Utility_DisplayArrayInTable(Common_SourceData.Common_SourceData_ConvertGasElementalToMolecular_Data(),Table_GasToMolecularConversionFactor[[#Headers],[Gas]], 0)</f>
        <v>44</v>
      </c>
      <c r="G53" s="24" cm="1">
        <f t="array" ref="G53">Common_InputFunctions.Utility_DisplayArrayInTable(Common_SourceData.Common_SourceData_ConvertGasElementalToMolecular_Data(),Table_GasToMolecularConversionFactor[[#Headers],[Gas]], 0)</f>
        <v>12</v>
      </c>
      <c r="H53" s="24">
        <f>Table_GasToMolecularConversionFactor[[#This Row],[Conversion factor 1]]/Table_GasToMolecularConversionFactor[[#This Row],[Conversion factor 2]]</f>
        <v>3.6666666666666665</v>
      </c>
    </row>
    <row r="54" spans="1:8" ht="20.100000000000001" customHeight="1" x14ac:dyDescent="0.25">
      <c r="A54"/>
      <c r="D54" s="24" t="str" cm="1">
        <f t="array" ref="D54">Common_InputFunctions.Utility_DisplayArrayInTable(Common_SourceData.Common_SourceData_ConvertGasElementalToMolecular_Data(),Table_GasToMolecularConversionFactor[[#Headers],[Gas]], 0)</f>
        <v>NMVOC</v>
      </c>
      <c r="E54" s="24" t="str" cm="1">
        <f t="array" ref="E54">Common_InputFunctions.Utility_DisplayArrayInTable(Common_SourceData.Common_SourceData_ConvertGasElementalToMolecular_Data(),Table_GasToMolecularConversionFactor[[#Headers],[Gas]], 0)</f>
        <v>14/12</v>
      </c>
      <c r="F54" s="24" cm="1">
        <f t="array" ref="F54">Common_InputFunctions.Utility_DisplayArrayInTable(Common_SourceData.Common_SourceData_ConvertGasElementalToMolecular_Data(),Table_GasToMolecularConversionFactor[[#Headers],[Gas]], 0)</f>
        <v>14</v>
      </c>
      <c r="G54" s="24" cm="1">
        <f t="array" ref="G54">Common_InputFunctions.Utility_DisplayArrayInTable(Common_SourceData.Common_SourceData_ConvertGasElementalToMolecular_Data(),Table_GasToMolecularConversionFactor[[#Headers],[Gas]], 0)</f>
        <v>12</v>
      </c>
      <c r="H54" s="24">
        <f>Table_GasToMolecularConversionFactor[[#This Row],[Conversion factor 1]]/Table_GasToMolecularConversionFactor[[#This Row],[Conversion factor 2]]</f>
        <v>1.1666666666666667</v>
      </c>
    </row>
    <row r="55" spans="1:8" ht="20.100000000000001" customHeight="1" x14ac:dyDescent="0.25">
      <c r="A55"/>
    </row>
    <row r="56" spans="1:8" ht="20.100000000000001" customHeight="1" x14ac:dyDescent="0.25">
      <c r="A56"/>
    </row>
    <row r="57" spans="1:8" ht="20.100000000000001" customHeight="1" x14ac:dyDescent="0.25">
      <c r="A57"/>
      <c r="D57" s="5" t="str" cm="1">
        <f t="array" ref="D57">Common_SourceData.Common_SourceData_WetAndDryZones_Title()</f>
        <v>VEERG Australian wet and dry zones</v>
      </c>
    </row>
    <row r="58" spans="1:8" ht="20.100000000000001" customHeight="1" x14ac:dyDescent="0.25">
      <c r="A58"/>
      <c r="D58" s="4" t="str" cm="1">
        <f t="array" ref="D58">Common_SourceData.Common_SourceData_WetAndDryZones_Source()</f>
        <v>VEERG 2026: Table 1.2: Translating climate zones to wet and dry zones</v>
      </c>
    </row>
    <row r="59" spans="1:8" ht="20.100000000000001" customHeight="1" x14ac:dyDescent="0.25">
      <c r="A59"/>
      <c r="D59" s="29" t="str" cm="1">
        <f t="array" ref="D59:D61">"⚠️" &amp; Common_SourceData.Common_SourceData_WetAndDryZones_Variation()</f>
        <v>⚠️VARIATION OF SOURCE DATA:</v>
      </c>
    </row>
    <row r="60" spans="1:8" ht="20.100000000000001" customHeight="1" x14ac:dyDescent="0.25">
      <c r="A60"/>
      <c r="D60" s="29" t="str">
        <v>⚠️Added warm / cool temperate moist / dry - low frost and high temp classes to accommodate climate scenarios excluded by VEERG criteria.</v>
      </c>
    </row>
    <row r="61" spans="1:8" ht="20.100000000000001" customHeight="1" x14ac:dyDescent="0.25">
      <c r="A61"/>
      <c r="D61" s="29" t="str">
        <v>⚠️Fixed typo - Changed 'Fry' to 'Dry'.</v>
      </c>
    </row>
    <row r="62" spans="1:8" ht="20.100000000000001" customHeight="1" x14ac:dyDescent="0.25">
      <c r="A62"/>
    </row>
    <row r="63" spans="1:8" ht="20.100000000000001" customHeight="1" x14ac:dyDescent="0.25">
      <c r="A63"/>
      <c r="D63" s="24" t="s">
        <v>3</v>
      </c>
      <c r="E63" s="24" t="s">
        <v>30</v>
      </c>
    </row>
    <row r="64" spans="1:8" ht="20.100000000000001" customHeight="1" x14ac:dyDescent="0.25">
      <c r="A64"/>
      <c r="D64" s="24" t="str" cm="1">
        <f t="array" ref="D64">Common_InputFunctions.Utility_DisplayArrayInTable(Common_SourceData.Common_SourceData_WetAndDryZones_Data(), Table_SourceData_WetDryZones[[#Headers],[Climate zone]], 0)</f>
        <v>Tropical montane</v>
      </c>
      <c r="E64" s="24" t="str" cm="1">
        <f t="array" ref="E64">Common_InputFunctions.Utility_DisplayArrayInTable(Common_SourceData.Common_SourceData_WetAndDryZones_Data(), Table_SourceData_WetDryZones[[#Headers],[Climate zone]], 0)</f>
        <v>Wet climate zone</v>
      </c>
    </row>
    <row r="65" spans="1:5" ht="20.100000000000001" customHeight="1" x14ac:dyDescent="0.25">
      <c r="A65"/>
      <c r="D65" s="24" t="str" cm="1">
        <f t="array" ref="D65">Common_InputFunctions.Utility_DisplayArrayInTable(Common_SourceData.Common_SourceData_WetAndDryZones_Data(), Table_SourceData_WetDryZones[[#Headers],[Climate zone]], 0)</f>
        <v>Tropical wet</v>
      </c>
      <c r="E65" s="24" t="str" cm="1">
        <f t="array" ref="E65">Common_InputFunctions.Utility_DisplayArrayInTable(Common_SourceData.Common_SourceData_WetAndDryZones_Data(), Table_SourceData_WetDryZones[[#Headers],[Climate zone]], 0)</f>
        <v>Wet climate zone</v>
      </c>
    </row>
    <row r="66" spans="1:5" ht="20.100000000000001" customHeight="1" x14ac:dyDescent="0.25">
      <c r="A66"/>
      <c r="D66" s="24" t="str" cm="1">
        <f t="array" ref="D66">Common_InputFunctions.Utility_DisplayArrayInTable(Common_SourceData.Common_SourceData_WetAndDryZones_Data(), Table_SourceData_WetDryZones[[#Headers],[Climate zone]], 0)</f>
        <v>Tropical moist</v>
      </c>
      <c r="E66" s="24" t="str" cm="1">
        <f t="array" ref="E66">Common_InputFunctions.Utility_DisplayArrayInTable(Common_SourceData.Common_SourceData_WetAndDryZones_Data(), Table_SourceData_WetDryZones[[#Headers],[Climate zone]], 0)</f>
        <v>Wet climate zone</v>
      </c>
    </row>
    <row r="67" spans="1:5" ht="20.100000000000001" customHeight="1" x14ac:dyDescent="0.25">
      <c r="A67"/>
      <c r="D67" s="24" t="str" cm="1">
        <f t="array" ref="D67">Common_InputFunctions.Utility_DisplayArrayInTable(Common_SourceData.Common_SourceData_WetAndDryZones_Data(), Table_SourceData_WetDryZones[[#Headers],[Climate zone]], 0)</f>
        <v>Tropical dry</v>
      </c>
      <c r="E67" s="24" t="str" cm="1">
        <f t="array" ref="E67">Common_InputFunctions.Utility_DisplayArrayInTable(Common_SourceData.Common_SourceData_WetAndDryZones_Data(), Table_SourceData_WetDryZones[[#Headers],[Climate zone]], 0)</f>
        <v>Dry climate zone</v>
      </c>
    </row>
    <row r="68" spans="1:5" ht="20.100000000000001" customHeight="1" x14ac:dyDescent="0.25">
      <c r="A68"/>
      <c r="D68" s="24" t="str" cm="1">
        <f t="array" ref="D68">Common_InputFunctions.Utility_DisplayArrayInTable(Common_SourceData.Common_SourceData_WetAndDryZones_Data(), Table_SourceData_WetDryZones[[#Headers],[Climate zone]], 0)</f>
        <v>Warm temperate moist</v>
      </c>
      <c r="E68" s="24" t="str" cm="1">
        <f t="array" ref="E68">Common_InputFunctions.Utility_DisplayArrayInTable(Common_SourceData.Common_SourceData_WetAndDryZones_Data(), Table_SourceData_WetDryZones[[#Headers],[Climate zone]], 0)</f>
        <v>Wet climate zone</v>
      </c>
    </row>
    <row r="69" spans="1:5" ht="20.100000000000001" customHeight="1" x14ac:dyDescent="0.25">
      <c r="A69"/>
      <c r="D69" s="24" t="str" cm="1">
        <f t="array" ref="D69">Common_InputFunctions.Utility_DisplayArrayInTable(Common_SourceData.Common_SourceData_WetAndDryZones_Data(), Table_SourceData_WetDryZones[[#Headers],[Climate zone]], 0)</f>
        <v>Warm temperate dry</v>
      </c>
      <c r="E69" s="24" t="str" cm="1">
        <f t="array" ref="E69">Common_InputFunctions.Utility_DisplayArrayInTable(Common_SourceData.Common_SourceData_WetAndDryZones_Data(), Table_SourceData_WetDryZones[[#Headers],[Climate zone]], 0)</f>
        <v>Dry climate zone</v>
      </c>
    </row>
    <row r="70" spans="1:5" ht="20.100000000000001" customHeight="1" x14ac:dyDescent="0.25">
      <c r="A70"/>
      <c r="D70" s="24" t="str" cm="1">
        <f t="array" ref="D70">Common_InputFunctions.Utility_DisplayArrayInTable(Common_SourceData.Common_SourceData_WetAndDryZones_Data(), Table_SourceData_WetDryZones[[#Headers],[Climate zone]], 0)</f>
        <v>Cool temperate moist</v>
      </c>
      <c r="E70" s="24" t="str" cm="1">
        <f t="array" ref="E70">Common_InputFunctions.Utility_DisplayArrayInTable(Common_SourceData.Common_SourceData_WetAndDryZones_Data(), Table_SourceData_WetDryZones[[#Headers],[Climate zone]], 0)</f>
        <v>Wet climate zone</v>
      </c>
    </row>
    <row r="71" spans="1:5" ht="20.100000000000001" customHeight="1" x14ac:dyDescent="0.25">
      <c r="A71"/>
      <c r="D71" s="24" t="str" cm="1">
        <f t="array" ref="D71">Common_InputFunctions.Utility_DisplayArrayInTable(Common_SourceData.Common_SourceData_WetAndDryZones_Data(), Table_SourceData_WetDryZones[[#Headers],[Climate zone]], 0)</f>
        <v>Cool temperate dry</v>
      </c>
      <c r="E71" s="24" t="str" cm="1">
        <f t="array" ref="E71">Common_InputFunctions.Utility_DisplayArrayInTable(Common_SourceData.Common_SourceData_WetAndDryZones_Data(), Table_SourceData_WetDryZones[[#Headers],[Climate zone]], 0)</f>
        <v>Dry climate zone</v>
      </c>
    </row>
    <row r="72" spans="1:5" ht="20.100000000000001" customHeight="1" x14ac:dyDescent="0.25">
      <c r="A72"/>
      <c r="D72" s="24" t="str" cm="1">
        <f t="array" ref="D72">Common_InputFunctions.Utility_DisplayArrayInTable(Common_SourceData.Common_SourceData_WetAndDryZones_Data(), Table_SourceData_WetDryZones[[#Headers],[Climate zone]], 0)</f>
        <v>Warm temperate moist - low frost</v>
      </c>
      <c r="E72" s="24" t="str" cm="1">
        <f t="array" ref="E72">Common_InputFunctions.Utility_DisplayArrayInTable(Common_SourceData.Common_SourceData_WetAndDryZones_Data(), Table_SourceData_WetDryZones[[#Headers],[Climate zone]], 0)</f>
        <v>Wet climate zone</v>
      </c>
    </row>
    <row r="73" spans="1:5" ht="20.100000000000001" customHeight="1" x14ac:dyDescent="0.25">
      <c r="A73"/>
      <c r="D73" s="24" t="str" cm="1">
        <f t="array" ref="D73">Common_InputFunctions.Utility_DisplayArrayInTable(Common_SourceData.Common_SourceData_WetAndDryZones_Data(), Table_SourceData_WetDryZones[[#Headers],[Climate zone]], 0)</f>
        <v>Warm temperate dry - low frost</v>
      </c>
      <c r="E73" s="24" t="str" cm="1">
        <f t="array" ref="E73">Common_InputFunctions.Utility_DisplayArrayInTable(Common_SourceData.Common_SourceData_WetAndDryZones_Data(), Table_SourceData_WetDryZones[[#Headers],[Climate zone]], 0)</f>
        <v>Dry climate zone</v>
      </c>
    </row>
    <row r="74" spans="1:5" ht="20.100000000000001" customHeight="1" x14ac:dyDescent="0.25">
      <c r="A74"/>
      <c r="D74" s="24" t="str" cm="1">
        <f t="array" ref="D74">Common_InputFunctions.Utility_DisplayArrayInTable(Common_SourceData.Common_SourceData_WetAndDryZones_Data(), Table_SourceData_WetDryZones[[#Headers],[Climate zone]], 0)</f>
        <v>Warm temperate moist - high temp</v>
      </c>
      <c r="E74" s="24" t="str" cm="1">
        <f t="array" ref="E74">Common_InputFunctions.Utility_DisplayArrayInTable(Common_SourceData.Common_SourceData_WetAndDryZones_Data(), Table_SourceData_WetDryZones[[#Headers],[Climate zone]], 0)</f>
        <v>Wet climate zone</v>
      </c>
    </row>
    <row r="75" spans="1:5" ht="20.100000000000001" customHeight="1" x14ac:dyDescent="0.25">
      <c r="A75"/>
      <c r="D75" s="24" t="str" cm="1">
        <f t="array" ref="D75">Common_InputFunctions.Utility_DisplayArrayInTable(Common_SourceData.Common_SourceData_WetAndDryZones_Data(), Table_SourceData_WetDryZones[[#Headers],[Climate zone]], 0)</f>
        <v>Warm temperate dry - high temp</v>
      </c>
      <c r="E75" s="24" t="str" cm="1">
        <f t="array" ref="E75">Common_InputFunctions.Utility_DisplayArrayInTable(Common_SourceData.Common_SourceData_WetAndDryZones_Data(), Table_SourceData_WetDryZones[[#Headers],[Climate zone]], 0)</f>
        <v>Dry climate zone</v>
      </c>
    </row>
    <row r="76" spans="1:5" ht="20.100000000000001" customHeight="1" x14ac:dyDescent="0.25">
      <c r="A76"/>
      <c r="D76" s="24" t="str" cm="1">
        <f t="array" ref="D76">Common_InputFunctions.Utility_DisplayArrayInTable(Common_SourceData.Common_SourceData_WetAndDryZones_Data(), Table_SourceData_WetDryZones[[#Headers],[Climate zone]], 0)</f>
        <v>Cool temperate moist - low frost</v>
      </c>
      <c r="E76" s="24" t="str" cm="1">
        <f t="array" ref="E76">Common_InputFunctions.Utility_DisplayArrayInTable(Common_SourceData.Common_SourceData_WetAndDryZones_Data(), Table_SourceData_WetDryZones[[#Headers],[Climate zone]], 0)</f>
        <v>Wet climate zone</v>
      </c>
    </row>
    <row r="77" spans="1:5" ht="20.100000000000001" customHeight="1" x14ac:dyDescent="0.25">
      <c r="A77"/>
      <c r="D77" s="24" t="str" cm="1">
        <f t="array" ref="D77">Common_InputFunctions.Utility_DisplayArrayInTable(Common_SourceData.Common_SourceData_WetAndDryZones_Data(), Table_SourceData_WetDryZones[[#Headers],[Climate zone]], 0)</f>
        <v>Cool temperate dry - low frost</v>
      </c>
      <c r="E77" s="24" t="str" cm="1">
        <f t="array" ref="E77">Common_InputFunctions.Utility_DisplayArrayInTable(Common_SourceData.Common_SourceData_WetAndDryZones_Data(), Table_SourceData_WetDryZones[[#Headers],[Climate zone]], 0)</f>
        <v>Dry climate zone</v>
      </c>
    </row>
    <row r="78" spans="1:5" ht="20.100000000000001" customHeight="1" x14ac:dyDescent="0.25">
      <c r="A78"/>
    </row>
    <row r="79" spans="1:5" ht="20.100000000000001" customHeight="1" x14ac:dyDescent="0.25">
      <c r="A79"/>
    </row>
    <row r="80" spans="1:5" ht="20.100000000000001" customHeight="1" x14ac:dyDescent="0.25">
      <c r="A80"/>
    </row>
    <row r="81" spans="1:20" ht="20.100000000000001" customHeight="1" x14ac:dyDescent="0.25">
      <c r="A81"/>
      <c r="D81" s="5" t="str" cm="1">
        <f t="array" ref="D81">Common_SourceData.Common_SourceData_ClimateZones_Title()</f>
        <v>VEERG Australian climate zones</v>
      </c>
    </row>
    <row r="82" spans="1:20" ht="20.100000000000001" customHeight="1" x14ac:dyDescent="0.25">
      <c r="A82"/>
      <c r="D82" s="4" t="str" cm="1">
        <f t="array" ref="D82">Common_SourceData.Common_SourceData_ClimateZones_Source()</f>
        <v>VEERG 2026: Table 1.3: Climate and Rainfall zone classifications and definitions</v>
      </c>
    </row>
    <row r="83" spans="1:20" ht="20.100000000000001" customHeight="1" x14ac:dyDescent="0.25">
      <c r="A83"/>
      <c r="D83" s="29" t="str" cm="1">
        <f t="array" ref="D83:D87">"⚠️" &amp; Common_SourceData.Common_SourceData_ClimateZones_Variation()</f>
        <v>⚠️VARIATION OF SOURCE DATA:</v>
      </c>
    </row>
    <row r="84" spans="1:20" ht="20.100000000000001" customHeight="1" x14ac:dyDescent="0.25">
      <c r="A84"/>
      <c r="D84" s="29" t="str">
        <v>⚠️Added warm / cool temperate moist / dry - low frost and high temp classes to accommodate climate scenarios excluded by VEERG criteria.</v>
      </c>
    </row>
    <row r="85" spans="1:20" ht="20.100000000000001" customHeight="1" x14ac:dyDescent="0.25">
      <c r="A85"/>
      <c r="D85" s="29" t="str">
        <v>⚠️Fixed typo in MAT value for warm temperate dry - changed 10 to 11.</v>
      </c>
    </row>
    <row r="86" spans="1:20" ht="20.100000000000001" customHeight="1" x14ac:dyDescent="0.25">
      <c r="A86"/>
      <c r="D86" s="29" t="str">
        <v>⚠️Added min and max columns for MAT, MAP, frost days per year, elevation, MAP:PET to calculate zones from real climate data.</v>
      </c>
    </row>
    <row r="87" spans="1:20" ht="20.100000000000001" customHeight="1" x14ac:dyDescent="0.25">
      <c r="A87"/>
      <c r="D87" s="29" t="str">
        <v>⚠️GAF accepts rainfall as a proxy for precipitation.</v>
      </c>
    </row>
    <row r="88" spans="1:20" ht="20.100000000000001" customHeight="1" x14ac:dyDescent="0.25">
      <c r="A88"/>
    </row>
    <row r="89" spans="1:20" ht="20.100000000000001" customHeight="1" x14ac:dyDescent="0.25">
      <c r="A89"/>
      <c r="D89" s="24" t="s">
        <v>3</v>
      </c>
      <c r="E89" s="24" t="s">
        <v>18</v>
      </c>
      <c r="F89" s="24" t="s">
        <v>19</v>
      </c>
      <c r="G89" s="24" t="s">
        <v>20</v>
      </c>
      <c r="H89" s="24" t="s">
        <v>21</v>
      </c>
      <c r="I89" s="24" t="s">
        <v>22</v>
      </c>
      <c r="J89" s="24" t="s">
        <v>23</v>
      </c>
      <c r="K89" s="24" t="s">
        <v>24</v>
      </c>
      <c r="L89" s="24" t="s">
        <v>25</v>
      </c>
      <c r="M89" s="24" t="s">
        <v>26</v>
      </c>
      <c r="N89" s="24" t="s">
        <v>27</v>
      </c>
      <c r="O89" s="24" t="s">
        <v>31</v>
      </c>
      <c r="P89" s="24" t="s">
        <v>28</v>
      </c>
      <c r="Q89" s="24" t="s">
        <v>32</v>
      </c>
      <c r="R89" s="24" t="s">
        <v>29</v>
      </c>
      <c r="S89" s="24" t="s">
        <v>33</v>
      </c>
      <c r="T89" s="24"/>
    </row>
    <row r="90" spans="1:20" ht="20.100000000000001" customHeight="1" x14ac:dyDescent="0.25">
      <c r="A90"/>
      <c r="D90" s="24" t="str" cm="1">
        <f t="array" ref="D90">Common_InputFunctions.Utility_DisplayArrayInTable(Common_SourceData.Common_SourceData_ClimateZones_Data(), Table_SourceData_ClimateZones[[#Headers],[Climate zone]], 0)</f>
        <v>Tropical montane</v>
      </c>
      <c r="E90" s="24" t="str" cm="1">
        <f t="array" ref="E90">Common_InputFunctions.Utility_DisplayArrayInTable(Common_SourceData.Common_SourceData_ClimateZones_Data(), Table_SourceData_ClimateZones[[#Headers],[Climate zone]], 0)</f>
        <v>&gt; 18 C</v>
      </c>
      <c r="F90" s="24" t="str" cm="1">
        <f t="array" ref="F90">Common_InputFunctions.Utility_DisplayArrayInTable(Common_SourceData.Common_SourceData_ClimateZones_Data(), Table_SourceData_ClimateZones[[#Headers],[Climate zone]], 0)</f>
        <v>Any</v>
      </c>
      <c r="G90" s="24" t="str" cm="1">
        <f t="array" ref="G90">Common_InputFunctions.Utility_DisplayArrayInTable(Common_SourceData.Common_SourceData_ClimateZones_Data(), Table_SourceData_ClimateZones[[#Headers],[Climate zone]], 0)</f>
        <v>≤ 7</v>
      </c>
      <c r="H90" s="24" t="str" cm="1">
        <f t="array" ref="H90">Common_InputFunctions.Utility_DisplayArrayInTable(Common_SourceData.Common_SourceData_ClimateZones_Data(), Table_SourceData_ClimateZones[[#Headers],[Climate zone]], 0)</f>
        <v>&gt; 1000 m</v>
      </c>
      <c r="I90" s="24" t="str" cm="1">
        <f t="array" ref="I90">Common_InputFunctions.Utility_DisplayArrayInTable(Common_SourceData.Common_SourceData_ClimateZones_Data(), Table_SourceData_ClimateZones[[#Headers],[Climate zone]], 0)</f>
        <v>Any</v>
      </c>
      <c r="J90" s="24" cm="1">
        <f t="array" ref="J90">Common_InputFunctions.Utility_DisplayArrayInTable(Common_SourceData.Common_SourceData_ClimateZones_Data(), Table_SourceData_ClimateZones[[#Headers],[Climate zone]], 0)</f>
        <v>18.001000000000001</v>
      </c>
      <c r="K90" s="24" cm="1">
        <f t="array" ref="K90">Common_InputFunctions.Utility_DisplayArrayInTable(Common_SourceData.Common_SourceData_ClimateZones_Data(), Table_SourceData_ClimateZones[[#Headers],[Climate zone]], 0)</f>
        <v>999999</v>
      </c>
      <c r="L90" s="24" cm="1">
        <f t="array" ref="L90">Common_InputFunctions.Utility_DisplayArrayInTable(Common_SourceData.Common_SourceData_ClimateZones_Data(), Table_SourceData_ClimateZones[[#Headers],[Climate zone]], 0)</f>
        <v>-999999</v>
      </c>
      <c r="M90" s="24" cm="1">
        <f t="array" ref="M90">Common_InputFunctions.Utility_DisplayArrayInTable(Common_SourceData.Common_SourceData_ClimateZones_Data(), Table_SourceData_ClimateZones[[#Headers],[Climate zone]], 0)</f>
        <v>999999</v>
      </c>
      <c r="N90" s="24" cm="1">
        <f t="array" ref="N90">Common_InputFunctions.Utility_DisplayArrayInTable(Common_SourceData.Common_SourceData_ClimateZones_Data(), Table_SourceData_ClimateZones[[#Headers],[Climate zone]], 0)</f>
        <v>-999999</v>
      </c>
      <c r="O90" s="24" cm="1">
        <f t="array" ref="O90">Common_InputFunctions.Utility_DisplayArrayInTable(Common_SourceData.Common_SourceData_ClimateZones_Data(), Table_SourceData_ClimateZones[[#Headers],[Climate zone]], 0)</f>
        <v>7</v>
      </c>
      <c r="P90" s="24" cm="1">
        <f t="array" ref="P90">Common_InputFunctions.Utility_DisplayArrayInTable(Common_SourceData.Common_SourceData_ClimateZones_Data(), Table_SourceData_ClimateZones[[#Headers],[Climate zone]], 0)</f>
        <v>1000</v>
      </c>
      <c r="Q90" s="24" cm="1">
        <f t="array" ref="Q90">Common_InputFunctions.Utility_DisplayArrayInTable(Common_SourceData.Common_SourceData_ClimateZones_Data(), Table_SourceData_ClimateZones[[#Headers],[Climate zone]], 0)</f>
        <v>999999</v>
      </c>
      <c r="R90" s="24" cm="1">
        <f t="array" ref="R90">Common_InputFunctions.Utility_DisplayArrayInTable(Common_SourceData.Common_SourceData_ClimateZones_Data(), Table_SourceData_ClimateZones[[#Headers],[Climate zone]], 0)</f>
        <v>-999999</v>
      </c>
      <c r="S90" s="24" cm="1">
        <f t="array" ref="S90">Common_InputFunctions.Utility_DisplayArrayInTable(Common_SourceData.Common_SourceData_ClimateZones_Data(), Table_SourceData_ClimateZones[[#Headers],[Climate zone]], 0)</f>
        <v>999999</v>
      </c>
      <c r="T90" s="24"/>
    </row>
    <row r="91" spans="1:20" ht="20.100000000000001" customHeight="1" x14ac:dyDescent="0.25">
      <c r="A91"/>
      <c r="D91" s="24" t="str" cm="1">
        <f t="array" ref="D91">Common_InputFunctions.Utility_DisplayArrayInTable(Common_SourceData.Common_SourceData_ClimateZones_Data(), Table_SourceData_ClimateZones[[#Headers],[Climate zone]], 0)</f>
        <v>Tropical wet</v>
      </c>
      <c r="E91" s="24" t="str" cm="1">
        <f t="array" ref="E91">Common_InputFunctions.Utility_DisplayArrayInTable(Common_SourceData.Common_SourceData_ClimateZones_Data(), Table_SourceData_ClimateZones[[#Headers],[Climate zone]], 0)</f>
        <v>&gt; 18 C</v>
      </c>
      <c r="F91" s="24" t="str" cm="1">
        <f t="array" ref="F91">Common_InputFunctions.Utility_DisplayArrayInTable(Common_SourceData.Common_SourceData_ClimateZones_Data(), Table_SourceData_ClimateZones[[#Headers],[Climate zone]], 0)</f>
        <v>&gt; 2000 mm</v>
      </c>
      <c r="G91" s="24" t="str" cm="1">
        <f t="array" ref="G91">Common_InputFunctions.Utility_DisplayArrayInTable(Common_SourceData.Common_SourceData_ClimateZones_Data(), Table_SourceData_ClimateZones[[#Headers],[Climate zone]], 0)</f>
        <v>≤ 7</v>
      </c>
      <c r="H91" s="24" t="str" cm="1">
        <f t="array" ref="H91">Common_InputFunctions.Utility_DisplayArrayInTable(Common_SourceData.Common_SourceData_ClimateZones_Data(), Table_SourceData_ClimateZones[[#Headers],[Climate zone]], 0)</f>
        <v>≤ 1000 m</v>
      </c>
      <c r="I91" s="24" t="str" cm="1">
        <f t="array" ref="I91">Common_InputFunctions.Utility_DisplayArrayInTable(Common_SourceData.Common_SourceData_ClimateZones_Data(), Table_SourceData_ClimateZones[[#Headers],[Climate zone]], 0)</f>
        <v>Any</v>
      </c>
      <c r="J91" s="24" cm="1">
        <f t="array" ref="J91">Common_InputFunctions.Utility_DisplayArrayInTable(Common_SourceData.Common_SourceData_ClimateZones_Data(), Table_SourceData_ClimateZones[[#Headers],[Climate zone]], 0)</f>
        <v>18.001000000000001</v>
      </c>
      <c r="K91" s="24" cm="1">
        <f t="array" ref="K91">Common_InputFunctions.Utility_DisplayArrayInTable(Common_SourceData.Common_SourceData_ClimateZones_Data(), Table_SourceData_ClimateZones[[#Headers],[Climate zone]], 0)</f>
        <v>999999</v>
      </c>
      <c r="L91" s="24" cm="1">
        <f t="array" ref="L91">Common_InputFunctions.Utility_DisplayArrayInTable(Common_SourceData.Common_SourceData_ClimateZones_Data(), Table_SourceData_ClimateZones[[#Headers],[Climate zone]], 0)</f>
        <v>2000.001</v>
      </c>
      <c r="M91" s="24" cm="1">
        <f t="array" ref="M91">Common_InputFunctions.Utility_DisplayArrayInTable(Common_SourceData.Common_SourceData_ClimateZones_Data(), Table_SourceData_ClimateZones[[#Headers],[Climate zone]], 0)</f>
        <v>999999</v>
      </c>
      <c r="N91" s="24" cm="1">
        <f t="array" ref="N91">Common_InputFunctions.Utility_DisplayArrayInTable(Common_SourceData.Common_SourceData_ClimateZones_Data(), Table_SourceData_ClimateZones[[#Headers],[Climate zone]], 0)</f>
        <v>-999999</v>
      </c>
      <c r="O91" s="24" cm="1">
        <f t="array" ref="O91">Common_InputFunctions.Utility_DisplayArrayInTable(Common_SourceData.Common_SourceData_ClimateZones_Data(), Table_SourceData_ClimateZones[[#Headers],[Climate zone]], 0)</f>
        <v>7</v>
      </c>
      <c r="P91" s="24" cm="1">
        <f t="array" ref="P91">Common_InputFunctions.Utility_DisplayArrayInTable(Common_SourceData.Common_SourceData_ClimateZones_Data(), Table_SourceData_ClimateZones[[#Headers],[Climate zone]], 0)</f>
        <v>-999999</v>
      </c>
      <c r="Q91" s="24" cm="1">
        <f t="array" ref="Q91">Common_InputFunctions.Utility_DisplayArrayInTable(Common_SourceData.Common_SourceData_ClimateZones_Data(), Table_SourceData_ClimateZones[[#Headers],[Climate zone]], 0)</f>
        <v>999.99900000000002</v>
      </c>
      <c r="R91" s="24" cm="1">
        <f t="array" ref="R91">Common_InputFunctions.Utility_DisplayArrayInTable(Common_SourceData.Common_SourceData_ClimateZones_Data(), Table_SourceData_ClimateZones[[#Headers],[Climate zone]], 0)</f>
        <v>-999999</v>
      </c>
      <c r="S91" s="24" cm="1">
        <f t="array" ref="S91">Common_InputFunctions.Utility_DisplayArrayInTable(Common_SourceData.Common_SourceData_ClimateZones_Data(), Table_SourceData_ClimateZones[[#Headers],[Climate zone]], 0)</f>
        <v>999999</v>
      </c>
      <c r="T91" s="24"/>
    </row>
    <row r="92" spans="1:20" ht="20.100000000000001" customHeight="1" x14ac:dyDescent="0.25">
      <c r="A92"/>
      <c r="D92" s="24" t="str" cm="1">
        <f t="array" ref="D92">Common_InputFunctions.Utility_DisplayArrayInTable(Common_SourceData.Common_SourceData_ClimateZones_Data(), Table_SourceData_ClimateZones[[#Headers],[Climate zone]], 0)</f>
        <v>Tropical moist</v>
      </c>
      <c r="E92" s="24" t="str" cm="1">
        <f t="array" ref="E92">Common_InputFunctions.Utility_DisplayArrayInTable(Common_SourceData.Common_SourceData_ClimateZones_Data(), Table_SourceData_ClimateZones[[#Headers],[Climate zone]], 0)</f>
        <v>&gt; 18 C</v>
      </c>
      <c r="F92" s="24" t="str" cm="1">
        <f t="array" ref="F92">Common_InputFunctions.Utility_DisplayArrayInTable(Common_SourceData.Common_SourceData_ClimateZones_Data(), Table_SourceData_ClimateZones[[#Headers],[Climate zone]], 0)</f>
        <v>&gt; 1000 mm - ≤ 2000 mm</v>
      </c>
      <c r="G92" s="24" t="str" cm="1">
        <f t="array" ref="G92">Common_InputFunctions.Utility_DisplayArrayInTable(Common_SourceData.Common_SourceData_ClimateZones_Data(), Table_SourceData_ClimateZones[[#Headers],[Climate zone]], 0)</f>
        <v>≤ 7</v>
      </c>
      <c r="H92" s="24" t="str" cm="1">
        <f t="array" ref="H92">Common_InputFunctions.Utility_DisplayArrayInTable(Common_SourceData.Common_SourceData_ClimateZones_Data(), Table_SourceData_ClimateZones[[#Headers],[Climate zone]], 0)</f>
        <v>≤ 1000 m</v>
      </c>
      <c r="I92" s="24" t="str" cm="1">
        <f t="array" ref="I92">Common_InputFunctions.Utility_DisplayArrayInTable(Common_SourceData.Common_SourceData_ClimateZones_Data(), Table_SourceData_ClimateZones[[#Headers],[Climate zone]], 0)</f>
        <v>Any</v>
      </c>
      <c r="J92" s="24" cm="1">
        <f t="array" ref="J92">Common_InputFunctions.Utility_DisplayArrayInTable(Common_SourceData.Common_SourceData_ClimateZones_Data(), Table_SourceData_ClimateZones[[#Headers],[Climate zone]], 0)</f>
        <v>18.001000000000001</v>
      </c>
      <c r="K92" s="24" cm="1">
        <f t="array" ref="K92">Common_InputFunctions.Utility_DisplayArrayInTable(Common_SourceData.Common_SourceData_ClimateZones_Data(), Table_SourceData_ClimateZones[[#Headers],[Climate zone]], 0)</f>
        <v>999999</v>
      </c>
      <c r="L92" s="24" cm="1">
        <f t="array" ref="L92">Common_InputFunctions.Utility_DisplayArrayInTable(Common_SourceData.Common_SourceData_ClimateZones_Data(), Table_SourceData_ClimateZones[[#Headers],[Climate zone]], 0)</f>
        <v>1000.001</v>
      </c>
      <c r="M92" s="24" cm="1">
        <f t="array" ref="M92">Common_InputFunctions.Utility_DisplayArrayInTable(Common_SourceData.Common_SourceData_ClimateZones_Data(), Table_SourceData_ClimateZones[[#Headers],[Climate zone]], 0)</f>
        <v>2000</v>
      </c>
      <c r="N92" s="24" cm="1">
        <f t="array" ref="N92">Common_InputFunctions.Utility_DisplayArrayInTable(Common_SourceData.Common_SourceData_ClimateZones_Data(), Table_SourceData_ClimateZones[[#Headers],[Climate zone]], 0)</f>
        <v>-999999</v>
      </c>
      <c r="O92" s="24" cm="1">
        <f t="array" ref="O92">Common_InputFunctions.Utility_DisplayArrayInTable(Common_SourceData.Common_SourceData_ClimateZones_Data(), Table_SourceData_ClimateZones[[#Headers],[Climate zone]], 0)</f>
        <v>7</v>
      </c>
      <c r="P92" s="24" cm="1">
        <f t="array" ref="P92">Common_InputFunctions.Utility_DisplayArrayInTable(Common_SourceData.Common_SourceData_ClimateZones_Data(), Table_SourceData_ClimateZones[[#Headers],[Climate zone]], 0)</f>
        <v>-999999</v>
      </c>
      <c r="Q92" s="24" cm="1">
        <f t="array" ref="Q92">Common_InputFunctions.Utility_DisplayArrayInTable(Common_SourceData.Common_SourceData_ClimateZones_Data(), Table_SourceData_ClimateZones[[#Headers],[Climate zone]], 0)</f>
        <v>999.99900000000002</v>
      </c>
      <c r="R92" s="24" cm="1">
        <f t="array" ref="R92">Common_InputFunctions.Utility_DisplayArrayInTable(Common_SourceData.Common_SourceData_ClimateZones_Data(), Table_SourceData_ClimateZones[[#Headers],[Climate zone]], 0)</f>
        <v>-999999</v>
      </c>
      <c r="S92" s="24" cm="1">
        <f t="array" ref="S92">Common_InputFunctions.Utility_DisplayArrayInTable(Common_SourceData.Common_SourceData_ClimateZones_Data(), Table_SourceData_ClimateZones[[#Headers],[Climate zone]], 0)</f>
        <v>999999</v>
      </c>
      <c r="T92" s="24"/>
    </row>
    <row r="93" spans="1:20" ht="20.100000000000001" customHeight="1" x14ac:dyDescent="0.25">
      <c r="A93"/>
      <c r="D93" s="24" t="str" cm="1">
        <f t="array" ref="D93">Common_InputFunctions.Utility_DisplayArrayInTable(Common_SourceData.Common_SourceData_ClimateZones_Data(), Table_SourceData_ClimateZones[[#Headers],[Climate zone]], 0)</f>
        <v>Tropical dry</v>
      </c>
      <c r="E93" s="24" t="str" cm="1">
        <f t="array" ref="E93">Common_InputFunctions.Utility_DisplayArrayInTable(Common_SourceData.Common_SourceData_ClimateZones_Data(), Table_SourceData_ClimateZones[[#Headers],[Climate zone]], 0)</f>
        <v>&gt; 18 C</v>
      </c>
      <c r="F93" s="24" t="str" cm="1">
        <f t="array" ref="F93">Common_InputFunctions.Utility_DisplayArrayInTable(Common_SourceData.Common_SourceData_ClimateZones_Data(), Table_SourceData_ClimateZones[[#Headers],[Climate zone]], 0)</f>
        <v>≤ 1000 mm</v>
      </c>
      <c r="G93" s="24" t="str" cm="1">
        <f t="array" ref="G93">Common_InputFunctions.Utility_DisplayArrayInTable(Common_SourceData.Common_SourceData_ClimateZones_Data(), Table_SourceData_ClimateZones[[#Headers],[Climate zone]], 0)</f>
        <v>≤ 7</v>
      </c>
      <c r="H93" s="24" t="str" cm="1">
        <f t="array" ref="H93">Common_InputFunctions.Utility_DisplayArrayInTable(Common_SourceData.Common_SourceData_ClimateZones_Data(), Table_SourceData_ClimateZones[[#Headers],[Climate zone]], 0)</f>
        <v>≤ 1000 m</v>
      </c>
      <c r="I93" s="24" t="str" cm="1">
        <f t="array" ref="I93">Common_InputFunctions.Utility_DisplayArrayInTable(Common_SourceData.Common_SourceData_ClimateZones_Data(), Table_SourceData_ClimateZones[[#Headers],[Climate zone]], 0)</f>
        <v>Any</v>
      </c>
      <c r="J93" s="24" cm="1">
        <f t="array" ref="J93">Common_InputFunctions.Utility_DisplayArrayInTable(Common_SourceData.Common_SourceData_ClimateZones_Data(), Table_SourceData_ClimateZones[[#Headers],[Climate zone]], 0)</f>
        <v>18.001000000000001</v>
      </c>
      <c r="K93" s="24" cm="1">
        <f t="array" ref="K93">Common_InputFunctions.Utility_DisplayArrayInTable(Common_SourceData.Common_SourceData_ClimateZones_Data(), Table_SourceData_ClimateZones[[#Headers],[Climate zone]], 0)</f>
        <v>999999</v>
      </c>
      <c r="L93" s="24" cm="1">
        <f t="array" ref="L93">Common_InputFunctions.Utility_DisplayArrayInTable(Common_SourceData.Common_SourceData_ClimateZones_Data(), Table_SourceData_ClimateZones[[#Headers],[Climate zone]], 0)</f>
        <v>-999999</v>
      </c>
      <c r="M93" s="24" cm="1">
        <f t="array" ref="M93">Common_InputFunctions.Utility_DisplayArrayInTable(Common_SourceData.Common_SourceData_ClimateZones_Data(), Table_SourceData_ClimateZones[[#Headers],[Climate zone]], 0)</f>
        <v>1000</v>
      </c>
      <c r="N93" s="24" cm="1">
        <f t="array" ref="N93">Common_InputFunctions.Utility_DisplayArrayInTable(Common_SourceData.Common_SourceData_ClimateZones_Data(), Table_SourceData_ClimateZones[[#Headers],[Climate zone]], 0)</f>
        <v>-999999</v>
      </c>
      <c r="O93" s="24" cm="1">
        <f t="array" ref="O93">Common_InputFunctions.Utility_DisplayArrayInTable(Common_SourceData.Common_SourceData_ClimateZones_Data(), Table_SourceData_ClimateZones[[#Headers],[Climate zone]], 0)</f>
        <v>7</v>
      </c>
      <c r="P93" s="24" cm="1">
        <f t="array" ref="P93">Common_InputFunctions.Utility_DisplayArrayInTable(Common_SourceData.Common_SourceData_ClimateZones_Data(), Table_SourceData_ClimateZones[[#Headers],[Climate zone]], 0)</f>
        <v>-999999</v>
      </c>
      <c r="Q93" s="24" cm="1">
        <f t="array" ref="Q93">Common_InputFunctions.Utility_DisplayArrayInTable(Common_SourceData.Common_SourceData_ClimateZones_Data(), Table_SourceData_ClimateZones[[#Headers],[Climate zone]], 0)</f>
        <v>999.99900000000002</v>
      </c>
      <c r="R93" s="24" cm="1">
        <f t="array" ref="R93">Common_InputFunctions.Utility_DisplayArrayInTable(Common_SourceData.Common_SourceData_ClimateZones_Data(), Table_SourceData_ClimateZones[[#Headers],[Climate zone]], 0)</f>
        <v>-999999</v>
      </c>
      <c r="S93" s="24" cm="1">
        <f t="array" ref="S93">Common_InputFunctions.Utility_DisplayArrayInTable(Common_SourceData.Common_SourceData_ClimateZones_Data(), Table_SourceData_ClimateZones[[#Headers],[Climate zone]], 0)</f>
        <v>999999</v>
      </c>
      <c r="T93" s="24"/>
    </row>
    <row r="94" spans="1:20" ht="20.100000000000001" customHeight="1" x14ac:dyDescent="0.25">
      <c r="A94"/>
      <c r="D94" s="24" t="str" cm="1">
        <f t="array" ref="D94">Common_InputFunctions.Utility_DisplayArrayInTable(Common_SourceData.Common_SourceData_ClimateZones_Data(), Table_SourceData_ClimateZones[[#Headers],[Climate zone]], 0)</f>
        <v>Warm temperate moist</v>
      </c>
      <c r="E94" s="24" t="str" cm="1">
        <f t="array" ref="E94">Common_InputFunctions.Utility_DisplayArrayInTable(Common_SourceData.Common_SourceData_ClimateZones_Data(), Table_SourceData_ClimateZones[[#Headers],[Climate zone]], 0)</f>
        <v>&gt; 10 C</v>
      </c>
      <c r="F94" s="24" t="str" cm="1">
        <f t="array" ref="F94">Common_InputFunctions.Utility_DisplayArrayInTable(Common_SourceData.Common_SourceData_ClimateZones_Data(), Table_SourceData_ClimateZones[[#Headers],[Climate zone]], 0)</f>
        <v>Any</v>
      </c>
      <c r="G94" s="24" t="str" cm="1">
        <f t="array" ref="G94">Common_InputFunctions.Utility_DisplayArrayInTable(Common_SourceData.Common_SourceData_ClimateZones_Data(), Table_SourceData_ClimateZones[[#Headers],[Climate zone]], 0)</f>
        <v>Any</v>
      </c>
      <c r="H94" s="24" t="str" cm="1">
        <f t="array" ref="H94">Common_InputFunctions.Utility_DisplayArrayInTable(Common_SourceData.Common_SourceData_ClimateZones_Data(), Table_SourceData_ClimateZones[[#Headers],[Climate zone]], 0)</f>
        <v>Any</v>
      </c>
      <c r="I94" s="24" t="str" cm="1">
        <f t="array" ref="I94">Common_InputFunctions.Utility_DisplayArrayInTable(Common_SourceData.Common_SourceData_ClimateZones_Data(), Table_SourceData_ClimateZones[[#Headers],[Climate zone]], 0)</f>
        <v>&gt; 1</v>
      </c>
      <c r="J94" s="24" cm="1">
        <f t="array" ref="J94">Common_InputFunctions.Utility_DisplayArrayInTable(Common_SourceData.Common_SourceData_ClimateZones_Data(), Table_SourceData_ClimateZones[[#Headers],[Climate zone]], 0)</f>
        <v>10.000999999999999</v>
      </c>
      <c r="K94" s="24" cm="1">
        <f t="array" ref="K94">Common_InputFunctions.Utility_DisplayArrayInTable(Common_SourceData.Common_SourceData_ClimateZones_Data(), Table_SourceData_ClimateZones[[#Headers],[Climate zone]], 0)</f>
        <v>999999</v>
      </c>
      <c r="L94" s="24" cm="1">
        <f t="array" ref="L94">Common_InputFunctions.Utility_DisplayArrayInTable(Common_SourceData.Common_SourceData_ClimateZones_Data(), Table_SourceData_ClimateZones[[#Headers],[Climate zone]], 0)</f>
        <v>-999999</v>
      </c>
      <c r="M94" s="24" cm="1">
        <f t="array" ref="M94">Common_InputFunctions.Utility_DisplayArrayInTable(Common_SourceData.Common_SourceData_ClimateZones_Data(), Table_SourceData_ClimateZones[[#Headers],[Climate zone]], 0)</f>
        <v>999999</v>
      </c>
      <c r="N94" s="24" cm="1">
        <f t="array" ref="N94">Common_InputFunctions.Utility_DisplayArrayInTable(Common_SourceData.Common_SourceData_ClimateZones_Data(), Table_SourceData_ClimateZones[[#Headers],[Climate zone]], 0)</f>
        <v>-999999</v>
      </c>
      <c r="O94" s="24" cm="1">
        <f t="array" ref="O94">Common_InputFunctions.Utility_DisplayArrayInTable(Common_SourceData.Common_SourceData_ClimateZones_Data(), Table_SourceData_ClimateZones[[#Headers],[Climate zone]], 0)</f>
        <v>999999</v>
      </c>
      <c r="P94" s="24" cm="1">
        <f t="array" ref="P94">Common_InputFunctions.Utility_DisplayArrayInTable(Common_SourceData.Common_SourceData_ClimateZones_Data(), Table_SourceData_ClimateZones[[#Headers],[Climate zone]], 0)</f>
        <v>-999999</v>
      </c>
      <c r="Q94" s="24" cm="1">
        <f t="array" ref="Q94">Common_InputFunctions.Utility_DisplayArrayInTable(Common_SourceData.Common_SourceData_ClimateZones_Data(), Table_SourceData_ClimateZones[[#Headers],[Climate zone]], 0)</f>
        <v>999999</v>
      </c>
      <c r="R94" s="24" cm="1">
        <f t="array" ref="R94">Common_InputFunctions.Utility_DisplayArrayInTable(Common_SourceData.Common_SourceData_ClimateZones_Data(), Table_SourceData_ClimateZones[[#Headers],[Climate zone]], 0)</f>
        <v>1.0009999999999999</v>
      </c>
      <c r="S94" s="24" cm="1">
        <f t="array" ref="S94">Common_InputFunctions.Utility_DisplayArrayInTable(Common_SourceData.Common_SourceData_ClimateZones_Data(), Table_SourceData_ClimateZones[[#Headers],[Climate zone]], 0)</f>
        <v>999999</v>
      </c>
      <c r="T94" s="24"/>
    </row>
    <row r="95" spans="1:20" ht="20.100000000000001" customHeight="1" x14ac:dyDescent="0.25">
      <c r="A95"/>
      <c r="D95" s="24" t="str" cm="1">
        <f t="array" ref="D95">Common_InputFunctions.Utility_DisplayArrayInTable(Common_SourceData.Common_SourceData_ClimateZones_Data(), Table_SourceData_ClimateZones[[#Headers],[Climate zone]], 0)</f>
        <v>Warm temperate dry</v>
      </c>
      <c r="E95" s="24" t="str" cm="1">
        <f t="array" ref="E95">Common_InputFunctions.Utility_DisplayArrayInTable(Common_SourceData.Common_SourceData_ClimateZones_Data(), Table_SourceData_ClimateZones[[#Headers],[Climate zone]], 0)</f>
        <v>&gt; 10 C</v>
      </c>
      <c r="F95" s="24" t="str" cm="1">
        <f t="array" ref="F95">Common_InputFunctions.Utility_DisplayArrayInTable(Common_SourceData.Common_SourceData_ClimateZones_Data(), Table_SourceData_ClimateZones[[#Headers],[Climate zone]], 0)</f>
        <v>Any</v>
      </c>
      <c r="G95" s="24" t="str" cm="1">
        <f t="array" ref="G95">Common_InputFunctions.Utility_DisplayArrayInTable(Common_SourceData.Common_SourceData_ClimateZones_Data(), Table_SourceData_ClimateZones[[#Headers],[Climate zone]], 0)</f>
        <v>Any</v>
      </c>
      <c r="H95" s="24" t="str" cm="1">
        <f t="array" ref="H95">Common_InputFunctions.Utility_DisplayArrayInTable(Common_SourceData.Common_SourceData_ClimateZones_Data(), Table_SourceData_ClimateZones[[#Headers],[Climate zone]], 0)</f>
        <v>Any</v>
      </c>
      <c r="I95" s="24" t="str" cm="1">
        <f t="array" ref="I95">Common_InputFunctions.Utility_DisplayArrayInTable(Common_SourceData.Common_SourceData_ClimateZones_Data(), Table_SourceData_ClimateZones[[#Headers],[Climate zone]], 0)</f>
        <v>≤ 1</v>
      </c>
      <c r="J95" s="24" cm="1">
        <f t="array" ref="J95">Common_InputFunctions.Utility_DisplayArrayInTable(Common_SourceData.Common_SourceData_ClimateZones_Data(), Table_SourceData_ClimateZones[[#Headers],[Climate zone]], 0)</f>
        <v>10.000999999999999</v>
      </c>
      <c r="K95" s="24" cm="1">
        <f t="array" ref="K95">Common_InputFunctions.Utility_DisplayArrayInTable(Common_SourceData.Common_SourceData_ClimateZones_Data(), Table_SourceData_ClimateZones[[#Headers],[Climate zone]], 0)</f>
        <v>999999</v>
      </c>
      <c r="L95" s="24" cm="1">
        <f t="array" ref="L95">Common_InputFunctions.Utility_DisplayArrayInTable(Common_SourceData.Common_SourceData_ClimateZones_Data(), Table_SourceData_ClimateZones[[#Headers],[Climate zone]], 0)</f>
        <v>-999999</v>
      </c>
      <c r="M95" s="24" cm="1">
        <f t="array" ref="M95">Common_InputFunctions.Utility_DisplayArrayInTable(Common_SourceData.Common_SourceData_ClimateZones_Data(), Table_SourceData_ClimateZones[[#Headers],[Climate zone]], 0)</f>
        <v>999999</v>
      </c>
      <c r="N95" s="24" cm="1">
        <f t="array" ref="N95">Common_InputFunctions.Utility_DisplayArrayInTable(Common_SourceData.Common_SourceData_ClimateZones_Data(), Table_SourceData_ClimateZones[[#Headers],[Climate zone]], 0)</f>
        <v>-999999</v>
      </c>
      <c r="O95" s="24" cm="1">
        <f t="array" ref="O95">Common_InputFunctions.Utility_DisplayArrayInTable(Common_SourceData.Common_SourceData_ClimateZones_Data(), Table_SourceData_ClimateZones[[#Headers],[Climate zone]], 0)</f>
        <v>999999</v>
      </c>
      <c r="P95" s="24" cm="1">
        <f t="array" ref="P95">Common_InputFunctions.Utility_DisplayArrayInTable(Common_SourceData.Common_SourceData_ClimateZones_Data(), Table_SourceData_ClimateZones[[#Headers],[Climate zone]], 0)</f>
        <v>-999999</v>
      </c>
      <c r="Q95" s="24" cm="1">
        <f t="array" ref="Q95">Common_InputFunctions.Utility_DisplayArrayInTable(Common_SourceData.Common_SourceData_ClimateZones_Data(), Table_SourceData_ClimateZones[[#Headers],[Climate zone]], 0)</f>
        <v>999999</v>
      </c>
      <c r="R95" s="24" cm="1">
        <f t="array" ref="R95">Common_InputFunctions.Utility_DisplayArrayInTable(Common_SourceData.Common_SourceData_ClimateZones_Data(), Table_SourceData_ClimateZones[[#Headers],[Climate zone]], 0)</f>
        <v>-999999</v>
      </c>
      <c r="S95" s="24" cm="1">
        <f t="array" ref="S95">Common_InputFunctions.Utility_DisplayArrayInTable(Common_SourceData.Common_SourceData_ClimateZones_Data(), Table_SourceData_ClimateZones[[#Headers],[Climate zone]], 0)</f>
        <v>1</v>
      </c>
      <c r="T95" s="24"/>
    </row>
    <row r="96" spans="1:20" ht="20.100000000000001" customHeight="1" x14ac:dyDescent="0.25">
      <c r="A96"/>
      <c r="D96" s="24" t="str" cm="1">
        <f t="array" ref="D96">Common_InputFunctions.Utility_DisplayArrayInTable(Common_SourceData.Common_SourceData_ClimateZones_Data(), Table_SourceData_ClimateZones[[#Headers],[Climate zone]], 0)</f>
        <v>Cool temperate moist</v>
      </c>
      <c r="E96" s="24" t="str" cm="1">
        <f t="array" ref="E96">Common_InputFunctions.Utility_DisplayArrayInTable(Common_SourceData.Common_SourceData_ClimateZones_Data(), Table_SourceData_ClimateZones[[#Headers],[Climate zone]], 0)</f>
        <v>&gt; 0 C - ≤ 10 C</v>
      </c>
      <c r="F96" s="24" t="str" cm="1">
        <f t="array" ref="F96">Common_InputFunctions.Utility_DisplayArrayInTable(Common_SourceData.Common_SourceData_ClimateZones_Data(), Table_SourceData_ClimateZones[[#Headers],[Climate zone]], 0)</f>
        <v>Any</v>
      </c>
      <c r="G96" s="24" t="str" cm="1">
        <f t="array" ref="G96">Common_InputFunctions.Utility_DisplayArrayInTable(Common_SourceData.Common_SourceData_ClimateZones_Data(), Table_SourceData_ClimateZones[[#Headers],[Climate zone]], 0)</f>
        <v>Any</v>
      </c>
      <c r="H96" s="24" t="str" cm="1">
        <f t="array" ref="H96">Common_InputFunctions.Utility_DisplayArrayInTable(Common_SourceData.Common_SourceData_ClimateZones_Data(), Table_SourceData_ClimateZones[[#Headers],[Climate zone]], 0)</f>
        <v>Any</v>
      </c>
      <c r="I96" s="24" t="str" cm="1">
        <f t="array" ref="I96">Common_InputFunctions.Utility_DisplayArrayInTable(Common_SourceData.Common_SourceData_ClimateZones_Data(), Table_SourceData_ClimateZones[[#Headers],[Climate zone]], 0)</f>
        <v>&gt; 1</v>
      </c>
      <c r="J96" s="24" cm="1">
        <f t="array" ref="J96">Common_InputFunctions.Utility_DisplayArrayInTable(Common_SourceData.Common_SourceData_ClimateZones_Data(), Table_SourceData_ClimateZones[[#Headers],[Climate zone]], 0)</f>
        <v>-999999</v>
      </c>
      <c r="K96" s="24" cm="1">
        <f t="array" ref="K96">Common_InputFunctions.Utility_DisplayArrayInTable(Common_SourceData.Common_SourceData_ClimateZones_Data(), Table_SourceData_ClimateZones[[#Headers],[Climate zone]], 0)</f>
        <v>10</v>
      </c>
      <c r="L96" s="24" cm="1">
        <f t="array" ref="L96">Common_InputFunctions.Utility_DisplayArrayInTable(Common_SourceData.Common_SourceData_ClimateZones_Data(), Table_SourceData_ClimateZones[[#Headers],[Climate zone]], 0)</f>
        <v>-999999</v>
      </c>
      <c r="M96" s="24" cm="1">
        <f t="array" ref="M96">Common_InputFunctions.Utility_DisplayArrayInTable(Common_SourceData.Common_SourceData_ClimateZones_Data(), Table_SourceData_ClimateZones[[#Headers],[Climate zone]], 0)</f>
        <v>999999</v>
      </c>
      <c r="N96" s="24" cm="1">
        <f t="array" ref="N96">Common_InputFunctions.Utility_DisplayArrayInTable(Common_SourceData.Common_SourceData_ClimateZones_Data(), Table_SourceData_ClimateZones[[#Headers],[Climate zone]], 0)</f>
        <v>-999999</v>
      </c>
      <c r="O96" s="24" cm="1">
        <f t="array" ref="O96">Common_InputFunctions.Utility_DisplayArrayInTable(Common_SourceData.Common_SourceData_ClimateZones_Data(), Table_SourceData_ClimateZones[[#Headers],[Climate zone]], 0)</f>
        <v>999999</v>
      </c>
      <c r="P96" s="24" cm="1">
        <f t="array" ref="P96">Common_InputFunctions.Utility_DisplayArrayInTable(Common_SourceData.Common_SourceData_ClimateZones_Data(), Table_SourceData_ClimateZones[[#Headers],[Climate zone]], 0)</f>
        <v>-999999</v>
      </c>
      <c r="Q96" s="24" cm="1">
        <f t="array" ref="Q96">Common_InputFunctions.Utility_DisplayArrayInTable(Common_SourceData.Common_SourceData_ClimateZones_Data(), Table_SourceData_ClimateZones[[#Headers],[Climate zone]], 0)</f>
        <v>999999</v>
      </c>
      <c r="R96" s="24" cm="1">
        <f t="array" ref="R96">Common_InputFunctions.Utility_DisplayArrayInTable(Common_SourceData.Common_SourceData_ClimateZones_Data(), Table_SourceData_ClimateZones[[#Headers],[Climate zone]], 0)</f>
        <v>1.0009999999999999</v>
      </c>
      <c r="S96" s="24" cm="1">
        <f t="array" ref="S96">Common_InputFunctions.Utility_DisplayArrayInTable(Common_SourceData.Common_SourceData_ClimateZones_Data(), Table_SourceData_ClimateZones[[#Headers],[Climate zone]], 0)</f>
        <v>999999</v>
      </c>
      <c r="T96" s="24"/>
    </row>
    <row r="97" spans="1:20" ht="20.100000000000001" customHeight="1" x14ac:dyDescent="0.25">
      <c r="A97"/>
      <c r="D97" s="24" t="str" cm="1">
        <f t="array" ref="D97">Common_InputFunctions.Utility_DisplayArrayInTable(Common_SourceData.Common_SourceData_ClimateZones_Data(), Table_SourceData_ClimateZones[[#Headers],[Climate zone]], 0)</f>
        <v>Cool temperate dry</v>
      </c>
      <c r="E97" s="24" t="str" cm="1">
        <f t="array" ref="E97">Common_InputFunctions.Utility_DisplayArrayInTable(Common_SourceData.Common_SourceData_ClimateZones_Data(), Table_SourceData_ClimateZones[[#Headers],[Climate zone]], 0)</f>
        <v>&gt; 0 C - ≤ 10 C</v>
      </c>
      <c r="F97" s="24" t="str" cm="1">
        <f t="array" ref="F97">Common_InputFunctions.Utility_DisplayArrayInTable(Common_SourceData.Common_SourceData_ClimateZones_Data(), Table_SourceData_ClimateZones[[#Headers],[Climate zone]], 0)</f>
        <v>Any</v>
      </c>
      <c r="G97" s="24" t="str" cm="1">
        <f t="array" ref="G97">Common_InputFunctions.Utility_DisplayArrayInTable(Common_SourceData.Common_SourceData_ClimateZones_Data(), Table_SourceData_ClimateZones[[#Headers],[Climate zone]], 0)</f>
        <v>Any</v>
      </c>
      <c r="H97" s="24" t="str" cm="1">
        <f t="array" ref="H97">Common_InputFunctions.Utility_DisplayArrayInTable(Common_SourceData.Common_SourceData_ClimateZones_Data(), Table_SourceData_ClimateZones[[#Headers],[Climate zone]], 0)</f>
        <v>Any</v>
      </c>
      <c r="I97" s="24" t="str" cm="1">
        <f t="array" ref="I97">Common_InputFunctions.Utility_DisplayArrayInTable(Common_SourceData.Common_SourceData_ClimateZones_Data(), Table_SourceData_ClimateZones[[#Headers],[Climate zone]], 0)</f>
        <v>≤ 1</v>
      </c>
      <c r="J97" s="24" cm="1">
        <f t="array" ref="J97">Common_InputFunctions.Utility_DisplayArrayInTable(Common_SourceData.Common_SourceData_ClimateZones_Data(), Table_SourceData_ClimateZones[[#Headers],[Climate zone]], 0)</f>
        <v>-999999</v>
      </c>
      <c r="K97" s="24" cm="1">
        <f t="array" ref="K97">Common_InputFunctions.Utility_DisplayArrayInTable(Common_SourceData.Common_SourceData_ClimateZones_Data(), Table_SourceData_ClimateZones[[#Headers],[Climate zone]], 0)</f>
        <v>10</v>
      </c>
      <c r="L97" s="24" cm="1">
        <f t="array" ref="L97">Common_InputFunctions.Utility_DisplayArrayInTable(Common_SourceData.Common_SourceData_ClimateZones_Data(), Table_SourceData_ClimateZones[[#Headers],[Climate zone]], 0)</f>
        <v>-999999</v>
      </c>
      <c r="M97" s="24" cm="1">
        <f t="array" ref="M97">Common_InputFunctions.Utility_DisplayArrayInTable(Common_SourceData.Common_SourceData_ClimateZones_Data(), Table_SourceData_ClimateZones[[#Headers],[Climate zone]], 0)</f>
        <v>999999</v>
      </c>
      <c r="N97" s="24" cm="1">
        <f t="array" ref="N97">Common_InputFunctions.Utility_DisplayArrayInTable(Common_SourceData.Common_SourceData_ClimateZones_Data(), Table_SourceData_ClimateZones[[#Headers],[Climate zone]], 0)</f>
        <v>-999999</v>
      </c>
      <c r="O97" s="24" cm="1">
        <f t="array" ref="O97">Common_InputFunctions.Utility_DisplayArrayInTable(Common_SourceData.Common_SourceData_ClimateZones_Data(), Table_SourceData_ClimateZones[[#Headers],[Climate zone]], 0)</f>
        <v>999999</v>
      </c>
      <c r="P97" s="24" cm="1">
        <f t="array" ref="P97">Common_InputFunctions.Utility_DisplayArrayInTable(Common_SourceData.Common_SourceData_ClimateZones_Data(), Table_SourceData_ClimateZones[[#Headers],[Climate zone]], 0)</f>
        <v>-999999</v>
      </c>
      <c r="Q97" s="24" cm="1">
        <f t="array" ref="Q97">Common_InputFunctions.Utility_DisplayArrayInTable(Common_SourceData.Common_SourceData_ClimateZones_Data(), Table_SourceData_ClimateZones[[#Headers],[Climate zone]], 0)</f>
        <v>999999</v>
      </c>
      <c r="R97" s="24" cm="1">
        <f t="array" ref="R97">Common_InputFunctions.Utility_DisplayArrayInTable(Common_SourceData.Common_SourceData_ClimateZones_Data(), Table_SourceData_ClimateZones[[#Headers],[Climate zone]], 0)</f>
        <v>-999999</v>
      </c>
      <c r="S97" s="24" cm="1">
        <f t="array" ref="S97">Common_InputFunctions.Utility_DisplayArrayInTable(Common_SourceData.Common_SourceData_ClimateZones_Data(), Table_SourceData_ClimateZones[[#Headers],[Climate zone]], 0)</f>
        <v>1</v>
      </c>
      <c r="T97" s="24"/>
    </row>
    <row r="98" spans="1:20" ht="20.100000000000001" customHeight="1" x14ac:dyDescent="0.25">
      <c r="A98"/>
    </row>
    <row r="99" spans="1:20" ht="20.100000000000001" customHeight="1" x14ac:dyDescent="0.25">
      <c r="A99"/>
      <c r="D99" s="28" t="str" cm="1">
        <f t="array" ref="D99:D102">Common_SourceData.Common_SourceData_ClimateZones_Appendices()</f>
        <v>Note:</v>
      </c>
    </row>
    <row r="100" spans="1:20" ht="20.100000000000001" customHeight="1" x14ac:dyDescent="0.25">
      <c r="A100"/>
      <c r="D100" s="28" t="str">
        <v>MAT = mean annual temperature</v>
      </c>
    </row>
    <row r="101" spans="1:20" ht="20.100000000000001" customHeight="1" x14ac:dyDescent="0.25">
      <c r="A101"/>
      <c r="D101" s="28" t="str">
        <v>MAP = mean annual precipitation</v>
      </c>
    </row>
    <row r="102" spans="1:20" ht="20.100000000000001" customHeight="1" x14ac:dyDescent="0.25">
      <c r="A102"/>
      <c r="D102" s="28" t="str">
        <v>PET = potential evapotranspiration</v>
      </c>
    </row>
    <row r="103" spans="1:20" ht="20.100000000000001" customHeight="1" x14ac:dyDescent="0.25">
      <c r="A103"/>
      <c r="D103" s="28"/>
    </row>
    <row r="104" spans="1:20" ht="20.100000000000001" customHeight="1" x14ac:dyDescent="0.25">
      <c r="A104"/>
    </row>
    <row r="105" spans="1:20" ht="20.100000000000001" customHeight="1" x14ac:dyDescent="0.25">
      <c r="A105"/>
      <c r="D105" s="5" t="str" cm="1">
        <f t="array" ref="D105">Common_SourceData.Common_SourceData_TemperatureZones_Title()</f>
        <v>VEERG Australian temperature zones</v>
      </c>
    </row>
    <row r="106" spans="1:20" ht="20.100000000000001" customHeight="1" x14ac:dyDescent="0.25">
      <c r="A106"/>
      <c r="D106" s="4" t="str" cm="1">
        <f t="array" ref="D106">Common_SourceData.Common_SourceData_TemperatureZones_Source()</f>
        <v>VEERG 2026: Table 1.3: Climate and Rainfall zone classifications and definitions</v>
      </c>
    </row>
    <row r="107" spans="1:20" ht="20.100000000000001" customHeight="1" x14ac:dyDescent="0.25">
      <c r="A107"/>
      <c r="D107" s="29" t="str" cm="1">
        <f t="array" ref="D107">"⚠️" &amp; Common_SourceData.Common_SourceData_TemperatureZones_Variation()</f>
        <v>⚠️VARIATION OF SOURCE DATA: Added extra MAT min and MAT max columns to calculate zone from real temperature data.</v>
      </c>
    </row>
    <row r="108" spans="1:20" ht="20.100000000000001" customHeight="1" x14ac:dyDescent="0.25">
      <c r="A108"/>
    </row>
    <row r="109" spans="1:20" ht="20.100000000000001" customHeight="1" x14ac:dyDescent="0.25">
      <c r="A109"/>
      <c r="D109" s="24" t="s">
        <v>35</v>
      </c>
      <c r="E109" s="24" t="s">
        <v>18</v>
      </c>
      <c r="F109" s="24" t="s">
        <v>36</v>
      </c>
      <c r="G109" s="24" t="s">
        <v>37</v>
      </c>
    </row>
    <row r="110" spans="1:20" ht="20.100000000000001" customHeight="1" x14ac:dyDescent="0.25">
      <c r="A110"/>
      <c r="D110" s="24" t="str" cm="1">
        <f t="array" ref="D110">Common_InputFunctions.Utility_DisplayArrayInTable(Common_SourceData.Common_SourceData_TemperatureZones_Data(),Table_SourceData_TemperatureZones[[#Headers],[Temperature Zone]],0)</f>
        <v>Warm</v>
      </c>
      <c r="E110" s="24" t="str" cm="1">
        <f t="array" ref="E110">Common_InputFunctions.Utility_DisplayArrayInTable(Common_SourceData.Common_SourceData_TemperatureZones_Data(),Table_SourceData_TemperatureZones[[#Headers],[Temperature Zone]],0)</f>
        <v>≥ 26 C</v>
      </c>
      <c r="F110" s="24" cm="1">
        <f t="array" ref="F110">Common_InputFunctions.Utility_DisplayArrayInTable(Common_SourceData.Common_SourceData_TemperatureZones_Data(),Table_SourceData_TemperatureZones[[#Headers],[Temperature Zone]],0)</f>
        <v>26</v>
      </c>
      <c r="G110" s="24" cm="1">
        <f t="array" ref="G110">Common_InputFunctions.Utility_DisplayArrayInTable(Common_SourceData.Common_SourceData_TemperatureZones_Data(),Table_SourceData_TemperatureZones[[#Headers],[Temperature Zone]],0)</f>
        <v>999999</v>
      </c>
    </row>
    <row r="111" spans="1:20" ht="20.100000000000001" customHeight="1" x14ac:dyDescent="0.25">
      <c r="A111"/>
      <c r="D111" s="24" t="str" cm="1">
        <f t="array" ref="D111">Common_InputFunctions.Utility_DisplayArrayInTable(Common_SourceData.Common_SourceData_TemperatureZones_Data(),Table_SourceData_TemperatureZones[[#Headers],[Temperature Zone]],0)</f>
        <v>Temperate</v>
      </c>
      <c r="E111" s="24" t="str" cm="1">
        <f t="array" ref="E111">Common_InputFunctions.Utility_DisplayArrayInTable(Common_SourceData.Common_SourceData_TemperatureZones_Data(),Table_SourceData_TemperatureZones[[#Headers],[Temperature Zone]],0)</f>
        <v>15 - 25 C</v>
      </c>
      <c r="F111" s="24" cm="1">
        <f t="array" ref="F111">Common_InputFunctions.Utility_DisplayArrayInTable(Common_SourceData.Common_SourceData_TemperatureZones_Data(),Table_SourceData_TemperatureZones[[#Headers],[Temperature Zone]],0)</f>
        <v>15</v>
      </c>
      <c r="G111" s="24" cm="1">
        <f t="array" ref="G111">Common_InputFunctions.Utility_DisplayArrayInTable(Common_SourceData.Common_SourceData_TemperatureZones_Data(),Table_SourceData_TemperatureZones[[#Headers],[Temperature Zone]],0)</f>
        <v>25.998999999999999</v>
      </c>
    </row>
    <row r="112" spans="1:20" ht="20.100000000000001" customHeight="1" x14ac:dyDescent="0.25">
      <c r="A112"/>
      <c r="D112" s="24" t="str" cm="1">
        <f t="array" ref="D112">Common_InputFunctions.Utility_DisplayArrayInTable(Common_SourceData.Common_SourceData_TemperatureZones_Data(),Table_SourceData_TemperatureZones[[#Headers],[Temperature Zone]],0)</f>
        <v>Cool</v>
      </c>
      <c r="E112" s="24" t="str" cm="1">
        <f t="array" ref="E112">Common_InputFunctions.Utility_DisplayArrayInTable(Common_SourceData.Common_SourceData_TemperatureZones_Data(),Table_SourceData_TemperatureZones[[#Headers],[Temperature Zone]],0)</f>
        <v>≤ 14 C</v>
      </c>
      <c r="F112" s="24" cm="1">
        <f t="array" ref="F112">Common_InputFunctions.Utility_DisplayArrayInTable(Common_SourceData.Common_SourceData_TemperatureZones_Data(),Table_SourceData_TemperatureZones[[#Headers],[Temperature Zone]],0)</f>
        <v>-999999</v>
      </c>
      <c r="G112" s="24" cm="1">
        <f t="array" ref="G112">Common_InputFunctions.Utility_DisplayArrayInTable(Common_SourceData.Common_SourceData_TemperatureZones_Data(),Table_SourceData_TemperatureZones[[#Headers],[Temperature Zone]],0)</f>
        <v>14.999000000000001</v>
      </c>
    </row>
    <row r="113" spans="1:66" ht="20.100000000000001" customHeight="1" x14ac:dyDescent="0.25">
      <c r="A113"/>
    </row>
    <row r="114" spans="1:66" ht="20.100000000000001" customHeight="1" x14ac:dyDescent="0.25">
      <c r="A114"/>
    </row>
    <row r="115" spans="1:66" ht="20.100000000000001" customHeight="1" x14ac:dyDescent="0.25">
      <c r="A115"/>
      <c r="D115" s="5" t="str" cm="1">
        <f t="array" ref="D115">Common_SourceData.Common_SourceData_RainfallZones_Title()</f>
        <v>VEERG Australian rainfall zones</v>
      </c>
      <c r="BN115" s="6"/>
    </row>
    <row r="116" spans="1:66" ht="20.100000000000001" customHeight="1" x14ac:dyDescent="0.25">
      <c r="A116"/>
      <c r="D116" s="4" t="str" cm="1">
        <f t="array" ref="D116">Common_SourceData.Common_SourceData_RainfallZones_Source()</f>
        <v>VEERG 2026: Table 1.3: Climate and Rainfall zone classifications and definitions</v>
      </c>
      <c r="BN116" s="6"/>
    </row>
    <row r="117" spans="1:66" ht="20.100000000000001" customHeight="1" x14ac:dyDescent="0.25">
      <c r="A117"/>
      <c r="D117" s="29" t="str" cm="1">
        <f t="array" ref="D117">"⚠️" &amp; Common_SourceData.Common_SourceData_RainfallZones_Variation()</f>
        <v>⚠️VARIATION OF SOURCE DATA: Added extra Rainfall min and Rainfall max columns to calculate zone from real rainfall data.</v>
      </c>
      <c r="BN117" s="6"/>
    </row>
    <row r="118" spans="1:66" ht="20.100000000000001" customHeight="1" x14ac:dyDescent="0.25">
      <c r="A118"/>
      <c r="BN118" s="6"/>
    </row>
    <row r="119" spans="1:66" ht="20.100000000000001" customHeight="1" x14ac:dyDescent="0.25">
      <c r="A119"/>
      <c r="D119" s="24" t="s">
        <v>38</v>
      </c>
      <c r="E119" s="24" t="s">
        <v>39</v>
      </c>
      <c r="F119" s="24" t="s">
        <v>25</v>
      </c>
      <c r="G119" s="24" t="s">
        <v>26</v>
      </c>
      <c r="BN119" s="6"/>
    </row>
    <row r="120" spans="1:66" ht="20.100000000000001" customHeight="1" x14ac:dyDescent="0.25">
      <c r="A120"/>
      <c r="D120" s="24" t="str" cm="1">
        <f t="array" ref="D120">Common_InputFunctions.Utility_DisplayArrayInTable(Common_SourceData.Common_SourceData_RainfallZones_Data(),Table_SourceData_RainfallZones[[#Headers],[Rainfall Zone]],0)</f>
        <v>High rainfall</v>
      </c>
      <c r="E120" s="24" t="str" cm="1">
        <f t="array" ref="E120">Common_InputFunctions.Utility_DisplayArrayInTable(Common_SourceData.Common_SourceData_RainfallZones_Data(),Table_SourceData_RainfallZones[[#Headers],[Rainfall Zone]],0)</f>
        <v>Annual rainfall &gt; 600mm</v>
      </c>
      <c r="F120" s="24" cm="1">
        <f t="array" ref="F120">Common_InputFunctions.Utility_DisplayArrayInTable(Common_SourceData.Common_SourceData_RainfallZones_Data(),Table_SourceData_RainfallZones[[#Headers],[Rainfall Zone]],0)</f>
        <v>600.00099999999998</v>
      </c>
      <c r="G120" s="24" cm="1">
        <f t="array" ref="G120">Common_InputFunctions.Utility_DisplayArrayInTable(Common_SourceData.Common_SourceData_RainfallZones_Data(),Table_SourceData_RainfallZones[[#Headers],[Rainfall Zone]],0)</f>
        <v>999999</v>
      </c>
      <c r="BN120" s="6"/>
    </row>
    <row r="121" spans="1:66" ht="20.100000000000001" customHeight="1" x14ac:dyDescent="0.25">
      <c r="A121"/>
      <c r="D121" s="24" t="str" cm="1">
        <f t="array" ref="D121">Common_InputFunctions.Utility_DisplayArrayInTable(Common_SourceData.Common_SourceData_RainfallZones_Data(),Table_SourceData_RainfallZones[[#Headers],[Rainfall Zone]],0)</f>
        <v>Low rainfall</v>
      </c>
      <c r="E121" s="24" t="str" cm="1">
        <f t="array" ref="E121">Common_InputFunctions.Utility_DisplayArrayInTable(Common_SourceData.Common_SourceData_RainfallZones_Data(),Table_SourceData_RainfallZones[[#Headers],[Rainfall Zone]],0)</f>
        <v>Annual rainfall ≤ 600mm</v>
      </c>
      <c r="F121" s="24" cm="1">
        <f t="array" ref="F121">Common_InputFunctions.Utility_DisplayArrayInTable(Common_SourceData.Common_SourceData_RainfallZones_Data(),Table_SourceData_RainfallZones[[#Headers],[Rainfall Zone]],0)</f>
        <v>-999999</v>
      </c>
      <c r="G121" s="24" cm="1">
        <f t="array" ref="G121">Common_InputFunctions.Utility_DisplayArrayInTable(Common_SourceData.Common_SourceData_RainfallZones_Data(),Table_SourceData_RainfallZones[[#Headers],[Rainfall Zone]],0)</f>
        <v>600</v>
      </c>
      <c r="BN121" s="6"/>
    </row>
    <row r="122" spans="1:66" ht="20.100000000000001" customHeight="1" x14ac:dyDescent="0.25">
      <c r="A122"/>
      <c r="BN122" s="6"/>
    </row>
    <row r="123" spans="1:66" ht="20.100000000000001" customHeight="1" x14ac:dyDescent="0.25">
      <c r="A123"/>
    </row>
    <row r="124" spans="1:66" ht="20.100000000000001" customHeight="1" x14ac:dyDescent="0.25">
      <c r="A124"/>
      <c r="D124" s="5" t="str" cm="1">
        <f t="array" ref="D124">Common_SourceData.Common_SourceData_LeachingZones_Title()</f>
        <v>VEERG Australian leaching zones</v>
      </c>
    </row>
    <row r="125" spans="1:66" ht="20.100000000000001" customHeight="1" x14ac:dyDescent="0.25">
      <c r="A125"/>
      <c r="D125" s="4" t="str" cm="1">
        <f t="array" ref="D125">Common_SourceData.Common_SourceData_LeachingZones_Source()</f>
        <v>VEERG 2026: Table 1.3: Climate and Rainfall zone classifications and definitions</v>
      </c>
    </row>
    <row r="126" spans="1:66" ht="20.100000000000001" customHeight="1" x14ac:dyDescent="0.25">
      <c r="A126"/>
    </row>
    <row r="127" spans="1:66" ht="20.100000000000001" customHeight="1" x14ac:dyDescent="0.25">
      <c r="A127"/>
      <c r="D127" s="24" t="s">
        <v>40</v>
      </c>
      <c r="E127" s="24" t="s">
        <v>41</v>
      </c>
    </row>
    <row r="128" spans="1:66" ht="20.100000000000001" customHeight="1" x14ac:dyDescent="0.25">
      <c r="A128"/>
      <c r="D128" s="24" t="str" cm="1">
        <f t="array" ref="D128">Common_InputFunctions.Utility_DisplayArrayInTable(Common_SourceData.Common_SourceData_LeachingZones_Data(), Table_SourceData_LeachingZones[[#Headers],[Leaching Zone]], 0)</f>
        <v>Leaching occurs</v>
      </c>
      <c r="E128" s="24"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1:77" ht="20.100000000000001" customHeight="1" x14ac:dyDescent="0.25">
      <c r="A129"/>
      <c r="D129" s="24" t="str" cm="1">
        <f t="array" ref="D129">Common_InputFunctions.Utility_DisplayArrayInTable(Common_SourceData.Common_SourceData_LeachingZones_Data(), Table_SourceData_LeachingZones[[#Headers],[Leaching Zone]], 0)</f>
        <v>Leaching does not occur</v>
      </c>
      <c r="E129" s="24"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1:77" ht="20.100000000000001" customHeight="1" x14ac:dyDescent="0.25">
      <c r="A130"/>
    </row>
    <row r="131" spans="1:77" ht="20.100000000000001" customHeight="1" x14ac:dyDescent="0.25">
      <c r="A131"/>
    </row>
    <row r="132" spans="1:77" ht="20.100000000000001" customHeight="1" x14ac:dyDescent="0.25">
      <c r="A132"/>
      <c r="D132" s="5" t="str" cm="1">
        <f t="array" ref="D132">Common_SourceData.Common_SourceData_FracWET_Title()</f>
        <v>Fraction of N that is available for leaching and runoff</v>
      </c>
      <c r="E132" s="16"/>
    </row>
    <row r="133" spans="1:77" ht="20.100000000000001" customHeight="1" x14ac:dyDescent="0.25">
      <c r="A133"/>
      <c r="D133" s="4" t="str" cm="1">
        <f t="array" ref="D133">Common_SourceData.Common_SourceData_FracWET_Source()</f>
        <v>VEERG 2026:5.5.2.3 Constant Parameters</v>
      </c>
      <c r="E133" s="16"/>
    </row>
    <row r="134" spans="1:77" ht="20.100000000000001" customHeight="1" x14ac:dyDescent="0.25">
      <c r="A134"/>
      <c r="D134" t="s">
        <v>46</v>
      </c>
      <c r="E134" t="s">
        <v>47</v>
      </c>
    </row>
    <row r="135" spans="1:77" ht="20.100000000000001" customHeight="1" x14ac:dyDescent="0.25">
      <c r="A13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1:77" ht="20.100000000000001" customHeight="1" x14ac:dyDescent="0.25">
      <c r="A136"/>
      <c r="D136" s="1" t="str" cm="1">
        <f t="array" ref="D136">Common_InputFunctions.Utility_DisplayArrayInTable(Common_SourceData.Common_SourceData_FracWET_Data(),Table_SourceData_FracWET[[#Headers],[Is in leaching zone]],0)</f>
        <v>No - not in leaching zone</v>
      </c>
      <c r="E136" s="24" cm="1">
        <f t="array" ref="E136">Common_InputFunctions.Utility_DisplayArrayInTable(Common_SourceData.Common_SourceData_FracWET_Data(),Table_SourceData_FracWET[[#Headers],[Is in leaching zone]],0)</f>
        <v>0</v>
      </c>
    </row>
    <row r="137" spans="1:77" ht="20.100000000000001" customHeight="1" x14ac:dyDescent="0.25">
      <c r="A137"/>
    </row>
    <row r="138" spans="1:77" ht="20.100000000000001" customHeight="1" x14ac:dyDescent="0.25">
      <c r="A138"/>
      <c r="BN138" s="6"/>
      <c r="BO138" s="6"/>
      <c r="BP138" s="6"/>
      <c r="BQ138" s="6"/>
      <c r="BR138" s="6"/>
      <c r="BS138" s="6"/>
      <c r="BT138" s="6"/>
      <c r="BU138" s="6"/>
      <c r="BV138" s="6"/>
      <c r="BW138" s="6"/>
      <c r="BX138" s="6"/>
      <c r="BY138" s="6"/>
    </row>
    <row r="139" spans="1:77" ht="20.100000000000001" customHeight="1" x14ac:dyDescent="0.25">
      <c r="A139"/>
      <c r="D139" s="5" t="str" cm="1">
        <f t="array" ref="D139">Common_SourceData.Common_SourceData_FracWETIrrigation_Title()</f>
        <v>FracWET for irrigation types</v>
      </c>
      <c r="BN139" s="6"/>
      <c r="BO139" s="6"/>
      <c r="BP139" s="6"/>
      <c r="BQ139" s="6"/>
      <c r="BR139" s="6"/>
      <c r="BS139" s="6"/>
      <c r="BT139" s="6"/>
      <c r="BU139" s="6"/>
      <c r="BV139" s="6"/>
      <c r="BW139" s="6"/>
      <c r="BX139" s="6"/>
      <c r="BY139" s="6"/>
    </row>
    <row r="140" spans="1:77" ht="20.100000000000001" customHeight="1" x14ac:dyDescent="0.25">
      <c r="A140"/>
      <c r="D140" s="4" t="str" cm="1">
        <f t="array" ref="D140">Common_SourceData.Common_SourceData_FracWETIrrigation_Source()</f>
        <v>VEERG 2026: Chapter 1, section 1.8.2 Leaching, climate and rainfall zones</v>
      </c>
      <c r="BN140" s="6"/>
      <c r="BO140" s="6"/>
      <c r="BP140" s="6"/>
      <c r="BQ140" s="6"/>
      <c r="BR140" s="6"/>
      <c r="BS140" s="6"/>
      <c r="BT140" s="6"/>
      <c r="BU140" s="6"/>
      <c r="BV140" s="6"/>
      <c r="BW140" s="6"/>
      <c r="BX140" s="6"/>
      <c r="BY140" s="6"/>
    </row>
    <row r="141" spans="1:77" ht="20.100000000000001" customHeight="1" x14ac:dyDescent="0.25">
      <c r="A141"/>
      <c r="D141" s="29" t="str" cm="1">
        <f t="array" ref="D141">Common_SourceData.Common_SourceData_FracWETIrrigation_Variation()</f>
        <v>VARIATION FROM SOURCE DATA: Table created based on VEERG text 'Areas are subject to leaching (i.e., in the leaching zone) when... the land is irrigated (except drip irrigation).'</v>
      </c>
      <c r="BN141" s="6"/>
    </row>
    <row r="142" spans="1:77" ht="20.100000000000001" customHeight="1" x14ac:dyDescent="0.25">
      <c r="A142"/>
      <c r="D142" s="24" t="s">
        <v>56</v>
      </c>
      <c r="E142" s="24" t="s">
        <v>47</v>
      </c>
      <c r="BN142" s="6"/>
    </row>
    <row r="143" spans="1:77" ht="20.100000000000001" customHeight="1" x14ac:dyDescent="0.25">
      <c r="A143"/>
      <c r="D143" s="24" t="str" cm="1">
        <f t="array" ref="D143">Common_InputFunctions.Utility_DisplayArrayInTable(Common_SourceData.Common_SourceData_FracWETIrrigation_Data(), Table_SourceData_FracWETIrrigation[[#Headers],[Irrigation type i]], 0)</f>
        <v>Not irrigated</v>
      </c>
      <c r="E143" s="24" cm="1">
        <f t="array" ref="E143">Common_InputFunctions.Utility_DisplayArrayInTable(Common_SourceData.Common_SourceData_FracWETIrrigation_Data(), Table_SourceData_FracWETIrrigation[[#Headers],[Irrigation type i]], 0)</f>
        <v>0</v>
      </c>
      <c r="BN143" s="6"/>
    </row>
    <row r="144" spans="1:77" ht="20.100000000000001" customHeight="1" x14ac:dyDescent="0.25">
      <c r="A144"/>
      <c r="D144" s="1" t="str" cm="1">
        <f t="array" ref="D144">Common_InputFunctions.Utility_DisplayArrayInTable(Common_SourceData.Common_SourceData_FracWETIrrigation_Data(), Table_SourceData_FracWETIrrigation[[#Headers],[Irrigation type i]], 0)</f>
        <v>Drip irrigation</v>
      </c>
      <c r="E144" s="24" cm="1">
        <f t="array" ref="E144">Common_InputFunctions.Utility_DisplayArrayInTable(Common_SourceData.Common_SourceData_FracWETIrrigation_Data(), Table_SourceData_FracWETIrrigation[[#Headers],[Irrigation type i]], 0)</f>
        <v>0</v>
      </c>
      <c r="BN144" s="6"/>
    </row>
    <row r="145" spans="1:66" ht="20.100000000000001" customHeight="1" x14ac:dyDescent="0.25">
      <c r="A145"/>
      <c r="D145" s="1" t="str" cm="1">
        <f t="array" ref="D145">Common_InputFunctions.Utility_DisplayArrayInTable(Common_SourceData.Common_SourceData_FracWETIrrigation_Data(), Table_SourceData_FracWETIrrigation[[#Headers],[Irrigation type i]], 0)</f>
        <v>Sprinkler irrigation</v>
      </c>
      <c r="E145" s="24" cm="1">
        <f t="array" ref="E145">Common_InputFunctions.Utility_DisplayArrayInTable(Common_SourceData.Common_SourceData_FracWETIrrigation_Data(), Table_SourceData_FracWETIrrigation[[#Headers],[Irrigation type i]], 0)</f>
        <v>1</v>
      </c>
      <c r="BN145" s="6"/>
    </row>
    <row r="146" spans="1:66" ht="20.100000000000001" customHeight="1" x14ac:dyDescent="0.25">
      <c r="A146"/>
      <c r="D146" s="1" t="str" cm="1">
        <f t="array" ref="D146">Common_InputFunctions.Utility_DisplayArrayInTable(Common_SourceData.Common_SourceData_FracWETIrrigation_Data(), Table_SourceData_FracWETIrrigation[[#Headers],[Irrigation type i]], 0)</f>
        <v>Surface irrigation</v>
      </c>
      <c r="E146" s="24" cm="1">
        <f t="array" ref="E146">Common_InputFunctions.Utility_DisplayArrayInTable(Common_SourceData.Common_SourceData_FracWETIrrigation_Data(), Table_SourceData_FracWETIrrigation[[#Headers],[Irrigation type i]], 0)</f>
        <v>1</v>
      </c>
      <c r="BN146" s="6"/>
    </row>
    <row r="147" spans="1:66" ht="20.100000000000001" customHeight="1" x14ac:dyDescent="0.25">
      <c r="A147"/>
      <c r="D147" s="1" t="str" cm="1">
        <f t="array" ref="D147">Common_InputFunctions.Utility_DisplayArrayInTable(Common_SourceData.Common_SourceData_FracWETIrrigation_Data(), Table_SourceData_FracWETIrrigation[[#Headers],[Irrigation type i]], 0)</f>
        <v>Other irrigation</v>
      </c>
      <c r="E147" s="24" cm="1">
        <f t="array" ref="E147">Common_InputFunctions.Utility_DisplayArrayInTable(Common_SourceData.Common_SourceData_FracWETIrrigation_Data(), Table_SourceData_FracWETIrrigation[[#Headers],[Irrigation type i]], 0)</f>
        <v>1</v>
      </c>
      <c r="BN147" s="6"/>
    </row>
    <row r="148" spans="1:66" ht="20.100000000000001" customHeight="1" x14ac:dyDescent="0.25">
      <c r="A148"/>
      <c r="BN148" s="6"/>
    </row>
    <row r="149" spans="1:66" ht="20.100000000000001" customHeight="1" x14ac:dyDescent="0.25">
      <c r="A149"/>
      <c r="BN149" s="6"/>
    </row>
    <row r="150" spans="1:66" ht="20.100000000000001" customHeight="1" x14ac:dyDescent="0.25">
      <c r="A150"/>
      <c r="D150" s="5" t="str" cm="1">
        <f t="array" ref="D150">Common_SourceData.Common_SourceData_DataScores_Scope3_Title()</f>
        <v>Australian data scores for scope 3</v>
      </c>
      <c r="BN150" s="6"/>
    </row>
    <row r="151" spans="1:66" ht="20.100000000000001" customHeight="1" x14ac:dyDescent="0.25">
      <c r="A151"/>
      <c r="D151" s="4" t="str" cm="1">
        <f t="array" ref="D151">Common_SourceData.Common_SourceData_DataScores_Scope3_Source()</f>
        <v>VEERG 2026: XXXXXXXX</v>
      </c>
      <c r="BN151" s="6"/>
    </row>
    <row r="152" spans="1:66" ht="20.100000000000001" customHeight="1" x14ac:dyDescent="0.25">
      <c r="A152"/>
      <c r="BN152" s="6"/>
    </row>
    <row r="153" spans="1:66" ht="20.100000000000001" customHeight="1" x14ac:dyDescent="0.25">
      <c r="A153"/>
      <c r="D153" s="24" t="s">
        <v>42</v>
      </c>
      <c r="E153" s="24" t="s">
        <v>43</v>
      </c>
      <c r="BC153" s="2"/>
      <c r="BD153" s="2"/>
      <c r="BE153" s="2"/>
      <c r="BF153" s="2"/>
      <c r="BG153" s="2"/>
      <c r="BH153" s="2"/>
      <c r="BI153" s="2"/>
      <c r="BJ153" s="2"/>
      <c r="BK153" s="2"/>
      <c r="BL153" s="2"/>
      <c r="BM153" s="2"/>
    </row>
    <row r="154" spans="1:66" ht="20.100000000000001" customHeight="1" x14ac:dyDescent="0.25">
      <c r="A154"/>
      <c r="D154" s="24" t="str" cm="1">
        <f t="array" ref="D154">Common_InputFunctions.Utility_DisplayArrayInTable(Common_SourceData.Common_SourceData_DataScores_Scope3_Data(), Table_SourceData_DataScores_Scope3[[#Headers],[Data source]], 0)</f>
        <v>International scope 3 database</v>
      </c>
      <c r="E154" s="24" cm="1">
        <f t="array" ref="E154">Common_InputFunctions.Utility_DisplayArrayInTable(Common_SourceData.Common_SourceData_DataScores_Scope3_Data(), Table_SourceData_DataScores_Scope3[[#Headers],[Data source]], 0)</f>
        <v>1</v>
      </c>
      <c r="BC154" s="2"/>
      <c r="BD154" s="2"/>
      <c r="BE154" s="2"/>
      <c r="BF154" s="2"/>
      <c r="BG154" s="2"/>
      <c r="BH154" s="2"/>
      <c r="BI154" s="2"/>
      <c r="BJ154" s="2"/>
      <c r="BK154" s="2"/>
      <c r="BL154" s="2"/>
      <c r="BM154" s="2"/>
    </row>
    <row r="155" spans="1:66" ht="20.100000000000001" customHeight="1" x14ac:dyDescent="0.25">
      <c r="A155"/>
      <c r="D155" s="24" t="str" cm="1">
        <f t="array" ref="D155">Common_InputFunctions.Utility_DisplayArrayInTable(Common_SourceData.Common_SourceData_DataScores_Scope3_Data(), Table_SourceData_DataScores_Scope3[[#Headers],[Data source]], 0)</f>
        <v>Australian scope 3 database</v>
      </c>
      <c r="E155" s="24" cm="1">
        <f t="array" ref="E155">Common_InputFunctions.Utility_DisplayArrayInTable(Common_SourceData.Common_SourceData_DataScores_Scope3_Data(), Table_SourceData_DataScores_Scope3[[#Headers],[Data source]], 0)</f>
        <v>2</v>
      </c>
      <c r="BC155" s="2"/>
      <c r="BD155" s="2"/>
      <c r="BE155" s="2"/>
      <c r="BF155" s="2"/>
      <c r="BG155" s="2"/>
      <c r="BH155" s="2"/>
      <c r="BI155" s="2"/>
      <c r="BJ155" s="2"/>
      <c r="BK155" s="2"/>
      <c r="BL155" s="2"/>
      <c r="BM155" s="2"/>
    </row>
    <row r="156" spans="1:66" ht="20.100000000000001" customHeight="1" x14ac:dyDescent="0.25">
      <c r="A156"/>
      <c r="D156" s="24" t="str" cm="1">
        <f t="array" ref="D156">Common_InputFunctions.Utility_DisplayArrayInTable(Common_SourceData.Common_SourceData_DataScores_Scope3_Data(), Table_SourceData_DataScores_Scope3[[#Headers],[Data source]], 0)</f>
        <v>State or regional scope 3 database</v>
      </c>
      <c r="E156" s="24" cm="1">
        <f t="array" ref="E156">Common_InputFunctions.Utility_DisplayArrayInTable(Common_SourceData.Common_SourceData_DataScores_Scope3_Data(), Table_SourceData_DataScores_Scope3[[#Headers],[Data source]], 0)</f>
        <v>3</v>
      </c>
    </row>
    <row r="157" spans="1:66" ht="20.100000000000001" customHeight="1" x14ac:dyDescent="0.25">
      <c r="A157"/>
      <c r="D157" s="24" t="str" cm="1">
        <f t="array" ref="D157">Common_InputFunctions.Utility_DisplayArrayInTable(Common_SourceData.Common_SourceData_DataScores_Scope3_Data(), Table_SourceData_DataScores_Scope3[[#Headers],[Data source]], 0)</f>
        <v>Emissions intensity calculated from approved method</v>
      </c>
      <c r="E157" s="24" cm="1">
        <f t="array" ref="E157">Common_InputFunctions.Utility_DisplayArrayInTable(Common_SourceData.Common_SourceData_DataScores_Scope3_Data(), Table_SourceData_DataScores_Scope3[[#Headers],[Data source]], 0)</f>
        <v>4</v>
      </c>
    </row>
    <row r="158" spans="1:66" ht="20.100000000000001" customHeight="1" x14ac:dyDescent="0.25">
      <c r="A158"/>
      <c r="D158" s="24" t="str" cm="1">
        <f t="array" ref="D158">Common_InputFunctions.Utility_DisplayArrayInTable(Common_SourceData.Common_SourceData_DataScores_Scope3_Data(), Table_SourceData_DataScores_Scope3[[#Headers],[Data source]], 0)</f>
        <v>Verified credential matching ISO14067</v>
      </c>
      <c r="E158" s="24" cm="1">
        <f t="array" ref="E158">Common_InputFunctions.Utility_DisplayArrayInTable(Common_SourceData.Common_SourceData_DataScores_Scope3_Data(), Table_SourceData_DataScores_Scope3[[#Headers],[Data source]], 0)</f>
        <v>5</v>
      </c>
    </row>
    <row r="159" spans="1:66" ht="20.100000000000001" customHeight="1" x14ac:dyDescent="0.25">
      <c r="A159"/>
    </row>
    <row r="160" spans="1:66" ht="20.100000000000001" customHeight="1" x14ac:dyDescent="0.25">
      <c r="A160"/>
    </row>
    <row r="161" spans="4:68" ht="20.100000000000001" customHeight="1" x14ac:dyDescent="0.25">
      <c r="D161" s="5" t="str" cm="1">
        <f t="array" ref="D161">Common_SourceData.Common_SourceData_FracLEACH_Title()</f>
        <v>Fraction of N that is available for leaching and runoff</v>
      </c>
      <c r="E161" s="16"/>
    </row>
    <row r="162" spans="4:68" ht="20.100000000000001" customHeight="1" x14ac:dyDescent="0.25">
      <c r="D162" s="4" t="str" cm="1">
        <f t="array" ref="D162">Common_SourceData.Common_SourceData_FracLEACH_Source()</f>
        <v>VEERG 2026:5.5.2.3 Constant Parameters</v>
      </c>
      <c r="E162" s="16"/>
    </row>
    <row r="163" spans="4:68" ht="20.100000000000001" customHeight="1" x14ac:dyDescent="0.25">
      <c r="D163" s="4" t="str" cm="1">
        <f t="array" ref="D163">Common_SourceData.Common_SourceData_FracLEACH_NIRReference()</f>
        <v>National Inventory Report Volume 1: Leaching and runoff (3.D.b.2)</v>
      </c>
      <c r="E163" s="16"/>
    </row>
    <row r="164" spans="4:68" ht="20.100000000000001" customHeight="1" x14ac:dyDescent="0.25">
      <c r="D164" s="16" t="str" cm="1">
        <f t="array" ref="D164:E164">Common_SourceData.Common_SourceData_FracLEACH_Data()</f>
        <v>FracLEACH</v>
      </c>
      <c r="E164" s="16">
        <v>0.24</v>
      </c>
    </row>
    <row r="165" spans="4:68" ht="20.100000000000001" customHeight="1" x14ac:dyDescent="0.25">
      <c r="BN165" s="6"/>
      <c r="BO165" s="6"/>
      <c r="BP165" s="6"/>
    </row>
    <row r="166" spans="4:68" ht="20.100000000000001" customHeight="1" x14ac:dyDescent="0.25">
      <c r="BN166" s="6"/>
      <c r="BO166" s="6"/>
      <c r="BP166" s="6"/>
    </row>
    <row r="167" spans="4:68" ht="20.100000000000001" customHeight="1" x14ac:dyDescent="0.25">
      <c r="D167" s="5" t="str" cm="1">
        <f t="array" ref="D167">Common_SourceData.Common_SourceData_EFleach_Title()</f>
        <v>Emission factor for nitrogen leaching and runoff</v>
      </c>
      <c r="BN167" s="6"/>
      <c r="BO167" s="6"/>
      <c r="BP167" s="6"/>
    </row>
    <row r="168" spans="4:68" ht="20.100000000000001" customHeight="1" x14ac:dyDescent="0.25">
      <c r="D168" s="4" t="str" cm="1">
        <f t="array" ref="D168">Common_SourceData.Common_SourceData_EFleach_Source()</f>
        <v>VEERG 2026:5.5.2.3 Constant Parameters</v>
      </c>
      <c r="BN168" s="6"/>
      <c r="BO168" s="6"/>
      <c r="BP168" s="6"/>
    </row>
    <row r="169" spans="4:68" ht="20.100000000000001" customHeight="1" x14ac:dyDescent="0.25">
      <c r="D169" s="4" t="str" cm="1">
        <f t="array" ref="D169">Common_SourceData.Common_SourceData_EFleach_NIRReference()</f>
        <v>National Inventory Report Volume 1: Equation 3.D.B_10</v>
      </c>
      <c r="BN169" s="6"/>
      <c r="BO169" s="6"/>
      <c r="BP169" s="6"/>
    </row>
    <row r="170" spans="4:68" ht="20.100000000000001" customHeight="1" x14ac:dyDescent="0.25">
      <c r="D170" s="1" t="str" cm="1">
        <f t="array" ref="D170:E170">Common_SourceData.Common_SourceData_EFleach_Data()</f>
        <v>EFleach</v>
      </c>
      <c r="E170" s="1">
        <v>1.0999999999999999E-2</v>
      </c>
      <c r="BN170" s="6"/>
      <c r="BO170" s="6"/>
      <c r="BP170" s="6"/>
    </row>
    <row r="171" spans="4:68" ht="20.100000000000001" customHeight="1" x14ac:dyDescent="0.25">
      <c r="BN171" s="6"/>
      <c r="BO171" s="6"/>
      <c r="BP171" s="6"/>
    </row>
    <row r="172" spans="4:68" ht="20.100000000000001" customHeight="1" x14ac:dyDescent="0.25">
      <c r="BN172" s="6"/>
      <c r="BO172" s="6"/>
      <c r="BP172" s="6"/>
    </row>
    <row r="173" spans="4:68" ht="20.100000000000001" customHeight="1" x14ac:dyDescent="0.25">
      <c r="D173" s="5" t="str" cm="1">
        <f t="array" ref="D173">Common_SourceData.Common_SourceData_DensityOfMethane_Title()</f>
        <v>p = density of methane</v>
      </c>
      <c r="BN173" s="6"/>
      <c r="BO173" s="6"/>
      <c r="BP173" s="6"/>
    </row>
    <row r="174" spans="4:68" ht="20.100000000000001" customHeight="1" x14ac:dyDescent="0.25">
      <c r="D174" s="4" t="str" cm="1">
        <f t="array" ref="D174">Common_SourceData.Common_SourceData_DensityOfMethane_Source()</f>
        <v>National Inventory Report 2023 Volume 1: Equations 3.B.1a_2, 3.B.1c_2, 3.B.3_1, 3.B.4g_2</v>
      </c>
      <c r="BN174" s="6"/>
      <c r="BO174" s="6"/>
      <c r="BP174" s="6"/>
    </row>
    <row r="175" spans="4:68" ht="20.100000000000001" customHeight="1" x14ac:dyDescent="0.25">
      <c r="D175" s="1" cm="1">
        <f t="array" ref="D175">Common_SourceData.Common_SourceData_DensityOfMethane_Data()</f>
        <v>0.6784</v>
      </c>
      <c r="E175" s="28" t="str" cm="1">
        <f t="array" ref="E175">Common_SourceData.Common_SourceData_DensityOfMethane_Unit()</f>
        <v>kg/m3</v>
      </c>
      <c r="BN175" s="6"/>
      <c r="BO175" s="6"/>
      <c r="BP175" s="6"/>
    </row>
    <row r="176" spans="4:68" ht="20.100000000000001" customHeight="1" x14ac:dyDescent="0.25">
      <c r="BN176" s="6"/>
      <c r="BO176" s="6"/>
      <c r="BP176" s="6"/>
    </row>
    <row r="177" spans="4:68" ht="20.100000000000001" customHeight="1" x14ac:dyDescent="0.25">
      <c r="BN177" s="6"/>
      <c r="BO177" s="6"/>
      <c r="BP177" s="6"/>
    </row>
    <row r="178" spans="4:68" ht="20.100000000000001" customHeight="1" x14ac:dyDescent="0.25">
      <c r="D178" s="5" t="str" cm="1">
        <f t="array" ref="D178">Common_SourceData.Common_SourceData_EFN2O_Title()</f>
        <v>Nitrous oxide emission factors for inorganic fertiliser application</v>
      </c>
      <c r="BN178" s="6"/>
      <c r="BO178" s="6"/>
      <c r="BP178" s="6"/>
    </row>
    <row r="179" spans="4:68" ht="20.100000000000001" customHeight="1" x14ac:dyDescent="0.25">
      <c r="D179" s="4" t="str" cm="1">
        <f t="array" ref="D179">Common_SourceData.Common_SourceData_EFN2O_Source()</f>
        <v>VEERG 2026: Table A.2.2.1</v>
      </c>
      <c r="BN179" s="6"/>
      <c r="BO179" s="6"/>
      <c r="BP179" s="6"/>
    </row>
    <row r="180" spans="4:68" ht="20.100000000000001" customHeight="1" x14ac:dyDescent="0.25">
      <c r="D180" s="28" t="str" cm="1">
        <f t="array" ref="D180">Common_SourceData.Common_SourceData_EFN2O_Unit()</f>
        <v>(kg N2O-N / kg N</v>
      </c>
    </row>
    <row r="181" spans="4:68" ht="20.100000000000001" customHeight="1" x14ac:dyDescent="0.25">
      <c r="D181" s="29" t="str" cm="1">
        <f t="array" ref="D181:D185">Common_SourceData.Common_SourceData_EFN2O_Variation()</f>
        <v>VARIATION OF SOURCE DATA:</v>
      </c>
    </row>
    <row r="182" spans="4:68" ht="20.100000000000001" customHeight="1" x14ac:dyDescent="0.25">
      <c r="D182" s="29" t="str">
        <v>Removed duplicate 'Aquaculture' row.</v>
      </c>
    </row>
    <row r="183" spans="4:68" ht="20.100000000000001" customHeight="1" x14ac:dyDescent="0.25">
      <c r="D183" s="29" t="str">
        <v>Removed asterisks to aid lookup.</v>
      </c>
    </row>
    <row r="184" spans="4:68" ht="20.100000000000001" customHeight="1" x14ac:dyDescent="0.25">
      <c r="D184" s="29" t="str">
        <v>Added 'production system only', 'rainfall zone' and 'irrigation method' columns to aid lookup.</v>
      </c>
    </row>
    <row r="185" spans="4:68" ht="20.100000000000001" customHeight="1" x14ac:dyDescent="0.25">
      <c r="D185" s="29" t="str">
        <v>Duplicated 'non-irrigated pasture' row with same EF for low and high rainfall zones to aid lookup.</v>
      </c>
    </row>
    <row r="186" spans="4:68" ht="20.100000000000001" customHeight="1" x14ac:dyDescent="0.25">
      <c r="D186" s="24" t="s">
        <v>50</v>
      </c>
      <c r="E186" s="24" t="s">
        <v>51</v>
      </c>
      <c r="F186" s="24" t="s">
        <v>52</v>
      </c>
      <c r="G186" s="24" t="s">
        <v>53</v>
      </c>
      <c r="H186" s="24" t="s">
        <v>17</v>
      </c>
    </row>
    <row r="187" spans="4:68" ht="20.100000000000001" customHeight="1" x14ac:dyDescent="0.25">
      <c r="D187" s="24" t="str" cm="1">
        <f t="array" ref="D187">Common_InputFunctions.Utility_DisplayArrayInTable(Common_SourceData.Common_SourceData_EFN2O_Data(), Table_SourceData_Common_EFN2O[[#Headers],[Production system j]], 0)</f>
        <v>Irrigated pasture</v>
      </c>
      <c r="E187" s="24" cm="1">
        <f t="array" ref="E187">Common_InputFunctions.Utility_DisplayArrayInTable(Common_SourceData.Common_SourceData_EFN2O_Data(), Table_SourceData_Common_EFN2O[[#Headers],[Production system j]], 0)</f>
        <v>5.8999999999999999E-3</v>
      </c>
      <c r="F187" s="24" t="str" cm="1">
        <f t="array" ref="F187">Common_InputFunctions.Utility_DisplayArrayInTable(Common_SourceData.Common_SourceData_EFN2O_Data(), Table_SourceData_Common_EFN2O[[#Headers],[Production system j]], 0)</f>
        <v>Pasture</v>
      </c>
      <c r="G187" s="24" t="str" cm="1">
        <f t="array" ref="G187">Common_InputFunctions.Utility_DisplayArrayInTable(Common_SourceData.Common_SourceData_EFN2O_Data(), Table_SourceData_Common_EFN2O[[#Headers],[Production system j]], 0)</f>
        <v>Any</v>
      </c>
      <c r="H187" s="24" t="str" cm="1">
        <f t="array" ref="H187">Common_InputFunctions.Utility_DisplayArrayInTable(Common_SourceData.Common_SourceData_EFN2O_Data(), Table_SourceData_Common_EFN2O[[#Headers],[Production system j]], 0)</f>
        <v>Any</v>
      </c>
    </row>
    <row r="188" spans="4:68" ht="20.100000000000001" customHeight="1" x14ac:dyDescent="0.25">
      <c r="D188" s="24" t="str" cm="1">
        <f t="array" ref="D188">Common_InputFunctions.Utility_DisplayArrayInTable(Common_SourceData.Common_SourceData_EFN2O_Data(), Table_SourceData_Common_EFN2O[[#Headers],[Production system j]], 0)</f>
        <v>Irrigated crop</v>
      </c>
      <c r="E188" s="24" cm="1">
        <f t="array" ref="E188">Common_InputFunctions.Utility_DisplayArrayInTable(Common_SourceData.Common_SourceData_EFN2O_Data(), Table_SourceData_Common_EFN2O[[#Headers],[Production system j]], 0)</f>
        <v>7.0000000000000001E-3</v>
      </c>
      <c r="F188" s="24" t="str" cm="1">
        <f t="array" ref="F188">Common_InputFunctions.Utility_DisplayArrayInTable(Common_SourceData.Common_SourceData_EFN2O_Data(), Table_SourceData_Common_EFN2O[[#Headers],[Production system j]], 0)</f>
        <v>Crop</v>
      </c>
      <c r="G188" s="24" t="str" cm="1">
        <f t="array" ref="G188">Common_InputFunctions.Utility_DisplayArrayInTable(Common_SourceData.Common_SourceData_EFN2O_Data(), Table_SourceData_Common_EFN2O[[#Headers],[Production system j]], 0)</f>
        <v>Any</v>
      </c>
      <c r="H188" s="24" t="str" cm="1">
        <f t="array" ref="H188">Common_InputFunctions.Utility_DisplayArrayInTable(Common_SourceData.Common_SourceData_EFN2O_Data(), Table_SourceData_Common_EFN2O[[#Headers],[Production system j]], 0)</f>
        <v>Any</v>
      </c>
    </row>
    <row r="189" spans="4:68" ht="20.100000000000001" customHeight="1" x14ac:dyDescent="0.25">
      <c r="D189" s="24" t="str" cm="1">
        <f t="array" ref="D189">Common_InputFunctions.Utility_DisplayArrayInTable(Common_SourceData.Common_SourceData_EFN2O_Data(), Table_SourceData_Common_EFN2O[[#Headers],[Production system j]], 0)</f>
        <v>Non-irrigated pasture</v>
      </c>
      <c r="E189" s="24" cm="1">
        <f t="array" ref="E189">Common_InputFunctions.Utility_DisplayArrayInTable(Common_SourceData.Common_SourceData_EFN2O_Data(), Table_SourceData_Common_EFN2O[[#Headers],[Production system j]], 0)</f>
        <v>1.8E-3</v>
      </c>
      <c r="F189" s="24" t="str" cm="1">
        <f t="array" ref="F189">Common_InputFunctions.Utility_DisplayArrayInTable(Common_SourceData.Common_SourceData_EFN2O_Data(), Table_SourceData_Common_EFN2O[[#Headers],[Production system j]], 0)</f>
        <v>Pasture</v>
      </c>
      <c r="G189" s="24" t="str" cm="1">
        <f t="array" ref="G189">Common_InputFunctions.Utility_DisplayArrayInTable(Common_SourceData.Common_SourceData_EFN2O_Data(), Table_SourceData_Common_EFN2O[[#Headers],[Production system j]], 0)</f>
        <v>Not irrigated</v>
      </c>
      <c r="H189" s="24" t="str" cm="1">
        <f t="array" ref="H189">Common_InputFunctions.Utility_DisplayArrayInTable(Common_SourceData.Common_SourceData_EFN2O_Data(), Table_SourceData_Common_EFN2O[[#Headers],[Production system j]], 0)</f>
        <v>Low rainfall</v>
      </c>
    </row>
    <row r="190" spans="4:68" ht="20.100000000000001" customHeight="1" x14ac:dyDescent="0.25">
      <c r="D190" s="24" t="str" cm="1">
        <f t="array" ref="D190">Common_InputFunctions.Utility_DisplayArrayInTable(Common_SourceData.Common_SourceData_EFN2O_Data(), Table_SourceData_Common_EFN2O[[#Headers],[Production system j]], 0)</f>
        <v>Non-irrigated pasture</v>
      </c>
      <c r="E190" s="24" cm="1">
        <f t="array" ref="E190">Common_InputFunctions.Utility_DisplayArrayInTable(Common_SourceData.Common_SourceData_EFN2O_Data(), Table_SourceData_Common_EFN2O[[#Headers],[Production system j]], 0)</f>
        <v>1.8E-3</v>
      </c>
      <c r="F190" s="24" t="str" cm="1">
        <f t="array" ref="F190">Common_InputFunctions.Utility_DisplayArrayInTable(Common_SourceData.Common_SourceData_EFN2O_Data(), Table_SourceData_Common_EFN2O[[#Headers],[Production system j]], 0)</f>
        <v>Pasture</v>
      </c>
      <c r="G190" s="24" t="str" cm="1">
        <f t="array" ref="G190">Common_InputFunctions.Utility_DisplayArrayInTable(Common_SourceData.Common_SourceData_EFN2O_Data(), Table_SourceData_Common_EFN2O[[#Headers],[Production system j]], 0)</f>
        <v>Not irrigated</v>
      </c>
      <c r="H190" s="24"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24" t="str" cm="1">
        <f t="array" ref="D191">Common_InputFunctions.Utility_DisplayArrayInTable(Common_SourceData.Common_SourceData_EFN2O_Data(), Table_SourceData_Common_EFN2O[[#Headers],[Production system j]], 0)</f>
        <v>Non-irrigated crop (low rainfall)</v>
      </c>
      <c r="E191" s="24" cm="1">
        <f t="array" ref="E191">Common_InputFunctions.Utility_DisplayArrayInTable(Common_SourceData.Common_SourceData_EFN2O_Data(), Table_SourceData_Common_EFN2O[[#Headers],[Production system j]], 0)</f>
        <v>2.8999999999999998E-3</v>
      </c>
      <c r="F191" s="24" t="str" cm="1">
        <f t="array" ref="F191">Common_InputFunctions.Utility_DisplayArrayInTable(Common_SourceData.Common_SourceData_EFN2O_Data(), Table_SourceData_Common_EFN2O[[#Headers],[Production system j]], 0)</f>
        <v>Crop</v>
      </c>
      <c r="G191" s="24" t="str" cm="1">
        <f t="array" ref="G191">Common_InputFunctions.Utility_DisplayArrayInTable(Common_SourceData.Common_SourceData_EFN2O_Data(), Table_SourceData_Common_EFN2O[[#Headers],[Production system j]], 0)</f>
        <v>Not irrigated</v>
      </c>
      <c r="H191" s="24" t="str" cm="1">
        <f t="array" ref="H191">Common_InputFunctions.Utility_DisplayArrayInTable(Common_SourceData.Common_SourceData_EFN2O_Data(), Table_SourceData_Common_EFN2O[[#Headers],[Production system j]], 0)</f>
        <v>Low rainfall</v>
      </c>
    </row>
    <row r="192" spans="4:68" ht="20.100000000000001" customHeight="1" x14ac:dyDescent="0.25">
      <c r="D192" s="24" t="str" cm="1">
        <f t="array" ref="D192">Common_InputFunctions.Utility_DisplayArrayInTable(Common_SourceData.Common_SourceData_EFN2O_Data(), Table_SourceData_Common_EFN2O[[#Headers],[Production system j]], 0)</f>
        <v>Non-irrigated crop (high rainfall)</v>
      </c>
      <c r="E192" s="24" cm="1">
        <f t="array" ref="E192">Common_InputFunctions.Utility_DisplayArrayInTable(Common_SourceData.Common_SourceData_EFN2O_Data(), Table_SourceData_Common_EFN2O[[#Headers],[Production system j]], 0)</f>
        <v>8.0000000000000002E-3</v>
      </c>
      <c r="F192" s="24" t="str" cm="1">
        <f t="array" ref="F192">Common_InputFunctions.Utility_DisplayArrayInTable(Common_SourceData.Common_SourceData_EFN2O_Data(), Table_SourceData_Common_EFN2O[[#Headers],[Production system j]], 0)</f>
        <v>Crop</v>
      </c>
      <c r="G192" s="24" t="str" cm="1">
        <f t="array" ref="G192">Common_InputFunctions.Utility_DisplayArrayInTable(Common_SourceData.Common_SourceData_EFN2O_Data(), Table_SourceData_Common_EFN2O[[#Headers],[Production system j]], 0)</f>
        <v>Not irrigated</v>
      </c>
      <c r="H192" s="24" t="str" cm="1">
        <f t="array" ref="H192">Common_InputFunctions.Utility_DisplayArrayInTable(Common_SourceData.Common_SourceData_EFN2O_Data(), Table_SourceData_Common_EFN2O[[#Headers],[Production system j]], 0)</f>
        <v>High rainfall</v>
      </c>
    </row>
    <row r="193" spans="4:8" ht="20.100000000000001" customHeight="1" x14ac:dyDescent="0.25">
      <c r="D193" s="24" t="str" cm="1">
        <f t="array" ref="D193">Common_InputFunctions.Utility_DisplayArrayInTable(Common_SourceData.Common_SourceData_EFN2O_Data(), Table_SourceData_Common_EFN2O[[#Headers],[Production system j]], 0)</f>
        <v>Sugar</v>
      </c>
      <c r="E193" s="24" cm="1">
        <f t="array" ref="E193">Common_InputFunctions.Utility_DisplayArrayInTable(Common_SourceData.Common_SourceData_EFN2O_Data(), Table_SourceData_Common_EFN2O[[#Headers],[Production system j]], 0)</f>
        <v>1.9900000000000001E-2</v>
      </c>
      <c r="F193" s="24" t="str" cm="1">
        <f t="array" ref="F193">Common_InputFunctions.Utility_DisplayArrayInTable(Common_SourceData.Common_SourceData_EFN2O_Data(), Table_SourceData_Common_EFN2O[[#Headers],[Production system j]], 0)</f>
        <v>Sugar</v>
      </c>
      <c r="G193" s="24" t="str" cm="1">
        <f t="array" ref="G193">Common_InputFunctions.Utility_DisplayArrayInTable(Common_SourceData.Common_SourceData_EFN2O_Data(), Table_SourceData_Common_EFN2O[[#Headers],[Production system j]], 0)</f>
        <v>Any</v>
      </c>
      <c r="H193" s="24" t="str" cm="1">
        <f t="array" ref="H193">Common_InputFunctions.Utility_DisplayArrayInTable(Common_SourceData.Common_SourceData_EFN2O_Data(), Table_SourceData_Common_EFN2O[[#Headers],[Production system j]], 0)</f>
        <v>Any</v>
      </c>
    </row>
    <row r="194" spans="4:8" ht="20.100000000000001" customHeight="1" x14ac:dyDescent="0.25">
      <c r="D194" s="24" t="str" cm="1">
        <f t="array" ref="D194">Common_InputFunctions.Utility_DisplayArrayInTable(Common_SourceData.Common_SourceData_EFN2O_Data(), Table_SourceData_Common_EFN2O[[#Headers],[Production system j]], 0)</f>
        <v>Cotton</v>
      </c>
      <c r="E194" s="24" cm="1">
        <f t="array" ref="E194">Common_InputFunctions.Utility_DisplayArrayInTable(Common_SourceData.Common_SourceData_EFN2O_Data(), Table_SourceData_Common_EFN2O[[#Headers],[Production system j]], 0)</f>
        <v>5.3E-3</v>
      </c>
      <c r="F194" s="24" t="str" cm="1">
        <f t="array" ref="F194">Common_InputFunctions.Utility_DisplayArrayInTable(Common_SourceData.Common_SourceData_EFN2O_Data(), Table_SourceData_Common_EFN2O[[#Headers],[Production system j]], 0)</f>
        <v>Cotton</v>
      </c>
      <c r="G194" s="24" t="str" cm="1">
        <f t="array" ref="G194">Common_InputFunctions.Utility_DisplayArrayInTable(Common_SourceData.Common_SourceData_EFN2O_Data(), Table_SourceData_Common_EFN2O[[#Headers],[Production system j]], 0)</f>
        <v>Any</v>
      </c>
      <c r="H194" s="24" t="str" cm="1">
        <f t="array" ref="H194">Common_InputFunctions.Utility_DisplayArrayInTable(Common_SourceData.Common_SourceData_EFN2O_Data(), Table_SourceData_Common_EFN2O[[#Headers],[Production system j]], 0)</f>
        <v>Any</v>
      </c>
    </row>
    <row r="195" spans="4:8" ht="20.100000000000001" customHeight="1" x14ac:dyDescent="0.25">
      <c r="D195" s="24" t="str" cm="1">
        <f t="array" ref="D195">Common_InputFunctions.Utility_DisplayArrayInTable(Common_SourceData.Common_SourceData_EFN2O_Data(), Table_SourceData_Common_EFN2O[[#Headers],[Production system j]], 0)</f>
        <v>Horticultural crops</v>
      </c>
      <c r="E195" s="24" cm="1">
        <f t="array" ref="E195">Common_InputFunctions.Utility_DisplayArrayInTable(Common_SourceData.Common_SourceData_EFN2O_Data(), Table_SourceData_Common_EFN2O[[#Headers],[Production system j]], 0)</f>
        <v>6.4000000000000003E-3</v>
      </c>
      <c r="F195" s="24" t="str" cm="1">
        <f t="array" ref="F195">Common_InputFunctions.Utility_DisplayArrayInTable(Common_SourceData.Common_SourceData_EFN2O_Data(), Table_SourceData_Common_EFN2O[[#Headers],[Production system j]], 0)</f>
        <v>Horticultural crops</v>
      </c>
      <c r="G195" s="24" t="str" cm="1">
        <f t="array" ref="G195">Common_InputFunctions.Utility_DisplayArrayInTable(Common_SourceData.Common_SourceData_EFN2O_Data(), Table_SourceData_Common_EFN2O[[#Headers],[Production system j]], 0)</f>
        <v>Any</v>
      </c>
      <c r="H195" s="24" t="str" cm="1">
        <f t="array" ref="H195">Common_InputFunctions.Utility_DisplayArrayInTable(Common_SourceData.Common_SourceData_EFN2O_Data(), Table_SourceData_Common_EFN2O[[#Headers],[Production system j]], 0)</f>
        <v>Any</v>
      </c>
    </row>
    <row r="196" spans="4:8" ht="20.100000000000001" customHeight="1" x14ac:dyDescent="0.25">
      <c r="D196" s="24" t="str" cm="1">
        <f t="array" ref="D196">Common_InputFunctions.Utility_DisplayArrayInTable(Common_SourceData.Common_SourceData_EFN2O_Data(), Table_SourceData_Common_EFN2O[[#Headers],[Production system j]], 0)</f>
        <v>Rice (continuous flooding)</v>
      </c>
      <c r="E196" s="24" cm="1">
        <f t="array" ref="E196">Common_InputFunctions.Utility_DisplayArrayInTable(Common_SourceData.Common_SourceData_EFN2O_Data(), Table_SourceData_Common_EFN2O[[#Headers],[Production system j]], 0)</f>
        <v>3.0000000000000001E-3</v>
      </c>
      <c r="F196" s="24" t="str" cm="1">
        <f t="array" ref="F196">Common_InputFunctions.Utility_DisplayArrayInTable(Common_SourceData.Common_SourceData_EFN2O_Data(), Table_SourceData_Common_EFN2O[[#Headers],[Production system j]], 0)</f>
        <v>Rice</v>
      </c>
      <c r="G196" s="24" t="str" cm="1">
        <f t="array" ref="G196">Common_InputFunctions.Utility_DisplayArrayInTable(Common_SourceData.Common_SourceData_EFN2O_Data(), Table_SourceData_Common_EFN2O[[#Headers],[Production system j]], 0)</f>
        <v>Continuous flooding</v>
      </c>
      <c r="H196" s="24" t="str" cm="1">
        <f t="array" ref="H196">Common_InputFunctions.Utility_DisplayArrayInTable(Common_SourceData.Common_SourceData_EFN2O_Data(), Table_SourceData_Common_EFN2O[[#Headers],[Production system j]], 0)</f>
        <v>Any</v>
      </c>
    </row>
    <row r="197" spans="4:8" x14ac:dyDescent="0.25">
      <c r="D197" s="24" t="str" cm="1">
        <f t="array" ref="D197">Common_InputFunctions.Utility_DisplayArrayInTable(Common_SourceData.Common_SourceData_EFN2O_Data(), Table_SourceData_Common_EFN2O[[#Headers],[Production system j]], 0)</f>
        <v>Rice (single and multiple drainage, or alternate wetting and drying)</v>
      </c>
      <c r="E197" s="24" cm="1">
        <f t="array" ref="E197">Common_InputFunctions.Utility_DisplayArrayInTable(Common_SourceData.Common_SourceData_EFN2O_Data(), Table_SourceData_Common_EFN2O[[#Headers],[Production system j]], 0)</f>
        <v>5.0000000000000001E-3</v>
      </c>
      <c r="F197" s="24" t="str" cm="1">
        <f t="array" ref="F197">Common_InputFunctions.Utility_DisplayArrayInTable(Common_SourceData.Common_SourceData_EFN2O_Data(), Table_SourceData_Common_EFN2O[[#Headers],[Production system j]], 0)</f>
        <v>Rice</v>
      </c>
      <c r="G197" s="24" t="str" cm="1">
        <f t="array" ref="G197">Common_InputFunctions.Utility_DisplayArrayInTable(Common_SourceData.Common_SourceData_EFN2O_Data(), Table_SourceData_Common_EFN2O[[#Headers],[Production system j]], 0)</f>
        <v>Single and multiple drainage, or alternate wetting and drying</v>
      </c>
      <c r="H197" s="24" t="str" cm="1">
        <f t="array" ref="H197">Common_InputFunctions.Utility_DisplayArrayInTable(Common_SourceData.Common_SourceData_EFN2O_Data(), Table_SourceData_Common_EFN2O[[#Headers],[Production system j]], 0)</f>
        <v>Any</v>
      </c>
    </row>
    <row r="198" spans="4:8" x14ac:dyDescent="0.25">
      <c r="D198" s="24" t="str" cm="1">
        <f t="array" ref="D198">Common_InputFunctions.Utility_DisplayArrayInTable(Common_SourceData.Common_SourceData_EFN2O_Data(), Table_SourceData_Common_EFN2O[[#Headers],[Production system j]], 0)</f>
        <v>Aquaculture</v>
      </c>
      <c r="E198" s="24" cm="1">
        <f t="array" ref="E198">Common_InputFunctions.Utility_DisplayArrayInTable(Common_SourceData.Common_SourceData_EFN2O_Data(), Table_SourceData_Common_EFN2O[[#Headers],[Production system j]], 0)</f>
        <v>2.5999999999999999E-3</v>
      </c>
      <c r="F198" s="24" t="str" cm="1">
        <f t="array" ref="F198">Common_InputFunctions.Utility_DisplayArrayInTable(Common_SourceData.Common_SourceData_EFN2O_Data(), Table_SourceData_Common_EFN2O[[#Headers],[Production system j]], 0)</f>
        <v>Aquaculture</v>
      </c>
      <c r="G198" s="24" t="str" cm="1">
        <f t="array" ref="G198">Common_InputFunctions.Utility_DisplayArrayInTable(Common_SourceData.Common_SourceData_EFN2O_Data(), Table_SourceData_Common_EFN2O[[#Headers],[Production system j]], 0)</f>
        <v>Any</v>
      </c>
      <c r="H198" s="24" t="str" cm="1">
        <f t="array" ref="H198">Common_InputFunctions.Utility_DisplayArrayInTable(Common_SourceData.Common_SourceData_EFN2O_Data(), Table_SourceData_Common_EFN2O[[#Headers],[Production system j]], 0)</f>
        <v>Any</v>
      </c>
    </row>
    <row r="199" spans="4:8" x14ac:dyDescent="0.25">
      <c r="D199" s="24" t="str" cm="1">
        <f t="array" ref="D199">Common_InputFunctions.Utility_DisplayArrayInTable(Common_SourceData.Common_SourceData_EFN2O_Data(), Table_SourceData_Common_EFN2O[[#Headers],[Production system j]], 0)</f>
        <v>Forestry</v>
      </c>
      <c r="E199" s="24" cm="1">
        <f t="array" ref="E199">Common_InputFunctions.Utility_DisplayArrayInTable(Common_SourceData.Common_SourceData_EFN2O_Data(), Table_SourceData_Common_EFN2O[[#Headers],[Production system j]], 0)</f>
        <v>1.8E-3</v>
      </c>
      <c r="F199" s="24" t="str" cm="1">
        <f t="array" ref="F199">Common_InputFunctions.Utility_DisplayArrayInTable(Common_SourceData.Common_SourceData_EFN2O_Data(), Table_SourceData_Common_EFN2O[[#Headers],[Production system j]], 0)</f>
        <v>Forestry</v>
      </c>
      <c r="G199" s="24" t="str" cm="1">
        <f t="array" ref="G199">Common_InputFunctions.Utility_DisplayArrayInTable(Common_SourceData.Common_SourceData_EFN2O_Data(), Table_SourceData_Common_EFN2O[[#Headers],[Production system j]], 0)</f>
        <v>Any</v>
      </c>
      <c r="H199" s="24" t="str" cm="1">
        <f t="array" ref="H199">Common_InputFunctions.Utility_DisplayArrayInTable(Common_SourceData.Common_SourceData_EFN2O_Data(), Table_SourceData_Common_EFN2O[[#Headers],[Production system j]], 0)</f>
        <v>Any</v>
      </c>
    </row>
    <row r="202" spans="4:8" ht="23.25" x14ac:dyDescent="0.25">
      <c r="D202" s="5" t="str" cm="1">
        <f t="array" ref="D202">Common_SourceData.Common_SourceData_EFPastureRangeAndPaddock_Title()</f>
        <v>Emission factor for urine and dung deposited on pasture, range or paddock</v>
      </c>
    </row>
    <row r="203" spans="4:8" x14ac:dyDescent="0.25">
      <c r="D203" s="4" t="str" cm="1">
        <f t="array" ref="D203">Common_SourceData.Common_SourceData_EFPastureRangeAndPaddock_Source()</f>
        <v>VEERG 2026: Table A.2.2.2</v>
      </c>
    </row>
    <row r="204" spans="4:8" x14ac:dyDescent="0.25">
      <c r="D204" s="29" t="str" cm="1">
        <f t="array" ref="D204">Common_SourceData.Common_SourceData_EFPastureRangeAndPaddock_Variation()</f>
        <v>VARIATION FROM SOURCE DATA: Changed 'Dry climate zones' to singular 'Dry climate zone' to aid lookup.</v>
      </c>
    </row>
    <row r="205" spans="4:8" x14ac:dyDescent="0.25">
      <c r="D205" s="28" t="str" cm="1">
        <f t="array" ref="D205">Common_SourceData.Common_SourceData_EFPastureRangeAndPaddock_Unit()</f>
        <v>kg N2O - N / kg N</v>
      </c>
    </row>
    <row r="206" spans="4:8" x14ac:dyDescent="0.25">
      <c r="D206" s="24" t="s">
        <v>3</v>
      </c>
      <c r="E206" s="24" t="s">
        <v>58</v>
      </c>
    </row>
    <row r="207" spans="4:8" x14ac:dyDescent="0.25">
      <c r="D207" s="24" t="str" cm="1">
        <f t="array" ref="D207">Common_InputFunctions.Utility_DisplayArrayInTable(Common_SourceData.Common_SourceData_EFPastureRangeAndPaddock_Data(), Table_SourceData_EFPastureRangeAndPaddock[[#Headers],[Climate zone]], 0)</f>
        <v>Wet climate zone</v>
      </c>
      <c r="E207" s="24"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24"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24" t="s">
        <v>55</v>
      </c>
      <c r="E212" s="24" t="s">
        <v>61</v>
      </c>
    </row>
    <row r="213" spans="4:5" x14ac:dyDescent="0.25">
      <c r="D213" s="24" t="str" cm="1">
        <f t="array" ref="D213">Common_InputFunctions.Utility_DisplayArrayInTable(Common_SourceData.Common_SourceData_MonthsToSeasons_Data(), Table_SourceData_Common_MonthToSeason[[#Headers],[Month]], 0)</f>
        <v>January</v>
      </c>
      <c r="E213" s="24"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24"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24"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24"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24"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24"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24"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24"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24"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24"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24"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24" t="str" cm="1">
        <f t="array" ref="E224">Common_InputFunctions.Utility_DisplayArrayInTable(Common_SourceData.Common_SourceData_MonthsToSeasons_Data(), Table_SourceData_Common_MonthToSeason[[#Headers],[Month]], 0)</f>
        <v>Summer</v>
      </c>
    </row>
    <row r="227" spans="4:19" ht="23.25" x14ac:dyDescent="0.25">
      <c r="D227" s="5" t="str" cm="1">
        <f t="array" ref="D227">Common_SourceData.Common_SourceData_MCFTemperatureZone_Title()</f>
        <v>Manure Management – Methane conversion factor per temperature zone (fraction) (MCFim)</v>
      </c>
    </row>
    <row r="228" spans="4:19" x14ac:dyDescent="0.25">
      <c r="D228" s="4" t="str" cm="1">
        <f t="array" ref="D228">Common_SourceData.Common_SourceData_MCFTemperatureZone_Source()</f>
        <v>VEERG 2026: Table A.1.8.1</v>
      </c>
    </row>
    <row r="229" spans="4:19" x14ac:dyDescent="0.25">
      <c r="D229" s="29"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24" t="s">
        <v>34</v>
      </c>
      <c r="E231" s="24" t="s">
        <v>69</v>
      </c>
      <c r="F231" s="23" t="s">
        <v>70</v>
      </c>
      <c r="G231" s="24" t="s">
        <v>65</v>
      </c>
      <c r="H231" s="24" t="s">
        <v>71</v>
      </c>
      <c r="I231" s="24" t="s">
        <v>72</v>
      </c>
      <c r="J231" s="24" t="s">
        <v>64</v>
      </c>
      <c r="K231" s="24" t="s">
        <v>63</v>
      </c>
      <c r="L231" s="24" t="s">
        <v>73</v>
      </c>
      <c r="M231" s="24" t="s">
        <v>74</v>
      </c>
      <c r="N231" s="24" t="s">
        <v>62</v>
      </c>
      <c r="O231" s="24" t="s">
        <v>75</v>
      </c>
      <c r="P231" s="24" t="s">
        <v>67</v>
      </c>
      <c r="Q231" s="24" t="s">
        <v>68</v>
      </c>
      <c r="R231" s="24" t="s">
        <v>66</v>
      </c>
      <c r="S231" s="24" t="s">
        <v>76</v>
      </c>
    </row>
    <row r="232" spans="4:19" x14ac:dyDescent="0.25">
      <c r="D232" s="24" t="str" cm="1">
        <f t="array" ref="D232">Common_InputFunctions.Utility_DisplayArrayInTable(Common_SourceData.Common_SourceData_MCFTemperatureZone_Data(),Table_SourceData_Common_MCFTemperatureZone[[#Headers],[Temperature zone]],0)</f>
        <v>Cool</v>
      </c>
      <c r="E232" s="24" t="str" cm="1">
        <f t="array" ref="E232">Common_InputFunctions.Utility_DisplayArrayInTable(Common_SourceData.Common_SourceData_MCFTemperatureZone_Data(),Table_SourceData_Common_MCFTemperatureZone[[#Headers],[Temperature zone]],0)</f>
        <v>≤10</v>
      </c>
      <c r="F232" s="24" cm="1">
        <f t="array" ref="F232">Common_InputFunctions.Utility_DisplayArrayInTable(Common_SourceData.Common_SourceData_MCFTemperatureZone_Data(),Table_SourceData_Common_MCFTemperatureZone[[#Headers],[Temperature zone]],0)</f>
        <v>0.66</v>
      </c>
      <c r="G232" s="24" cm="1">
        <f t="array" ref="G232">Common_InputFunctions.Utility_DisplayArrayInTable(Common_SourceData.Common_SourceData_MCFTemperatureZone_Data(),Table_SourceData_Common_MCFTemperatureZone[[#Headers],[Temperature zone]],0)</f>
        <v>0.1</v>
      </c>
      <c r="H232" s="24" cm="1">
        <f t="array" ref="H232">Common_InputFunctions.Utility_DisplayArrayInTable(Common_SourceData.Common_SourceData_MCFTemperatureZone_Data(),Table_SourceData_Common_MCFTemperatureZone[[#Headers],[Temperature zone]],0)</f>
        <v>0.1</v>
      </c>
      <c r="I232" s="24" cm="1">
        <f t="array" ref="I232">Common_InputFunctions.Utility_DisplayArrayInTable(Common_SourceData.Common_SourceData_MCFTemperatureZone_Data(),Table_SourceData_Common_MCFTemperatureZone[[#Headers],[Temperature zone]],0)</f>
        <v>1E-3</v>
      </c>
      <c r="J232" s="24" cm="1">
        <f t="array" ref="J232">Common_InputFunctions.Utility_DisplayArrayInTable(Common_SourceData.Common_SourceData_MCFTemperatureZone_Data(),Table_SourceData_Common_MCFTemperatureZone[[#Headers],[Temperature zone]],0)</f>
        <v>5.0000000000000001E-3</v>
      </c>
      <c r="K232" s="24" cm="1">
        <f t="array" ref="K232">Common_InputFunctions.Utility_DisplayArrayInTable(Common_SourceData.Common_SourceData_MCFTemperatureZone_Data(),Table_SourceData_Common_MCFTemperatureZone[[#Headers],[Temperature zone]],0)</f>
        <v>0.02</v>
      </c>
      <c r="L232" s="24" cm="1">
        <f t="array" ref="L232">Common_InputFunctions.Utility_DisplayArrayInTable(Common_SourceData.Common_SourceData_MCFTemperatureZone_Data(),Table_SourceData_Common_MCFTemperatureZone[[#Headers],[Temperature zone]],0)</f>
        <v>0.03</v>
      </c>
      <c r="M232" s="24" cm="1">
        <f t="array" ref="M232">Common_InputFunctions.Utility_DisplayArrayInTable(Common_SourceData.Common_SourceData_MCFTemperatureZone_Data(),Table_SourceData_Common_MCFTemperatureZone[[#Headers],[Temperature zone]],0)</f>
        <v>0.04</v>
      </c>
      <c r="N232" s="24" cm="1">
        <f t="array" ref="N232">Common_InputFunctions.Utility_DisplayArrayInTable(Common_SourceData.Common_SourceData_MCFTemperatureZone_Data(),Table_SourceData_Common_MCFTemperatureZone[[#Headers],[Temperature zone]],0)</f>
        <v>1.4999999999999999E-2</v>
      </c>
      <c r="O232" s="24" cm="1">
        <f t="array" ref="O232">Common_InputFunctions.Utility_DisplayArrayInTable(Common_SourceData.Common_SourceData_MCFTemperatureZone_Data(),Table_SourceData_Common_MCFTemperatureZone[[#Headers],[Temperature zone]],0)</f>
        <v>1.4999999999999999E-2</v>
      </c>
      <c r="P232" s="24" cm="1">
        <f t="array" ref="P232">Common_InputFunctions.Utility_DisplayArrayInTable(Common_SourceData.Common_SourceData_MCFTemperatureZone_Data(),Table_SourceData_Common_MCFTemperatureZone[[#Headers],[Temperature zone]],0)</f>
        <v>0</v>
      </c>
      <c r="Q232" s="24" cm="1">
        <f t="array" ref="Q232">Common_InputFunctions.Utility_DisplayArrayInTable(Common_SourceData.Common_SourceData_MCFTemperatureZone_Data(),Table_SourceData_Common_MCFTemperatureZone[[#Headers],[Temperature zone]],0)</f>
        <v>0</v>
      </c>
      <c r="R232" s="24" cm="1">
        <f t="array" ref="R232">Common_InputFunctions.Utility_DisplayArrayInTable(Common_SourceData.Common_SourceData_MCFTemperatureZone_Data(),Table_SourceData_Common_MCFTemperatureZone[[#Headers],[Temperature zone]],0)</f>
        <v>4.7000000000000002E-3</v>
      </c>
      <c r="S232" s="24"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24" cm="1">
        <f t="array" ref="E233">Common_InputFunctions.Utility_DisplayArrayInTable(Common_SourceData.Common_SourceData_MCFTemperatureZone_Data(),Table_SourceData_Common_MCFTemperatureZone[[#Headers],[Temperature zone]],0)</f>
        <v>11</v>
      </c>
      <c r="F233" s="24" cm="1">
        <f t="array" ref="F233">Common_InputFunctions.Utility_DisplayArrayInTable(Common_SourceData.Common_SourceData_MCFTemperatureZone_Data(),Table_SourceData_Common_MCFTemperatureZone[[#Headers],[Temperature zone]],0)</f>
        <v>0.68</v>
      </c>
      <c r="G233" s="24" cm="1">
        <f t="array" ref="G233">Common_InputFunctions.Utility_DisplayArrayInTable(Common_SourceData.Common_SourceData_MCFTemperatureZone_Data(),Table_SourceData_Common_MCFTemperatureZone[[#Headers],[Temperature zone]],0)</f>
        <v>0.1</v>
      </c>
      <c r="H233" s="24" cm="1">
        <f t="array" ref="H233">Common_InputFunctions.Utility_DisplayArrayInTable(Common_SourceData.Common_SourceData_MCFTemperatureZone_Data(),Table_SourceData_Common_MCFTemperatureZone[[#Headers],[Temperature zone]],0)</f>
        <v>0.11</v>
      </c>
      <c r="I233" s="24" cm="1">
        <f t="array" ref="I233">Common_InputFunctions.Utility_DisplayArrayInTable(Common_SourceData.Common_SourceData_MCFTemperatureZone_Data(),Table_SourceData_Common_MCFTemperatureZone[[#Headers],[Temperature zone]],0)</f>
        <v>1E-3</v>
      </c>
      <c r="J233" s="24" cm="1">
        <f t="array" ref="J233">Common_InputFunctions.Utility_DisplayArrayInTable(Common_SourceData.Common_SourceData_MCFTemperatureZone_Data(),Table_SourceData_Common_MCFTemperatureZone[[#Headers],[Temperature zone]],0)</f>
        <v>5.0000000000000001E-3</v>
      </c>
      <c r="K233" s="24" cm="1">
        <f t="array" ref="K233">Common_InputFunctions.Utility_DisplayArrayInTable(Common_SourceData.Common_SourceData_MCFTemperatureZone_Data(),Table_SourceData_Common_MCFTemperatureZone[[#Headers],[Temperature zone]],0)</f>
        <v>0.02</v>
      </c>
      <c r="L233" s="24" cm="1">
        <f t="array" ref="L233">Common_InputFunctions.Utility_DisplayArrayInTable(Common_SourceData.Common_SourceData_MCFTemperatureZone_Data(),Table_SourceData_Common_MCFTemperatureZone[[#Headers],[Temperature zone]],0)</f>
        <v>0.03</v>
      </c>
      <c r="M233" s="24" cm="1">
        <f t="array" ref="M233">Common_InputFunctions.Utility_DisplayArrayInTable(Common_SourceData.Common_SourceData_MCFTemperatureZone_Data(),Table_SourceData_Common_MCFTemperatureZone[[#Headers],[Temperature zone]],0)</f>
        <v>0.04</v>
      </c>
      <c r="N233" s="24" cm="1">
        <f t="array" ref="N233">Common_InputFunctions.Utility_DisplayArrayInTable(Common_SourceData.Common_SourceData_MCFTemperatureZone_Data(),Table_SourceData_Common_MCFTemperatureZone[[#Headers],[Temperature zone]],0)</f>
        <v>1.4999999999999999E-2</v>
      </c>
      <c r="O233" s="24" cm="1">
        <f t="array" ref="O233">Common_InputFunctions.Utility_DisplayArrayInTable(Common_SourceData.Common_SourceData_MCFTemperatureZone_Data(),Table_SourceData_Common_MCFTemperatureZone[[#Headers],[Temperature zone]],0)</f>
        <v>1.4999999999999999E-2</v>
      </c>
      <c r="P233" s="24" cm="1">
        <f t="array" ref="P233">Common_InputFunctions.Utility_DisplayArrayInTable(Common_SourceData.Common_SourceData_MCFTemperatureZone_Data(),Table_SourceData_Common_MCFTemperatureZone[[#Headers],[Temperature zone]],0)</f>
        <v>0</v>
      </c>
      <c r="Q233" s="24" cm="1">
        <f t="array" ref="Q233">Common_InputFunctions.Utility_DisplayArrayInTable(Common_SourceData.Common_SourceData_MCFTemperatureZone_Data(),Table_SourceData_Common_MCFTemperatureZone[[#Headers],[Temperature zone]],0)</f>
        <v>0</v>
      </c>
      <c r="R233" s="24" cm="1">
        <f t="array" ref="R233">Common_InputFunctions.Utility_DisplayArrayInTable(Common_SourceData.Common_SourceData_MCFTemperatureZone_Data(),Table_SourceData_Common_MCFTemperatureZone[[#Headers],[Temperature zone]],0)</f>
        <v>4.7000000000000002E-3</v>
      </c>
      <c r="S233" s="24"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24" cm="1">
        <f t="array" ref="E234">Common_InputFunctions.Utility_DisplayArrayInTable(Common_SourceData.Common_SourceData_MCFTemperatureZone_Data(),Table_SourceData_Common_MCFTemperatureZone[[#Headers],[Temperature zone]],0)</f>
        <v>12</v>
      </c>
      <c r="F234" s="24" cm="1">
        <f t="array" ref="F234">Common_InputFunctions.Utility_DisplayArrayInTable(Common_SourceData.Common_SourceData_MCFTemperatureZone_Data(),Table_SourceData_Common_MCFTemperatureZone[[#Headers],[Temperature zone]],0)</f>
        <v>0.7</v>
      </c>
      <c r="G234" s="24" cm="1">
        <f t="array" ref="G234">Common_InputFunctions.Utility_DisplayArrayInTable(Common_SourceData.Common_SourceData_MCFTemperatureZone_Data(),Table_SourceData_Common_MCFTemperatureZone[[#Headers],[Temperature zone]],0)</f>
        <v>0.1</v>
      </c>
      <c r="H234" s="24" cm="1">
        <f t="array" ref="H234">Common_InputFunctions.Utility_DisplayArrayInTable(Common_SourceData.Common_SourceData_MCFTemperatureZone_Data(),Table_SourceData_Common_MCFTemperatureZone[[#Headers],[Temperature zone]],0)</f>
        <v>0.13</v>
      </c>
      <c r="I234" s="24" cm="1">
        <f t="array" ref="I234">Common_InputFunctions.Utility_DisplayArrayInTable(Common_SourceData.Common_SourceData_MCFTemperatureZone_Data(),Table_SourceData_Common_MCFTemperatureZone[[#Headers],[Temperature zone]],0)</f>
        <v>1E-3</v>
      </c>
      <c r="J234" s="24" cm="1">
        <f t="array" ref="J234">Common_InputFunctions.Utility_DisplayArrayInTable(Common_SourceData.Common_SourceData_MCFTemperatureZone_Data(),Table_SourceData_Common_MCFTemperatureZone[[#Headers],[Temperature zone]],0)</f>
        <v>5.0000000000000001E-3</v>
      </c>
      <c r="K234" s="24" cm="1">
        <f t="array" ref="K234">Common_InputFunctions.Utility_DisplayArrayInTable(Common_SourceData.Common_SourceData_MCFTemperatureZone_Data(),Table_SourceData_Common_MCFTemperatureZone[[#Headers],[Temperature zone]],0)</f>
        <v>0.02</v>
      </c>
      <c r="L234" s="24" cm="1">
        <f t="array" ref="L234">Common_InputFunctions.Utility_DisplayArrayInTable(Common_SourceData.Common_SourceData_MCFTemperatureZone_Data(),Table_SourceData_Common_MCFTemperatureZone[[#Headers],[Temperature zone]],0)</f>
        <v>0.03</v>
      </c>
      <c r="M234" s="24" cm="1">
        <f t="array" ref="M234">Common_InputFunctions.Utility_DisplayArrayInTable(Common_SourceData.Common_SourceData_MCFTemperatureZone_Data(),Table_SourceData_Common_MCFTemperatureZone[[#Headers],[Temperature zone]],0)</f>
        <v>0.04</v>
      </c>
      <c r="N234" s="24" cm="1">
        <f t="array" ref="N234">Common_InputFunctions.Utility_DisplayArrayInTable(Common_SourceData.Common_SourceData_MCFTemperatureZone_Data(),Table_SourceData_Common_MCFTemperatureZone[[#Headers],[Temperature zone]],0)</f>
        <v>1.4999999999999999E-2</v>
      </c>
      <c r="O234" s="24" cm="1">
        <f t="array" ref="O234">Common_InputFunctions.Utility_DisplayArrayInTable(Common_SourceData.Common_SourceData_MCFTemperatureZone_Data(),Table_SourceData_Common_MCFTemperatureZone[[#Headers],[Temperature zone]],0)</f>
        <v>1.4999999999999999E-2</v>
      </c>
      <c r="P234" s="24" cm="1">
        <f t="array" ref="P234">Common_InputFunctions.Utility_DisplayArrayInTable(Common_SourceData.Common_SourceData_MCFTemperatureZone_Data(),Table_SourceData_Common_MCFTemperatureZone[[#Headers],[Temperature zone]],0)</f>
        <v>0</v>
      </c>
      <c r="Q234" s="24" cm="1">
        <f t="array" ref="Q234">Common_InputFunctions.Utility_DisplayArrayInTable(Common_SourceData.Common_SourceData_MCFTemperatureZone_Data(),Table_SourceData_Common_MCFTemperatureZone[[#Headers],[Temperature zone]],0)</f>
        <v>0</v>
      </c>
      <c r="R234" s="24" cm="1">
        <f t="array" ref="R234">Common_InputFunctions.Utility_DisplayArrayInTable(Common_SourceData.Common_SourceData_MCFTemperatureZone_Data(),Table_SourceData_Common_MCFTemperatureZone[[#Headers],[Temperature zone]],0)</f>
        <v>4.7000000000000002E-3</v>
      </c>
      <c r="S234" s="24"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24" cm="1">
        <f t="array" ref="E235">Common_InputFunctions.Utility_DisplayArrayInTable(Common_SourceData.Common_SourceData_MCFTemperatureZone_Data(),Table_SourceData_Common_MCFTemperatureZone[[#Headers],[Temperature zone]],0)</f>
        <v>13</v>
      </c>
      <c r="F235" s="24" cm="1">
        <f t="array" ref="F235">Common_InputFunctions.Utility_DisplayArrayInTable(Common_SourceData.Common_SourceData_MCFTemperatureZone_Data(),Table_SourceData_Common_MCFTemperatureZone[[#Headers],[Temperature zone]],0)</f>
        <v>0.71</v>
      </c>
      <c r="G235" s="24" cm="1">
        <f t="array" ref="G235">Common_InputFunctions.Utility_DisplayArrayInTable(Common_SourceData.Common_SourceData_MCFTemperatureZone_Data(),Table_SourceData_Common_MCFTemperatureZone[[#Headers],[Temperature zone]],0)</f>
        <v>0.1</v>
      </c>
      <c r="H235" s="24" cm="1">
        <f t="array" ref="H235">Common_InputFunctions.Utility_DisplayArrayInTable(Common_SourceData.Common_SourceData_MCFTemperatureZone_Data(),Table_SourceData_Common_MCFTemperatureZone[[#Headers],[Temperature zone]],0)</f>
        <v>0.14000000000000001</v>
      </c>
      <c r="I235" s="24" cm="1">
        <f t="array" ref="I235">Common_InputFunctions.Utility_DisplayArrayInTable(Common_SourceData.Common_SourceData_MCFTemperatureZone_Data(),Table_SourceData_Common_MCFTemperatureZone[[#Headers],[Temperature zone]],0)</f>
        <v>1E-3</v>
      </c>
      <c r="J235" s="24" cm="1">
        <f t="array" ref="J235">Common_InputFunctions.Utility_DisplayArrayInTable(Common_SourceData.Common_SourceData_MCFTemperatureZone_Data(),Table_SourceData_Common_MCFTemperatureZone[[#Headers],[Temperature zone]],0)</f>
        <v>5.0000000000000001E-3</v>
      </c>
      <c r="K235" s="24" cm="1">
        <f t="array" ref="K235">Common_InputFunctions.Utility_DisplayArrayInTable(Common_SourceData.Common_SourceData_MCFTemperatureZone_Data(),Table_SourceData_Common_MCFTemperatureZone[[#Headers],[Temperature zone]],0)</f>
        <v>0.02</v>
      </c>
      <c r="L235" s="24" cm="1">
        <f t="array" ref="L235">Common_InputFunctions.Utility_DisplayArrayInTable(Common_SourceData.Common_SourceData_MCFTemperatureZone_Data(),Table_SourceData_Common_MCFTemperatureZone[[#Headers],[Temperature zone]],0)</f>
        <v>0.03</v>
      </c>
      <c r="M235" s="24" cm="1">
        <f t="array" ref="M235">Common_InputFunctions.Utility_DisplayArrayInTable(Common_SourceData.Common_SourceData_MCFTemperatureZone_Data(),Table_SourceData_Common_MCFTemperatureZone[[#Headers],[Temperature zone]],0)</f>
        <v>0.04</v>
      </c>
      <c r="N235" s="24" cm="1">
        <f t="array" ref="N235">Common_InputFunctions.Utility_DisplayArrayInTable(Common_SourceData.Common_SourceData_MCFTemperatureZone_Data(),Table_SourceData_Common_MCFTemperatureZone[[#Headers],[Temperature zone]],0)</f>
        <v>1.4999999999999999E-2</v>
      </c>
      <c r="O235" s="24" cm="1">
        <f t="array" ref="O235">Common_InputFunctions.Utility_DisplayArrayInTable(Common_SourceData.Common_SourceData_MCFTemperatureZone_Data(),Table_SourceData_Common_MCFTemperatureZone[[#Headers],[Temperature zone]],0)</f>
        <v>1.4999999999999999E-2</v>
      </c>
      <c r="P235" s="24" cm="1">
        <f t="array" ref="P235">Common_InputFunctions.Utility_DisplayArrayInTable(Common_SourceData.Common_SourceData_MCFTemperatureZone_Data(),Table_SourceData_Common_MCFTemperatureZone[[#Headers],[Temperature zone]],0)</f>
        <v>0</v>
      </c>
      <c r="Q235" s="24" cm="1">
        <f t="array" ref="Q235">Common_InputFunctions.Utility_DisplayArrayInTable(Common_SourceData.Common_SourceData_MCFTemperatureZone_Data(),Table_SourceData_Common_MCFTemperatureZone[[#Headers],[Temperature zone]],0)</f>
        <v>0</v>
      </c>
      <c r="R235" s="24" cm="1">
        <f t="array" ref="R235">Common_InputFunctions.Utility_DisplayArrayInTable(Common_SourceData.Common_SourceData_MCFTemperatureZone_Data(),Table_SourceData_Common_MCFTemperatureZone[[#Headers],[Temperature zone]],0)</f>
        <v>4.7000000000000002E-3</v>
      </c>
      <c r="S235" s="24"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24" cm="1">
        <f t="array" ref="E236">Common_InputFunctions.Utility_DisplayArrayInTable(Common_SourceData.Common_SourceData_MCFTemperatureZone_Data(),Table_SourceData_Common_MCFTemperatureZone[[#Headers],[Temperature zone]],0)</f>
        <v>14</v>
      </c>
      <c r="F236" s="24" cm="1">
        <f t="array" ref="F236">Common_InputFunctions.Utility_DisplayArrayInTable(Common_SourceData.Common_SourceData_MCFTemperatureZone_Data(),Table_SourceData_Common_MCFTemperatureZone[[#Headers],[Temperature zone]],0)</f>
        <v>0.73</v>
      </c>
      <c r="G236" s="24" cm="1">
        <f t="array" ref="G236">Common_InputFunctions.Utility_DisplayArrayInTable(Common_SourceData.Common_SourceData_MCFTemperatureZone_Data(),Table_SourceData_Common_MCFTemperatureZone[[#Headers],[Temperature zone]],0)</f>
        <v>0.1</v>
      </c>
      <c r="H236" s="24" cm="1">
        <f t="array" ref="H236">Common_InputFunctions.Utility_DisplayArrayInTable(Common_SourceData.Common_SourceData_MCFTemperatureZone_Data(),Table_SourceData_Common_MCFTemperatureZone[[#Headers],[Temperature zone]],0)</f>
        <v>0.15</v>
      </c>
      <c r="I236" s="24" cm="1">
        <f t="array" ref="I236">Common_InputFunctions.Utility_DisplayArrayInTable(Common_SourceData.Common_SourceData_MCFTemperatureZone_Data(),Table_SourceData_Common_MCFTemperatureZone[[#Headers],[Temperature zone]],0)</f>
        <v>1E-3</v>
      </c>
      <c r="J236" s="24" cm="1">
        <f t="array" ref="J236">Common_InputFunctions.Utility_DisplayArrayInTable(Common_SourceData.Common_SourceData_MCFTemperatureZone_Data(),Table_SourceData_Common_MCFTemperatureZone[[#Headers],[Temperature zone]],0)</f>
        <v>5.0000000000000001E-3</v>
      </c>
      <c r="K236" s="24" cm="1">
        <f t="array" ref="K236">Common_InputFunctions.Utility_DisplayArrayInTable(Common_SourceData.Common_SourceData_MCFTemperatureZone_Data(),Table_SourceData_Common_MCFTemperatureZone[[#Headers],[Temperature zone]],0)</f>
        <v>0.02</v>
      </c>
      <c r="L236" s="24" cm="1">
        <f t="array" ref="L236">Common_InputFunctions.Utility_DisplayArrayInTable(Common_SourceData.Common_SourceData_MCFTemperatureZone_Data(),Table_SourceData_Common_MCFTemperatureZone[[#Headers],[Temperature zone]],0)</f>
        <v>0.03</v>
      </c>
      <c r="M236" s="24" cm="1">
        <f t="array" ref="M236">Common_InputFunctions.Utility_DisplayArrayInTable(Common_SourceData.Common_SourceData_MCFTemperatureZone_Data(),Table_SourceData_Common_MCFTemperatureZone[[#Headers],[Temperature zone]],0)</f>
        <v>0.04</v>
      </c>
      <c r="N236" s="24" cm="1">
        <f t="array" ref="N236">Common_InputFunctions.Utility_DisplayArrayInTable(Common_SourceData.Common_SourceData_MCFTemperatureZone_Data(),Table_SourceData_Common_MCFTemperatureZone[[#Headers],[Temperature zone]],0)</f>
        <v>1.4999999999999999E-2</v>
      </c>
      <c r="O236" s="24" cm="1">
        <f t="array" ref="O236">Common_InputFunctions.Utility_DisplayArrayInTable(Common_SourceData.Common_SourceData_MCFTemperatureZone_Data(),Table_SourceData_Common_MCFTemperatureZone[[#Headers],[Temperature zone]],0)</f>
        <v>1.4999999999999999E-2</v>
      </c>
      <c r="P236" s="24" cm="1">
        <f t="array" ref="P236">Common_InputFunctions.Utility_DisplayArrayInTable(Common_SourceData.Common_SourceData_MCFTemperatureZone_Data(),Table_SourceData_Common_MCFTemperatureZone[[#Headers],[Temperature zone]],0)</f>
        <v>0</v>
      </c>
      <c r="Q236" s="24" cm="1">
        <f t="array" ref="Q236">Common_InputFunctions.Utility_DisplayArrayInTable(Common_SourceData.Common_SourceData_MCFTemperatureZone_Data(),Table_SourceData_Common_MCFTemperatureZone[[#Headers],[Temperature zone]],0)</f>
        <v>0</v>
      </c>
      <c r="R236" s="24" cm="1">
        <f t="array" ref="R236">Common_InputFunctions.Utility_DisplayArrayInTable(Common_SourceData.Common_SourceData_MCFTemperatureZone_Data(),Table_SourceData_Common_MCFTemperatureZone[[#Headers],[Temperature zone]],0)</f>
        <v>4.7000000000000002E-3</v>
      </c>
      <c r="S236" s="24"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24" cm="1">
        <f t="array" ref="E237">Common_InputFunctions.Utility_DisplayArrayInTable(Common_SourceData.Common_SourceData_MCFTemperatureZone_Data(),Table_SourceData_Common_MCFTemperatureZone[[#Headers],[Temperature zone]],0)</f>
        <v>15</v>
      </c>
      <c r="F237" s="24" cm="1">
        <f t="array" ref="F237">Common_InputFunctions.Utility_DisplayArrayInTable(Common_SourceData.Common_SourceData_MCFTemperatureZone_Data(),Table_SourceData_Common_MCFTemperatureZone[[#Headers],[Temperature zone]],0)</f>
        <v>0.74</v>
      </c>
      <c r="G237" s="24" cm="1">
        <f t="array" ref="G237">Common_InputFunctions.Utility_DisplayArrayInTable(Common_SourceData.Common_SourceData_MCFTemperatureZone_Data(),Table_SourceData_Common_MCFTemperatureZone[[#Headers],[Temperature zone]],0)</f>
        <v>0.1</v>
      </c>
      <c r="H237" s="24" cm="1">
        <f t="array" ref="H237">Common_InputFunctions.Utility_DisplayArrayInTable(Common_SourceData.Common_SourceData_MCFTemperatureZone_Data(),Table_SourceData_Common_MCFTemperatureZone[[#Headers],[Temperature zone]],0)</f>
        <v>0.17</v>
      </c>
      <c r="I237" s="24" cm="1">
        <f t="array" ref="I237">Common_InputFunctions.Utility_DisplayArrayInTable(Common_SourceData.Common_SourceData_MCFTemperatureZone_Data(),Table_SourceData_Common_MCFTemperatureZone[[#Headers],[Temperature zone]],0)</f>
        <v>5.0000000000000001E-3</v>
      </c>
      <c r="J237" s="24" cm="1">
        <f t="array" ref="J237">Common_InputFunctions.Utility_DisplayArrayInTable(Common_SourceData.Common_SourceData_MCFTemperatureZone_Data(),Table_SourceData_Common_MCFTemperatureZone[[#Headers],[Temperature zone]],0)</f>
        <v>0.01</v>
      </c>
      <c r="K237" s="24" cm="1">
        <f t="array" ref="K237">Common_InputFunctions.Utility_DisplayArrayInTable(Common_SourceData.Common_SourceData_MCFTemperatureZone_Data(),Table_SourceData_Common_MCFTemperatureZone[[#Headers],[Temperature zone]],0)</f>
        <v>0.02</v>
      </c>
      <c r="L237" s="24" cm="1">
        <f t="array" ref="L237">Common_InputFunctions.Utility_DisplayArrayInTable(Common_SourceData.Common_SourceData_MCFTemperatureZone_Data(),Table_SourceData_Common_MCFTemperatureZone[[#Headers],[Temperature zone]],0)</f>
        <v>0.03</v>
      </c>
      <c r="M237" s="24" cm="1">
        <f t="array" ref="M237">Common_InputFunctions.Utility_DisplayArrayInTable(Common_SourceData.Common_SourceData_MCFTemperatureZone_Data(),Table_SourceData_Common_MCFTemperatureZone[[#Headers],[Temperature zone]],0)</f>
        <v>0.04</v>
      </c>
      <c r="N237" s="24" cm="1">
        <f t="array" ref="N237">Common_InputFunctions.Utility_DisplayArrayInTable(Common_SourceData.Common_SourceData_MCFTemperatureZone_Data(),Table_SourceData_Common_MCFTemperatureZone[[#Headers],[Temperature zone]],0)</f>
        <v>1.4999999999999999E-2</v>
      </c>
      <c r="O237" s="24" cm="1">
        <f t="array" ref="O237">Common_InputFunctions.Utility_DisplayArrayInTable(Common_SourceData.Common_SourceData_MCFTemperatureZone_Data(),Table_SourceData_Common_MCFTemperatureZone[[#Headers],[Temperature zone]],0)</f>
        <v>1.4999999999999999E-2</v>
      </c>
      <c r="P237" s="24" cm="1">
        <f t="array" ref="P237">Common_InputFunctions.Utility_DisplayArrayInTable(Common_SourceData.Common_SourceData_MCFTemperatureZone_Data(),Table_SourceData_Common_MCFTemperatureZone[[#Headers],[Temperature zone]],0)</f>
        <v>0</v>
      </c>
      <c r="Q237" s="24" cm="1">
        <f t="array" ref="Q237">Common_InputFunctions.Utility_DisplayArrayInTable(Common_SourceData.Common_SourceData_MCFTemperatureZone_Data(),Table_SourceData_Common_MCFTemperatureZone[[#Headers],[Temperature zone]],0)</f>
        <v>0</v>
      </c>
      <c r="R237" s="24" cm="1">
        <f t="array" ref="R237">Common_InputFunctions.Utility_DisplayArrayInTable(Common_SourceData.Common_SourceData_MCFTemperatureZone_Data(),Table_SourceData_Common_MCFTemperatureZone[[#Headers],[Temperature zone]],0)</f>
        <v>4.7000000000000002E-3</v>
      </c>
      <c r="S237" s="24"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24" cm="1">
        <f t="array" ref="E238">Common_InputFunctions.Utility_DisplayArrayInTable(Common_SourceData.Common_SourceData_MCFTemperatureZone_Data(),Table_SourceData_Common_MCFTemperatureZone[[#Headers],[Temperature zone]],0)</f>
        <v>16</v>
      </c>
      <c r="F238" s="24" cm="1">
        <f t="array" ref="F238">Common_InputFunctions.Utility_DisplayArrayInTable(Common_SourceData.Common_SourceData_MCFTemperatureZone_Data(),Table_SourceData_Common_MCFTemperatureZone[[#Headers],[Temperature zone]],0)</f>
        <v>0.75</v>
      </c>
      <c r="G238" s="24" cm="1">
        <f t="array" ref="G238">Common_InputFunctions.Utility_DisplayArrayInTable(Common_SourceData.Common_SourceData_MCFTemperatureZone_Data(),Table_SourceData_Common_MCFTemperatureZone[[#Headers],[Temperature zone]],0)</f>
        <v>0.1</v>
      </c>
      <c r="H238" s="24" cm="1">
        <f t="array" ref="H238">Common_InputFunctions.Utility_DisplayArrayInTable(Common_SourceData.Common_SourceData_MCFTemperatureZone_Data(),Table_SourceData_Common_MCFTemperatureZone[[#Headers],[Temperature zone]],0)</f>
        <v>0.18</v>
      </c>
      <c r="I238" s="24" cm="1">
        <f t="array" ref="I238">Common_InputFunctions.Utility_DisplayArrayInTable(Common_SourceData.Common_SourceData_MCFTemperatureZone_Data(),Table_SourceData_Common_MCFTemperatureZone[[#Headers],[Temperature zone]],0)</f>
        <v>5.0000000000000001E-3</v>
      </c>
      <c r="J238" s="24" cm="1">
        <f t="array" ref="J238">Common_InputFunctions.Utility_DisplayArrayInTable(Common_SourceData.Common_SourceData_MCFTemperatureZone_Data(),Table_SourceData_Common_MCFTemperatureZone[[#Headers],[Temperature zone]],0)</f>
        <v>0.01</v>
      </c>
      <c r="K238" s="24" cm="1">
        <f t="array" ref="K238">Common_InputFunctions.Utility_DisplayArrayInTable(Common_SourceData.Common_SourceData_MCFTemperatureZone_Data(),Table_SourceData_Common_MCFTemperatureZone[[#Headers],[Temperature zone]],0)</f>
        <v>0.02</v>
      </c>
      <c r="L238" s="24" cm="1">
        <f t="array" ref="L238">Common_InputFunctions.Utility_DisplayArrayInTable(Common_SourceData.Common_SourceData_MCFTemperatureZone_Data(),Table_SourceData_Common_MCFTemperatureZone[[#Headers],[Temperature zone]],0)</f>
        <v>0.03</v>
      </c>
      <c r="M238" s="24" cm="1">
        <f t="array" ref="M238">Common_InputFunctions.Utility_DisplayArrayInTable(Common_SourceData.Common_SourceData_MCFTemperatureZone_Data(),Table_SourceData_Common_MCFTemperatureZone[[#Headers],[Temperature zone]],0)</f>
        <v>0.04</v>
      </c>
      <c r="N238" s="24" cm="1">
        <f t="array" ref="N238">Common_InputFunctions.Utility_DisplayArrayInTable(Common_SourceData.Common_SourceData_MCFTemperatureZone_Data(),Table_SourceData_Common_MCFTemperatureZone[[#Headers],[Temperature zone]],0)</f>
        <v>1.4999999999999999E-2</v>
      </c>
      <c r="O238" s="24" cm="1">
        <f t="array" ref="O238">Common_InputFunctions.Utility_DisplayArrayInTable(Common_SourceData.Common_SourceData_MCFTemperatureZone_Data(),Table_SourceData_Common_MCFTemperatureZone[[#Headers],[Temperature zone]],0)</f>
        <v>1.4999999999999999E-2</v>
      </c>
      <c r="P238" s="24" cm="1">
        <f t="array" ref="P238">Common_InputFunctions.Utility_DisplayArrayInTable(Common_SourceData.Common_SourceData_MCFTemperatureZone_Data(),Table_SourceData_Common_MCFTemperatureZone[[#Headers],[Temperature zone]],0)</f>
        <v>0</v>
      </c>
      <c r="Q238" s="24" cm="1">
        <f t="array" ref="Q238">Common_InputFunctions.Utility_DisplayArrayInTable(Common_SourceData.Common_SourceData_MCFTemperatureZone_Data(),Table_SourceData_Common_MCFTemperatureZone[[#Headers],[Temperature zone]],0)</f>
        <v>0</v>
      </c>
      <c r="R238" s="24" cm="1">
        <f t="array" ref="R238">Common_InputFunctions.Utility_DisplayArrayInTable(Common_SourceData.Common_SourceData_MCFTemperatureZone_Data(),Table_SourceData_Common_MCFTemperatureZone[[#Headers],[Temperature zone]],0)</f>
        <v>4.7000000000000002E-3</v>
      </c>
      <c r="S238" s="24"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24" cm="1">
        <f t="array" ref="E239">Common_InputFunctions.Utility_DisplayArrayInTable(Common_SourceData.Common_SourceData_MCFTemperatureZone_Data(),Table_SourceData_Common_MCFTemperatureZone[[#Headers],[Temperature zone]],0)</f>
        <v>17</v>
      </c>
      <c r="F239" s="24" cm="1">
        <f t="array" ref="F239">Common_InputFunctions.Utility_DisplayArrayInTable(Common_SourceData.Common_SourceData_MCFTemperatureZone_Data(),Table_SourceData_Common_MCFTemperatureZone[[#Headers],[Temperature zone]],0)</f>
        <v>0.76</v>
      </c>
      <c r="G239" s="24" cm="1">
        <f t="array" ref="G239">Common_InputFunctions.Utility_DisplayArrayInTable(Common_SourceData.Common_SourceData_MCFTemperatureZone_Data(),Table_SourceData_Common_MCFTemperatureZone[[#Headers],[Temperature zone]],0)</f>
        <v>0.1</v>
      </c>
      <c r="H239" s="24" cm="1">
        <f t="array" ref="H239">Common_InputFunctions.Utility_DisplayArrayInTable(Common_SourceData.Common_SourceData_MCFTemperatureZone_Data(),Table_SourceData_Common_MCFTemperatureZone[[#Headers],[Temperature zone]],0)</f>
        <v>0.2</v>
      </c>
      <c r="I239" s="24" cm="1">
        <f t="array" ref="I239">Common_InputFunctions.Utility_DisplayArrayInTable(Common_SourceData.Common_SourceData_MCFTemperatureZone_Data(),Table_SourceData_Common_MCFTemperatureZone[[#Headers],[Temperature zone]],0)</f>
        <v>5.0000000000000001E-3</v>
      </c>
      <c r="J239" s="24" cm="1">
        <f t="array" ref="J239">Common_InputFunctions.Utility_DisplayArrayInTable(Common_SourceData.Common_SourceData_MCFTemperatureZone_Data(),Table_SourceData_Common_MCFTemperatureZone[[#Headers],[Temperature zone]],0)</f>
        <v>0.01</v>
      </c>
      <c r="K239" s="24" cm="1">
        <f t="array" ref="K239">Common_InputFunctions.Utility_DisplayArrayInTable(Common_SourceData.Common_SourceData_MCFTemperatureZone_Data(),Table_SourceData_Common_MCFTemperatureZone[[#Headers],[Temperature zone]],0)</f>
        <v>0.02</v>
      </c>
      <c r="L239" s="24" cm="1">
        <f t="array" ref="L239">Common_InputFunctions.Utility_DisplayArrayInTable(Common_SourceData.Common_SourceData_MCFTemperatureZone_Data(),Table_SourceData_Common_MCFTemperatureZone[[#Headers],[Temperature zone]],0)</f>
        <v>0.03</v>
      </c>
      <c r="M239" s="24" cm="1">
        <f t="array" ref="M239">Common_InputFunctions.Utility_DisplayArrayInTable(Common_SourceData.Common_SourceData_MCFTemperatureZone_Data(),Table_SourceData_Common_MCFTemperatureZone[[#Headers],[Temperature zone]],0)</f>
        <v>0.04</v>
      </c>
      <c r="N239" s="24" cm="1">
        <f t="array" ref="N239">Common_InputFunctions.Utility_DisplayArrayInTable(Common_SourceData.Common_SourceData_MCFTemperatureZone_Data(),Table_SourceData_Common_MCFTemperatureZone[[#Headers],[Temperature zone]],0)</f>
        <v>1.4999999999999999E-2</v>
      </c>
      <c r="O239" s="24" cm="1">
        <f t="array" ref="O239">Common_InputFunctions.Utility_DisplayArrayInTable(Common_SourceData.Common_SourceData_MCFTemperatureZone_Data(),Table_SourceData_Common_MCFTemperatureZone[[#Headers],[Temperature zone]],0)</f>
        <v>1.4999999999999999E-2</v>
      </c>
      <c r="P239" s="24" cm="1">
        <f t="array" ref="P239">Common_InputFunctions.Utility_DisplayArrayInTable(Common_SourceData.Common_SourceData_MCFTemperatureZone_Data(),Table_SourceData_Common_MCFTemperatureZone[[#Headers],[Temperature zone]],0)</f>
        <v>0</v>
      </c>
      <c r="Q239" s="24" cm="1">
        <f t="array" ref="Q239">Common_InputFunctions.Utility_DisplayArrayInTable(Common_SourceData.Common_SourceData_MCFTemperatureZone_Data(),Table_SourceData_Common_MCFTemperatureZone[[#Headers],[Temperature zone]],0)</f>
        <v>0</v>
      </c>
      <c r="R239" s="24" cm="1">
        <f t="array" ref="R239">Common_InputFunctions.Utility_DisplayArrayInTable(Common_SourceData.Common_SourceData_MCFTemperatureZone_Data(),Table_SourceData_Common_MCFTemperatureZone[[#Headers],[Temperature zone]],0)</f>
        <v>4.7000000000000002E-3</v>
      </c>
      <c r="S239" s="24"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24" cm="1">
        <f t="array" ref="E240">Common_InputFunctions.Utility_DisplayArrayInTable(Common_SourceData.Common_SourceData_MCFTemperatureZone_Data(),Table_SourceData_Common_MCFTemperatureZone[[#Headers],[Temperature zone]],0)</f>
        <v>18</v>
      </c>
      <c r="F240" s="24" cm="1">
        <f t="array" ref="F240">Common_InputFunctions.Utility_DisplayArrayInTable(Common_SourceData.Common_SourceData_MCFTemperatureZone_Data(),Table_SourceData_Common_MCFTemperatureZone[[#Headers],[Temperature zone]],0)</f>
        <v>0.77</v>
      </c>
      <c r="G240" s="24" cm="1">
        <f t="array" ref="G240">Common_InputFunctions.Utility_DisplayArrayInTable(Common_SourceData.Common_SourceData_MCFTemperatureZone_Data(),Table_SourceData_Common_MCFTemperatureZone[[#Headers],[Temperature zone]],0)</f>
        <v>0.1</v>
      </c>
      <c r="H240" s="24" cm="1">
        <f t="array" ref="H240">Common_InputFunctions.Utility_DisplayArrayInTable(Common_SourceData.Common_SourceData_MCFTemperatureZone_Data(),Table_SourceData_Common_MCFTemperatureZone[[#Headers],[Temperature zone]],0)</f>
        <v>0.22</v>
      </c>
      <c r="I240" s="24" cm="1">
        <f t="array" ref="I240">Common_InputFunctions.Utility_DisplayArrayInTable(Common_SourceData.Common_SourceData_MCFTemperatureZone_Data(),Table_SourceData_Common_MCFTemperatureZone[[#Headers],[Temperature zone]],0)</f>
        <v>5.0000000000000001E-3</v>
      </c>
      <c r="J240" s="24" cm="1">
        <f t="array" ref="J240">Common_InputFunctions.Utility_DisplayArrayInTable(Common_SourceData.Common_SourceData_MCFTemperatureZone_Data(),Table_SourceData_Common_MCFTemperatureZone[[#Headers],[Temperature zone]],0)</f>
        <v>0.01</v>
      </c>
      <c r="K240" s="24" cm="1">
        <f t="array" ref="K240">Common_InputFunctions.Utility_DisplayArrayInTable(Common_SourceData.Common_SourceData_MCFTemperatureZone_Data(),Table_SourceData_Common_MCFTemperatureZone[[#Headers],[Temperature zone]],0)</f>
        <v>0.02</v>
      </c>
      <c r="L240" s="24" cm="1">
        <f t="array" ref="L240">Common_InputFunctions.Utility_DisplayArrayInTable(Common_SourceData.Common_SourceData_MCFTemperatureZone_Data(),Table_SourceData_Common_MCFTemperatureZone[[#Headers],[Temperature zone]],0)</f>
        <v>0.03</v>
      </c>
      <c r="M240" s="24" cm="1">
        <f t="array" ref="M240">Common_InputFunctions.Utility_DisplayArrayInTable(Common_SourceData.Common_SourceData_MCFTemperatureZone_Data(),Table_SourceData_Common_MCFTemperatureZone[[#Headers],[Temperature zone]],0)</f>
        <v>0.04</v>
      </c>
      <c r="N240" s="24" cm="1">
        <f t="array" ref="N240">Common_InputFunctions.Utility_DisplayArrayInTable(Common_SourceData.Common_SourceData_MCFTemperatureZone_Data(),Table_SourceData_Common_MCFTemperatureZone[[#Headers],[Temperature zone]],0)</f>
        <v>1.4999999999999999E-2</v>
      </c>
      <c r="O240" s="24" cm="1">
        <f t="array" ref="O240">Common_InputFunctions.Utility_DisplayArrayInTable(Common_SourceData.Common_SourceData_MCFTemperatureZone_Data(),Table_SourceData_Common_MCFTemperatureZone[[#Headers],[Temperature zone]],0)</f>
        <v>1.4999999999999999E-2</v>
      </c>
      <c r="P240" s="24" cm="1">
        <f t="array" ref="P240">Common_InputFunctions.Utility_DisplayArrayInTable(Common_SourceData.Common_SourceData_MCFTemperatureZone_Data(),Table_SourceData_Common_MCFTemperatureZone[[#Headers],[Temperature zone]],0)</f>
        <v>0</v>
      </c>
      <c r="Q240" s="24" cm="1">
        <f t="array" ref="Q240">Common_InputFunctions.Utility_DisplayArrayInTable(Common_SourceData.Common_SourceData_MCFTemperatureZone_Data(),Table_SourceData_Common_MCFTemperatureZone[[#Headers],[Temperature zone]],0)</f>
        <v>0</v>
      </c>
      <c r="R240" s="24" cm="1">
        <f t="array" ref="R240">Common_InputFunctions.Utility_DisplayArrayInTable(Common_SourceData.Common_SourceData_MCFTemperatureZone_Data(),Table_SourceData_Common_MCFTemperatureZone[[#Headers],[Temperature zone]],0)</f>
        <v>4.7000000000000002E-3</v>
      </c>
      <c r="S240" s="24"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24" cm="1">
        <f t="array" ref="E241">Common_InputFunctions.Utility_DisplayArrayInTable(Common_SourceData.Common_SourceData_MCFTemperatureZone_Data(),Table_SourceData_Common_MCFTemperatureZone[[#Headers],[Temperature zone]],0)</f>
        <v>19</v>
      </c>
      <c r="F241" s="24" cm="1">
        <f t="array" ref="F241">Common_InputFunctions.Utility_DisplayArrayInTable(Common_SourceData.Common_SourceData_MCFTemperatureZone_Data(),Table_SourceData_Common_MCFTemperatureZone[[#Headers],[Temperature zone]],0)</f>
        <v>0.77</v>
      </c>
      <c r="G241" s="24" cm="1">
        <f t="array" ref="G241">Common_InputFunctions.Utility_DisplayArrayInTable(Common_SourceData.Common_SourceData_MCFTemperatureZone_Data(),Table_SourceData_Common_MCFTemperatureZone[[#Headers],[Temperature zone]],0)</f>
        <v>0.1</v>
      </c>
      <c r="H241" s="24" cm="1">
        <f t="array" ref="H241">Common_InputFunctions.Utility_DisplayArrayInTable(Common_SourceData.Common_SourceData_MCFTemperatureZone_Data(),Table_SourceData_Common_MCFTemperatureZone[[#Headers],[Temperature zone]],0)</f>
        <v>0.24</v>
      </c>
      <c r="I241" s="24" cm="1">
        <f t="array" ref="I241">Common_InputFunctions.Utility_DisplayArrayInTable(Common_SourceData.Common_SourceData_MCFTemperatureZone_Data(),Table_SourceData_Common_MCFTemperatureZone[[#Headers],[Temperature zone]],0)</f>
        <v>5.0000000000000001E-3</v>
      </c>
      <c r="J241" s="24" cm="1">
        <f t="array" ref="J241">Common_InputFunctions.Utility_DisplayArrayInTable(Common_SourceData.Common_SourceData_MCFTemperatureZone_Data(),Table_SourceData_Common_MCFTemperatureZone[[#Headers],[Temperature zone]],0)</f>
        <v>0.01</v>
      </c>
      <c r="K241" s="24" cm="1">
        <f t="array" ref="K241">Common_InputFunctions.Utility_DisplayArrayInTable(Common_SourceData.Common_SourceData_MCFTemperatureZone_Data(),Table_SourceData_Common_MCFTemperatureZone[[#Headers],[Temperature zone]],0)</f>
        <v>0.02</v>
      </c>
      <c r="L241" s="24" cm="1">
        <f t="array" ref="L241">Common_InputFunctions.Utility_DisplayArrayInTable(Common_SourceData.Common_SourceData_MCFTemperatureZone_Data(),Table_SourceData_Common_MCFTemperatureZone[[#Headers],[Temperature zone]],0)</f>
        <v>0.03</v>
      </c>
      <c r="M241" s="24" cm="1">
        <f t="array" ref="M241">Common_InputFunctions.Utility_DisplayArrayInTable(Common_SourceData.Common_SourceData_MCFTemperatureZone_Data(),Table_SourceData_Common_MCFTemperatureZone[[#Headers],[Temperature zone]],0)</f>
        <v>0.04</v>
      </c>
      <c r="N241" s="24" cm="1">
        <f t="array" ref="N241">Common_InputFunctions.Utility_DisplayArrayInTable(Common_SourceData.Common_SourceData_MCFTemperatureZone_Data(),Table_SourceData_Common_MCFTemperatureZone[[#Headers],[Temperature zone]],0)</f>
        <v>1.4999999999999999E-2</v>
      </c>
      <c r="O241" s="24" cm="1">
        <f t="array" ref="O241">Common_InputFunctions.Utility_DisplayArrayInTable(Common_SourceData.Common_SourceData_MCFTemperatureZone_Data(),Table_SourceData_Common_MCFTemperatureZone[[#Headers],[Temperature zone]],0)</f>
        <v>1.4999999999999999E-2</v>
      </c>
      <c r="P241" s="24" cm="1">
        <f t="array" ref="P241">Common_InputFunctions.Utility_DisplayArrayInTable(Common_SourceData.Common_SourceData_MCFTemperatureZone_Data(),Table_SourceData_Common_MCFTemperatureZone[[#Headers],[Temperature zone]],0)</f>
        <v>0</v>
      </c>
      <c r="Q241" s="24" cm="1">
        <f t="array" ref="Q241">Common_InputFunctions.Utility_DisplayArrayInTable(Common_SourceData.Common_SourceData_MCFTemperatureZone_Data(),Table_SourceData_Common_MCFTemperatureZone[[#Headers],[Temperature zone]],0)</f>
        <v>0</v>
      </c>
      <c r="R241" s="24" cm="1">
        <f t="array" ref="R241">Common_InputFunctions.Utility_DisplayArrayInTable(Common_SourceData.Common_SourceData_MCFTemperatureZone_Data(),Table_SourceData_Common_MCFTemperatureZone[[#Headers],[Temperature zone]],0)</f>
        <v>4.7000000000000002E-3</v>
      </c>
      <c r="S241" s="24"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24" cm="1">
        <f t="array" ref="E242">Common_InputFunctions.Utility_DisplayArrayInTable(Common_SourceData.Common_SourceData_MCFTemperatureZone_Data(),Table_SourceData_Common_MCFTemperatureZone[[#Headers],[Temperature zone]],0)</f>
        <v>20</v>
      </c>
      <c r="F242" s="24" cm="1">
        <f t="array" ref="F242">Common_InputFunctions.Utility_DisplayArrayInTable(Common_SourceData.Common_SourceData_MCFTemperatureZone_Data(),Table_SourceData_Common_MCFTemperatureZone[[#Headers],[Temperature zone]],0)</f>
        <v>0.78</v>
      </c>
      <c r="G242" s="24" cm="1">
        <f t="array" ref="G242">Common_InputFunctions.Utility_DisplayArrayInTable(Common_SourceData.Common_SourceData_MCFTemperatureZone_Data(),Table_SourceData_Common_MCFTemperatureZone[[#Headers],[Temperature zone]],0)</f>
        <v>0.1</v>
      </c>
      <c r="H242" s="24" cm="1">
        <f t="array" ref="H242">Common_InputFunctions.Utility_DisplayArrayInTable(Common_SourceData.Common_SourceData_MCFTemperatureZone_Data(),Table_SourceData_Common_MCFTemperatureZone[[#Headers],[Temperature zone]],0)</f>
        <v>0.26</v>
      </c>
      <c r="I242" s="24" cm="1">
        <f t="array" ref="I242">Common_InputFunctions.Utility_DisplayArrayInTable(Common_SourceData.Common_SourceData_MCFTemperatureZone_Data(),Table_SourceData_Common_MCFTemperatureZone[[#Headers],[Temperature zone]],0)</f>
        <v>5.0000000000000001E-3</v>
      </c>
      <c r="J242" s="24" cm="1">
        <f t="array" ref="J242">Common_InputFunctions.Utility_DisplayArrayInTable(Common_SourceData.Common_SourceData_MCFTemperatureZone_Data(),Table_SourceData_Common_MCFTemperatureZone[[#Headers],[Temperature zone]],0)</f>
        <v>0.01</v>
      </c>
      <c r="K242" s="24" cm="1">
        <f t="array" ref="K242">Common_InputFunctions.Utility_DisplayArrayInTable(Common_SourceData.Common_SourceData_MCFTemperatureZone_Data(),Table_SourceData_Common_MCFTemperatureZone[[#Headers],[Temperature zone]],0)</f>
        <v>0.02</v>
      </c>
      <c r="L242" s="24" cm="1">
        <f t="array" ref="L242">Common_InputFunctions.Utility_DisplayArrayInTable(Common_SourceData.Common_SourceData_MCFTemperatureZone_Data(),Table_SourceData_Common_MCFTemperatureZone[[#Headers],[Temperature zone]],0)</f>
        <v>0.03</v>
      </c>
      <c r="M242" s="24" cm="1">
        <f t="array" ref="M242">Common_InputFunctions.Utility_DisplayArrayInTable(Common_SourceData.Common_SourceData_MCFTemperatureZone_Data(),Table_SourceData_Common_MCFTemperatureZone[[#Headers],[Temperature zone]],0)</f>
        <v>0.04</v>
      </c>
      <c r="N242" s="24" cm="1">
        <f t="array" ref="N242">Common_InputFunctions.Utility_DisplayArrayInTable(Common_SourceData.Common_SourceData_MCFTemperatureZone_Data(),Table_SourceData_Common_MCFTemperatureZone[[#Headers],[Temperature zone]],0)</f>
        <v>1.4999999999999999E-2</v>
      </c>
      <c r="O242" s="24" cm="1">
        <f t="array" ref="O242">Common_InputFunctions.Utility_DisplayArrayInTable(Common_SourceData.Common_SourceData_MCFTemperatureZone_Data(),Table_SourceData_Common_MCFTemperatureZone[[#Headers],[Temperature zone]],0)</f>
        <v>1.4999999999999999E-2</v>
      </c>
      <c r="P242" s="24" cm="1">
        <f t="array" ref="P242">Common_InputFunctions.Utility_DisplayArrayInTable(Common_SourceData.Common_SourceData_MCFTemperatureZone_Data(),Table_SourceData_Common_MCFTemperatureZone[[#Headers],[Temperature zone]],0)</f>
        <v>0</v>
      </c>
      <c r="Q242" s="24" cm="1">
        <f t="array" ref="Q242">Common_InputFunctions.Utility_DisplayArrayInTable(Common_SourceData.Common_SourceData_MCFTemperatureZone_Data(),Table_SourceData_Common_MCFTemperatureZone[[#Headers],[Temperature zone]],0)</f>
        <v>0</v>
      </c>
      <c r="R242" s="24" cm="1">
        <f t="array" ref="R242">Common_InputFunctions.Utility_DisplayArrayInTable(Common_SourceData.Common_SourceData_MCFTemperatureZone_Data(),Table_SourceData_Common_MCFTemperatureZone[[#Headers],[Temperature zone]],0)</f>
        <v>4.7000000000000002E-3</v>
      </c>
      <c r="S242" s="24"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24" cm="1">
        <f t="array" ref="E243">Common_InputFunctions.Utility_DisplayArrayInTable(Common_SourceData.Common_SourceData_MCFTemperatureZone_Data(),Table_SourceData_Common_MCFTemperatureZone[[#Headers],[Temperature zone]],0)</f>
        <v>21</v>
      </c>
      <c r="F243" s="24" cm="1">
        <f t="array" ref="F243">Common_InputFunctions.Utility_DisplayArrayInTable(Common_SourceData.Common_SourceData_MCFTemperatureZone_Data(),Table_SourceData_Common_MCFTemperatureZone[[#Headers],[Temperature zone]],0)</f>
        <v>0.78</v>
      </c>
      <c r="G243" s="24" cm="1">
        <f t="array" ref="G243">Common_InputFunctions.Utility_DisplayArrayInTable(Common_SourceData.Common_SourceData_MCFTemperatureZone_Data(),Table_SourceData_Common_MCFTemperatureZone[[#Headers],[Temperature zone]],0)</f>
        <v>0.1</v>
      </c>
      <c r="H243" s="24" cm="1">
        <f t="array" ref="H243">Common_InputFunctions.Utility_DisplayArrayInTable(Common_SourceData.Common_SourceData_MCFTemperatureZone_Data(),Table_SourceData_Common_MCFTemperatureZone[[#Headers],[Temperature zone]],0)</f>
        <v>0.28999999999999998</v>
      </c>
      <c r="I243" s="24" cm="1">
        <f t="array" ref="I243">Common_InputFunctions.Utility_DisplayArrayInTable(Common_SourceData.Common_SourceData_MCFTemperatureZone_Data(),Table_SourceData_Common_MCFTemperatureZone[[#Headers],[Temperature zone]],0)</f>
        <v>5.0000000000000001E-3</v>
      </c>
      <c r="J243" s="24" cm="1">
        <f t="array" ref="J243">Common_InputFunctions.Utility_DisplayArrayInTable(Common_SourceData.Common_SourceData_MCFTemperatureZone_Data(),Table_SourceData_Common_MCFTemperatureZone[[#Headers],[Temperature zone]],0)</f>
        <v>0.01</v>
      </c>
      <c r="K243" s="24" cm="1">
        <f t="array" ref="K243">Common_InputFunctions.Utility_DisplayArrayInTable(Common_SourceData.Common_SourceData_MCFTemperatureZone_Data(),Table_SourceData_Common_MCFTemperatureZone[[#Headers],[Temperature zone]],0)</f>
        <v>0.02</v>
      </c>
      <c r="L243" s="24" cm="1">
        <f t="array" ref="L243">Common_InputFunctions.Utility_DisplayArrayInTable(Common_SourceData.Common_SourceData_MCFTemperatureZone_Data(),Table_SourceData_Common_MCFTemperatureZone[[#Headers],[Temperature zone]],0)</f>
        <v>0.03</v>
      </c>
      <c r="M243" s="24" cm="1">
        <f t="array" ref="M243">Common_InputFunctions.Utility_DisplayArrayInTable(Common_SourceData.Common_SourceData_MCFTemperatureZone_Data(),Table_SourceData_Common_MCFTemperatureZone[[#Headers],[Temperature zone]],0)</f>
        <v>0.04</v>
      </c>
      <c r="N243" s="24" cm="1">
        <f t="array" ref="N243">Common_InputFunctions.Utility_DisplayArrayInTable(Common_SourceData.Common_SourceData_MCFTemperatureZone_Data(),Table_SourceData_Common_MCFTemperatureZone[[#Headers],[Temperature zone]],0)</f>
        <v>1.4999999999999999E-2</v>
      </c>
      <c r="O243" s="24" cm="1">
        <f t="array" ref="O243">Common_InputFunctions.Utility_DisplayArrayInTable(Common_SourceData.Common_SourceData_MCFTemperatureZone_Data(),Table_SourceData_Common_MCFTemperatureZone[[#Headers],[Temperature zone]],0)</f>
        <v>1.4999999999999999E-2</v>
      </c>
      <c r="P243" s="24" cm="1">
        <f t="array" ref="P243">Common_InputFunctions.Utility_DisplayArrayInTable(Common_SourceData.Common_SourceData_MCFTemperatureZone_Data(),Table_SourceData_Common_MCFTemperatureZone[[#Headers],[Temperature zone]],0)</f>
        <v>0</v>
      </c>
      <c r="Q243" s="24" cm="1">
        <f t="array" ref="Q243">Common_InputFunctions.Utility_DisplayArrayInTable(Common_SourceData.Common_SourceData_MCFTemperatureZone_Data(),Table_SourceData_Common_MCFTemperatureZone[[#Headers],[Temperature zone]],0)</f>
        <v>0</v>
      </c>
      <c r="R243" s="24" cm="1">
        <f t="array" ref="R243">Common_InputFunctions.Utility_DisplayArrayInTable(Common_SourceData.Common_SourceData_MCFTemperatureZone_Data(),Table_SourceData_Common_MCFTemperatureZone[[#Headers],[Temperature zone]],0)</f>
        <v>4.7000000000000002E-3</v>
      </c>
      <c r="S243" s="24"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24" cm="1">
        <f t="array" ref="E244">Common_InputFunctions.Utility_DisplayArrayInTable(Common_SourceData.Common_SourceData_MCFTemperatureZone_Data(),Table_SourceData_Common_MCFTemperatureZone[[#Headers],[Temperature zone]],0)</f>
        <v>22</v>
      </c>
      <c r="F244" s="24" cm="1">
        <f t="array" ref="F244">Common_InputFunctions.Utility_DisplayArrayInTable(Common_SourceData.Common_SourceData_MCFTemperatureZone_Data(),Table_SourceData_Common_MCFTemperatureZone[[#Headers],[Temperature zone]],0)</f>
        <v>0.78</v>
      </c>
      <c r="G244" s="24" cm="1">
        <f t="array" ref="G244">Common_InputFunctions.Utility_DisplayArrayInTable(Common_SourceData.Common_SourceData_MCFTemperatureZone_Data(),Table_SourceData_Common_MCFTemperatureZone[[#Headers],[Temperature zone]],0)</f>
        <v>0.1</v>
      </c>
      <c r="H244" s="24" cm="1">
        <f t="array" ref="H244">Common_InputFunctions.Utility_DisplayArrayInTable(Common_SourceData.Common_SourceData_MCFTemperatureZone_Data(),Table_SourceData_Common_MCFTemperatureZone[[#Headers],[Temperature zone]],0)</f>
        <v>0.31</v>
      </c>
      <c r="I244" s="24" cm="1">
        <f t="array" ref="I244">Common_InputFunctions.Utility_DisplayArrayInTable(Common_SourceData.Common_SourceData_MCFTemperatureZone_Data(),Table_SourceData_Common_MCFTemperatureZone[[#Headers],[Temperature zone]],0)</f>
        <v>5.0000000000000001E-3</v>
      </c>
      <c r="J244" s="24" cm="1">
        <f t="array" ref="J244">Common_InputFunctions.Utility_DisplayArrayInTable(Common_SourceData.Common_SourceData_MCFTemperatureZone_Data(),Table_SourceData_Common_MCFTemperatureZone[[#Headers],[Temperature zone]],0)</f>
        <v>0.01</v>
      </c>
      <c r="K244" s="24" cm="1">
        <f t="array" ref="K244">Common_InputFunctions.Utility_DisplayArrayInTable(Common_SourceData.Common_SourceData_MCFTemperatureZone_Data(),Table_SourceData_Common_MCFTemperatureZone[[#Headers],[Temperature zone]],0)</f>
        <v>0.02</v>
      </c>
      <c r="L244" s="24" cm="1">
        <f t="array" ref="L244">Common_InputFunctions.Utility_DisplayArrayInTable(Common_SourceData.Common_SourceData_MCFTemperatureZone_Data(),Table_SourceData_Common_MCFTemperatureZone[[#Headers],[Temperature zone]],0)</f>
        <v>0.03</v>
      </c>
      <c r="M244" s="24" cm="1">
        <f t="array" ref="M244">Common_InputFunctions.Utility_DisplayArrayInTable(Common_SourceData.Common_SourceData_MCFTemperatureZone_Data(),Table_SourceData_Common_MCFTemperatureZone[[#Headers],[Temperature zone]],0)</f>
        <v>0.04</v>
      </c>
      <c r="N244" s="24" cm="1">
        <f t="array" ref="N244">Common_InputFunctions.Utility_DisplayArrayInTable(Common_SourceData.Common_SourceData_MCFTemperatureZone_Data(),Table_SourceData_Common_MCFTemperatureZone[[#Headers],[Temperature zone]],0)</f>
        <v>1.4999999999999999E-2</v>
      </c>
      <c r="O244" s="24" cm="1">
        <f t="array" ref="O244">Common_InputFunctions.Utility_DisplayArrayInTable(Common_SourceData.Common_SourceData_MCFTemperatureZone_Data(),Table_SourceData_Common_MCFTemperatureZone[[#Headers],[Temperature zone]],0)</f>
        <v>1.4999999999999999E-2</v>
      </c>
      <c r="P244" s="24" cm="1">
        <f t="array" ref="P244">Common_InputFunctions.Utility_DisplayArrayInTable(Common_SourceData.Common_SourceData_MCFTemperatureZone_Data(),Table_SourceData_Common_MCFTemperatureZone[[#Headers],[Temperature zone]],0)</f>
        <v>0</v>
      </c>
      <c r="Q244" s="24" cm="1">
        <f t="array" ref="Q244">Common_InputFunctions.Utility_DisplayArrayInTable(Common_SourceData.Common_SourceData_MCFTemperatureZone_Data(),Table_SourceData_Common_MCFTemperatureZone[[#Headers],[Temperature zone]],0)</f>
        <v>0</v>
      </c>
      <c r="R244" s="24" cm="1">
        <f t="array" ref="R244">Common_InputFunctions.Utility_DisplayArrayInTable(Common_SourceData.Common_SourceData_MCFTemperatureZone_Data(),Table_SourceData_Common_MCFTemperatureZone[[#Headers],[Temperature zone]],0)</f>
        <v>4.7000000000000002E-3</v>
      </c>
      <c r="S244" s="24"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24" cm="1">
        <f t="array" ref="E245">Common_InputFunctions.Utility_DisplayArrayInTable(Common_SourceData.Common_SourceData_MCFTemperatureZone_Data(),Table_SourceData_Common_MCFTemperatureZone[[#Headers],[Temperature zone]],0)</f>
        <v>23</v>
      </c>
      <c r="F245" s="24" cm="1">
        <f t="array" ref="F245">Common_InputFunctions.Utility_DisplayArrayInTable(Common_SourceData.Common_SourceData_MCFTemperatureZone_Data(),Table_SourceData_Common_MCFTemperatureZone[[#Headers],[Temperature zone]],0)</f>
        <v>0.79</v>
      </c>
      <c r="G245" s="24" cm="1">
        <f t="array" ref="G245">Common_InputFunctions.Utility_DisplayArrayInTable(Common_SourceData.Common_SourceData_MCFTemperatureZone_Data(),Table_SourceData_Common_MCFTemperatureZone[[#Headers],[Temperature zone]],0)</f>
        <v>0.1</v>
      </c>
      <c r="H245" s="24" cm="1">
        <f t="array" ref="H245">Common_InputFunctions.Utility_DisplayArrayInTable(Common_SourceData.Common_SourceData_MCFTemperatureZone_Data(),Table_SourceData_Common_MCFTemperatureZone[[#Headers],[Temperature zone]],0)</f>
        <v>0.34</v>
      </c>
      <c r="I245" s="24" cm="1">
        <f t="array" ref="I245">Common_InputFunctions.Utility_DisplayArrayInTable(Common_SourceData.Common_SourceData_MCFTemperatureZone_Data(),Table_SourceData_Common_MCFTemperatureZone[[#Headers],[Temperature zone]],0)</f>
        <v>5.0000000000000001E-3</v>
      </c>
      <c r="J245" s="24" cm="1">
        <f t="array" ref="J245">Common_InputFunctions.Utility_DisplayArrayInTable(Common_SourceData.Common_SourceData_MCFTemperatureZone_Data(),Table_SourceData_Common_MCFTemperatureZone[[#Headers],[Temperature zone]],0)</f>
        <v>0.01</v>
      </c>
      <c r="K245" s="24" cm="1">
        <f t="array" ref="K245">Common_InputFunctions.Utility_DisplayArrayInTable(Common_SourceData.Common_SourceData_MCFTemperatureZone_Data(),Table_SourceData_Common_MCFTemperatureZone[[#Headers],[Temperature zone]],0)</f>
        <v>0.02</v>
      </c>
      <c r="L245" s="24" cm="1">
        <f t="array" ref="L245">Common_InputFunctions.Utility_DisplayArrayInTable(Common_SourceData.Common_SourceData_MCFTemperatureZone_Data(),Table_SourceData_Common_MCFTemperatureZone[[#Headers],[Temperature zone]],0)</f>
        <v>0.03</v>
      </c>
      <c r="M245" s="24" cm="1">
        <f t="array" ref="M245">Common_InputFunctions.Utility_DisplayArrayInTable(Common_SourceData.Common_SourceData_MCFTemperatureZone_Data(),Table_SourceData_Common_MCFTemperatureZone[[#Headers],[Temperature zone]],0)</f>
        <v>0.04</v>
      </c>
      <c r="N245" s="24" cm="1">
        <f t="array" ref="N245">Common_InputFunctions.Utility_DisplayArrayInTable(Common_SourceData.Common_SourceData_MCFTemperatureZone_Data(),Table_SourceData_Common_MCFTemperatureZone[[#Headers],[Temperature zone]],0)</f>
        <v>1.4999999999999999E-2</v>
      </c>
      <c r="O245" s="24" cm="1">
        <f t="array" ref="O245">Common_InputFunctions.Utility_DisplayArrayInTable(Common_SourceData.Common_SourceData_MCFTemperatureZone_Data(),Table_SourceData_Common_MCFTemperatureZone[[#Headers],[Temperature zone]],0)</f>
        <v>1.4999999999999999E-2</v>
      </c>
      <c r="P245" s="24" cm="1">
        <f t="array" ref="P245">Common_InputFunctions.Utility_DisplayArrayInTable(Common_SourceData.Common_SourceData_MCFTemperatureZone_Data(),Table_SourceData_Common_MCFTemperatureZone[[#Headers],[Temperature zone]],0)</f>
        <v>0</v>
      </c>
      <c r="Q245" s="24" cm="1">
        <f t="array" ref="Q245">Common_InputFunctions.Utility_DisplayArrayInTable(Common_SourceData.Common_SourceData_MCFTemperatureZone_Data(),Table_SourceData_Common_MCFTemperatureZone[[#Headers],[Temperature zone]],0)</f>
        <v>0</v>
      </c>
      <c r="R245" s="24" cm="1">
        <f t="array" ref="R245">Common_InputFunctions.Utility_DisplayArrayInTable(Common_SourceData.Common_SourceData_MCFTemperatureZone_Data(),Table_SourceData_Common_MCFTemperatureZone[[#Headers],[Temperature zone]],0)</f>
        <v>4.7000000000000002E-3</v>
      </c>
      <c r="S245" s="24"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24" cm="1">
        <f t="array" ref="E246">Common_InputFunctions.Utility_DisplayArrayInTable(Common_SourceData.Common_SourceData_MCFTemperatureZone_Data(),Table_SourceData_Common_MCFTemperatureZone[[#Headers],[Temperature zone]],0)</f>
        <v>24</v>
      </c>
      <c r="F246" s="24" cm="1">
        <f t="array" ref="F246">Common_InputFunctions.Utility_DisplayArrayInTable(Common_SourceData.Common_SourceData_MCFTemperatureZone_Data(),Table_SourceData_Common_MCFTemperatureZone[[#Headers],[Temperature zone]],0)</f>
        <v>0.79</v>
      </c>
      <c r="G246" s="24" cm="1">
        <f t="array" ref="G246">Common_InputFunctions.Utility_DisplayArrayInTable(Common_SourceData.Common_SourceData_MCFTemperatureZone_Data(),Table_SourceData_Common_MCFTemperatureZone[[#Headers],[Temperature zone]],0)</f>
        <v>0.1</v>
      </c>
      <c r="H246" s="24" cm="1">
        <f t="array" ref="H246">Common_InputFunctions.Utility_DisplayArrayInTable(Common_SourceData.Common_SourceData_MCFTemperatureZone_Data(),Table_SourceData_Common_MCFTemperatureZone[[#Headers],[Temperature zone]],0)</f>
        <v>0.37</v>
      </c>
      <c r="I246" s="24" cm="1">
        <f t="array" ref="I246">Common_InputFunctions.Utility_DisplayArrayInTable(Common_SourceData.Common_SourceData_MCFTemperatureZone_Data(),Table_SourceData_Common_MCFTemperatureZone[[#Headers],[Temperature zone]],0)</f>
        <v>5.0000000000000001E-3</v>
      </c>
      <c r="J246" s="24" cm="1">
        <f t="array" ref="J246">Common_InputFunctions.Utility_DisplayArrayInTable(Common_SourceData.Common_SourceData_MCFTemperatureZone_Data(),Table_SourceData_Common_MCFTemperatureZone[[#Headers],[Temperature zone]],0)</f>
        <v>0.01</v>
      </c>
      <c r="K246" s="24" cm="1">
        <f t="array" ref="K246">Common_InputFunctions.Utility_DisplayArrayInTable(Common_SourceData.Common_SourceData_MCFTemperatureZone_Data(),Table_SourceData_Common_MCFTemperatureZone[[#Headers],[Temperature zone]],0)</f>
        <v>0.02</v>
      </c>
      <c r="L246" s="24" cm="1">
        <f t="array" ref="L246">Common_InputFunctions.Utility_DisplayArrayInTable(Common_SourceData.Common_SourceData_MCFTemperatureZone_Data(),Table_SourceData_Common_MCFTemperatureZone[[#Headers],[Temperature zone]],0)</f>
        <v>0.03</v>
      </c>
      <c r="M246" s="24" cm="1">
        <f t="array" ref="M246">Common_InputFunctions.Utility_DisplayArrayInTable(Common_SourceData.Common_SourceData_MCFTemperatureZone_Data(),Table_SourceData_Common_MCFTemperatureZone[[#Headers],[Temperature zone]],0)</f>
        <v>0.04</v>
      </c>
      <c r="N246" s="24" cm="1">
        <f t="array" ref="N246">Common_InputFunctions.Utility_DisplayArrayInTable(Common_SourceData.Common_SourceData_MCFTemperatureZone_Data(),Table_SourceData_Common_MCFTemperatureZone[[#Headers],[Temperature zone]],0)</f>
        <v>1.4999999999999999E-2</v>
      </c>
      <c r="O246" s="24" cm="1">
        <f t="array" ref="O246">Common_InputFunctions.Utility_DisplayArrayInTable(Common_SourceData.Common_SourceData_MCFTemperatureZone_Data(),Table_SourceData_Common_MCFTemperatureZone[[#Headers],[Temperature zone]],0)</f>
        <v>1.4999999999999999E-2</v>
      </c>
      <c r="P246" s="24" cm="1">
        <f t="array" ref="P246">Common_InputFunctions.Utility_DisplayArrayInTable(Common_SourceData.Common_SourceData_MCFTemperatureZone_Data(),Table_SourceData_Common_MCFTemperatureZone[[#Headers],[Temperature zone]],0)</f>
        <v>0</v>
      </c>
      <c r="Q246" s="24" cm="1">
        <f t="array" ref="Q246">Common_InputFunctions.Utility_DisplayArrayInTable(Common_SourceData.Common_SourceData_MCFTemperatureZone_Data(),Table_SourceData_Common_MCFTemperatureZone[[#Headers],[Temperature zone]],0)</f>
        <v>0</v>
      </c>
      <c r="R246" s="24" cm="1">
        <f t="array" ref="R246">Common_InputFunctions.Utility_DisplayArrayInTable(Common_SourceData.Common_SourceData_MCFTemperatureZone_Data(),Table_SourceData_Common_MCFTemperatureZone[[#Headers],[Temperature zone]],0)</f>
        <v>4.7000000000000002E-3</v>
      </c>
      <c r="S246" s="24"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24" cm="1">
        <f t="array" ref="E247">Common_InputFunctions.Utility_DisplayArrayInTable(Common_SourceData.Common_SourceData_MCFTemperatureZone_Data(),Table_SourceData_Common_MCFTemperatureZone[[#Headers],[Temperature zone]],0)</f>
        <v>25</v>
      </c>
      <c r="F247" s="24" cm="1">
        <f t="array" ref="F247">Common_InputFunctions.Utility_DisplayArrayInTable(Common_SourceData.Common_SourceData_MCFTemperatureZone_Data(),Table_SourceData_Common_MCFTemperatureZone[[#Headers],[Temperature zone]],0)</f>
        <v>0.79</v>
      </c>
      <c r="G247" s="24" cm="1">
        <f t="array" ref="G247">Common_InputFunctions.Utility_DisplayArrayInTable(Common_SourceData.Common_SourceData_MCFTemperatureZone_Data(),Table_SourceData_Common_MCFTemperatureZone[[#Headers],[Temperature zone]],0)</f>
        <v>0.1</v>
      </c>
      <c r="H247" s="24" cm="1">
        <f t="array" ref="H247">Common_InputFunctions.Utility_DisplayArrayInTable(Common_SourceData.Common_SourceData_MCFTemperatureZone_Data(),Table_SourceData_Common_MCFTemperatureZone[[#Headers],[Temperature zone]],0)</f>
        <v>0.41</v>
      </c>
      <c r="I247" s="24" cm="1">
        <f t="array" ref="I247">Common_InputFunctions.Utility_DisplayArrayInTable(Common_SourceData.Common_SourceData_MCFTemperatureZone_Data(),Table_SourceData_Common_MCFTemperatureZone[[#Headers],[Temperature zone]],0)</f>
        <v>5.0000000000000001E-3</v>
      </c>
      <c r="J247" s="24" cm="1">
        <f t="array" ref="J247">Common_InputFunctions.Utility_DisplayArrayInTable(Common_SourceData.Common_SourceData_MCFTemperatureZone_Data(),Table_SourceData_Common_MCFTemperatureZone[[#Headers],[Temperature zone]],0)</f>
        <v>0.01</v>
      </c>
      <c r="K247" s="24" cm="1">
        <f t="array" ref="K247">Common_InputFunctions.Utility_DisplayArrayInTable(Common_SourceData.Common_SourceData_MCFTemperatureZone_Data(),Table_SourceData_Common_MCFTemperatureZone[[#Headers],[Temperature zone]],0)</f>
        <v>0.02</v>
      </c>
      <c r="L247" s="24" cm="1">
        <f t="array" ref="L247">Common_InputFunctions.Utility_DisplayArrayInTable(Common_SourceData.Common_SourceData_MCFTemperatureZone_Data(),Table_SourceData_Common_MCFTemperatureZone[[#Headers],[Temperature zone]],0)</f>
        <v>0.03</v>
      </c>
      <c r="M247" s="24" cm="1">
        <f t="array" ref="M247">Common_InputFunctions.Utility_DisplayArrayInTable(Common_SourceData.Common_SourceData_MCFTemperatureZone_Data(),Table_SourceData_Common_MCFTemperatureZone[[#Headers],[Temperature zone]],0)</f>
        <v>0.04</v>
      </c>
      <c r="N247" s="24" cm="1">
        <f t="array" ref="N247">Common_InputFunctions.Utility_DisplayArrayInTable(Common_SourceData.Common_SourceData_MCFTemperatureZone_Data(),Table_SourceData_Common_MCFTemperatureZone[[#Headers],[Temperature zone]],0)</f>
        <v>1.4999999999999999E-2</v>
      </c>
      <c r="O247" s="24" cm="1">
        <f t="array" ref="O247">Common_InputFunctions.Utility_DisplayArrayInTable(Common_SourceData.Common_SourceData_MCFTemperatureZone_Data(),Table_SourceData_Common_MCFTemperatureZone[[#Headers],[Temperature zone]],0)</f>
        <v>1.4999999999999999E-2</v>
      </c>
      <c r="P247" s="24" cm="1">
        <f t="array" ref="P247">Common_InputFunctions.Utility_DisplayArrayInTable(Common_SourceData.Common_SourceData_MCFTemperatureZone_Data(),Table_SourceData_Common_MCFTemperatureZone[[#Headers],[Temperature zone]],0)</f>
        <v>0</v>
      </c>
      <c r="Q247" s="24" cm="1">
        <f t="array" ref="Q247">Common_InputFunctions.Utility_DisplayArrayInTable(Common_SourceData.Common_SourceData_MCFTemperatureZone_Data(),Table_SourceData_Common_MCFTemperatureZone[[#Headers],[Temperature zone]],0)</f>
        <v>0</v>
      </c>
      <c r="R247" s="24" cm="1">
        <f t="array" ref="R247">Common_InputFunctions.Utility_DisplayArrayInTable(Common_SourceData.Common_SourceData_MCFTemperatureZone_Data(),Table_SourceData_Common_MCFTemperatureZone[[#Headers],[Temperature zone]],0)</f>
        <v>4.7000000000000002E-3</v>
      </c>
      <c r="S247" s="24"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24" cm="1">
        <f t="array" ref="E248">Common_InputFunctions.Utility_DisplayArrayInTable(Common_SourceData.Common_SourceData_MCFTemperatureZone_Data(),Table_SourceData_Common_MCFTemperatureZone[[#Headers],[Temperature zone]],0)</f>
        <v>26</v>
      </c>
      <c r="F248" s="24" cm="1">
        <f t="array" ref="F248">Common_InputFunctions.Utility_DisplayArrayInTable(Common_SourceData.Common_SourceData_MCFTemperatureZone_Data(),Table_SourceData_Common_MCFTemperatureZone[[#Headers],[Temperature zone]],0)</f>
        <v>0.79</v>
      </c>
      <c r="G248" s="24" cm="1">
        <f t="array" ref="G248">Common_InputFunctions.Utility_DisplayArrayInTable(Common_SourceData.Common_SourceData_MCFTemperatureZone_Data(),Table_SourceData_Common_MCFTemperatureZone[[#Headers],[Temperature zone]],0)</f>
        <v>0.1</v>
      </c>
      <c r="H248" s="24" cm="1">
        <f t="array" ref="H248">Common_InputFunctions.Utility_DisplayArrayInTable(Common_SourceData.Common_SourceData_MCFTemperatureZone_Data(),Table_SourceData_Common_MCFTemperatureZone[[#Headers],[Temperature zone]],0)</f>
        <v>0.44</v>
      </c>
      <c r="I248" s="24" cm="1">
        <f t="array" ref="I248">Common_InputFunctions.Utility_DisplayArrayInTable(Common_SourceData.Common_SourceData_MCFTemperatureZone_Data(),Table_SourceData_Common_MCFTemperatureZone[[#Headers],[Temperature zone]],0)</f>
        <v>0.01</v>
      </c>
      <c r="J248" s="24" cm="1">
        <f t="array" ref="J248">Common_InputFunctions.Utility_DisplayArrayInTable(Common_SourceData.Common_SourceData_MCFTemperatureZone_Data(),Table_SourceData_Common_MCFTemperatureZone[[#Headers],[Temperature zone]],0)</f>
        <v>1.4999999999999999E-2</v>
      </c>
      <c r="K248" s="24" cm="1">
        <f t="array" ref="K248">Common_InputFunctions.Utility_DisplayArrayInTable(Common_SourceData.Common_SourceData_MCFTemperatureZone_Data(),Table_SourceData_Common_MCFTemperatureZone[[#Headers],[Temperature zone]],0)</f>
        <v>0.02</v>
      </c>
      <c r="L248" s="24" cm="1">
        <f t="array" ref="L248">Common_InputFunctions.Utility_DisplayArrayInTable(Common_SourceData.Common_SourceData_MCFTemperatureZone_Data(),Table_SourceData_Common_MCFTemperatureZone[[#Headers],[Temperature zone]],0)</f>
        <v>0.03</v>
      </c>
      <c r="M248" s="24" cm="1">
        <f t="array" ref="M248">Common_InputFunctions.Utility_DisplayArrayInTable(Common_SourceData.Common_SourceData_MCFTemperatureZone_Data(),Table_SourceData_Common_MCFTemperatureZone[[#Headers],[Temperature zone]],0)</f>
        <v>0.04</v>
      </c>
      <c r="N248" s="24" cm="1">
        <f t="array" ref="N248">Common_InputFunctions.Utility_DisplayArrayInTable(Common_SourceData.Common_SourceData_MCFTemperatureZone_Data(),Table_SourceData_Common_MCFTemperatureZone[[#Headers],[Temperature zone]],0)</f>
        <v>1.4999999999999999E-2</v>
      </c>
      <c r="O248" s="24" cm="1">
        <f t="array" ref="O248">Common_InputFunctions.Utility_DisplayArrayInTable(Common_SourceData.Common_SourceData_MCFTemperatureZone_Data(),Table_SourceData_Common_MCFTemperatureZone[[#Headers],[Temperature zone]],0)</f>
        <v>1.4999999999999999E-2</v>
      </c>
      <c r="P248" s="24" cm="1">
        <f t="array" ref="P248">Common_InputFunctions.Utility_DisplayArrayInTable(Common_SourceData.Common_SourceData_MCFTemperatureZone_Data(),Table_SourceData_Common_MCFTemperatureZone[[#Headers],[Temperature zone]],0)</f>
        <v>0</v>
      </c>
      <c r="Q248" s="24" cm="1">
        <f t="array" ref="Q248">Common_InputFunctions.Utility_DisplayArrayInTable(Common_SourceData.Common_SourceData_MCFTemperatureZone_Data(),Table_SourceData_Common_MCFTemperatureZone[[#Headers],[Temperature zone]],0)</f>
        <v>0</v>
      </c>
      <c r="R248" s="24" cm="1">
        <f t="array" ref="R248">Common_InputFunctions.Utility_DisplayArrayInTable(Common_SourceData.Common_SourceData_MCFTemperatureZone_Data(),Table_SourceData_Common_MCFTemperatureZone[[#Headers],[Temperature zone]],0)</f>
        <v>4.7000000000000002E-3</v>
      </c>
      <c r="S248" s="24"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24" cm="1">
        <f t="array" ref="E249">Common_InputFunctions.Utility_DisplayArrayInTable(Common_SourceData.Common_SourceData_MCFTemperatureZone_Data(),Table_SourceData_Common_MCFTemperatureZone[[#Headers],[Temperature zone]],0)</f>
        <v>27</v>
      </c>
      <c r="F249" s="24" cm="1">
        <f t="array" ref="F249">Common_InputFunctions.Utility_DisplayArrayInTable(Common_SourceData.Common_SourceData_MCFTemperatureZone_Data(),Table_SourceData_Common_MCFTemperatureZone[[#Headers],[Temperature zone]],0)</f>
        <v>0.8</v>
      </c>
      <c r="G249" s="24" cm="1">
        <f t="array" ref="G249">Common_InputFunctions.Utility_DisplayArrayInTable(Common_SourceData.Common_SourceData_MCFTemperatureZone_Data(),Table_SourceData_Common_MCFTemperatureZone[[#Headers],[Temperature zone]],0)</f>
        <v>0.1</v>
      </c>
      <c r="H249" s="24" cm="1">
        <f t="array" ref="H249">Common_InputFunctions.Utility_DisplayArrayInTable(Common_SourceData.Common_SourceData_MCFTemperatureZone_Data(),Table_SourceData_Common_MCFTemperatureZone[[#Headers],[Temperature zone]],0)</f>
        <v>0.48</v>
      </c>
      <c r="I249" s="24" cm="1">
        <f t="array" ref="I249">Common_InputFunctions.Utility_DisplayArrayInTable(Common_SourceData.Common_SourceData_MCFTemperatureZone_Data(),Table_SourceData_Common_MCFTemperatureZone[[#Headers],[Temperature zone]],0)</f>
        <v>0.01</v>
      </c>
      <c r="J249" s="24" cm="1">
        <f t="array" ref="J249">Common_InputFunctions.Utility_DisplayArrayInTable(Common_SourceData.Common_SourceData_MCFTemperatureZone_Data(),Table_SourceData_Common_MCFTemperatureZone[[#Headers],[Temperature zone]],0)</f>
        <v>1.4999999999999999E-2</v>
      </c>
      <c r="K249" s="24" cm="1">
        <f t="array" ref="K249">Common_InputFunctions.Utility_DisplayArrayInTable(Common_SourceData.Common_SourceData_MCFTemperatureZone_Data(),Table_SourceData_Common_MCFTemperatureZone[[#Headers],[Temperature zone]],0)</f>
        <v>0.02</v>
      </c>
      <c r="L249" s="24" cm="1">
        <f t="array" ref="L249">Common_InputFunctions.Utility_DisplayArrayInTable(Common_SourceData.Common_SourceData_MCFTemperatureZone_Data(),Table_SourceData_Common_MCFTemperatureZone[[#Headers],[Temperature zone]],0)</f>
        <v>0.03</v>
      </c>
      <c r="M249" s="24" cm="1">
        <f t="array" ref="M249">Common_InputFunctions.Utility_DisplayArrayInTable(Common_SourceData.Common_SourceData_MCFTemperatureZone_Data(),Table_SourceData_Common_MCFTemperatureZone[[#Headers],[Temperature zone]],0)</f>
        <v>0.04</v>
      </c>
      <c r="N249" s="24" cm="1">
        <f t="array" ref="N249">Common_InputFunctions.Utility_DisplayArrayInTable(Common_SourceData.Common_SourceData_MCFTemperatureZone_Data(),Table_SourceData_Common_MCFTemperatureZone[[#Headers],[Temperature zone]],0)</f>
        <v>1.4999999999999999E-2</v>
      </c>
      <c r="O249" s="24" cm="1">
        <f t="array" ref="O249">Common_InputFunctions.Utility_DisplayArrayInTable(Common_SourceData.Common_SourceData_MCFTemperatureZone_Data(),Table_SourceData_Common_MCFTemperatureZone[[#Headers],[Temperature zone]],0)</f>
        <v>1.4999999999999999E-2</v>
      </c>
      <c r="P249" s="24" cm="1">
        <f t="array" ref="P249">Common_InputFunctions.Utility_DisplayArrayInTable(Common_SourceData.Common_SourceData_MCFTemperatureZone_Data(),Table_SourceData_Common_MCFTemperatureZone[[#Headers],[Temperature zone]],0)</f>
        <v>0</v>
      </c>
      <c r="Q249" s="24" cm="1">
        <f t="array" ref="Q249">Common_InputFunctions.Utility_DisplayArrayInTable(Common_SourceData.Common_SourceData_MCFTemperatureZone_Data(),Table_SourceData_Common_MCFTemperatureZone[[#Headers],[Temperature zone]],0)</f>
        <v>0</v>
      </c>
      <c r="R249" s="24" cm="1">
        <f t="array" ref="R249">Common_InputFunctions.Utility_DisplayArrayInTable(Common_SourceData.Common_SourceData_MCFTemperatureZone_Data(),Table_SourceData_Common_MCFTemperatureZone[[#Headers],[Temperature zone]],0)</f>
        <v>4.7000000000000002E-3</v>
      </c>
      <c r="S249" s="24"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24" t="str" cm="1">
        <f t="array" ref="E250">Common_InputFunctions.Utility_DisplayArrayInTable(Common_SourceData.Common_SourceData_MCFTemperatureZone_Data(),Table_SourceData_Common_MCFTemperatureZone[[#Headers],[Temperature zone]],0)</f>
        <v>≥28</v>
      </c>
      <c r="F250" s="24" cm="1">
        <f t="array" ref="F250">Common_InputFunctions.Utility_DisplayArrayInTable(Common_SourceData.Common_SourceData_MCFTemperatureZone_Data(),Table_SourceData_Common_MCFTemperatureZone[[#Headers],[Temperature zone]],0)</f>
        <v>0.8</v>
      </c>
      <c r="G250" s="24" cm="1">
        <f t="array" ref="G250">Common_InputFunctions.Utility_DisplayArrayInTable(Common_SourceData.Common_SourceData_MCFTemperatureZone_Data(),Table_SourceData_Common_MCFTemperatureZone[[#Headers],[Temperature zone]],0)</f>
        <v>0.1</v>
      </c>
      <c r="H250" s="24" cm="1">
        <f t="array" ref="H250">Common_InputFunctions.Utility_DisplayArrayInTable(Common_SourceData.Common_SourceData_MCFTemperatureZone_Data(),Table_SourceData_Common_MCFTemperatureZone[[#Headers],[Temperature zone]],0)</f>
        <v>0.5</v>
      </c>
      <c r="I250" s="24" cm="1">
        <f t="array" ref="I250">Common_InputFunctions.Utility_DisplayArrayInTable(Common_SourceData.Common_SourceData_MCFTemperatureZone_Data(),Table_SourceData_Common_MCFTemperatureZone[[#Headers],[Temperature zone]],0)</f>
        <v>0.01</v>
      </c>
      <c r="J250" s="24" cm="1">
        <f t="array" ref="J250">Common_InputFunctions.Utility_DisplayArrayInTable(Common_SourceData.Common_SourceData_MCFTemperatureZone_Data(),Table_SourceData_Common_MCFTemperatureZone[[#Headers],[Temperature zone]],0)</f>
        <v>1.4999999999999999E-2</v>
      </c>
      <c r="K250" s="24" cm="1">
        <f t="array" ref="K250">Common_InputFunctions.Utility_DisplayArrayInTable(Common_SourceData.Common_SourceData_MCFTemperatureZone_Data(),Table_SourceData_Common_MCFTemperatureZone[[#Headers],[Temperature zone]],0)</f>
        <v>0.02</v>
      </c>
      <c r="L250" s="24" cm="1">
        <f t="array" ref="L250">Common_InputFunctions.Utility_DisplayArrayInTable(Common_SourceData.Common_SourceData_MCFTemperatureZone_Data(),Table_SourceData_Common_MCFTemperatureZone[[#Headers],[Temperature zone]],0)</f>
        <v>0.03</v>
      </c>
      <c r="M250" s="24" cm="1">
        <f t="array" ref="M250">Common_InputFunctions.Utility_DisplayArrayInTable(Common_SourceData.Common_SourceData_MCFTemperatureZone_Data(),Table_SourceData_Common_MCFTemperatureZone[[#Headers],[Temperature zone]],0)</f>
        <v>0.04</v>
      </c>
      <c r="N250" s="24" cm="1">
        <f t="array" ref="N250">Common_InputFunctions.Utility_DisplayArrayInTable(Common_SourceData.Common_SourceData_MCFTemperatureZone_Data(),Table_SourceData_Common_MCFTemperatureZone[[#Headers],[Temperature zone]],0)</f>
        <v>1.4999999999999999E-2</v>
      </c>
      <c r="O250" s="24" cm="1">
        <f t="array" ref="O250">Common_InputFunctions.Utility_DisplayArrayInTable(Common_SourceData.Common_SourceData_MCFTemperatureZone_Data(),Table_SourceData_Common_MCFTemperatureZone[[#Headers],[Temperature zone]],0)</f>
        <v>1.4999999999999999E-2</v>
      </c>
      <c r="P250" s="24" cm="1">
        <f t="array" ref="P250">Common_InputFunctions.Utility_DisplayArrayInTable(Common_SourceData.Common_SourceData_MCFTemperatureZone_Data(),Table_SourceData_Common_MCFTemperatureZone[[#Headers],[Temperature zone]],0)</f>
        <v>0</v>
      </c>
      <c r="Q250" s="24" cm="1">
        <f t="array" ref="Q250">Common_InputFunctions.Utility_DisplayArrayInTable(Common_SourceData.Common_SourceData_MCFTemperatureZone_Data(),Table_SourceData_Common_MCFTemperatureZone[[#Headers],[Temperature zone]],0)</f>
        <v>0</v>
      </c>
      <c r="R250" s="24" cm="1">
        <f t="array" ref="R250">Common_InputFunctions.Utility_DisplayArrayInTable(Common_SourceData.Common_SourceData_MCFTemperatureZone_Data(),Table_SourceData_Common_MCFTemperatureZone[[#Headers],[Temperature zone]],0)</f>
        <v>4.7000000000000002E-3</v>
      </c>
      <c r="S250" s="24" cm="1">
        <f t="array" ref="S250">Common_InputFunctions.Utility_DisplayArrayInTable(Common_SourceData.Common_SourceData_MCFTemperatureZone_Data(),Table_SourceData_Common_MCFTemperatureZone[[#Headers],[Temperature zone]],0)</f>
        <v>28</v>
      </c>
    </row>
    <row r="253" spans="4:19" ht="23.25" x14ac:dyDescent="0.25">
      <c r="D253" s="5" t="str" cm="1">
        <f t="array" ref="D253">Common_SourceData.Common_SourceData_EFOrganicFertiliserAndCropResidues_Title()</f>
        <v>Emission factor for organic fertiliser and crop residues returned to the soil</v>
      </c>
    </row>
    <row r="254" spans="4:19" x14ac:dyDescent="0.25">
      <c r="D254" s="4"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28" t="str" cm="1">
        <f t="array" ref="D256">Common_SourceData.Common_SourceData_EFOrganicFertiliserAndCropResidues_Unit()</f>
        <v>kg N2O - N / kg N</v>
      </c>
    </row>
    <row r="257" spans="4:6" x14ac:dyDescent="0.25">
      <c r="D257" s="24" t="s">
        <v>77</v>
      </c>
      <c r="E257" s="24" t="s">
        <v>78</v>
      </c>
    </row>
    <row r="258" spans="4:6" x14ac:dyDescent="0.25">
      <c r="D258" s="24" t="str" cm="1">
        <f t="array" ref="D258">Common_InputFunctions.Utility_DisplayArrayInTable(Common_SourceData.Common_SourceData_EFOrganicFertiliserAndCropResidues_Data(), Table_SourceData_Common_EFOrganicFertCropResidues[[#Headers],[Climate Zone]], 0)</f>
        <v>Wet climate zone</v>
      </c>
      <c r="E258" s="24" cm="1">
        <f t="array" ref="E258">Common_InputFunctions.Utility_DisplayArrayInTable(Common_SourceData.Common_SourceData_EFOrganicFertiliserAndCropResidues_Data(), Table_SourceData_Common_EFOrganicFertCropResidues[[#Headers],[Climate Zone]], 0)</f>
        <v>6.0000000000000001E-3</v>
      </c>
    </row>
    <row r="259" spans="4:6"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24" cm="1">
        <f t="array" ref="E259">Common_InputFunctions.Utility_DisplayArrayInTable(Common_SourceData.Common_SourceData_EFOrganicFertiliserAndCropResidues_Data(), Table_SourceData_Common_EFOrganicFertCropResidues[[#Headers],[Climate Zone]], 0)</f>
        <v>5.0000000000000001E-3</v>
      </c>
    </row>
    <row r="263" spans="4:6" ht="23.25" x14ac:dyDescent="0.25">
      <c r="D263" s="5" t="s">
        <v>162</v>
      </c>
    </row>
    <row r="264" spans="4:6" x14ac:dyDescent="0.25">
      <c r="D264" s="1" t="s">
        <v>163</v>
      </c>
    </row>
    <row r="265" spans="4:6" x14ac:dyDescent="0.25">
      <c r="D265" s="24" t="s">
        <v>85</v>
      </c>
      <c r="E265" s="24" t="s">
        <v>164</v>
      </c>
      <c r="F265" s="24" t="s">
        <v>165</v>
      </c>
    </row>
    <row r="266" spans="4:6" x14ac:dyDescent="0.25">
      <c r="D266" s="24" t="s">
        <v>166</v>
      </c>
      <c r="E266" s="24" t="s">
        <v>167</v>
      </c>
      <c r="F266" s="24">
        <v>5</v>
      </c>
    </row>
    <row r="267" spans="4:6" x14ac:dyDescent="0.25">
      <c r="D267" s="24" t="s">
        <v>168</v>
      </c>
      <c r="E267" s="24" t="s">
        <v>169</v>
      </c>
      <c r="F267" s="24">
        <v>4</v>
      </c>
    </row>
    <row r="268" spans="4:6" x14ac:dyDescent="0.25">
      <c r="D268" s="24" t="s">
        <v>170</v>
      </c>
      <c r="E268" s="24" t="s">
        <v>171</v>
      </c>
      <c r="F268" s="24">
        <v>3</v>
      </c>
    </row>
    <row r="269" spans="4:6" x14ac:dyDescent="0.25">
      <c r="D269" s="24" t="s">
        <v>172</v>
      </c>
      <c r="E269" s="24" t="s">
        <v>173</v>
      </c>
      <c r="F269" s="24">
        <v>2</v>
      </c>
    </row>
    <row r="270" spans="4:6" x14ac:dyDescent="0.25">
      <c r="D270" s="24" t="s">
        <v>174</v>
      </c>
      <c r="E270" s="24" t="s">
        <v>175</v>
      </c>
      <c r="F270" s="24">
        <v>1</v>
      </c>
    </row>
    <row r="273" spans="4:6" x14ac:dyDescent="0.25">
      <c r="D273" s="1" t="s">
        <v>176</v>
      </c>
    </row>
    <row r="274" spans="4:6" x14ac:dyDescent="0.25">
      <c r="D274" s="24" t="s">
        <v>85</v>
      </c>
      <c r="E274" s="24" t="s">
        <v>164</v>
      </c>
      <c r="F274" s="24" t="s">
        <v>165</v>
      </c>
    </row>
    <row r="275" spans="4:6" x14ac:dyDescent="0.25">
      <c r="D275" s="24" t="s">
        <v>177</v>
      </c>
      <c r="E275" s="24" t="s">
        <v>178</v>
      </c>
      <c r="F275" s="24">
        <v>5</v>
      </c>
    </row>
    <row r="276" spans="4:6" x14ac:dyDescent="0.25">
      <c r="D276" s="24" t="s">
        <v>179</v>
      </c>
      <c r="E276" s="24" t="s">
        <v>180</v>
      </c>
      <c r="F276" s="24">
        <v>4</v>
      </c>
    </row>
    <row r="277" spans="4:6" x14ac:dyDescent="0.25">
      <c r="D277" s="24" t="s">
        <v>181</v>
      </c>
      <c r="E277" s="24" t="s">
        <v>182</v>
      </c>
      <c r="F277" s="24">
        <v>3</v>
      </c>
    </row>
    <row r="278" spans="4:6" x14ac:dyDescent="0.25">
      <c r="D278" s="24" t="s">
        <v>183</v>
      </c>
      <c r="E278" s="24" t="s">
        <v>184</v>
      </c>
      <c r="F278" s="24">
        <v>2</v>
      </c>
    </row>
    <row r="279" spans="4:6" x14ac:dyDescent="0.25">
      <c r="D279" s="24" t="s">
        <v>185</v>
      </c>
      <c r="E279" s="24" t="s">
        <v>186</v>
      </c>
      <c r="F279" s="24">
        <v>1</v>
      </c>
    </row>
    <row r="282" spans="4:6" x14ac:dyDescent="0.25">
      <c r="D282" s="1" t="s">
        <v>187</v>
      </c>
    </row>
    <row r="283" spans="4:6" x14ac:dyDescent="0.25">
      <c r="D283" s="24" t="s">
        <v>85</v>
      </c>
      <c r="E283" s="24" t="s">
        <v>164</v>
      </c>
      <c r="F283" s="24" t="s">
        <v>165</v>
      </c>
    </row>
    <row r="284" spans="4:6" x14ac:dyDescent="0.25">
      <c r="D284" s="24" t="s">
        <v>188</v>
      </c>
      <c r="E284" s="24" t="s">
        <v>189</v>
      </c>
      <c r="F284" s="24">
        <v>5</v>
      </c>
    </row>
    <row r="285" spans="4:6" x14ac:dyDescent="0.25">
      <c r="D285" s="24" t="s">
        <v>190</v>
      </c>
      <c r="E285" s="24" t="s">
        <v>191</v>
      </c>
      <c r="F285" s="24">
        <v>4</v>
      </c>
    </row>
    <row r="286" spans="4:6" x14ac:dyDescent="0.25">
      <c r="D286" s="24" t="s">
        <v>192</v>
      </c>
      <c r="E286" s="24" t="s">
        <v>193</v>
      </c>
      <c r="F286" s="24">
        <v>3</v>
      </c>
    </row>
    <row r="287" spans="4:6" x14ac:dyDescent="0.25">
      <c r="D287" s="24" t="s">
        <v>194</v>
      </c>
      <c r="E287" s="24" t="s">
        <v>195</v>
      </c>
      <c r="F287" s="24">
        <v>2</v>
      </c>
    </row>
    <row r="288" spans="4:6" x14ac:dyDescent="0.25">
      <c r="D288" s="24" t="s">
        <v>196</v>
      </c>
      <c r="E288" s="24" t="s">
        <v>197</v>
      </c>
      <c r="F288" s="24">
        <v>1</v>
      </c>
    </row>
    <row r="291" spans="4:6" x14ac:dyDescent="0.25">
      <c r="D291" s="1" t="s">
        <v>198</v>
      </c>
    </row>
    <row r="292" spans="4:6" x14ac:dyDescent="0.25">
      <c r="D292" s="24" t="s">
        <v>85</v>
      </c>
      <c r="E292" s="24" t="s">
        <v>164</v>
      </c>
      <c r="F292" s="24" t="s">
        <v>165</v>
      </c>
    </row>
    <row r="293" spans="4:6" x14ac:dyDescent="0.25">
      <c r="D293" s="24" t="s">
        <v>199</v>
      </c>
      <c r="E293" s="24" t="s">
        <v>200</v>
      </c>
      <c r="F293" s="24">
        <v>5</v>
      </c>
    </row>
    <row r="294" spans="4:6" x14ac:dyDescent="0.25">
      <c r="D294" s="24" t="s">
        <v>201</v>
      </c>
      <c r="E294" s="24" t="s">
        <v>202</v>
      </c>
      <c r="F294" s="24">
        <v>4</v>
      </c>
    </row>
    <row r="295" spans="4:6" x14ac:dyDescent="0.25">
      <c r="D295" s="24" t="s">
        <v>203</v>
      </c>
      <c r="E295" s="24" t="s">
        <v>204</v>
      </c>
      <c r="F295" s="24">
        <v>3</v>
      </c>
    </row>
    <row r="296" spans="4:6" x14ac:dyDescent="0.25">
      <c r="D296" s="24" t="s">
        <v>205</v>
      </c>
      <c r="E296" s="24" t="s">
        <v>206</v>
      </c>
      <c r="F296" s="24">
        <v>2</v>
      </c>
    </row>
    <row r="297" spans="4:6" x14ac:dyDescent="0.25">
      <c r="D297" s="24" t="s">
        <v>207</v>
      </c>
      <c r="E297" s="24" t="s">
        <v>208</v>
      </c>
      <c r="F297" s="24">
        <v>1</v>
      </c>
    </row>
  </sheetData>
  <pageMargins left="0.7" right="0.7" top="0.75" bottom="0.75" header="0.3" footer="0.3"/>
  <pageSetup paperSize="9" orientation="portrait" r:id="rId1"/>
  <tableParts count="2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XABuACIAfQAsAHsAIgBwAGEAdABoACIAOgAiAC8AcAByAG8AagBlAGMAdABzAC8AQwBvAG0AbQBvAG4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ZQBuAHQAZQByAHAAcgBpAHMAZQAgAHQAeQBwAGUAcwBcAG4ARQB4AGMAZQBsACAAbQBvAGQAdQBsAGUAIABuAGEAbQBlADoAIABDAG8AbQBtAG8AbgBfAFMAbwB1AHIAYwBlAEQAYQB0AGE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EMAbwBtAG0AbwBuAF8AUwBvAHUAcgBjAGUARABhAHQAYQBfAEQAZQBuAHMAaQB0AHkATwBmAE0AZQB0AGgAYQBuAGUAXABuAHAAIAA9ACAAZABlAG4AcwBpAHQAeQAgAG8AZgAgAG0AZQB0AGgAYQBuAGUAIAAoADAALgA2ADcAOAA0ACAAawBnAC8AbQAzACkAXABuAFQAYQBrAGUAbgAgAGYAcgBvAG0AIAB0AGgAZQAgAE4AYQB0AGkAbwBuAGEAbAAgAEcAcgBlAGUAbgBoAG8AdQBzAGUAIABhAG4AZAAgAEUAbgBlAHIAZwB5ACAAUgBlAHAAbwByAHQAaQBuAGcAIABcAG4AKABNAGUAYQBzAHUAcgBlAG0AZQBuAHQAKQAgAEQAZQB0AGUAcgBtAGkAbgBhAHQAaQBvAG4AIAAyADAAMAA4AFwAbgAtAC0ALQAtAC0ALQAtAC0ALQAtAC0ALQAtAC0ALQAtAC0ALQAtAC0ALQAtAC0ALQAtAC0ALQAtAC0ALQAtAC0ALQAtAC0ALQAtAC0AXABuACoALwBcAG4AXABuAEMAbwBtAG0AbwBuAF8AUwBvAHUAcgBjAGUARABhAHQAYQBfAEQAZQBuAHMAaQB0AHkATwBmAE0AZQB0AGgAYQBuAGUAXwBUAGkAdABsAGUAXABuACAAIAA9AEwAQQBNAEIARABBACgAXAAiAHAAIAA9ACAAZABlAG4AcwBpAHQAeQAgAG8AZgAgAG0AZQB0AGgAYQBuAGUAXAAiACkAOwBcAG4AXABuAEMAbwBtAG0AbwBuAF8AUwBvAHUAcgBjAGUARABhAHQAYQBfAEQAZQBuAHMAaQB0AHkATwBmAE0AZQB0AGgAYQBuAGUAXwBVAG4AaQB0AFwAbgAgACAAPQBMAEEATQBCAEQAQQAoAFwAIgBrAGcALwBtADMAXAAiACkAOwBcAG4AXABuAEMAbwBtAG0AbwBuAF8AUwBvAHUAcgBjAGUARABhAHQAYQBfAEQAZQBuAHMAaQB0AHkATwBmAE0AZQB0AGgAYQBuAGUAXwBTAG8AdQByAGMAZQBcAG4AIAAgAD0ATABBAE0AQgBEAEEAKABcACIATgBhAHQAaQBvAG4AYQBsACAASQBuAHYAZQBuAHQAbwByAHkAIABSAGUAcABvAHIAdAAgADIAMAAyADMAIABWAG8AbAB1AG0AZQAgADEAOgAgAEUAcQB1AGEAdABpAG8AbgBzACAAMwAuAEIALgAxAGEAXwAyACwAIAAzAC4AQgAuADEAYwBfADIALAAgADMALgBCAC4AMwBfADEALAAgADMALgBCAC4ANABnAF8AMgBcACIAKQA7AFwAbgBcAG4AQwBvAG0AbQBvAG4AXwBTAG8AdQByAGMAZQBEAGEAdABhAF8ARABlAG4AcwBpAHQAeQBPAGYATQBlAHQAaABhAG4AZQBfAEQAYQB0AGEAXABuACAAIAA9AEwAQQBNAEIARABBACgAMAAuADYANwA4ADQAKQA7AFwAbgBcAG4ALwAqACAAXABuAC0ALQAtAC0ALQAtAC0ALQAtAC0ALQAtAC0ALQAtAC0ALQAtAC0ALQAtAC0ALQAtAC0ALQAtAC0ALQAtAC0ALQAtAC0ALQAtAC0ALQBcAG4AQwBvAG0AbQBvAG4AXwBTAG8AdQByAGMAZQBEAGEAdABhAF8AQwBvAG4AdgBlAHIAdABOADIAbwBFAGwAZQBtAGUAbgB0AGEAbABUAG8ATQBvAGwAZQBjAHUAbABhAHIAQwBnAFwAbgBDAGcAIAA9ACAANAA0AC8AMgA4ACAAZgBhAGMAdABvAHIAIAB0AG8AIABjAG8AbgB2AGUAcgB0ACAAZQBsAGUAbQBlAG4AdABhAGwAIABtAGEAcwBzACAAbwBmACAATgAyAE8AIAB0AG8AIABtAG8AbABlAGMAdQBsAGEAcgAgAG0AYQBzAHMAXABuAC0ALQAtAC0ALQAtAC0ALQAtAC0ALQAtAC0ALQAtAC0ALQAtAC0ALQAtAC0ALQAtAC0ALQAtAC0ALQAtAC0ALQAtAC0ALQAtAC0ALQBcAG4AKgAvAFwAbgBcAG4AQwBvAG0AbQBvAG4AXwBTAG8AdQByAGMAZQBEAGEAdABhAF8AQwBvAG4AdgBlAHIAdABOADIAbwBFAGwAZQBtAGUAbgB0AGEAbABUAG8ATQBvAGwAZQBjAHUAbABhAHIAQwBnAF8AVABpAHQAbABlAFwAbgAgACAAPQBMAEEATQBCAEQAQQAoAFwAIgBGAGEAYwB0AG8AcgAgAHQAbwAgAGMAbwBuAHYAZQByAHQAIABlAGwAZQBtAGUAbgB0AGEAbAAgAG0AYQBzAHMAIABvAGYAIABOADIATwAgAHQAbwAgAG0AbwBsAGUAYwB1AGwAYQByACAAbQBhAHMAcwBcACIAKQA7AFwAbgBcAG4AQwBvAG0AbQBvAG4AXwBTAG8AdQByAGMAZQBEAGEAdABhAF8AQwBvAG4AdgBlAHIAdABOADIAbwBFAGwAZQBtAGUAbgB0AGEAbABUAG8ATQBvAGwAZQBjAHUAbABhAHIAQwBnAF8AVgBhAHIAaQBhAGIAbABlAFwAbgAgACAAPQBMAEEATQBCAEQAQQAoAFwAIgBDAGcATgAyAE8AXAAiACkAOwBcAG4AXABuAEMAbwBtAG0AbwBuAF8AUwBvAHUAcgBjAGUARABhAHQAYQBfAEMAbwBuAHYAZQByAHQATgAyAG8ARQBsAGUAbQBlAG4AdABhAGwAVABvAE0AbwBsAGUAYwB1AGwAYQByAEMAZwBfAFUAbgBpAHQAXABuACAAIAA9AEwAQQBNAEIARABBACgAXAAiAGYAYQBjAHQAbwByAFwAIgApADsAXABuAFwAbgBDAG8AbQBtAG8AbgBfAFMAbwB1AHIAYwBlAEQAYQB0AGEAXwBDAG8AbgB2AGUAcgB0AE4AMgBvAEUAbABlAG0AZQBuAHQAYQBsAFQAbwBNAG8AbABlAGMAdQBsAGEAcgBDAGcAXwBTAG8AdQByAGMAZQBcAG4AIAAgAD0ATABBAE0AQgBEAEEAKABcACIATgBhAHQAaQBvAG4AYQBsACAASQBuAHYAZQBuAHQAbwByAHkAIABSAGUAcABvAHIAdAAgADIAMAAyADMAIABWAG8AbAB1AG0AZQAgADEAXAAiACkAOwBcAG4AXABuAEMAbwBtAG0AbwBuAF8AUwBvAHUAcgBjAGUARABhAHQAYQBfAEMAbwBuAHYAZQByAHQATgAyAG8ARQBsAGUAbQBlAG4AdABhAGwAVABvAE0AbwBsAGUAYwB1AGwAYQByAEMAZwBfAEQAYQB0AGEAXABuACAAIAA9AEwAQQBNAEIARABBACgANAA0AC8AMgA4ACkAOwBcAG4AXABuAC8AKgAgAFwAbgAtAC0ALQAtAC0ALQAtAC0ALQAtAC0ALQAtAC0ALQAtAC0ALQAtAC0ALQAtAC0ALQAtAC0ALQAtAC0ALQAtAC0ALQAtAC0ALQAtAC0AXABuAEMAbwBtAG0AbwBuAF8AUwBvAHUAcgBjAGUARABhAHQAYQBfAEMAbwBuAHYAZQByAHQARwBhAHMARQBsAGUAbQBlAG4AdABhAGwAVABvAE0AbwBsAGUAYwB1AGwAYQByAFwAbgBGAGEAYwB0AG8AcgAgAHQAbwAgAGMAbwBuAHYAZQByAHQAIABlAGwAZQBtAGUAbgB0AGEAbAAgAG0AYQBzAHMAIABvAGYAIABnAGEAcwAgAHQAbwAgAG0AbwBsAGUAYwB1AGwAYQByACAAbQBhAHMAcwBcAG4ALQAtAC0ALQAtAC0ALQAtAC0ALQAtAC0ALQAtAC0ALQAtAC0ALQAtAC0ALQAtAC0ALQAtAC0ALQAtAC0ALQAtAC0ALQAtAC0ALQAtAFwAbgAqAC8AXABuAFwAbgBDAG8AbQBtAG8AbgBfAFMAbwB1AHIAYwBlAEQAYQB0AGEAXwBDAG8AbgB2AGUAcgB0AEcAYQBzAEUAbABlAG0AZQBuAHQAYQBsAFQAbwBNAG8AbABlAGMAdQBsAGEAcgBfAFQAaQB0AGwAZQBcAG4AIAAgAD0ATABBAE0AQgBEAEEAKABcACIARgBhAGMAdABvAHIAIAB0AG8AIABjAG8AbgB2AGUAcgB0ACAAZQBsAGUAbQBlAG4AdABhAGwAIABtAGEAcwBzACAAbwBmACAAZwBhAHMAIAB0AG8AIABtAG8AbABlAGMAdQBsAGEAcgAgAG0AYQBzAHMAXAAiACkAOwBcAG4AXABuAEMAbwBtAG0AbwBuAF8AUwBvAHUAcgBjAGUARABhAHQAYQBfAEMAbwBuAHYAZQByAHQARwBhAHMARQBsAGUAbQBlAG4AdABhAGwAVABvAE0AbwBsAGUAYwB1AGwAYQByAF8AVgBhAHIAaQBhAGIAbABlAFwAbgAgACAAPQBMAEEATQBCAEQAQQAoAFwAIgBDAGcAXAAiACkAOwBcAG4AXABuAEMAbwBtAG0AbwBuAF8AUwBvAHUAcgBjAGUARABhAHQAYQBfAEMAbwBuAHYAZQByAHQARwBhAHMARQBsAGUAbQBlAG4AdABhAGwAVABvAE0AbwBsAGUAYwB1AGwAYQByAF8AVQBuAGkAdABcAG4AIAAgAD0ATABBAE0AQgBEAEEAKABcACIAZgBhAGMAdABvAHIAXAAiACkAOwBcAG4AXABuAEMAbwBtAG0AbwBuAF8AUwBvAHUAcgBjAGUARABhAHQAYQBfAEMAbwBuAHYAZQByAHQARwBhAHMARQBsAGUAbQBlAG4AdABhAGwAVABvAE0AbwBsAGUAYwB1AGwAYQByAF8AUwBvAHUAcgBjAGUAXABuACAAIAA9AEwAQQBNAEIARABBACgAXAAiAFgAWABYAFgAWABYAFgAXAAiACkAOwBcAG4AXABuAEMAbwBtAG0AbwBuAF8AUwBvAHUAcgBjAGUARABhAHQAYQBfAEMAbwBuAHYAZQByAHQARwBhAHMARQBsAGUAbQBlAG4AdABhAGwAVABvAE0AbwBsAGUAYwB1AGwAYQByAF8ARABhAHQAYQBcAG4AIAAgAD0ATABBAE0AQgBEAEEAKABcAG4AIAAgACAAIABNAEEASwBFAEEAUgBSAEEAWQAoADgALAAgADQALAAgAFwAbgAgACAAIAAgACAAIABMAEEATQBCAEQAQQAoAHIALABjACwAIABcAG4AIAAgACAAIAAgACAAIAAgAEkATgBEAEUAWAAoAHsAXABuACAAIAAgACAAIAAgACAAIAAgACAAXAAiAEcAYQBzAFwAIgAsACAAXAAiAEMAbwBuAHYAZQByAHMAaQBvAG4AIABmAGEAYwB0AG8AcgBcACIALAAgAFwAIgBDAG8AbgB2AGUAcgBzAGkAbwBuACAAZgBhAGMAdABvAHIAIAAxAFwAIgAsACAAXAAiAEMAbwBuAHYAZQByAHMAaQBvAG4AIABmAGEAYwB0AG8AcgAgADIAXAAiADsAXABuACAAIAAgACAAIAAgACAAIAAgACAAXAAiAEMATwAyAFwAIgAsACAAXAAiADQANAAvADEAMgBcACIALAAgADQANAAsACAAMQAyADsAXABuACAAIAAgACAAIAAgACAAIAAgACAAXAAiAEMASAA0AFwAIgAsACAAXAAiADEANgAvADEAMgBcACIALAAgADEANgAsACAAMQAyADsAXABuACAAIAAgACAAIAAgACAAIAAgACAAXAAiAE4AMgBPAFwAIgAsACAAXAAiADQANAAvADIAOABcACIALAAgADQANAAsACAAMgA4ADsAXABuACAAIAAgACAAIAAgACAAIAAgACAAXAAiAE4AbwB4AFwAIgAsACAAXAAiADQANgAvADEANABcACIALAAgADQANgAsACAAMQA0ADsAXABuACAAIAAgACAAIAAgACAAIAAgACAAXAAiAEMATwBcACIALAAgAFwAIgAyADgALwAxADIAXAAiACwAIAAyADgALAAgADEAMgA7AFwAbgAgACAAIAAgACAAIAAgACAAIAAgAFwAIgBDAE8AMgAgAEwAaQBtAGUAXAAiACwAIABcACIANAA0AC8AMQAyAFwAIgAsACAANAA0ACwAIAAxADIAOwBcAG4AIAAgACAAIAAgACAAIAAgACAAIABcACIATgBNAFYATwBDAFwAIgAsACAAXAAiADEANAAvADEAMgBcACIALAAgADEANAAsACAAMQAy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HAFcAUABOADIATwBcAG4ARwBsAG8AYgBhAGwAIAB3AGEAcgBtAGkAbgBnACAAcABvAHQAZQBuAHQAaQBhAGwAIABmAG8AcgAgAGcAcgBlAGUAbgBoAG8AdQBzAGUAIABnAGEAcwBlAHMAXABuAC0ALQAtAC0ALQAtAC0ALQAtAC0ALQAtAC0ALQAtAC0ALQAtAC0ALQAtAC0ALQAtAC0ALQAtAC0ALQAtAC0ALQAtAC0ALQAtAC0ALQBcAG4AKgAvAFwAbgBcAG4AQwBvAG0AbQBvAG4AXwBTAG8AdQByAGMAZQBEAGEAdABhAF8ARwBXAFAAXwBUAGkAdABsAGUAXABuACAAIAA9AEwAQQBNAEIARABBACgAXAAiAEcAbABvAGIAYQBsACAAdwBhAHIAbQBpAG4AZwAgAHAAbwB0AGUAbgB0AGkAYQBsACAAZgBvAHIAIABnAHIAZQBlAG4AaABvAHUAcwBlACAAZwBhAHMAZQBzAFwAIgApADsAXABuAFwAbgBDAG8AbQBtAG8AbgBfAFMAbwB1AHIAYwBlAEQAYQB0AGEAXwBHAFcAUABfAFYAYQByAGkAYQBiAGwAZQBcAG4AIAAgAD0ATABBAE0AQgBEAEEAKABcACIARwBXAFAATgAyAE8AXAAiACkAOwBcAG4AXABuAEMAbwBtAG0AbwBuAF8AUwBvAHUAcgBjAGUARABhAHQAYQBfAEcAVwBQAF8AVQBuAGkAdABcAG4AIAAgAD0ATABBAE0AQgBEAEEAKABcACIAZgBhAGMAdABvAHIAXAAiACkAOwBcAG4AXABuAEMAbwBtAG0AbwBuAF8AUwBvAHUAcgBjAGUARABhAHQAYQBfAEcAVwBQAF8AUwBvAHUAcgBjAGUAXABuACAAIAA9AEwAQQBNAEIARABBACgAXAAiAFgAWABYAFgAWABYAFgAXAAiACkAOwBcAG4AXABuAEMAbwBtAG0AbwBuAF8AUwBvAHUAcgBjAGUARABhAHQAYQBfAEcAVwBQAF8ARABhAHQAYQBcAG4AIAAgAD0ATABBAE0AQgBEAEEAKABcAG4AIAAgACAAIABNAEEASwBFAEEAUgBSAEEAWQAoADgALAAgADIALAAgAFwAbgAgACAAIAAgACAAIABMAEEATQBCAEQAQQAoAHIALABjACwAIABcAG4AIAAgACAAIAAgACAAIAAgAEkATgBEAEUAWAAoAHsAXABuACAAIAAgACAAIAAgACAAIAAgACAAXAAiAEcAYQBzAFwAIgAsACAAXAAiAEMATwAyAC0AZQAgAGYAYQBjAHQAbwByAFwAIgA7AFwAbgAgACAAIAAgACAAIAAgACAAIAAgAFwAIgBDAE8AMgBcACIALAAgADEAOwBcAG4AIAAgACAAIAAgACAAIAAgACAAIABcACIAQwBIADQAXAAiACwAIAAyADgAOwBcAG4AIAAgACAAIAAgACAAIAAgACAAIABcACIATgAyAE8AXAAiACwAIAAyADYANQA7AFwAbgAgACAAIAAgACAAIAAgACAAIAAgAFwAIgBDAEYANABcACIALAAgADYANgAzADAAOwBcAG4AIAAgACAAIAAgACAAIAAgACAAIABcACIAQwAyAEYANgBcACIALAAgADEAMgAyADAAMAA7AFwAbgAgACAAIAAgACAAIAAgACAAIAAgAFwAIgBTAEYANgBcACIALAAgADIAMgA4ADAAMAA7AFwAbgAgACAAIAAgACAAIAAgACAAIAAgAFwAIgBOAEYAMwBcACIALAAgADEANwAyADAAMA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EEAdQBzAHQAcgBhAGwAaQBhAG4AUwB0AGEAdABlAHMAVABlAHIAcgBpAHQAbwByAGkAZQBzAFwAbgAtAC0ALQAtAC0ALQAtAC0ALQAtAC0ALQAtAC0ALQAtAC0ALQAtAC0ALQAtAC0ALQAtAC0ALQAtAC0ALQAtAC0ALQAtAC0ALQAtAC0AXABuACoALwBcAG4AXABuAEMAbwBtAG0AbwBuAF8AUwBvAHUAcgBjAGUARABhAHQAYQBfAEEAdQBzAHQAcgBhAGwAaQBhAG4AUwB0AGEAdABlAHMAVABlAHIAcgBpAHQAbwByAGkAZQBzAF8AVABpAHQAbABlAFwAbgAgACAAPQBMAEEATQBCAEQAQQAoAFwAIgBBAHUAcwB0AHIAYQBsAGkAYQBuACAAcwB0AGEAdABlAHMAIABhAG4AZAAgAHQAZQByAHIAaQB0AG8AcgBpAGUAcwBcACIAKQA7AFwAbgBcAG4AQwBvAG0AbQBvAG4AXwBTAG8AdQByAGMAZQBEAGEAdABhAF8AQQB1AHMAdAByAGEAbABpAGEAbgBTAHQAYQB0AGUAcwBUAGUAcgByAGkAdABvAHIAaQBlAHMAXwBWAGEAcgBpAGEAYgBsAGUAXABuACAAIAA9AEwAQQBNAEIARABBACgAXAAiAFwAIgApADsAXABuAFwAbgBDAG8AbQBtAG8AbgBfAFMAbwB1AHIAYwBlAEQAYQB0AGEAXwBBAHUAcwB0AHIAYQBsAGkAYQBuAFMAdABhAHQAZQBzAFQAZQByAHIAaQB0AG8AcgBpAGUAcwBfAFUAbgBpAHQAXABuACAAIAA9AEwAQQBNAEIARABBACgAXAAiAFwAIgApADsAXABuAFwAbgBDAG8AbQBtAG8AbgBfAFMAbwB1AHIAYwBlAEQAYQB0AGEAXwBBAHUAcwB0AHIAYQBsAGkAYQBuAFMAdABhAHQAZQBzAFQAZQByAHIAaQB0AG8AcgBpAGUAcwBfAFMAbwB1AHIAYwBlAFwAbgAgACAAPQBMAEEATQBCAEQAQQAoAFwAIgBcACIAKQA7AFwAbgBcAG4AQwBvAG0AbQBvAG4AXwBTAG8AdQByAGMAZQBEAGEAdABhAF8AQQB1AHMAdAByAGEAbABpAGEAbgBTAHQAYQB0AGUAcwBUAGUAcgByAGkAdABvAHIAaQBlAHMAXwBEAGEAdABhAFwAbgAgACAAIAA9AEwAQQBNAEIARABBACgAXABuACAAIAAgACAATQBBAEsARQBBAFIAUgBBAFkAKAA5ACwAIAAzACwAIABcAG4AIAAgACAAIAAgACAATABBAE0AQgBEAEEAKAByACwAYwAsACAAXABuACAAIAAgACAAIAAgACAAIABJAE4ARABFAFgAKAB7AFwAbgAgACAAIAAgACAAIAAgACAAIAAgAFwAIgBTAHQAYQB0AGUALwBUAGUAcgByAGkAdABvAHIAeQBcACIALAAgAFwAIgBDAG8AbQBtAG8AbgAgAE4AYQBtAGUAXAAiACwAIABcACIAQQBiAGIAcgBlAHYAaQBhAHQAaQBvAG4AXAAiADsAXABuACAAIAAgACAAIAAgACAAIAAgACAAXAAiAE4AZQB3ACAAUwBvAHUAdABoACAAVwBhAGwAZQBzAFwAIgAsACAAXAAiAE4AZQB3ACAAUwBvAHUAdABoACAAVwBhAGwAZQBzAFwAIgAsACAAXAAiAE4AUwBXAFwAIgA7AFwAbgAgACAAIAAgACAAIAAgACAAIAAgAFwAIgBBAHUAcwB0AHIAYQBsAGkAYQBuACAAQwBhAHAAaQB0AGEAbAAgAFQAZQByAHIAaQB0AG8AcgB5AFwAIgAsACAAXAAiAEEAQwBUAFwAIgAsACAAXAAiAEEAQwBUAFwAIgA7AFwAbgAgACAAIAAgACAAIAAgACAAIAAgAFwAIgBWAGkAYwB0AG8AcgBpAGEAXAAiACwAIABcACIAVgBpAGMAdABvAHIAaQBhAFwAIgAsACAAXAAiAFYASQBDAFwAIgA7AFwAbgAgACAAIAAgACAAIAAgACAAIAAgAFwAIgBRAHUAZQBlAG4AcwBsAGEAbgBkAFwAIgAsACAAXAAiAFEAdQBlAGUAbgBzAGwAYQBuAGQAXAAiACwAIABcACIAUQBMAEQAXAAiADsAXABuACAAIAAgACAAIAAgACAAIAAgACAAXAAiAFMAbwB1AHQAaAAgAEEAdQBzAHQAcgBhAGwAaQBhAFwAIgAsACAAXAAiAFMAbwB1AHQAaAAgAEEAdQBzAHQAcgBhAGwAaQBhAFwAIgAsACAAXAAiAFMAQQBcACIAOwBcAG4AIAAgACAAIAAgACAAIAAgACAAIABcACIAVwBlAHMAdABlAHIAbgAgAEEAdQBzAHQAcgBhAGwAaQBhAFwAIgAsACAAXAAiAFcAZQBzAHQAZQByAG4AIABBAHUAcwB0AHIAYQBsAGkAYQBcACIALAAgAFwAIgBXAEEAXAAiADsAXABuACAAIAAgACAAIAAgACAAIAAgACAAXAAiAFQAYQBzAG0AYQBuAGkAYQBcACIALAAgAFwAIgBUAGEAcwBtAGEAbgBpAGEAXAAiACwAIABcACIAVABBAFMAXAAiADsAXABuACAAIAAgACAAIAAgACAAIAAgACAAXAAiAE4AbwByAHQAaABlAHIAbgAgAFQAZQByAHIAaQB0AG8AcgB5AFwAIgAsACAAXAAiAE4AbwByAHQAaABlAHIAbgAgAFQAZQByAHIAaQB0AG8AcgB5AFwAIgAsACAAXAAiAE4AVA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QQBTAEEANABBAHIAZQBhAHMAXABuAC0ALQAtAC0ALQAtAC0ALQAtAC0ALQAtAC0ALQAtAC0ALQAtAC0ALQAtAC0ALQAtAC0ALQAtAC0ALQAtAC0ALQAtAC0ALQAtAC0ALQBcAG4AKgAvAFwAbgBcAG4AQwBvAG0AbQBvAG4AXwBTAG8AdQByAGMAZQBEAGEAdABhAF8AVwBBAFMAQQA0AEEAcgBlAGEAcwBfAFQAaQB0AGwAZQBcAG4AIAAgAD0ATABBAE0AQgBEAEEAKABcACIAQQBCAFMAIABTAHQAYQB0AGkAcwB0AGMAYQBsACAAQQByAGUAYQBzACAATABlAHYAZQBsACAANAAgAC0AIABXAGUAcwB0AGUAcgBuACAAQQB1AHMAdAByAGEAbABpAGEAXAAiACkAOwBcAG4AXABuAEMAbwBtAG0AbwBuAF8AUwBvAHUAcgBjAGUARABhAHQAYQBfAFcAQQBTAEEANABBAHIAZQBhAHMAXwBWAGEAcgBpAGEAYgBsAGUAXABuACAAIAA9AEwAQQBNAEIARABBACgAXAAiAFwAIgApADsAXABuAFwAbgBDAG8AbQBtAG8AbgBfAFMAbwB1AHIAYwBlAEQAYQB0AGEAXwBXAEEAUwBBADQAQQByAGUAYQBzAF8AVQBuAGkAdABcAG4AIAAgAD0ATABBAE0AQgBEAEEAKABcACIAXAAiACkAOwBcAG4AXABuAEMAbwBtAG0AbwBuAF8AUwBvAHUAcgBjAGUARABhAHQAYQBfAFcAQQBTAEEANABBAHIAZQBhAHMAXwBTAG8AdQByAGMAZQBcAG4AIAAgAD0ATABBAE0AQgBEAEEAKABcACIAQQB1AHMAdAByAGEAbABpAGEAbgAgAEIAdQByAGUAYQB1ACAAbwBmACAAUwB0AGEAdABpAHMAdABpAGMAcwAgACgAQQBCAFMAKQAgAC0AIABTAHQAYQB0AGkAcwB0AGkAYwBhAGwAIABBAHIAZQBhAHMAIABMAGUAdgBlAGwAIAAyACAALQAgADIAMAAyADEAIAAtACAAUwBoAGEAcABlAGYAaQBsAGUAXAAiACkAOwBcAG4AXABuAEMAbwBtAG0AbwBuAF8AUwBvAHUAcgBjAGUARABhAHQAYQBfAFcAQQBTAEEANABBAHIAZQBhAHMAXwBEAGEAdABhAFwAbgAgACAAIAA9AEwAQQBNAEIARABBACgAXABuACAAIAAgACAATQBBAEsARQBBAFIAUgBBAFkAKAAxADEALAAgADEALAAgAFwAbgAgACAAIAAgACAAIABMAEEATQBCAEQAQQAoAHIALABjACwAIABcAG4AIAAgACAAIAAgACAAIAAgAEkATgBEAEUAWAAoAHsAXABuACAAIAAgACAAIAAgACAAIAAgACAAXAAiAFMAQQAgADQAIABOAGEAbQBlAFwAIgA7AFwAbgAgACAAIAAgACAAIAAgACAAIAAgAFwAIgBCAHUAbgBiAHUAcgB5AFwAIgA7AFwAbgAgACAAIAAgACAAIAAgACAAIAAgAFwAIgBNAGEAbgBkAHUAcgBhAGgAXAAiADsAXABuACAAIAAgACAAIAAgACAAIAAgACAAXAAiAFAAZQByAHQAaAAgAC0AIABJAG4AbgBlAHIAXAAiADsAXABuACAAIAAgACAAIAAgACAAIAAgACAAXAAiAFAAZQByAHQAaAAgAC0AIABOAG8AcgB0AGgAIABFAGEAcwB0AFwAIgA7AFwAbgAgACAAIAAgACAAIAAgACAAIAAgAFwAIgBQAGUAcgB0AGgAIAAtACAATgBvAHIAdABoACAAVwBlAHMAdABcACIAOwBcAG4AIAAgACAAIAAgACAAIAAgACAAIABcACIAUABlAHIAdABoACAALQAgAFMAbwB1AHQAaAAgAEUAYQBzAHQAXAAiADsAXABuACAAIAAgACAAIAAgACAAIAAgACAAXAAiAFAAZQByAHQAaAAgAC0AIABTAG8AdQB0AGgAIABXAGUAcwB0AFwAIgA7AFwAbgAgACAAIAAgACAAIAAgACAAIAAgAFwAIgBXAGUAcwB0AGUAcgBuACAAQQB1AHMAdAByAGEAbABpAGEAIAAtACAAVwBoAGUAYQB0ACAAQgBlAGwAdABcACIAOwBcAG4AIAAgACAAIAAgACAAIAAgACAAIABcACIAVwBlAHMAdABlAHIAbgAgAEEAdQBzAHQAcgBhAGwAaQBhACAALQAgAE8AdQB0AGIAYQBjAGsAIAAoAE4AbwByAHQAaAApAFwAIgA7AFwAbgAgACAAIAAgACAAIAAgACAAIAAgAFwAIgBXAGUAcwB0AGUAcgBuACAAQQB1AHMAdAByAGEAbABpAGEAIAAtACAATwB1AHQAYgBhAGMAawAgACgAUwBvAHUAdABoACk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XAGUAdABBAG4AZABEAHIAeQBaAG8AbgBlAHMAXABuAC0ALQAtAC0ALQAtAC0ALQAtAC0ALQAtAC0ALQAtAC0ALQAtAC0ALQAtAC0ALQAtAC0ALQAtAC0ALQAtAC0ALQAtAC0ALQAtAC0ALQBcAG4AKgAvAFwAbgBcAG4AQwBvAG0AbQBvAG4AXwBTAG8AdQByAGMAZQBEAGEAdABhAF8AVwBlAHQAQQBuAGQARAByAHkAWgBvAG4AZQBzAF8AVABpAHQAbABlAFwAbgAgACAAPQBMAEEATQBCAEQAQQAoAFwAIgBWAEUARQBSAEcAIABBAHUAcwB0AHIAYQBsAGkAYQBuACAAdwBlAHQAIABhAG4AZAAgAGQAcgB5ACAAegBvAG4AZQBzAFwAIgApADsAXABuAFwAbgBDAG8AbQBtAG8AbgBfAFMAbwB1AHIAYwBlAEQAYQB0AGEAXwBXAGUAdABBAG4AZABEAHIAeQBaAG8AbgBlAHMAXwBWAGEAcgBpAGEAYgBsAGUAXABuACAAIAA9AEwAQQBNAEIARABBACgAXAAiAFwAIgApADsAXABuAFwAbgBDAG8AbQBtAG8AbgBfAFMAbwB1AHIAYwBlAEQAYQB0AGEAXwBXAGUAdABBAG4AZABEAHIAeQBaAG8AbgBlAHMAXwBVAG4AaQB0AFwAbgAgACAAPQBMAEEATQBCAEQAQQAoAFwAIgBcACIAKQA7AFwAbgBcAG4AQwBvAG0AbQBvAG4AXwBTAG8AdQByAGMAZQBEAGEAdABhAF8AVwBlAHQAQQBuAGQARAByAHkAWgBvAG4AZQBzAF8AUwBvAHUAcgBjAGUAXABuACAAIAA9AEwAQQBNAEIARABBACgAXAAiAFYARQBFAFIARwAgADIAMAAyADYAOgAgAFQAYQBiAGwAZQAgADEALgAyADoAIABUAHIAYQBuAHMAbABhAHQAaQBuAGcAIABjAGwAaQBtAGEAdABlACAAegBvAG4AZQBzACAAdABvACAAdwBlAHQAIABhAG4AZAAgAGQAcgB5ACAAegBvAG4AZQBzAFwAIgApADsAXABuAFwAbgBDAG8AbQBtAG8AbgBfAFMAbwB1AHIAYwBlAEQAYQB0AGEAXwBXAGUAdABBAG4AZABEAHIAeQBaAG8AbgBlAHMAXwBWAGEAcgBpAGEAdABpAG8AbgBcAG4AIAAgACAAPQBMAEEATQBCAEQAQQAoAFwAbgAgACAAIAAgAE0AQQBLAEUAQQBSAFIAQQBZACgAMwAsACAAMQAsACAAXABuACAAIAAgACAAIAAgAEwAQQBNAEIARABBACgAcgAsAGMALAAgAFwAbgAgACAAIAAgACAAIAAgACAASQBOAEQARQBYACgAewBcAG4AIAAgACAAIAAgACAAIAAgACAAIABcACIAVgBBAFIASQBBAFQASQBPAE4AIABPAEYAIABTAE8AVQBSAEMARQAgAEQAQQBUAEEAOgBcACIAOwBcAG4AIAAgACAAIAAgACAAIAAgACAAIABcACIAQQBkAGQAZQBkACAAdwBhAHIAbQAgAC8AIABjAG8AbwBsACAAdABlAG0AcABlAHIAYQB0AGUAIABtAG8AaQBzAHQAIAAvACAAZAByAHkAIAAtACAAbABvAHcAIABmAHIAbwBzAHQAIABhAG4AZAAgAGgAaQBnAGgAIAB0AGUAbQBwACAAYwBsAGEAcwBzAGUAcwAgAHQAbwAgAGEAYwBjAG8AbQBtAG8AZABhAHQAZQAgAGMAbABpAG0AYQB0AGUAIABzAGMAZQBuAGEAcgBpAG8AcwAgAGUAeABjAGwAdQBkAGUAZAAgAGIAeQAgAFYARQBFAFIARwAgAGMAcgBpAHQAZQByAGkAYQAuAFwAIgA7AFwAbgAgACAAIAAgACAAIAAgACAAIAAgAFwAIgBGAGkAeABlAGQAIAB0AHkAcABvACAALQAgAEMAaABhAG4AZwBlAGQAIABcAHUAMAAwADIANwBGAHIAeQBcAHUAMAAwADIANwAgAHQAbwAgAFwAdQAwADAAMgA3AEQAcgB5AFwAdQAwADAAMgA3AC4AXAAiAFwAbgAgACAAIAAgACAAIAAgACAAfQAsACAAcgAsACAAYwApAFwAbgAgACAAIAAgACAAIAApAFwAbgAgACAAIAAgACkAXABuACAAIAApADsAXABuAFwAbgBDAG8AbQBtAG8AbgBfAFMAbwB1AHIAYwBlAEQAYQB0AGEAXwBXAGUAdABBAG4AZABEAHIAeQBaAG8AbgBlAHMAXwBEAGEAdABhAFwAbgAgACAAIAA9AEwAQQBNAEIARABBACgAXABuACAAIAAgACAATQBBAEsARQBBAFIAUgBBAFkAKAAxADUALAAgADIALAAgAFwAbgAgACAAIAAgACAAIABMAEEATQBCAEQAQQAoAHIALABjACwAIABcAG4AIAAgACAAIAAgACAAIAAgAEkATgBEAEUAWAAoAHsAXABuACAAIAAgACAAIAAgACAAIAAgACAAXAAiAEMAbABpAG0AYQB0AGUAIABaAG8AbgBlAFwAIgAsACAAXAAiAFcAZQB0ACAAbwByACAARAByAHkAIABaAG8AbgBlAFwAIgA7AFwAbgAgACAAIAAgACAAIAAgACAAIAAgAFwAIgBUAHIAbwBwAGkAYwBhAGwAIABtAG8AbgB0AGEAbgBlAFwAIgAsACAAXAAiAFcAZQB0ACAAYwBsAGkAbQBhAHQAZQAgAHoAbwBuAGUAXAAiADsAXABuACAAIAAgACAAIAAgACAAIAAgACAAXAAiAFQAcgBvAHAAaQBjAGEAbAAgAHcAZQB0AFwAIgAsACAAXAAiAFcAZQB0ACAAYwBsAGkAbQBhAHQAZQAgAHoAbwBuAGUAXAAiADsAXABuACAAIAAgACAAIAAgACAAIAAgACAAXAAiAFQAcgBvAHAAaQBjAGEAbAAgAG0AbwBpAHMAdABcACIALAAgAFwAIgBXAGUAdAAgAGMAbABpAG0AYQB0AGUAIAB6AG8AbgBlAFwAIgA7AFwAbgAgACAAIAAgACAAIAAgACAAIAAgAFwAIgBUAHIAbwBwAGkAYwBhAGwAIABkAHIAeQBcACIALAAgAFwAIgBEAHIAeQAgAGMAbABpAG0AYQB0AGUAIAB6AG8AbgBlAFwAIgA7AFwAbgAgACAAIAAgACAAIAAgACAAIAAgAFwAIgBXAGEAcgBtACAAdABlAG0AcABlAHIAYQB0AGUAIABtAG8AaQBzAHQAXAAiACwAIABcACIAVwBlAHQAIABjAGwAaQBtAGEAdABlACAAegBvAG4AZQBcACIAOwBcAG4AIAAgACAAIAAgACAAIAAgACAAIABcACIAVwBhAHIAbQAgAHQAZQBtAHAAZQByAGEAdABlACAAZAByAHkAXAAiACwAIABcACIARAByAHkAIABjAGwAaQBtAGEAdABlACAAegBvAG4AZQBcACIAOwBcAG4AIAAgACAAIAAgACAAIAAgACAAIABcACIAQwBvAG8AbAAgAHQAZQBtAHAAZQByAGEAdABlACAAbQBvAGkAcwB0AFwAIgAsACAAXAAiAFcAZQB0ACAAYwBsAGkAbQBhAHQAZQAgAHoAbwBuAGUAXAAiADsAXABuACAAIAAgACAAIAAgACAAIAAgACAAXAAiAEMAbwBvAGwAIAB0AGUAbQBwAGUAcgBhAHQAZQAgAGQAcgB5AFwAIgAsACAAXAAiAEQAcgB5ACAAYwBsAGkAbQBhAHQAZQAgAHoAbwBuAGUAXAAiADsAXABuACAAIAAgACAAIAAgACAAIAAgACAAXAAiAFcAYQByAG0AIAB0AGUAbQBwAGUAcgBhAHQAZQAgAG0AbwBpAHMAdAAgAC0AIABsAG8AdwAgAGYAcgBvAHMAdABcACIALAAgAFwAIgBXAGUAdAAgAGMAbABpAG0AYQB0AGUAIAB6AG8AbgBlAFwAIgA7AFwAbgAgACAAIAAgACAAIAAgACAAIAAgAFwAIgBXAGEAcgBtACAAdABlAG0AcABlAHIAYQB0AGUAIABkAHIAeQAgAC0AIABsAG8AdwAgAGYAcgBvAHMAdABcACIALAAgAFwAIgBEAHIAeQAgAGMAbABpAG0AYQB0AGUAIAB6AG8AbgBlAFwAIgA7AFwAbgAgACAAIAAgACAAIAAgACAAIAAgAFwAIgBXAGEAcgBtACAAdABlAG0AcABlAHIAYQB0AGUAIABtAG8AaQBzAHQAIAAtACAAaABpAGcAaAAgAHQAZQBtAHAAXAAiACwAIABcACIAVwBlAHQAIABjAGwAaQBtAGEAdABlACAAegBvAG4AZQBcACIAOwBcAG4AIAAgACAAIAAgACAAIAAgACAAIABcACIAVwBhAHIAbQAgAHQAZQBtAHAAZQByAGEAdABlACAAZAByAHkAIAAtACAAaABpAGcAaAAgAHQAZQBtAHAAXAAiACwAIABcACIARAByAHkAIABjAGwAaQBtAGEAdABlACAAegBvAG4AZQBcACIAOwBcAG4AIAAgACAAIAAgACAAIAAgACAAIABcACIAQwBvAG8AbAAgAHQAZQBtAHAAZQByAGEAdABlACAAbQBvAGkAcwB0ACAALQAgAGwAbwB3ACAAZgByAG8AcwB0AFwAIgAsACAAXAAiAFcAZQB0ACAAYwBsAGkAbQBhAHQAZQAgAHoAbwBuAGUAXAAiADsAXABuACAAIAAgACAAIAAgACAAIAAgACAAXAAiAEMAbwBvAGwAIAB0AGUAbQBwAGUAcgBhAHQAZQAgAGQAcgB5ACAALQAgAGwAbwB3ACAAZgByAG8AcwB0AFwAIgAsACAAXAAiAEQAcgB5ACAAYwBsAGkAbQBhAHQAZQAgAHoAbwBuAGU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DAGwAaQBtAGEAdABlAFoAbwBuAGUAcwBcAG4ALQAtAC0ALQAtAC0ALQAtAC0ALQAtAC0ALQAtAC0ALQAtAC0ALQAtAC0ALQAtAC0ALQAtAC0ALQAtAC0ALQAtAC0ALQAtAC0ALQAtAFwAbgAqAC8AXABuAFwAbgBDAG8AbQBtAG8AbgBfAFMAbwB1AHIAYwBlAEQAYQB0AGEAXwBDAGwAaQBtAGEAdABlAFoAbwBuAGUAcwBfAFQAaQB0AGwAZQBcAG4AIAAgAD0ATABBAE0AQgBEAEEAKABcACIAVgBFAEUAUgBHACAAQQB1AHMAdAByAGEAbABpAGEAbgAgAGMAbABpAG0AYQB0AGUAIAB6AG8AbgBlAHMAXAAiACkAOwBcAG4AXABuAEMAbwBtAG0AbwBuAF8AUwBvAHUAcgBjAGUARABhAHQAYQBfAEMAbABpAG0AYQB0AGUAWgBvAG4AZQBzAF8AVgBhAHIAaQBhAGIAbABlAFwAbgAgACAAPQBMAEEATQBCAEQAQQAoAFwAIgBcACIAKQA7AFwAbgBcAG4AQwBvAG0AbQBvAG4AXwBTAG8AdQByAGMAZQBEAGEAdABhAF8AQwBsAGkAbQBhAHQAZQBaAG8AbgBlAHMAXwBVAG4AaQB0AFwAbgAgACAAPQBMAEEATQBCAEQAQQAoAFwAIgBcACIAKQA7AFwAbgBcAG4AQwBvAG0AbQBvAG4AXwBTAG8AdQByAGMAZQBEAGEAdABhAF8AQwBsAGkAbQBhAHQ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DAGwAaQBtAGEAdABlAFoAbwBuAGUAcwBfAFYAYQByAGkAYQB0AGkAbwBuAFwAbgAg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BpAG4AIABNAEEAVAAgAHYAYQBsAHUAZQAgAGYAbwByACAAdwBhAHIAbQAgAHQAZQBtAHAAZQByAGEAdABlACAAZAByAHkAIAAtACAAYwBoAGEAbgBnAGUAZAAgADEAMAAgAHQAbwAgADEAMQAuAFwAIgA7AFwAbgAgACAAIAAgACAAIAAgACAAIAAgAFwAIgBBAGQAZABlAGQAIABtAGkAbgAgAGEAbgBkACAAbQBhAHgAIABjAG8AbAB1AG0AbgBzACAAZgBvAHIAIABNAEEAVAAsACAATQBBAFAALAAgAGYAcgBvAHMAdAAgAGQAYQB5AHMAIABwAGUAcgAgAHkAZQBhAHIALAAgAGUAbABlAHYAYQB0AGkAbwBuACwAIABNAEEAUAA6AFAARQBUACAAdABvACAAYwBhAGwAYwB1AGwAYQB0AGUAIAB6AG8AbgBlAHMAIABmAHIAbwBtACAAcgBlAGEAbAAgAGMAbABpAG0AYQB0AGUAIABkAGEAdABhAC4AXAAiADsAXABuACAAIAAgACAAIAAgACAAIAAgACAAXAAiAEcAQQBGACAAYQBjAGMAZQBwAHQAcwAgAHIAYQBpAG4AZgBhAGwAbAAgAGEAcwAgAGEAIABwAHIAbwB4AHkAIABmAG8AcgAgAHAAcgBlAGMAaQBwAGkAdABhAHQAaQBvAG4ALgBcACIAXABuACAAIAAgACAAIAAgACAAIAB9ACwAIAByACwAIABjACkAXABuACAAIAAgACAAIAAgACkAXABuACAAIAAgACAAKQBcAG4AIAAgACkAOwBcAG4AXABuAEMAbwBtAG0AbwBuAF8AUwBvAHUAcgBjAGUARABhAHQAYQBfAEMAbABpAG0AYQB0AGUAWgBvAG4AZQBzAF8ARABhAHQAYQBcAG4AIAAgACAAPQBMAEEATQBCAEQAQQAoAFwAbgAgACAAIAAgAE0AQQBLAEUAQQBSAFIAQQBZACgAOQAsACAAMQA2ACwAIABcAG4AIAAgACAAIAAgACAATABBAE0AQgBEAEEAKAByACwAYwAsACAAXABuACAAIAAgACAAIAAgACAAIABJAE4ARABFAFgAKAB7AFwAbgAgACAAIAAgACAAIAAgACAAIAAgAFwAIgBDAGwAaQBtAGEAdABlACAAWgBvAG4AZQBcACIALAAgAFwAIgBNAEEAVABcACIALAAgAFwAIgBNAEEAUABcACIALAAgAFwAIgBGAHIAbwBzAHQAIABkAGEAeQBzACAAcABlAHIAIAB5AGUAYQByAFwAIgAsACAAXAAiAEUAbABlAHYAYQB0AGkAbwBuAFwAIgAsACAAXAAiAE0AQQBQADoAUABFAFQAXAAiACwAIABcACIATQBpAG4AIAB0AGUAbQBwAFwAIgAsACAAXAAiAE0AYQB4ACAAdABlAG0AcABcACIALAAgAFwAIgBNAGkAbgAgAHIAYQBpAG4AZgBhAGwAbABcACIALAAgAFwAIgBNAGEAeAAgAHIAYQBpAG4AZgBhAGwAbABcACIALAAgAFwAIgBNAGkAbgAgAGYAcgBvAHMAdAAgAGQAYQB5AHMAXAAiACwAIABcACIATQBhAHgAIABmAHIAbwBzAHQAIABkAGEAeQBzAFwAIgAsACAAXAAiAE0AaQBuACAAZQBsAGUAdgBhAHQAaQBvAG4AXAAiACwAIABcACIATQBhAHgAIABlAGwAZQB2AGEAdABpAG8AbgBcACIALAAgAFwAIgBNAGkAbgAgAE0AQQBQADoAUABFAFQAXAAiACwAIABcACIATQBpAG4AIABNAEEAUAA6AFAARQBUAFwAIgA7AFwAbgAgACAAIAAgACAAIAAgACAAIAAgAFwAIgBUAHIAbwBwAGkAYwBhAGwAIABtAG8AbgB0AGEAbgBlAFwAIgAsACAAXAAiAFwAdQAwADAAMwBlACAAMQA4ACAAQwBcACIALAAgAFwAIgBBAG4AeQBcACIALAAgAFwAIgBkIiAANwBcACIALAAgAFwAIgBcAHUAMAAwADMAZQAgADEAMAAwADAAIABtAFwAIgAsACAAXAAiAEEAbgB5AFwAIgAsACAAMQA4AC4AMAAwADEALAAgADkAOQA5ADkAOQA5ACwAIAAtADkAOQA5ADkAOQA5ACwAIAA5ADkAOQA5ADkAOQAsACAALQA5ADkAOQA5ADkAOQAsACAANwAsACAAMQAwADAAMAAsACAAOQA5ADkAOQA5ADkALAAgAC0AOQA5ADkAOQA5ADkALAAgADkAOQA5ADkAOQA5ADsAXABuACAAIAAgACAAIAAgACAAIAAgACAAXAAiAFQAcgBvAHAAaQBjAGEAbAAgAHcAZQB0AFwAIgAsACAAXAAiAFwAdQAwADAAMwBlACAAMQA4ACAAQwBcACIALAAgAFwAIgBcAHUAMAAwADMAZQAgADIAMAAwADAAIABtAG0AXAAiACwAIABcACIAZCIgADcAXAAiACwAIABcACIAZCIgADEAMAAwADAAIABtAFwAIgAsACAAXAAiAEEAbgB5AFwAIgAsACAAMQA4AC4AMAAwADEALAAgADkAOQA5ADkAOQA5ACwAIAAyADAAMAAwAC4AMAAwADEALAAgADkAOQA5ADkAOQA5ACwAIAAtADkAOQA5ADkAOQA5ACwAIAA3ACwAIAAtADkAOQA5ADkAOQA5ACwAIAA5ADkAOQAuADkAOQA5ACwAIAAgAC0AOQA5ADkAOQA5ADkALAAgADkAOQA5ADkAOQA5ADsAXABuACAAIAAgACAAIAAgACAAIAAgACAAXAAiAFQAcgBvAHAAaQBjAGEAbAAgAG0AbwBpAHMAdABcACIALAAgAFwAIgBcAHUAMAAwADMAZQAgADEAOAAgAEMAXAAiACwAIABcACIAXAB1ADAAMAAzAGUAIAAxADAAMAAwACAAbQBtACAALQAgAGQiIAAyADAAMAAwACAAbQBtAFwAIgAsACAAXAAiAGQiIAA3AFwAIgAsACAAXAAiAGQiIAAxADAAMAAwACAAbQBcACIALAAgAFwAIgBBAG4AeQBcACIALAAgADEAOAAuADAAMAAxACwAIAA5ADkAOQA5ADkAOQAsACAAMQAwADAAMAAuADAAMAAxACwAIAAyADAAMAAwACwAIAAtADkAOQA5ADkAOQA5ACwAIAA3ACwAIAAtADkAOQA5ADkAOQA5ACwAIAA5ADkAOQAuADkAOQA5ACwAIAAgAC0AOQA5ADkAOQA5ADkALAAgADkAOQA5ADkAOQA5ADsAXABuACAAIAAgACAAIAAgACAAIAAgACAAXAAiAFQAcgBvAHAAaQBjAGEAbAAgAGQAcgB5AFwAIgAsACAAXAAiAFwAdQAwADAAMwBlACAAMQA4ACAAQwBcACIALAAgAFwAIgBkIiAAMQAwADAAMAAgAG0AbQBcACIALAAgAFwAIgBkIiAANwBcACIALAAgAFwAIgBkIiAAMQAwADAAMAAgAG0AXAAiACwAIABcACIAQQBuAHkAXAAiACwAIAAxADgALgAwADAAMQAsACAAOQA5ADkAOQA5ADkALAAgAC0AOQA5ADkAOQA5ADkALAAgADEAMAAwADAALAAgAC0AOQA5ADkAOQA5ADkALAAgADcALAAgAC0AOQA5ADkAOQA5ADkALAAgADkAOQA5AC4AOQA5ADkALAAgACAALQA5ADkAOQA5ADkAOQAsACAAOQA5ADkAOQA5ADkAOwBcAG4AIAAgACAAIAAgACAAIAAgACAAIABcACIAVwBhAHIAbQAgAHQAZQBtAHAAZQByAGEAdABlACAAbQBvAGkAcwB0AFwAIgAsACAAXAAiAFwAdQAwADAAMwBlACAAMQAwACAAQwBcACIALAAgAFwAIgBBAG4AeQBcACIALAAgAFwAIgBBAG4AeQBcACIALAAgAFwAIgBBAG4AeQBcACIALAAgAFwAIgBcAHUAMAAwADMAZQAgADEAXAAiACwAIAAxADAALgAwADAAMQAsACAAOQA5ADkAOQA5ADkALAAgAC0AOQA5ADkAOQA5ADkALAAgADkAOQA5ADkAOQA5ACwAIAAtADkAOQA5ADkAOQA5ACwAIAA5ADkAOQA5ADkAOQAsACAALQA5ADkAOQA5ADkAOQAsACAAOQA5ADkAOQA5ADkALAAgADEALgAwADAAMQAsACAAOQA5ADkAOQA5ADkAOwBcAG4AIAAgACAAIAAgACAAIAAgACAAIABcACIAVwBhAHIAbQAgAHQAZQBtAHAAZQByAGEAdABlACAAZAByAHkAXAAiACwAIABcACIAXAB1ADAAMAAzAGUAIAAxADAAIABDAFwAIgAsACAAXAAiAEEAbgB5AFwAIgAsACAAXAAiAEEAbgB5AFwAIgAsACAAXAAiAEEAbgB5AFwAIgAsACAAXAAiAGQiIAAxAFwAIgAsACAAMQAwAC4AMAAwADEALAAgADkAOQA5ADkAOQA5ACwAIAAtADkAOQA5ADkAOQA5ACwAIAA5ADkAOQA5ADkAOQAsACAALQA5ADkAOQA5ADkAOQAsACAAOQA5ADkAOQA5ADkALAAgAC0AOQA5ADkAOQA5ADkALAAgADkAOQA5ADkAOQA5ACwAIAAgAC0AOQA5ADkAOQA5ADkALAAgADEAOwBcAG4AIAAgACAAIAAgACAAIAAgACAAIABcACIAQwBvAG8AbAAgAHQAZQBtAHAAZQByAGEAdABlACAAbQBvAGkAcwB0AFwAIgAsACAAXAAiAFwAdQAwADAAMwBlACAAMAAgAEMAIAAtACAAZCIgADEAMAAgAEMAXAAiACwAIABcACIAQQBuAHkAXAAiACwAIABcACIAQQBuAHkAXAAiACwAIABcACIAQQBuAHkAXAAiACwAIABcACIAXAB1ADAAMAAzAGUAIAAxAFwAIgAsACAALQA5ADkAOQA5ADkAOQAsACAAMQAwACwAIAAtADkAOQA5ADkAOQA5ACwAIAA5ADkAOQA5ADkAOQAsACAALQA5ADkAOQA5ADkAOQAsACAAOQA5ADkAOQA5ADkALAAgAC0AOQA5ADkAOQA5ADkALAAgADkAOQA5ADkAOQA5ACwAIAAxAC4AMAAwADEALAAgADkAOQA5ADkAOQA5ADsAXABuACAAIAAgACAAIAAgACAAIAAgACAAXAAiAEMAbwBvAGwAIAB0AGUAbQBwAGUAcgBhAHQAZQAgAGQAcgB5AFwAIgAsACAAXAAiAFwAdQAwADAAMwBlACAAMAAgAEMAIAAtACAAZCIgADEAMAAgAEMAXAAiACwAIABcACIAQQBuAHkAXAAiACwAIABcACIAQQBuAHkAXAAiACwAIABcACIAQQBuAHkAXAAiACwAIABcACIAZCIgADEAXAAiACwAIAAtADkAOQA5ADkAOQA5ACwAIAAxADAALAAgAC0AOQA5ADkAOQA5ADkALAAgADkAOQA5ADkAOQA5ACwAIAAtADkAOQA5ADkAOQA5ACwAIAA5ADkAOQA5ADkAOQAsACAALQA5ADkAOQA5ADkAOQAsACAAOQA5ADkAOQA5ADkALAAgACAALQA5ADkAOQA5ADkAOQAsACAAMQBcAG4AIAAgACAAIAAgACAAIAAgAH0ALAAgAHIALAAgAGMAKQBcAG4AIAAgACAAIAAgACAAKQBcAG4AIAAgACAAIAApAFwAbgAgACAAKQA7AFwAbgBcAG4AQwBvAG0AbQBvAG4AXwBTAG8AdQByAGMAZQBEAGEAdABhAF8AQwBsAGkAbQBhAHQAZQBaAG8AbgBlAHMAXwBBAHAAcABlAG4AZABpAGMAZQBzAFwAbgAgACAAIAA9AEwAQQBNAEIARABBACgAXABuACAAIAAgACAATQBBAEsARQBBAFIAUgBBAFkAKAA0ACwAIAAxACwAIABcAG4AIAAgACAAIAAgACAATABBAE0AQgBEAEEAKAByACwAYwAsACAAXABuACAAIAAgACAAIAAgACAAIABJAE4ARABFAFgAKAB7AFwAbgAgACAAIAAgACAAIAAgACAAIAAgAFwAIgBOAG8AdABlADoAXAAiADsAXABuACAAIAAgACAAIAAgACAAIAAgACAAXAAiAE0AQQBUACAAPQAgAG0AZQBhAG4AIABhAG4AbgB1AGEAbAAgAHQAZQBtAHAAZQByAGEAdAB1AHIAZQBcACIAOwBcAG4AIAAgACAAIAAgACAAIAAgACAAIABcACIATQBBAFAAIAA9ACAAbQBlAGEAbgAgAGEAbgBuAHUAYQBsACAAcAByAGUAYwBpAHAAaQB0AGEAdABpAG8AbgBcACIAOwBcAG4AIAAgACAAIAAgACAAIAAgACAAIABcACIAUABFAFQAIAA9ACAAcABvAHQAZQBuAHQAaQBhAGwAIABlAHYAYQBwAG8AdAByAGEAbgBzAHAAaQByAGEAdABpAG8AbgBcACI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UAGUAbQBwAGUAcgBhAHQAdQByAGUAWgBvAG4AZQBzAFwAbgAtAC0ALQAtAC0ALQAtAC0ALQAtAC0ALQAtAC0ALQAtAC0ALQAtAC0ALQAtAC0ALQAtAC0ALQAtAC0ALQAtAC0ALQAtAC0ALQAtAC0AXABuACoALwBcAG4AXABuAEMAbwBtAG0AbwBuAF8AUwBvAHUAcgBjAGUARABhAHQAYQBfAFQAZQBtAHAAZQByAGEAdAB1AHIAZQBaAG8AbgBlAHMAXwBUAGkAdABsAGUAXABuACAAIAA9AEwAQQBNAEIARABBACgAXAAiAFYARQBFAFIARwAgAEEAdQBzAHQAcgBhAGwAaQBhAG4AIAB0AGUAbQBwAGUAcgBhAHQAdQByAGUAIAB6AG8AbgBlAHMAXAAiACkAOwBcAG4AXABuAEMAbwBtAG0AbwBuAF8AUwBvAHUAcgBjAGUARABhAHQAYQBfAFQAZQBtAHAAZQByAGEAdAB1AHIAZQBaAG8AbgBlAHMAXwBWAGEAcgBpAGEAYgBsAGUAXABuACAAIAA9AEwAQQBNAEIARABBACgAXAAiAFwAIgApADsAXABuAFwAbgBDAG8AbQBtAG8AbgBfAFMAbwB1AHIAYwBlAEQAYQB0AGEAXwBUAGUAbQBwAGUAcgBhAHQAdQByAGUAWgBvAG4AZQBzAF8AVQBuAGkAdABcAG4AIAAgAD0ATABBAE0AQgBEAEEAKABcACIAXAAiACkAOwBcAG4AXABuAEMAbwBtAG0AbwBuAF8AUwBvAHUAcgBjAGUARABhAHQAYQBfAFQAZQBtAHAAZQByAGEAdAB1AHIAZQ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UAGUAbQBwAGUAcgBhAHQAdQByAGUAWgBvAG4AZQBzAF8AVgBhAHIAaQBhAHQAaQBvAG4AXABuACAAIAA9AEwAQQBNAEIARABBACgAXAAiAFYAQQBSAEkAQQBUAEkATwBOACAATwBGACAAUwBPAFUAUgBDAEUAIABEAEEAVABBADoAIABBAGQAZABlAGQAIABlAHgAdAByAGEAIABNAEEAVAAgAG0AaQBuACAAYQBuAGQAIABNAEEAVAAgAG0AYQB4ACAAYwBvAGwAdQBtAG4AcwAgAHQAbwAgAGMAYQBsAGMAdQBsAGEAdABlACAAegBvAG4AZQAgAGYAcgBvAG0AIAByAGUAYQBsACAAdABlAG0AcABlAHIAYQB0AHUAcgBlACAAZABhAHQAYQAuAFwAIgApADsAXABuAFwAbgBDAG8AbQBtAG8AbgBfAFMAbwB1AHIAYwBlAEQAYQB0AGEAXwBUAGUAbQBwAGUAcgBhAHQAdQByAGUAWgBvAG4AZQBzAF8ARABhAHQAYQBcAG4AIAAgACAAPQBMAEEATQBCAEQAQQAoAFwAbgAgACAAIAAgAE0AQQBLAEUAQQBSAFIAQQBZACgANAAsACAANAAsACAAXABuACAAIAAgACAAIAAgAEwAQQBNAEIARABBACgAcgAsAGMALAAgAFwAbgAgACAAIAAgACAAIAAgACAASQBOAEQARQBYACgAewBcAG4AIAAgACAAIAAgACAAIAAgACAAIABcACIAVABlAG0AcABlAHIAYQB0AHUAcgBlACAAWgBvAG4AZQBcACIALAAgAFwAIgBNAGUAZABpAGEAbgAgAEEAbgBuAHUAYQBsACAAVABlAG0AcABlAHIAYQB0AHUAcgBlACAAKABNAEEAVAApAFwAIgAsACAAXAAiAE0AaQBuACAATQBBAFQAXAAiACwAIABcACIATQBhAHgAIABNAEEAVABcACIAOwBcAG4AIAAgACAAIAAgACAAIAAgACAAIABcACIAVwBhAHIAbQBcACIALAAgAFwAIgBlIiAAMgA2ACAAQwBcACIALAAgADIANgAsACAAOQA5ADkAOQA5ADkAOwBcAG4AIAAgACAAIAAgACAAIAAgACAAIABcACIAVABlAG0AcABlAHIAYQB0AGUAXAAiACwAIABcACIAMQA1ACAALQAgADIANQAgAEMAXAAiACwAIAAxADUALAAgADIANQAuADkAOQA5ADsAXABuACAAIAAgACAAIAAgACAAIAAgACAAXAAiAEMAbwBvAGwAXAAiACwAIABcACIAZCIgADEANAAgAEMAXAAiACwAIAAtADkAOQA5ADkAOQA5ACwAIAAxADQALgA5ADkAOQ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UgBhAGkAbgBmAGEAbABsAFoAbwBuAGUAcwBcAG4ALQAtAC0ALQAtAC0ALQAtAC0ALQAtAC0ALQAtAC0ALQAtAC0ALQAtAC0ALQAtAC0ALQAtAC0ALQAtAC0ALQAtAC0ALQAtAC0ALQAtAFwAbgAqAC8AXABuAFwAbgBDAG8AbQBtAG8AbgBfAFMAbwB1AHIAYwBlAEQAYQB0AGEAXwBSAGEAaQBuAGYAYQBsAGwAWgBvAG4AZQBzAF8AVABpAHQAbABlAFwAbgAgACAAPQBMAEEATQBCAEQAQQAoAFwAIgBWAEUARQBSAEcAIABBAHUAcwB0AHIAYQBsAGkAYQBuACAAcgBhAGkAbgBmAGEAbABsACAAegBvAG4AZQBzAFwAIgApADsAXABuAFwAbgBDAG8AbQBtAG8AbgBfAFMAbwB1AHIAYwBlAEQAYQB0AGEAXwBSAGEAaQBuAGYAYQBsAGwAWgBvAG4AZQBzAF8AVgBhAHIAaQBhAGIAbABlAFwAbgAgACAAPQBMAEEATQBCAEQAQQAoAFwAIgBcACIAKQA7AFwAbgBcAG4AQwBvAG0AbQBvAG4AXwBTAG8AdQByAGMAZQBEAGEAdABhAF8AUgBhAGkAbgBmAGEAbABsAFoAbwBuAGUAcwBfAFUAbgBpAHQAXABuACAAIAA9AEwAQQBNAEIARABBACgAXAAiAFwAIgApADsAXABuAFwAbgBDAG8AbQBtAG8AbgBfAFMAbwB1AHIAYwBlAEQAYQB0AGEAXwBSAGEAaQBuAGYAYQBsAGw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UgBhAGkAbgBmAGEAbABsAFoAbwBuAGUAcwBfAFYAYQByAGkAYQB0AGkAbwBuAFwAbgAgACAAPQBMAEEATQBCAEQAQQAoAFwAIgBWAEEAUgBJAEEAVABJAE8ATgAgAE8ARgAgAFMATwBVAFIAQwBFACAARABBAFQAQQA6ACAAQQBkAGQAZQBkACAAZQB4AHQAcgBhACAAUgBhAGkAbgBmAGEAbABsACAAbQBpAG4AIABhAG4AZAAgAFIAYQBpAG4AZgBhAGwAbAAgAG0AYQB4ACAAYwBvAGwAdQBtAG4AcwAgAHQAbwAgAGMAYQBsAGMAdQBsAGEAdABlACAAegBvAG4AZQAgAGYAcgBvAG0AIAByAGUAYQBsACAAcgBhAGkAbgBmAGEAbABsACAAZABhAHQAYQAuAFwAIgApADsAXABuAFwAbgBDAG8AbQBtAG8AbgBfAFMAbwB1AHIAYwBlAEQAYQB0AGEAXwBSAGEAaQBuAGYAYQBsAGwAWgBvAG4AZQBzAF8ARABhAHQAYQBcAG4AIAAgACAAPQBMAEEATQBCAEQAQQAoAFwAbgAgACAAIAAgAE0AQQBLAEUAQQBSAFIAQQBZACgAMwAsACAANAAsACAAXABuACAAIAAgACAAIAAgAEwAQQBNAEIARABBACgAcgAsAGMALAAgAFwAbgAgACAAIAAgACAAIAAgACAASQBOAEQARQBYACgAewBcAG4AIAAgACAAIAAgACAAIAAgACAAIABcACIAUgBhAGkAbgBmAGEAbABsACAAWgBvAG4AZQBcACIALAAgAFwAIgBBAG4AbgB1AGEAbAAgAHIAYQBpAG4AZgBhAGwAbABcACIALAAgAFwAIgBSAGEAaQBuAGYAYQBsAGwAIABtAGkAbgBcACIALAAgAFwAIgBSAGEAaQBuAGYAYQBsAGwAIABtAGEAeABcACIAOwBcAG4AIAAgACAAIAAgACAAIAAgACAAIABcACIASABpAGcAaAAgAHIAYQBpAG4AZgBhAGwAbABcACIALAAgAFwAIgBBAG4AbgB1AGEAbAAgAHIAYQBpAG4AZgBhAGwAbAAgAFwAdQAwADAAMwBlACAANgAwADAAbQBtAFwAIgAsACAANgAwADAALgAwADAAMQAsACAAOQA5ADkAOQA5ADkAOwBcAG4AIAAgACAAIAAgACAAIAAgACAAIABcACIATABvAHcAIAByAGEAaQBuAGYAYQBsAGwAXAAiACwAIABcACIAQQBuAG4AdQBhAGwAIAByAGEAaQBuAGYAYQBsAGwAIABkIiAANgAwADAAbQBtAFwAIgAsACAALQA5ADkAOQA5ADkAOQAsACAANgAwADA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wAZQBhAGMAaABpAG4AZwBaAG8AbgBlAHMAXABuAC0ALQAtAC0ALQAtAC0ALQAtAC0ALQAtAC0ALQAtAC0ALQAtAC0ALQAtAC0ALQAtAC0ALQAtAC0ALQAtAC0ALQAtAC0ALQAtAC0ALQBcAG4AKgAvAFwAbgBcAG4AQwBvAG0AbQBvAG4AXwBTAG8AdQByAGMAZQBEAGEAdABhAF8ATABlAGEAYwBoAGkAbgBnAFoAbwBuAGUAcwBfAFQAaQB0AGwAZQBcAG4AIAAgAD0ATABBAE0AQgBEAEEAKABcACIAVgBFAEUAUgBHACAAQQB1AHMAdAByAGEAbABpAGEAbgAgAGwAZQBhAGMAaABpAG4AZwAgAHoAbwBuAGUAcwBcACIAKQA7AFwAbgBcAG4AQwBvAG0AbQBvAG4AXwBTAG8AdQByAGMAZQBEAGEAdABhAF8ATABlAGEAYwBoAGkAbgBnAFoAbwBuAGUAcwBfAFYAYQByAGkAYQBiAGwAZQBcAG4AIAAgAD0ATABBAE0AQgBEAEEAKABcACIAXAAiACkAOwBcAG4AXABuAEMAbwBtAG0AbwBuAF8AUwBvAHUAcgBjAGUARABhAHQAYQBfAEwAZQBhAGMAaABpAG4AZwBaAG8AbgBlAHMAXwBVAG4AaQB0AFwAbgAgACAAPQBMAEEATQBCAEQAQQAoAFwAIgBcACIAKQA7AFwAbgBcAG4AQwBvAG0AbQBvAG4AXwBTAG8AdQByAGMAZQBEAGEAdABhAF8ATABlAGEAYwBoAGkAbgBn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wAZQBhAGMAaABpAG4AZwBaAG8AbgBlAHMAXwBWAGEAcgBpAGEAdABpAG8AbgBcAG4AIAAgAD0ATABBAE0AQgBEAEEAKABcACIAXAAiACkAOwBcAG4AXABuAEMAbwBtAG0AbwBuAF8AUwBvAHUAcgBjAGUARABhAHQAYQBfAEwAZQBhAGMAaABpAG4AZwBaAG8AbgBlAHMAXwBEAGEAdABhAFwAbgAgACAAIAA9AEwAQQBNAEIARABBACgAXABuACAAIAAgACAATQBBAEsARQBBAFIAUgBBAFkAKAAzACwAIAAyACwAIABcAG4AIAAgACAAIAAgACAATABBAE0AQgBEAEEAKAByACwAYwAsACAAXABuACAAIAAgACAAIAAgACAAIABJAE4ARABFAFgAKAB7AFwAbgAgACAAIAAgACAAIAAgACAAIAAgAFwAIgBMAGUAYQBjAGgAaQBuAGcAIABaAG8AbgBlAFwAIgAsACAAXAAiAEwAZQBhAGMAaABpAG4AZwAgAGMAcgBpAHQAZQByAGkAYQBcACIAOwBcAG4AIAAgACAAIAAgACAAIAAgACAAIABcACIATABlAGEAYwBoAGkAbgBnACAAbwBjAGMAdQByAHMAXAAiACwAIABcACIAowMoADXYX9w12E7cNdhW3DXYW9wpAFwAdQAwADAAMwBlAKMDKAA12DjcNdhH3DAAKQArADXYYNw12FzcNdhW3DXYWdwgADXYZNw12E7cNdhh3DXYUtw12F/cIAAOITXYXNw12FncNdhR3DXYVtw12FvcNdhU3CAANdhQ3DXYTtw12F3cNdhO3DXYUNw12FbcNdhh3DXYZtxcACIAOwBcAG4AIAAgACAAIAAgACAAIAAgACAAIABcACIATABlAGEAYwBoAGkAbgBnACAAZABvAGUAcwAgAG4AbwB0ACAAbwBjAGMAdQByAFwAIgAsACAAXAAiAKMDKAA12F/cNdhO3DXYVtw12FvcKQBkIqMDKAA12DjcNdhH3DAAKQArADXYYNw12FzcNdhW3DXYWdwgADXYZNw12E7cNdhh3DXYUtw12F/cIAAOITXYXNw12FncNdhR3DXYVtw12FvcNdhU3CAANdhQ3DXYTtw12F3cNdhO3DXYUNw12FbcNdhh3DXYZtx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YAcgBhAGMAVwBFAFQ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VwBFAFQ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VwBFAFQAXwBVAG4AaQB0AFwAbgAgACAAPQBMAEEATQBCAEQAQQAoAFwAIgAoAEQAaQBtAGUAbgBzAGkAbwBuAGwAZQBzAHMAXAAiACkAOwBcAG4AXABuAEMAbwBtAG0AbwBuAF8AUwBvAHUAcgBjAGUARABhAHQAYQBfAEYAcgBhAGMAVwBFAFQAXwBTAG8AdQByAGMAZQBcAG4AIAAgAD0ATABBAE0AQgBEAEEAKABcACIAVgBFAEUAUgBHACAAMgAwADIANgA6ADUALgA1AC4AMgAuADMAIABDAG8AbgBzAHQAYQBuAHQAIABQAGEAcgBhAG0AZQB0AGUAcgBzAFwAIgApADsAXABuAFwAbgBDAG8AbQBtAG8AbgBfAFMAbwB1AHIAYwBlAEQAYQB0AGEAXwBGAHIAYQBjAFcARQBUAF8ATgBJAFIAUgBlAGYAZQByAGUAbgBjAGUAXABuACAAIAA9AEwAQQBNAEIARABBACgAXAAiAFwAIgApADsAXABuAFwAbgBDAG8AbQBtAG8AbgBfAFMAbwB1AHIAYwBlAEQAYQB0AGEAXwBGAHIAYQBjAFcARQBUAF8ARABhAHQAYQBcAG4AIAAgAD0ATABBAE0AQgBEAEEAKABcAG4AIAAgACAAIABNAEEASwBFAEEAUgBSAEEAWQAoADMALAAgADIALAAgAFwAbgAgACAAIAAgACAAIABMAEEATQBCAEQAQQAoAHIALABjACwAIABcAG4AIAAgACAAIAAgACAAIAAgAEkATgBEAEUAWAAoAHsAXABuACAAIAAgACAAIAAgACAAIAAgACAAXAAiAEkAcwAgAGkAbgAgAGwAZQBhAGMAaABpAG4AZwAgAHoAbwBuAGUAXAAiACwAXAAiAEYAcgBhAGMAVwBFAFQAXAAiADsAXABuACAAIAAgACAAIAAgACAAIAAgACAAXAAiAFkAZQBzACAALQAgAGkAbgAgAGwAZQBhAGMAaABpAG4AZwAgAHoAbwBuAGUAXAAiACwAIAAxADsAXABuACAAIAAgACAAIAAgACAAIAAgACAAXAAiAE4AbwAgAC0AIABuAG8AdAAgAGkAbgAgAGwAZQBhAGMAaABpAG4AZwAgAHoAbwBuAGUAXAAiACwAIAAwAFwAbgAgACAAIAAgACAAIAAgACAAfQAsACAAcgAsACAAYwApAFwAbgAgACAAIAAgACAAIAApAFwAbgAgACAAIAAgACkAXABuACAAIAApADsAXABuAFwAbgAgACAAQwBvAG0AbQBvAG4AXwBTAG8AdQByAGMAZQBEAGEAdABhAF8ARgByAGEAYwBXAEUAVABfAFYAYQByAGkAYQB0AGkAbwBuAFwAbgAgACAAPQBMAEEATQBCAEQAQQAoACgAXAAiAFwAIgApACkAOwBcAG4AXABuAFwAbgBcAG4ALwAqACAAXABuAC0ALQAtAC0ALQAtAC0ALQAtAC0ALQAtAC0ALQAtAC0ALQAtAC0ALQAtAC0ALQAtAC0ALQAtAC0ALQAtAC0ALQAtAC0ALQAtAC0ALQBcAG4AQwBvAG0AbQBvAG4AXwBTAG8AdQByAGMAZQBEAGEAdABhAF8ARABhAHQAYQBTAGMAbwByAGUAcwBfAFMAYwBvAHAAZQAzAFwAbgAtAC0ALQAtAC0ALQAtAC0ALQAtAC0ALQAtAC0ALQAtAC0ALQAtAC0ALQAtAC0ALQAtAC0ALQAtAC0ALQAtAC0ALQAtAC0ALQAtAC0AXABuACoALwBcAG4AXABuAEMAbwBtAG0AbwBuAF8AUwBvAHUAcgBjAGUARABhAHQAYQBfAEQAYQB0AGEAUwBjAG8AcgBlAHMAXwBTAGMAbwBwAGUAMwBfAFQAaQB0AGwAZQBcAG4AIAAgAD0ATABBAE0AQgBEAEEAKABcACIAQQB1AHMAdAByAGEAbABpAGEAbgAgAGQAYQB0AGEAIABzAGMAbwByAGUAcwAgAGYAbwByACAAcwBjAG8AcABlACAAMwBcACIAKQA7AFwAbgBcAG4AQwBvAG0AbQBvAG4AXwBTAG8AdQByAGMAZQBEAGEAdABhAF8ARABhAHQAYQBTAGMAbwByAGUAcwBfAFMAYwBvAHAAZQAzAF8AVgBhAHIAaQBhAGIAbABlAFwAbgAgACAAPQBMAEEATQBCAEQAQQAoAFwAIgBcACIAKQA7AFwAbgBcAG4AQwBvAG0AbQBvAG4AXwBTAG8AdQByAGMAZQBEAGEAdABhAF8ARABhAHQAYQBTAGMAbwByAGUAcwBfAFMAYwBvAHAAZQAzAF8AVQBuAGkAdABcAG4AIAAgAD0ATABBAE0AQgBEAEEAKABcACIAXAAiACkAOwBcAG4AXABuAEMAbwBtAG0AbwBuAF8AUwBvAHUAcgBjAGUARABhAHQAYQBfAEQAYQB0AGEAUwBjAG8AcgBlAHMAXwBTAGMAbwBwAGUAMwBfAFMAbwB1AHIAYwBlAFwAbgAgACAAPQBMAEEATQBCAEQAQQAoAFwAIgBWAEUARQBSAEcAIAAyADAAMgA2ADoAIABYAFgAWABYAFgAWABYAFgAXAAiACkAOwBcAG4AXABuAEMAbwBtAG0AbwBuAF8AUwBvAHUAcgBjAGUARABhAHQAYQBfAEQAYQB0AGEAUwBjAG8AcgBlAHMAXwBTAGMAbwBwAGUAMwBfAFYAYQByAGkAYQB0AGkAbwBuAFwAbgAgACAAPQBMAEEATQBCAEQAQQAoAFwAIgBcACIAKQA7AFwAbgBcAG4AQwBvAG0AbQBvAG4AXwBTAG8AdQByAGMAZQBEAGEAdABhAF8ARABhAHQAYQBTAGMAbwByAGUAcwBfAFMAYwBvAHAAZQAzAF8ARABhAHQAYQBcAG4AIAAgACAAPQBMAEEATQBCAEQAQQAoAFwAbgAgACAAIAAgAE0AQQBLAEUAQQBSAFIAQQBZACgANgAsACAAMgAsACAAXABuACAAIAAgACAAIAAgAEwAQQBNAEIARABBACgAcgAsAGMALAAgAFwAbgAgACAAIAAgACAAIAAgACAASQBOAEQARQBYACgAewBcAG4AIAAgACAAIAAgACAAIAAgACAAIABcACIARABhAHQAYQAgAHMAbwB1AHIAYwBlAFwAIgAsACAAXAAiAEQAYQB0AGEAIABzAGMAbwByAGUAXAAiADsAXABuACAAIAAgACAAIAAgACAAIAAgACAAXAAiAEkAbgB0AGUAcgBuAGEAdABpAG8AbgBhAGwAIABzAGMAbwBwAGUAIAAzACAAZABhAHQAYQBiAGEAcwBlAFwAIgAsACAAMQA7AFwAbgAgACAAIAAgACAAIAAgACAAIAAgAFwAIgBBAHUAcwB0AHIAYQBsAGkAYQBuACAAcwBjAG8AcABlACAAMwAgAGQAYQB0AGEAYgBhAHMAZQBcACIALAAgADIAOwBcAG4AIAAgACAAIAAgACAAIAAgACAAIABcACIAUwB0AGEAdABlACAAbwByACAAcgBlAGcAaQBvAG4AYQBsACAAcwBjAG8AcABlACAAMwAgAGQAYQB0AGEAYgBhAHMAZQBcACIALAAgADMAOwBcAG4AIAAgACAAIAAgACAAIAAgACAAIABcACIARQBtAGkAcwBzAGkAbwBuAHMAIABpAG4AdABlAG4AcwBpAHQAeQAgAGMAYQBsAGMAdQBsAGEAdABlAGQAIABmAHIAbwBtACAAYQBwAHAAcgBvAHYAZQBkACAAbQBlAHQAaABvAGQAXAAiACwAIAA0ADsAXABuACAAIAAgACAAIAAgACAAIAAgACAAXAAiAFYAZQByAGkAZgBpAGUAZAAgAGMAcgBlAGQAZQBuAHQAaQBhAGwAIABtAGEAdABjAGgAaQBuAGcAIABJAFMATwAxADQAMAA2ADcAXAAiACwAIAA1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RgByAGEAYwBMAEUAQQBDAEgAXABuADUALgA1AC4AMgAuADMAIABDAG8AbgBzAHQAYQBuAHQAIABQAGEAcgBhAG0AZQB0AGUAcgBzAFwAbgBGAHIAYQBjAHQAaQBvAG4AIABvAGYAIABOACAAdABoAGEAdAAgAGkAcwAgAGEAdgBhAGkAbABhAGIAbABlACAAZgBvAHIAIABsAGUAYQBjAGgAaQBuAGcAIABhAG4AZAAgAHIAdQBuAG8AZgBmAFwAbgAtAC0ALQAtAC0ALQAtAC0ALQAtAC0ALQAtAC0ALQAtAC0ALQAtAC0ALQAtAC0ALQAtAC0ALQAtAC0ALQAtAC0ALQAtAC0ALQAtAC0AXABuACoALwBcAG4AXABuAEMAbwBtAG0AbwBuAF8AUwBvAHUAcgBjAGUARABhAHQAYQBfAEYAcgBhAGMATABFAEEAQwBIAF8AVABpAHQAbABlAFwAbgAgACAAPQBMAEEATQBCAEQAQQAoAFwAIgBGAHIAYQBjAHQAaQBvAG4AIABvAGYAIABOACAAdABoAGEAdAAgAGkAcwAgAGEAdgBhAGkAbABhAGIAbABlACAAZgBvAHIAIABsAGUAYQBjAGgAaQBuAGcAIABhAG4AZAAgAHIAdQBuAG8AZgBmAFwAIgApADsAXABuAFwAbgBDAG8AbQBtAG8AbgBfAFMAbwB1AHIAYwBlAEQAYQB0AGEAXwBGAHIAYQBjAEwARQBBAEMASABfAFUAbgBpAHQAXABuACAAIAA9AEwAQQBNAEIARABBACgAXAAiACgARABpAG0AZQBuAHMAaQBvAG4AbABlAHMAcwBcACIAKQA7AFwAbgBcAG4AQwBvAG0AbQBvAG4AXwBTAG8AdQByAGMAZQBEAGEAdABhAF8ARgByAGEAYwBMAEUAQQBDAEgAXwBTAG8AdQByAGMAZQBcAG4AIAAgAD0ATABBAE0AQgBEAEEAKABcACIAVgBFAEUAUgBHACAAMgAwADIANgA6ADUALgA1AC4AMgAuADMAIABDAG8AbgBzAHQAYQBuAHQAIABQAGEAcgBhAG0AZQB0AGUAcgBzAFwAIgApADsAXABuAFwAbgBDAG8AbQBtAG8AbgBfAFMAbwB1AHIAYwBlAEQAYQB0AGEAXwBGAHIAYQBjAEwARQBBAEMASABfAE4ASQBSAFIAZQBmAGUAcgBlAG4AYwBlAFwAbgAgACAAPQBMAEEATQBCAEQAQQAoAFwAIgBOAGEAdABpAG8AbgBhAGwAIABJAG4AdgBlAG4AdABvAHIAeQAgAFIAZQBwAG8AcgB0ACAAVgBvAGwAdQBtAGUAIAAxADoAIABMAGUAYQBjAGgAaQBuAGcAIABhAG4AZAAgAHIAdQBuAG8AZgBmACAAKAAzAC4ARAAuAGIALgAyACkAXAAiACkAOwBcAG4AXABuAEMAbwBtAG0AbwBuAF8AUwBvAHUAcgBjAGUARABhAHQAYQBfAEYAcgBhAGMATABFAEEAQwBIAF8ARABhAHQAYQBcAG4AIAAgAD0ATABBAE0AQgBEAEEAKABcAG4AIAAgACAAIABNAEEASwBFAEEAUgBSAEEAWQAoADEALAAgADIALAAgAFwAbgAgACAAIAAgACAAIABMAEEATQBCAEQAQQAoAHIALABjACwAIABcAG4AIAAgACAAIAAgACAAIAAgAEkATgBEAEUAWAAoAHsAXABuACAAIAAgACAAIAAgACAAIAAgACAAXAAiAEYAcgBhAGMATABFAEEAQwBIAFwAIgAsADAALgAyADQAXABuACAAIAAgACAAIAAgACAAIAB9ACwAIAByACwAIABjACkAXABuACAAIAAgACAAIAAgACkAXABuACAAIAAgACAAKQBcAG4AIAAgACkAOwBcAG4AXABuACAAIABDAG8AbQBtAG8AbgBfAFMAbwB1AHIAYwBlAEQAYQB0AGEAXwBGAHIAYQBjAEwARQBBAEMASABfAFYAYQByAGkAYQB0AGkAbwBuAFwAbgAgACAAPQBMAEEATQBCAEQAQQAoACgAXAAiAFwAIgApACkAOwBcAG4AXABuAFwAbgBcAG4ALwAqACAAXABuAC0ALQAtAC0ALQAtAC0ALQAtAC0ALQAtAC0ALQAtAC0ALQAtAC0ALQAtAC0ALQAtAC0ALQAtAC0ALQAtAC0ALQAtAC0ALQAtAC0ALQBcAG4AQwBvAG0AbQBvAG4AXwBTAG8AdQByAGMAZQBEAGEAdABhAF8ARQBGAGwAZQBhAGMAaABcAG4ANQAuADUALgAyAC4AMwAgAEMAbwBuAHMAdABhAG4AdAAgAFAAYQByAGEAbQBlAHQAZQByAHMAXABuAEUAbQBpAHMAcwBpAG8AbgAgAGYAYQBjAHQAbwByACAAZgBvAHIAIABuAGkAdAByAG8AZwBlAG4AIABsAGUAYQBjAGgAaQBuAGcAIABhAG4AZAAgAHIAdQBuAG8AZgBmAFwAbgAtAC0ALQAtAC0ALQAtAC0ALQAtAC0ALQAtAC0ALQAtAC0ALQAtAC0ALQAtAC0ALQAtAC0ALQAtAC0ALQAtAC0ALQAtAC0ALQAtAC0AXABuACoALwBcAG4AXABuAEMAbwBtAG0AbwBuAF8AUwBvAHUAcgBjAGUARABhAHQAYQBfAEUARgBsAGUAYQBjAGgAXwBUAGkAdABsAGUAXABuACAAIAA9AEwAQQBNAEIARABBACgAXAAiAEUAbQBpAHMAcwBpAG8AbgAgAGYAYQBjAHQAbwByACAAZgBvAHIAIABuAGkAdAByAG8AZwBlAG4AIABsAGUAYQBjAGgAaQBuAGcAIABhAG4AZAAgAHIAdQBuAG8AZgBmAFwAIgApADsAXABuAFwAbgBDAG8AbQBtAG8AbgBfAFMAbwB1AHIAYwBlAEQAYQB0AGEAXwBFAEYAbABlAGEAYwBoAF8AVQBuAGkAdABcAG4AIAAgAD0ATABBAE0AQgBEAEEAKABcACIAKABrAGcAIABOADIATwAtAE4AIAAvACAAawBnACAATgBcACIAKQA7AFwAbgBcAG4AQwBvAG0AbQBvAG4AXwBTAG8AdQByAGMAZQBEAGEAdABhAF8ARQBGAGwAZQBhAGMAaABfAFMAbwB1AHIAYwBlAFwAbgAgACAAPQBMAEEATQBCAEQAQQAoAFwAIgBWAEUARQBSAEcAIAAyADAAMgA2ADoANQAuADUALgAyAC4AMwAgAEMAbwBuAHMAdABhAG4AdAAgAFAAYQByAGEAbQBlAHQAZQByAHMAXAAiACkAOwBcAG4AXABuAEMAbwBtAG0AbwBuAF8AUwBvAHUAcgBjAGUARABhAHQAYQBfAEUARgBsAGUAYQBjAGgAXwBOAEkAUgBSAGUAZgBlAHIAZQBuAGMAZQBcAG4AIAAgAD0ATABBAE0AQgBEAEEAKABcACIATgBhAHQAaQBvAG4AYQBsACAASQBuAHYAZQBuAHQAbwByAHkAIABSAGUAcABvAHIAdAAgAFYAbwBsAHUAbQBlACAAMQA6ACAARQBxAHUAYQB0AGkAbwBuACAAMwAuAEQALgBCAF8AMQAwAFwAIgApADsAXABuAFwAbgBDAG8AbQBtAG8AbgBfAFMAbwB1AHIAYwBlAEQAYQB0AGEAXwBFAEYAbABlAGEAYwBoAF8ARABhAHQAYQBcAG4AIAAgAD0ATABBAE0AQgBEAEEAKABcAG4AIAAgACAAIABNAEEASwBFAEEAUgBSAEEAWQAoADEALAAgADIALAAgAFwAbgAgACAAIAAgACAAIABMAEEATQBCAEQAQQAoAHIALABjACwAIABcAG4AIAAgACAAIAAgACAAIAAgAEkATgBEAEUAWAAoAHsAXABuACAAIAAgACAAIAAgACAAIAAgACAAXAAiAEUARgBsAGUAYQBjAGgAXAAiACwAMAAuADAAMQAxAFwAbgAgACAAIAAgACAAIAAgACAAfQAsACAAcgAsACAAYwApAFwAbgAgACAAIAAgACAAIAApAFwAbgAgACAAIAAgACkAXABuACAAIAApADsAXABuAFwAbgAgACAAQwBvAG0AbQBvAG4AXwBTAG8AdQByAGMAZQBEAGEAdABhAF8ARQBGAGwAZQBhAGMAaABfAFYAYQByAGkAYQB0AGkAbwBuAFwAbgAgACAAPQBMAEEATQBCAEQAQQAoACgAXAAiAFwAIgApACkAOwBcAG4AXABuAFwAbgAvACoAIABcAG4ALQAtAC0ALQAtAC0ALQAtAC0ALQAtAC0ALQAtAC0ALQAtAC0ALQAtAC0ALQAtAC0ALQAtAC0ALQAtAC0ALQAtAC0ALQAtAC0ALQAtAFwAbgBDAG8AbQBtAG8AbgBfAFMAbwB1AHIAYwBlAEQAYQB0AGEAXwBFAEYATgAyAE8AXABuAFQAYQBiAGwAZQAgAEEALgAyAC4AMgAuADEAXABuAE4AaQB0AHIAbwB1AHMAIABvAHgAaQBkAGUAIABlAG0AaQBzAHMAaQBvAG4AIABmAGEAYwB0AG8AcgBzACAAZgBvAHIAIABpAG4AbwByAGcAYQBuAGkAYwAgAGYAZQByAHQAaQBsAGkAcwBlAHIAIABhAHAAcABsAGkAYwBhAHQAaQBvAG4AIAAoAGsAZwAgAE4AMgBPAC0ATgAvAGsAZwAgAE4AKQAgACgARQBGAE4AMgBPACkAXABuAC0ALQAtAC0ALQAtAC0ALQAtAC0ALQAtAC0ALQAtAC0ALQAtAC0ALQAtAC0ALQAtAC0ALQAtAC0ALQAtAC0ALQAtAC0ALQAtAC0ALQBcAG4AKgAvAFwAbgBcAG4AQwBvAG0AbQBvAG4AXwBTAG8AdQByAGMAZQBEAGEAdABhAF8ARQBGAE4AMgBPAF8AVABpAHQAbABlAFwAbgAgACAAPQBMAEEATQBCAEQAQQAoAFwAIgBOAGkAdAByAG8AdQBzACAAbwB4AGkAZABlACAAZQBtAGkAcwBzAGkAbwBuACAAZgBhAGMAdABvAHIAcwAgAGYAbwByACAAaQBuAG8AcgBnAGEAbgBpAGMAIABmAGUAcgB0AGkAbABpAHMAZQByACAAYQBwAHAAbABpAGMAYQB0AGkAbwBuAFwAIgApADsAXABuAFwAbgBDAG8AbQBtAG8AbgBfAFMAbwB1AHIAYwBlAEQAYQB0AGEAXwBFAEYATgAyAE8AXwBVAG4AaQB0AFwAbgAgACAAPQBMAEEATQBCAEQAQQAoAFwAIgAoAGsAZwAgAE4AMgBPAC0ATgAgAC8AIABrAGcAIABOAFwAIgApADsAXABuAFwAbgBDAG8AbQBtAG8AbgBfAFMAbwB1AHIAYwBlAEQAYQB0AGEAXwBFAEYATgAyAE8AXwBTAG8AdQByAGMAZQBcAG4AIAAgAD0ATABBAE0AQgBEAEEAKABcACIAVgBFAEUAUgBHACAAMgAwADIANgA6ACAAVABhAGIAbABlACAAQQAuADIALgAyAC4AMQBcACIAKQA7AFwAbgBcAG4AQwBvAG0AbQBvAG4AXwBTAG8AdQByAGMAZQBEAGEAdABhAF8ARQBGAE4AMgBPAF8ATgBJAFIAUgBlAGYAZQByAGUAbgBjAGUAXABuACAAIAA9AEwAQQBNAEIARABBACgAXAAiAFwAIgApADsAXABuAFwAbgBDAG8AbQBtAG8AbgBfAFMAbwB1AHIAYwBlAEQAYQB0AGEAXwBFAEYATgAyAE8AXwBEAGEAdABhAFwAbgAgACAAPQBMAEEATQBCAEQAQQAoAFwAbgAgACAAIAAgAE0AQQBLAEUAQQBSAFIAQQBZACgAMQA0ACwAIAA1ACwAIABcAG4AIAAgACAAIAAgACAATABBAE0AQgBEAEEAKAByACwAYwAsACAAXABuACAAIAAgACAAIAAgACAAIABJAE4ARABFAFgAKAB7AFwAbgAgACAAIAAgACAAIAAgACAAIAAgAFwAIgBQAHIAbwBkAHUAYwB0AGkAbwBuACAAcwB5AHMAdABlAG0AIABqAFwAIgAsAFwAIgBFAEYATgAyAE8AXAAiACwAIABcACIAUAByAG8AZAB1AGMAdABpAG8AbgAgAHMAeQBzAHQAZQBtACAAbwBuAGwAeQBcACIALAAgAFwAIgBJAHIAcgBpAGcAYQB0AGkAbwBuACAAbQBlAHQAaABvAGQAXAAiACwAIABcACIAUgBhAGkAbgBmAGEAbABsACAAegBvAG4AZQBcACIAOwBcAG4AIAAgACAAIAAgACAAIAAgACAAIABcACIASQByAHIAaQBnAGEAdABlAGQAIABwAGEAcwB0AHUAcgBlAFwAIgAsADAALgAwADAANQA5ACwAIABcACIAUABhAHMAdAB1AHIAZQBcACIALAAgAFwAIgBBAG4AeQBcACIALAAgAFwAIgBBAG4AeQBcACIAOwBcAG4AIAAgACAAIAAgACAAIAAgACAAIABcACIASQByAHIAaQBnAGEAdABlAGQAIABjAHIAbwBwAFwAIgAsADAALgAwADAANwAsACAAXAAiAEMAcgBvAHAAXAAiACwAIABcACIAQQBuAHkAXAAiACwAIABcACIAQQBuAHkAXAAiADsAXABuACAAIAAgACAAIAAgACAAIAAgACAAXAAiAE4AbwBuAC0AaQByAHIAaQBnAGEAdABlAGQAIABwAGEAcwB0AHUAcgBlAFwAIgAsADAALgAwADAAMQA4ACwAIABcACIAUABhAHMAdAB1AHIAZQBcACIALAAgAFwAIgBOAG8AdAAgAGkAcgByAGkAZwBhAHQAZQBkAFwAIgAsACAAXAAiAEwAbwB3ACAAcgBhAGkAbgBmAGEAbABsAFwAIgA7AFwAbgAgACAAIAAgACAAIAAgACAAIAAgAFwAIgBOAG8AbgAtAGkAcgByAGkAZwBhAHQAZQBkACAAcABhAHMAdAB1AHIAZQBcACIALAAwAC4AMAAwADEAOAAsACAAXAAiAFAAYQBzAHQAdQByAGUAXAAiACwAIABcACIATgBvAHQAIABpAHIAcgBpAGcAYQB0AGUAZABcACIALAAgAFwAIgBIAGkAZwBoACAAcgBhAGkAbgBmAGEAbABsAFwAIgA7AFwAbgAgACAAIAAgACAAIAAgACAAIAAgAFwAIgBOAG8AbgAtAGkAcgByAGkAZwBhAHQAZQBkACAAYwByAG8AcAAgACgAbABvAHcAIAByAGEAaQBuAGYAYQBsAGwAKQBcACIALAAwAC4AMAAwADIAOQAsACAAXAAiAEMAcgBvAHAAXAAiACwAIABcACIATgBvAHQAIABpAHIAcgBpAGcAYQB0AGUAZABcACIALAAgAFwAIgBMAG8AdwAgAHIAYQBpAG4AZgBhAGwAbABcACIAOwBcAG4AIAAgACAAIAAgACAAIAAgACAAIABcACIATgBvAG4ALQBpAHIAcgBpAGcAYQB0AGUAZAAgAGMAcgBvAHAAIAAoAGgAaQBnAGgAIAByAGEAaQBuAGYAYQBsAGwAKQBcACIALAAwAC4AMAAwADgALAAgAFwAIgBDAHIAbwBwAFwAIgAsACAAXAAiAE4AbwB0ACAAaQByAHIAaQBnAGEAdABlAGQAXAAiACwAIABcACIASABpAGcAaAAgAHIAYQBpAG4AZgBhAGwAbABcACIAOwBcAG4AIAAgACAAIAAgACAAIAAgACAAIABcACIAUwB1AGcAYQByAFwAIgAsADAALgAwADEAOQA5ACwAIABcACIAUwB1AGcAYQByAFwAIgAsACAAXAAiAEEAbgB5AFwAIgAsACAAXAAiAEEAbgB5AFwAIgA7AFwAbgAgACAAIAAgACAAIAAgACAAIAAgAFwAIgBDAG8AdAB0AG8AbgBcACIALAAwAC4AMAAwADUAMwAsACAAXAAiAEMAbwB0AHQAbwBuAFwAIgAsACAAXAAiAEEAbgB5AFwAIgAsACAAXAAiAEEAbgB5AFwAIgA7AFwAbgAgACAAIAAgACAAIAAgACAAIAAgAFwAIgBIAG8AcgB0AGkAYwB1AGwAdAB1AHIAYQBsACAAYwByAG8AcABzAFwAIgAsADAALgAwADAANgA0ACwAIABcACIASABvAHIAdABpAGMAdQBsAHQAdQByAGEAbAAgAGMAcgBvAHAAcwBcACIALAAgAFwAIgBBAG4AeQBcACIALAAgAFwAIgBBAG4AeQBcACIAOwBcAG4AIAAgACAAIAAgACAAIAAgACAAIABcACIAUgBpAGMAZQAgACgAYwBvAG4AdABpAG4AdQBvAHUAcwAgAGYAbABvAG8AZABpAG4AZwApAFwAIgAsADAALgAwADAAMwAsACAAXAAiAFIAaQBjAGUAXAAiACwAIABcACIAQwBvAG4AdABpAG4AdQBvAHUAcwAgAGYAbABvAG8AZABpAG4AZwBcACIALAAgAFwAIgBBAG4AeQBcACIAOwBcAG4AIAAgACAAIAAgACAAIAAgACAAIABcACIAUgBpAGMAZQAgACgAcwBpAG4AZwBsAGUAIABhAG4AZAAgAG0AdQBsAHQAaQBwAGwAZQAgAGQAcgBhAGkAbgBhAGcAZQAsACAAbwByACAAYQBsAHQAZQByAG4AYQB0AGUAIAB3AGUAdAB0AGkAbgBnACAAYQBuAGQAIABkAHIAeQBpAG4AZwApAFwAIgAsADAALgAwADAANQAsACAAXAAiAFIAaQBjAGUAXAAiACwAIABcACIAUwBpAG4AZwBsAGUAIABhAG4AZAAgAG0AdQBsAHQAaQBwAGwAZQAgAGQAcgBhAGkAbgBhAGcAZQAsACAAbwByACAAYQBsAHQAZQByAG4AYQB0AGUAIAB3AGUAdAB0AGkAbgBnACAAYQBuAGQAIABkAHIAeQBpAG4AZwBcACIALAAgAFwAIgBBAG4AeQBcACIAOwBcAG4AIAAgACAAIAAgACAAIAAgACAAIABcACIAQQBxAHUAYQBjAHUAbAB0AHUAcgBlAFwAIgAsADAALgAwADAAMgA2ACwAIABcACIAQQBxAHUAYQBjAHUAbAB0AHUAcgBlAFwAIgAsACAAXAAiAEEAbgB5AFwAIgAsACAAXAAiAEEAbgB5AFwAIgA7AFwAbgAgACAAIAAgACAAIAAgACAAIAAgAFwAIgBGAG8AcgBlAHMAdAByAHkAXAAiACwAMAAuADAAMAAxADgALAAgAFwAIgBGAG8AcgBlAHMAdAByAHkAXAAiACwAIABcACIAQQBuAHkAXAAiACwAIABcACIAQQBuAHkAXAAiAFwAbgAgACAAIAAgACAAIAAgACAAfQAsACAAcgAsACAAYwApAFwAbgAgACAAIAAgACAAIAApAFwAbgAgACAAIAAgACkAXABuACAAIAApADsAXABuAFwAbgAgACAAQwBvAG0AbQBvAG4AXwBTAG8AdQByAGMAZQBEAGEAdABhAF8ARQBGAE4AMgBPAF8AVgBhAHIAaQBhAHQAaQBvAG4AXABuACAAIAA9AEwAQQBNAEIARABBACgAXABuACAAIAAgACAATQBBAEsARQBBAFIAUgBBAFkAKAA1ACwAIAAxACwAIABcAG4AIAAgACAAIAAgACAATABBAE0AQgBEAEEAKAByACwAYwAsACAAXABuACAAIAAgACAAIAAgACAAIABJAE4ARABFAFgAKAB7AFwAbgAgACAAIAAgACAAIAAgACAAIAAgAFwAIgBWAEEAUgBJAEEAVABJAE8ATgAgAE8ARgAgAFMATwBVAFIAQwBFACAARABBAFQAQQA6AFwAIgA7AFwAbgAgACAAIAAgACAAIAAgACAAIAAgAFwAIgBSAGUAbQBvAHYAZQBkACAAZAB1AHAAbABpAGMAYQB0AGUAIABcAHUAMAAwADIANwBBAHEAdQBhAGMAdQBsAHQAdQByAGUAXAB1ADAAMAAyADcAIAByAG8AdwAuAFwAIgA7AFwAbgAgACAAIAAgACAAIAAgACAAIAAgAFwAIgBSAGUAbQBvAHYAZQBkACAAYQBzAHQAZQByAGkAcwBrAHMAIAB0AG8AIABhAGkAZAAgAGwAbwBvAGsAdQBwAC4AXAAiADsAXABuACAAIAAgACAAIAAgACAAIAAgACAAXAAiAEEAZABkAGUAZAAgAFwAdQAwADAAMgA3AHAAcgBvAGQAdQBjAHQAaQBvAG4AIABzAHkAcwB0AGUAbQAgAG8AbgBsAHkAXAB1ADAAMAAyADcALAAgAFwAdQAwADAAMgA3AHIAYQBpAG4AZgBhAGwAbAAgAHoAbwBuAGUAXAB1ADAAMAAyADcAIABhAG4AZAAgAFwAdQAwADAAMgA3AGkAcgByAGkAZwBhAHQAaQBvAG4AIABtAGUAdABoAG8AZABcAHUAMAAwADIANwAgAGMAbwBsAHUAbQBuAHMAIAB0AG8AIABhAGkAZAAgAGwAbwBvAGsAdQBwAC4AXAAiADsAXABuACAAIAAgACAAIAAgACAAIAAgACAAXAAiAEQAdQBwAGwAaQBjAGEAdABlAGQAIABcAHUAMAAwADIANwBuAG8AbgAtAGkAcgByAGkAZwBhAHQAZQBkACAAcABhAHMAdAB1AHIAZQBcAHUAMAAwADIANwAgAHIAbwB3ACAAdwBpAHQAaAAgAHMAYQBtAGUAIABFAEYAIABmAG8AcgAgAGwAbwB3ACAAYQBuAGQAIABoAGkAZwBoACAAcgBhAGkAbgBmAGEAbABsACAAegBvAG4AZQBzACAAdABvACAAYQBpAGQAIABsAG8AbwBrAHUAcAA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JAHIAcgBpAGcAYQB0AGkAbwBuAFwAbgBWAEUARQBSAEcAIAAyADAAMgA2ADoAIABDAGgAYQBwAHQAZQByACAAMQAsACAAcwBlAGMAdABpAG8AbgAgADEALgA4AC4AMgAgAEwAZQBhAGMAaABpAG4AZwAsACAAYwBsAGkAbQBhAHQAZQAgAGEAbgBkACAAcgBhAGkAbgBmAGEAbABsACAAegBvAG4AZQBzAFwAbgBJAFAAQwBDADoAIABOADIATwAgAEUATQBJAFMAUwBJAE8ATgBTACAARgBSAE8ATQAgAE0AQQBOAEEARwBFAEQAIABTAE8ASQBMAFMALAAgAEEATgBEACAAQwBPADIAIABFAE0ASQBTAFMASQBPAE4AUwAgAEYAUgBPAE0AIABMAEkATQBFACAAQQBOAEQAIABVAFIARQBBACAAQQBQAFAATABJAEMAQQBUAEkATwBOAFwAbgAtAC0ALQAtAC0ALQAtAC0ALQAtAC0ALQAtAC0ALQAtAC0ALQAtAC0ALQAtAC0ALQAtAC0ALQAtAC0ALQAtAC0ALQAtAC0ALQAtAC0AXABuACoALwBcAG4AXABuAEMAbwBtAG0AbwBuAF8AUwBvAHUAcgBjAGUARABhAHQAYQBfAEYAcgBhAGMAVwBFAFQASQByAHIAaQBnAGEAdABpAG8AbgBfAFQAaQB0AGwAZQBcAG4AIAAgAD0ATABBAE0AQgBEAEEAKABcACIARgByAGEAYwBXAEUAVAAgAGYAbwByACAAaQByAHIAaQBnAGEAdABpAG8AbgAgAHQAeQBwAGUAcwBcACIAKQA7AFwAbgBcAG4AQwBvAG0AbQBvAG4AXwBTAG8AdQByAGMAZQBEAGEAdABhAF8ARgByAGEAYwBXAEUAVABJAHIAcgBpAGcAYQB0AGkAbwBuAF8AVQBuAGkAdABcAG4AIAAgAD0ATABBAE0AQgBEAEEAKABcACIAZABpAG0AZQBuAHMAaQBvAG4AbABlAHMAcwBcACIAKQA7AFwAbgBcAG4AQwBvAG0AbQBvAG4AXwBTAG8AdQByAGMAZQBEAGEAdABhAF8ARgByAGEAYwBXAEUAVABJAHIAcgBpAGcAYQB0AGkAbwBuAF8AUwBvAHUAcgBjAGUAXABuACAAIAA9AEwAQQBNAEIARABBACgAXAAiAFYARQBFAFIARwAgADIAMAAyADYAOgAgAEMAaABhAHAAdABlAHIAIAAxACwAIABzAGUAYwB0AGkAbwBuACAAMQAuADgALgAyACAATABlAGEAYwBoAGkAbgBnACwAIABjAGwAaQBtAGEAdABlACAAYQBuAGQAIAByAGEAaQBuAGYAYQBsAGwAIAB6AG8AbgBlAHMAXAAiACkAOwBcAG4AXABuAEMAbwBtAG0AbwBuAF8AUwBvAHUAcgBjAGUARABhAHQAYQBfAEYAcgBhAGMAVwBFAFQASQByAHIAaQBnAGEAdABpAG8AbgBfAE4ASQBSAFIAZQBmAGUAcgBlAG4AYwBlAFwAbgAgACAAPQBMAEEATQBCAEQAQQAoAFwAIgBJAFAAQwBDACAAMgAwADEAOQAgAFIAZQBmAGkAbgBlAG0AZQBuAHQAIABWAG8AbAB1AG0AZQAgADQAOgAgAEMAaABhAHAAdABlAHIAIAAxADEAOgAgAE4AMgBPACAARQBtAGkAcwBzAGkAbwBuAHMAIABmAHIAbwBtACAATQBhAG4AYQBnAGUAZAAgAFMAbwBpAGwAcwAsACAAYQBuAGQAIABDAE8AMgAgAEUAbQBpAHMAcwBpAG8AbgBzACAAZgByAG8AbQAgAEwAaQBtAGUAIABhAG4AZAAgAFUAcgBlAGEAIABBAHAAcABsAGkAYwBhAHQAaQBvAG4AXAAiACkAOwBcAG4AXABuAEMAbwBtAG0AbwBuAF8AUwBvAHUAcgBjAGUARABhAHQAYQBfAEYAcgBhAGMAVwBFAFQASQByAHIAaQBnAGEAdABpAG8AbgBfAEQAYQB0AGEAXABuACAAIAA9AEwAQQBNAEIARABBACgAXABuACAAIAAgACAATQBBAEsARQBBAFIAUgBBAFkAKAA2ACwAIAAyACwAIABcAG4AIAAgACAAIAAgACAATABBAE0AQgBEAEEAKAByACwAYwAsACAAXABuACAAIAAgACAAIAAgACAAIABJAE4ARABFAFgAKAB7AFwAbgAgACAAIAAgACAAIAAgACAAIAAgAFwAIgBJAHIAcgBpAGcAYQB0AGkAbwBuACAAdAB5AHAAZQAgAGkAcgBcACIALABcACIARgByAGEAYwBXAEUAVABcACIAOwBcAG4AIAAgACAAIAAgACAAIAAgACAAIABcACIATgBvAHQAIABpAHIAcgBpAGcAYQB0AGUAZABcACIALAAgADAAOwBcAG4AIAAgACAAIAAgACAAIAAgACAAIABcACIARAByAGkAcAAgAGkAcgByAGkAZwBhAHQAaQBvAG4AXAAiACwAIAAwADsAXABuACAAIAAgACAAIAAgACAAIAAgACAAXAAiAFMAcAByAGkAbgBrAGwAZQByACAAaQByAHIAaQBnAGEAdABpAG8AbgBcACIALAAgADEAOwBcAG4AIAAgACAAIAAgACAAIAAgACAAIABcACIAUwB1AHIAZgBhAGMAZQAgAGkAcgByAGkAZwBhAHQAaQBvAG4AXAAiACwAIAAxADsAXABuACAAIAAgACAAIAAgACAAIAAgACAAXAAiAE8AdABoAGUAcgAgAGkAcgByAGkAZwBhAHQAaQBvAG4AXAAiACwAIAAxAFwAbgAgACAAIAAgACAAIAAgACAAfQAsACAAcgAsACAAYwApAFwAbgAgACAAIAAgACAAIAApAFwAbgAgACAAIAAgACkAXABuACAAIAApADsAXABuAFwAbgAgACAAQwBvAG0AbQBvAG4AXwBTAG8AdQByAGMAZQBEAGEAdABhAF8ARgByAGEAYwBXAEUAVABJAHIAcgBpAGcAYQB0AGkAbwBuAF8AVgBhAHIAaQBhAHQAaQBvAG4AXABuACAAIAA9AEwAQQBNAEIARABBACgAXAAiAFYAQQBSAEkAQQBUAEkATwBOACAARgBSAE8ATQAgAFMATwBVAFIAQwBFACAARABBAFQAQQA6ACAAVABhAGIAbABlACAAYwByAGUAYQB0AGUAZAAgAGIAYQBzAGUAZAAgAG8AbgAgAFYARQBFAFIARwAgAHQAZQB4AHQAIABcAHUAMAAwADIANwBBAHIAZQBhAHMAIABhAHIAZQAgAHMAdQBiAGoAZQBjAHQAIAB0AG8AIABsAGUAYQBjAGgAaQBuAGcAIAAoAGkALgBlAC4ALAAgAGkAbgAgAHQAaABlACAAbABlAGEAYwBoAGkAbgBnACAAegBvAG4AZQApACAAdwBoAGUAbgAuAC4ALgAgAHQAaABlACAAbABhAG4AZAAgAGkAcwAgAGkAcgByAGkAZwBhAHQAZQBkACAAKABlAHgAYwBlAHAAdAAgAGQAcgBpAHAAIABpAHIAcgBpAGcAYQB0AGkAbwBuACkALgBcAHUAMAAwADIANwBcACIAKQA7AFwAbgBcAG4AXABuAC8AKgAgAFwAbgAtAC0ALQAtAC0ALQAtAC0ALQAtAC0ALQAtAC0ALQAtAC0ALQAtAC0ALQAtAC0ALQAtAC0ALQAtAC0ALQAtAC0ALQAtAC0ALQAtAC0AXABuAEMAbwBtAG0AbwBuAF8AUwBvAHUAcgBjAGUARABhAHQAYQBfAEUARgBQAGEAcwB0AHUAcgBlAFIAYQBuAGcAZQBBAG4AZABQAGEAZABkAG8AYwBrAFwAbgBUAGEAYgBsAGUAIABBAC4AMgAuADIALgAyADoAIABFAG0AaQBzAHMAaQBvAG4AIABmAGEAYwB0AG8AcgAgAGYAbwByACAAdQByAGkAbgBlACAAYQBuAGQAIABkAHUAbgBnACAAZABlAHAAbwBzAGkAdABlAGQAIABvAG4AIABwAGEAcwB0AHUAcgBlACwAIAByAGEAbgBnAGUAIABvAHIAIABwAGEAZABkAG8AYwBrACAAKABrAGcAIABOADIATwAtAE4ALwBrAGcAIABOACkAIAAoAEUARgBQAFIAUAApAFwAbgAtAC0ALQAtAC0ALQAtAC0ALQAtAC0ALQAtAC0ALQAtAC0ALQAtAC0ALQAtAC0ALQAtAC0ALQAtAC0ALQAtAC0ALQAtAC0ALQAtAC0AXABuACoALwBcAG4AXABuAEMAbwBtAG0AbwBuAF8AUwBvAHUAcgBjAGUARABhAHQAYQBfAEUARgBQAGEAcwB0AHUAcgBlAFIAYQBuAGcAZQBBAG4AZABQAGEAZABkAG8AYwBrAF8AVABpAHQAbABlAFwAbgAgACAAPQBMAEEATQBCAEQAQQAoAFwAIgBFAG0AaQBzAHMAaQBvAG4AIABmAGEAYwB0AG8AcgAgAGYAbwByACAAdQByAGkAbgBlACAAYQBuAGQAIABkAHUAbgBnACAAZABlAHAAbwBzAGkAdABlAGQAIABvAG4AIABwAGEAcwB0AHUAcgBlACwAIAByAGEAbgBnAGUAIABvAHIAIABwAGEAZABkAG8AYwBrAFwAIgApADsAXABuAFwAbgBDAG8AbQBtAG8AbgBfAFMAbwB1AHIAYwBlAEQAYQB0AGEAXwBFAEYAUABhAHMAdAB1AHIAZQBSAGEAbgBnAGUAQQBuAGQAUABhAGQAZABvAGMAawBfAFUAbgBpAHQAXABuACAAIAA9AEwAQQBNAEIARABBACgAXAAiAGsAZwAgAE4AMgBPACAALQAgAE4AIAAvACAAawBnACAATgBcACIAKQA7AFwAbgBcAG4AQwBvAG0AbQBvAG4AXwBTAG8AdQByAGMAZQBEAGEAdABhAF8ARQBGAFAAYQBzAHQAdQByAGUAUgBhAG4AZwBlAEEAbgBkAFAAYQBkAGQAbwBjAGsAXwBTAG8AdQByAGMAZQBcAG4AIAAgAD0ATABBAE0AQgBEAEEAKABcACIAVgBFAEUAUgBHACAAMgAwADIANgA6ACAAVABhAGIAbABlACAAQQAuADIALgAyAC4AMgBcACIAKQA7AFwAbgBcAG4AQwBvAG0AbQBvAG4AXwBTAG8AdQByAGMAZQBEAGEAdABhAF8ARQBGAFAAYQBzAHQAdQByAGUAUgBhAG4AZwBlAEEAbgBkAFAAYQBkAGQAbwBjAGsAXwBOAEkAUgBSAGUAZgBlAHIAZQBuAGMAZQBcAG4AIAAgAD0ATABBAE0AQgBEAEEAKABcACIAXAAiACkAOwBcAG4AXABuAEMAbwBtAG0AbwBuAF8AUwBvAHUAcgBjAGUARABhAHQAYQBfAEUARgBQAGEAcwB0AHUAcgBlAFIAYQBuAGcAZQBBAG4AZABQAGEAZABkAG8AYwBr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QAFIAUABcACIAOwBcAG4AIAAgACAAIAAgACAAIAAgACAAIABcACIAVwBlAHQAIABjAGwAaQBtAGEAdABlACAAegBvAG4AZQBcACIALAAgADAALgAwADAANgA7AFwAbgAgACAAIAAgACAAIAAgACAAIAAgAFwAIgBEAHIAeQAgAGMAbABpAG0AYQB0AGUAIAB6AG8AbgBlAFwAIgAsACAAMAAuADAAMAAyAFwAbgAgACAAIAAgACAAIAAgACAAfQAsACAAcgAsACAAYwApAFwAbgAgACAAIAAgACAAIAApAFwAbgAgACAAIAAgACkAXABuACAAIAApADsAXABuAFwAbgAgACAAQwBvAG0AbQBvAG4AXwBTAG8AdQByAGMAZQBEAGEAdABhAF8ARQBGAFAAYQBzAHQAdQByAGUAUgBhAG4AZwBlAEEAbgBkAFAAYQBkAGQAbwBjAGsAXwBWAGEAcgBpAGEAdABpAG8AbgBcAG4AIAAgAD0ATABBAE0AQgBEAEEAKABcACIAVgBBAFIASQBBAFQASQBPAE4AIABGAFIATwBNACAAUwBPAFUAUgBDAEUAIABEAEEAVABBADoAIABDAGgAYQBuAGcAZQBkACAAXAB1ADAAMAAyADcARAByAHkAIABjAGwAaQBtAGEAdABlACAAegBvAG4AZQBzAFwAdQAwADAAMgA3ACAAdABvACAAcwBpAG4AZwB1AGwAYQByACAAXAB1ADAAMAAyADcARAByAHkAIABjAGwAaQBtAGEAdABlACAAegBvAG4AZQBcAHUAMAAwADIANwAgAHQAbwAgAGEAaQBkACAAbABvAG8AawB1AHAALgBcACIAKQA7AFwAbgBcAG4AXABuAC8AKgAgAFwAbgAtAC0ALQAtAC0ALQAtAC0ALQAtAC0ALQAtAC0ALQAtAC0ALQAtAC0ALQAtAC0ALQAtAC0ALQAtAC0ALQAtAC0ALQAtAC0ALQAtAC0AXABuAEMAbwBtAG0AbwBuAF8AUwBvAHUAcgBjAGUARABhAHQAYQBfAE0AbwBuAHQAaABzAFQAbwBTAGUAYQBzAG8AbgBzAFwAbgAtAC0ALQAtAC0ALQAtAC0ALQAtAC0ALQAtAC0ALQAtAC0ALQAtAC0ALQAtAC0ALQAtAC0ALQAtAC0ALQAtAC0ALQAtAC0ALQAtAC0AXABuACoALwBcAG4AXABuAEMAbwBtAG0AbwBuAF8AUwBvAHUAcgBjAGUARABhAHQAYQBfAE0AbwBuAHQAaABzAFQAbwBTAGUAYQBzAG8AbgBzAF8AVABpAHQAbABlAFwAbgAgACAAPQBMAEEATQBCAEQAQQAoAFwAIgBNAG8AbgB0AGgAcwAgAHQAbwAgAFMAZQBhAHMAbwBuAHMAIABNAGEAcABwAGkAbgBnAFwAIgApADsAXABuAFwAbgBDAG8AbQBtAG8AbgBfAFMAbwB1AHIAYwBlAEQAYQB0AGEAXwBNAG8AbgB0AGgAcwBUAG8AUwBlAGEAcwBvAG4AcwBfAFUAbgBpAHQAXABuACAAIAA9AEwAQQBNAEIARABBACgAXAAiAFwAIgApADsAXABuAFwAbgBDAG8AbQBtAG8AbgBfAFMAbwB1AHIAYwBlAEQAYQB0AGEAXwBNAG8AbgB0AGgAcwBUAG8AUwBlAGEAcwBvAG4AcwBfAFMAbwB1AHIAYwBlAFwAbgAgACAAPQBMAEEATQBCAEQAQQAoAFwAIgBcACIAKQA7AFwAbgBcAG4AQwBvAG0AbQBvAG4AXwBTAG8AdQByAGMAZQBEAGEAdABhAF8ATQBvAG4AdABoAHMAVABvAFMAZQBhAHMAbwBuAHMAXwBOAEkAUgBSAGUAZgBlAHIAZQBuAGMAZQBcAG4AIAAgAD0ATABBAE0AQgBEAEEAKABcACIAXAAiACkAOwBcAG4AXABuAEMAbwBtAG0AbwBuAF8AUwBvAHUAcgBjAGUARABhAHQAYQBfAE0AbwBuAHQAaABzAFQAbwBTAGUAYQBzAG8AbgBzAF8ARABhAHQAYQBcAG4AIAAgAD0ATABBAE0AQgBEAEEAKABcAG4AIAAgACAAIABNAEEASwBFAEEAUgBSAEEAWQAoADEAMwAsACAAMgAsACAAXABuACAAIAAgACAAIAAgAEwAQQBNAEIARABBACgAcgAsAGMALAAgAFwAbgAgACAAIAAgACAAIAAgACAASQBOAEQARQBYACgAewBcAG4AIAAgACAAIAAgACAAIAAgACAAIABcACIATQBvAG4AdABoAFwAIgAsACAAXAAiAFMAZQBhAHMAbwBuAFwAIgA7AFwAbgAgACAAIAAgACAAIAAgACAAIAAgAFwAIgBKAGEAbgB1AGEAcgB5AFwAIgAsACAAXAAiAFMAdQBtAG0AZQByAFwAIgA7AFwAbgAgACAAIAAgACAAIAAgACAAIAAgAFwAIgBGAGUAYgByAHUAYQByAHkAXAAiACwAIABcACIAUwB1AG0AbQBlAHIAXAAiADsAXABuACAAIAAgACAAIAAgACAAIAAgACAAXAAiAE0AYQByAGMAaABcACIALAAgAFwAIgBBAHUAdAB1AG0AbgBcACIAOwBcAG4AIAAgACAAIAAgACAAIAAgACAAIABcACIAQQBwAHIAaQBsAFwAIgAsACAAXAAiAEEAdQB0AHUAbQBuAFwAIgA7AFwAbgAgACAAIAAgACAAIAAgACAAIAAgAFwAIgBNAGEAeQBcACIALAAgAFwAIgBBAHUAdAB1AG0AbgBcACIAOwBcAG4AIAAgACAAIAAgACAAIAAgACAAIABcACIASgB1AG4AZQBcACIALAAgAFwAIgBXAGkAbgB0AGUAcgBcACIAOwBcAG4AIAAgACAAIAAgACAAIAAgACAAIABcACIASgB1AGwAeQBcACIALAAgAFwAIgBXAGkAbgB0AGUAcgBcACIAOwBcAG4AIAAgACAAIAAgACAAIAAgACAAIABcACIAQQB1AGcAdQBzAHQAXAAiACwAIABcACIAVwBpAG4AdABlAHIAXAAiADsAXABuACAAIAAgACAAIAAgACAAIAAgACAAXAAiAFMAZQBwAHQAZQBtAGIAZQByAFwAIgAsACAAXAAiAFMAcAByAGkAbgBnAFwAIgA7AFwAbgAgACAAIAAgACAAIAAgACAAIAAgAFwAIgBPAGMAdABvAGIAZQByAFwAIgAsACAAXAAiAFMAcAByAGkAbgBnAFwAIgA7AFwAbgAgACAAIAAgACAAIAAgACAAIAAgAFwAIgBOAG8AdgBlAG0AYgBlAHIAXAAiACwAIABcACIAUwBwAHIAaQBuAGcAXAAiADsAXABuACAAIAAgACAAIAAgACAAIAAgACAAXAAiAEQAZQBjAGUAbQBiAGUAcgBcACIALAAgAFwAIgBTAHUAbQBtAGUAcgBcACIAXABuACAAIAAgACAAIAAgACAAIAB9ACwAIAByACwAIABjACkAXABuACAAIAAgACAAIAAgACkAXABuACAAIAAgACAAKQBcAG4AIAAgACkAOwBcAG4AXABuACAAIABDAG8AbQBtAG8AbgBfAFMAbwB1AHIAYwBlAEQAYQB0AGEAXwBNAG8AbgB0AGgAcwBUAG8AUwBlAGEAcwBvAG4AcwBfAFYAYQByAGkAYQB0AGkAbwBuAFwAbgAgACAAPQBMAEEATQBCAEQAQQAoAFwAIgBcACIAKQA7AFwAbgBcAG4AXABuAFwAbgAvACoAIABcAG4ALQAtAC0ALQAtAC0ALQAtAC0ALQAtAC0ALQAtAC0ALQAtAC0ALQAtAC0ALQAtAC0ALQAtAC0ALQAtAC0ALQAtAC0ALQAtAC0ALQAtAFwAbgBDAG8AbQBtAG8AbgBfAFMAbwB1AHIAYwBlAEQAYQB0AGEAXwBNAEMARgBUAGUAbQBwAGUAcgBhAHQAdQByAGUAWgBvAG4AZQBcAG4ALQAtAC0ALQAtAC0ALQAtAC0ALQAtAC0ALQAtAC0ALQAtAC0ALQAtAC0ALQAtAC0ALQAtAC0ALQAtAC0ALQAtAC0ALQAtAC0ALQAtAFwAbgAqAC8AXABuAFwAbgBDAG8AbQBtAG8AbgBfAFMAbwB1AHIAYwBlAEQAYQB0AGEAXwBNAEMARgBUAGUAbQBwAGUAcgBhAHQAdQByAGUAWgBvAG4AZQBfAFQAaQB0AGwAZQBcAG4AIAAgAD0ATABBAE0AQgBEAEEAKABcACIATQBhAG4AdQByAGUAIABNAGEAbgBhAGcAZQBtAGUAbgB0ACAAEyAgAE0AZQB0AGgAYQBuAGUAIABjAG8AbgB2AGUAcgBzAGkAbwBuACAAZgBhAGMAdABvAHIAIABwAGUAcgAgAHQAZQBtAHAAZQByAGEAdAB1AHIAZQAgAHoAbwBuAGUAIAAoAGYAcgBhAGMAdABpAG8AbgApACAAKABNAEMARgBpAG0AKQBcACIAKQA7AFwAbgBcAG4AQwBvAG0AbQBvAG4AXwBTAG8AdQByAGMAZQBEAGEAdABhAF8ATQBDAEYAVABlAG0AcABlAHIAYQB0AHUAcgBlAFoAbwBuAGUAXwBVAG4AaQB0AFwAbgAgACAAPQBMAEEATQBCAEQAQQAoAFwAIgBmAHIAYQBjAHQAaQBvAG4AXAAiACkAOwBcAG4AXABuAEMAbwBtAG0AbwBuAF8AUwBvAHUAcgBjAGUARABhAHQAYQBfAE0AQwBGAFQAZQBtAHAAZQByAGEAdAB1AHIAZQBaAG8AbgBlAF8AUwBvAHUAcgBjAGUAXABuACAAIAA9AEwAQQBNAEIARABBACgAXAAiAFYARQBFAFIARwAgADIAMAAyADYAOgAgAFQAYQBiAGwAZQAgAEEALgAxAC4AOAAuADEAXAAiACkAOwBcAG4AXABuAEMAbwBtAG0AbwBuAF8AUwBvAHUAcgBjAGUARABhAHQAYQBfAE0AQwBGAFQAZQBtAHAAZQByAGEAdAB1AHIAZQBaAG8AbgBlAF8ARABhAHQAYQBcAG4AIAAgAD0ATABBAE0AQgBEAEEAKABcAG4AIAAgACAAIABNAEEASwBFAEEAUgBSAEEAWQAoADIAMQAsACAAMQA2ACwAIABcAG4AIAAgACAAIAAgACAATABBAE0AQgBEAEEAKAByACwAYwAsACAAXABuACAAIAAgACAAIAAgACAAIABJAE4ARABFAFgAKAB7AFwAbgAgACAAIAAgACAAIAAgACAAIAAgAFwAIgBUAGUAbQBwAGUAcgBhAHQAdQByAGUAIAB6AG8AbgBlAFwAIgAsACAAXAAiAE0AQQBUACAAKAC6AEMAKQBcACIALAAgAFwAIgBVAG4AYwBvAHYAZQByAGUAZAAgAGEAbgBlAHIAbwBiAGkAYwAgAGwAYQBnAG8AbwBuAFwAIgAsACAAXAAiAEMAbwB2AGUAcgBlAGQAIABsAGEAZwBvAG8AbgBcACIALAAgAFwAIgBMAGkAcQB1AGkAZAAgAFMAbAB1AHIAcgB5ACAAKAB3AGkAdABoAG8AdQB0ACAAbgBhAHQAdQByAGEAbAAgAGMAcgB1AHMAdAApAFwAIgAsACAAXAAiAEQAYQBpAGwAeQAgAHMAcAByAGUAYQBkACAAKABiACkAXAAiACwAIABcACIAQwBvAG0AcABvAHMAdABpAG4AZwAgACgAcABhAHMAcwBpAHYAZQAgAHcAaQBuAGQAcgBvAHcAKQBcACIALAAgAFwAIgBTAG8AbABpAGQAIABTAHQAbwByAGEAZwBlAFwAIgAsACAAXAAiAFAAaQB0ACAAUwB0AG8AcgBhAGcAZQAgAFwAdQAwADAAMwBjADEAIABtAG8AbgB0AGgAXAAiACwAIABcACIARABlAGUAcAAgAEwAaQB0AHQAZQByAFwAIgAsACAAXAAiAFAAbwB1AGwAdAByAHkAIABNAGEAbgB1AHIAZQAgACgAdwBpAHQAaAAvAHcAaQB0AGgAbwB1AHQAIABsAGkAdAB0AGUAcgApAFwAIgAsACAAXAAiAFwAIgAsACAAXAAiAEQAaQByAGUAYwB0ACAAcAByAG8AYwBlAHMAcwBpAG4AZwAgAGkAbgB0AG8AIABwAGUAbABsAGUAdABpAHoAZQBkACAAZgBlAHIAdABpAGwAaQBzAGUAcgBcACIALAAgAFwAIgBEAGkAcgBlAGMAdAAgAGEAcABwAGwAaQBjAGEAdABpAG8AbgAgAHQAbwAgAHMAbwBpAGwAXAAiACwAIABcACIAUABhAHMAdAB1AHIAZQAsACAAUgBhAG4AZwBlACAAYQBuAGQAIABQAGEAZABkAG8AYwBrACAAKABjACkAKABkACkAXAAiACwAIABcACIATQBBAFQAIAByAGEAdwBcACIAOwBcAG4AIAAgACAAIAAgACAAIAAgACAAIABcACIAQwBvAG8AbABcACIALAAgAFwAIgBkIjEAMABcACIALAAgADAALgA2ADYALAAgADAALgAxACwAIAAwAC4AMQAsACAAMAAuADAAMAAxACwAIAAwAC4AMAAwADUALAAgADAALgAwADIALAAgADAALgAwADMALAAgADAALgAwADQALAAgADAALgAwADEANQAsACAAMAAuADAAMQA1ACwAIAAwACwAIAAwACwAIAAwAC4AMAAwADQANwAsACAAMQAwADsAXABuACAAIAAgACAAIAAgACAAIAAgACAAXAAiAEMAbwBvAGwAXAAiACwAIAAxADEALAAgADAALgA2ADgALAAgADAALgAxACwAIAAwAC4AMQAxACwAIAAwAC4AMAAwADEALAAgADAALgAwADAANQAsACAAMAAuADAAMgAsACAAMAAuADAAMwAsACAAMAAuADAANAAsACAAMAAuADAAMQA1ACwAIAAwAC4AMAAxADUALAAgADAALAAgADAALAAgADAALgAwADAANAA3ACwAIAAxADEAOwBcAG4AIAAgACAAIAAgACAAIAAgACAAIABcACIAQwBvAG8AbABcACIALAAgADEAMgAsACAAMAAuADcALAAgADAALgAxACwAIAAwAC4AMQAzACwAIAAwAC4AMAAwADEALAAgADAALgAwADAANQAsACAAMAAuADAAMgAsACAAMAAuADAAMwAsACAAMAAuADAANAAsACAAMAAuADAAMQA1ACwAIAAwAC4AMAAxADUALAAgADAALAAgADAALAAgADAALgAwADAANAA3ACwAIAAxADIAOwBcAG4AIAAgACAAIAAgACAAIAAgACAAIABcACIAQwBvAG8AbABcACIALAAgADEAMwAsACAAMAAuADcAMQAsACAAMAAuADEALAAgADAALgAxADQALAAgADAALgAwADAAMQAsACAAMAAuADAAMAA1ACwAIAAwAC4AMAAyACwAIAAwAC4AMAAzACwAIAAwAC4AMAA0ACwAIAAwAC4AMAAxADUALAAgADAALgAwADEANQAsACAAMAAsACAAMAAsACAAMAAuADAAMAA0ADcALAAgADEAMwA7AFwAbgAgACAAIAAgACAAIAAgACAAIAAgAFwAIgBDAG8AbwBsAFwAIgAsACAAMQA0ACwAIAAwAC4ANwAzACwAIAAwAC4AMQAsACAAMAAuADEANQAsACAAMAAuADAAMAAxACwAIAAwAC4AMAAwADUALAAgADAALgAwADIALAAgADAALgAwADMALAAgADAALgAwADQALAAgADAALgAwADEANQAsACAAMAAuADAAMQA1ACwAIAAwACwAIAAwACwAIAAwAC4AMAAwADQANwAsACAAMQA0ADsAXABuACAAIAAgACAAIAAgACAAIAAgACAAXAAiAFQAZQBtAHAAZQByAGEAdABlAFwAIgAsACAAMQA1ACwAIAAwAC4ANwA0ACwAIAAwAC4AMQAsACAAMAAuADEANwAsACAAMAAuADAAMAA1ACwAIAAwAC4AMAAxACwAIAAwAC4AMAAyACwAIAAwAC4AMAAzACwAIAAwAC4AMAA0ACwAIAAwAC4AMAAxADUALAAgADAALgAwADEANQAsACAAMAAsACAAMAAsACAAMAAuADAAMAA0ADcALAAgADEANQA7AFwAbgAgACAAIAAgACAAIAAgACAAIAAgAFwAIgBUAGUAbQBwAGUAcgBhAHQAZQBcACIALAAgADEANgAsACAAMAAuADcANQAsACAAMAAuADEALAAgADAALgAxADgALAAgADAALgAwADAANQAsACAAMAAuADAAMQAsACAAMAAuADAAMgAsACAAMAAuADAAMwAsACAAMAAuADAANAAsACAAMAAuADAAMQA1ACwAIAAwAC4AMAAxADUALAAgADAALAAgADAALAAgADAALgAwADAANAA3ACwAIAAxADYAOwBcAG4AIAAgACAAIAAgACAAIAAgACAAIABcACIAVABlAG0AcABlAHIAYQB0AGUAXAAiACwAIAAxADcALAAgADAALgA3ADYALAAgADAALgAxACwAIAAwAC4AMgAsACAAMAAuADAAMAA1ACwAIAAwAC4AMAAxACwAIAAwAC4AMAAyACwAIAAwAC4AMAAzACwAIAAwAC4AMAA0ACwAIAAwAC4AMAAxADUALAAgADAALgAwADEANQAsACAAMAAsACAAMAAsACAAMAAuADAAMAA0ADcALAAgADEANwA7AFwAbgAgACAAIAAgACAAIAAgACAAIAAgAFwAIgBUAGUAbQBwAGUAcgBhAHQAZQBcACIALAAgADEAOAAsACAAMAAuADcANwAsACAAMAAuADEALAAgADAALgAyADIALAAgADAALgAwADAANQAsACAAMAAuADAAMQAsACAAMAAuADAAMgAsACAAMAAuADAAMwAsACAAMAAuADAANAAsACAAMAAuADAAMQA1ACwAIAAwAC4AMAAxADUALAAgADAALAAgADAALAAgADAALgAwADAANAA3ACwAIAAxADgAOwBcAG4AIAAgACAAIAAgACAAIAAgACAAIABcACIAVABlAG0AcABlAHIAYQB0AGUAXAAiACwAIAAxADkALAAgADAALgA3ADcALAAgADAALgAxACwAIAAwAC4AMgA0ACwAIAAwAC4AMAAwADUALAAgADAALgAwADEALAAgADAALgAwADIALAAgADAALgAwADMALAAgADAALgAwADQALAAgADAALgAwADEANQAsACAAMAAuADAAMQA1ACwAIAAwACwAIAAwACwAIAAwAC4AMAAwADQANwAsACAAMQA5ADsAXABuACAAIAAgACAAIAAgACAAIAAgACAAXAAiAFQAZQBtAHAAZQByAGEAdABlAFwAIgAsACAAMgAwACwAIAAwAC4ANwA4ACwAIAAwAC4AMQAsACAAMAAuADIANgAsACAAMAAuADAAMAA1ACwAIAAwAC4AMAAxACwAIAAwAC4AMAAyACwAIAAwAC4AMAAzACwAIAAwAC4AMAA0ACwAIAAwAC4AMAAxADUALAAgADAALgAwADEANQAsACAAMAAsACAAMAAsACAAMAAuADAAMAA0ADcALAAgADIAMAA7AFwAbgAgACAAIAAgACAAIAAgACAAIAAgAFwAIgBUAGUAbQBwAGUAcgBhAHQAZQBcACIALAAgADIAMQAsACAAMAAuADcAOAAsACAAMAAuADEALAAgADAALgAyADkALAAgADAALgAwADAANQAsACAAMAAuADAAMQAsACAAMAAuADAAMgAsACAAMAAuADAAMwAsACAAMAAuADAANAAsACAAMAAuADAAMQA1ACwAIAAwAC4AMAAxADUALAAgADAALAAgADAALAAgADAALgAwADAANAA3ACwAIAAyADEAOwBcAG4AIAAgACAAIAAgACAAIAAgACAAIABcACIAVABlAG0AcABlAHIAYQB0AGUAXAAiACwAIAAyADIALAAgADAALgA3ADgALAAgADAALgAxACwAIAAwAC4AMwAxACwAIAAwAC4AMAAwADUALAAgADAALgAwADEALAAgADAALgAwADIALAAgADAALgAwADMALAAgADAALgAwADQALAAgADAALgAwADEANQAsACAAMAAuADAAMQA1ACwAIAAwACwAIAAwACwAIAAwAC4AMAAwADQANwAsACAAMgAyADsAXABuACAAIAAgACAAIAAgACAAIAAgACAAXAAiAFQAZQBtAHAAZQByAGEAdABlAFwAIgAsACAAMgAzACwAIAAwAC4ANwA5ACwAIAAwAC4AMQAsACAAMAAuADMANAAsACAAMAAuADAAMAA1ACwAIAAwAC4AMAAxACwAIAAwAC4AMAAyACwAIAAwAC4AMAAzACwAIAAwAC4AMAA0ACwAIAAwAC4AMAAxADUALAAgADAALgAwADEANQAsACAAMAAsACAAMAAsACAAMAAuADAAMAA0ADcALAAgADIAMwA7AFwAbgAgACAAIAAgACAAIAAgACAAIAAgAFwAIgBUAGUAbQBwAGUAcgBhAHQAZQBcACIALAAgADIANAAsACAAMAAuADcAOQAsACAAMAAuADEALAAgADAALgAzADcALAAgADAALgAwADAANQAsACAAMAAuADAAMQAsACAAMAAuADAAMgAsACAAMAAuADAAMwAsACAAMAAuADAANAAsACAAMAAuADAAMQA1ACwAIAAwAC4AMAAxADUALAAgADAALAAgADAALAAgADAALgAwADAANAA3ACwAIAAyADQAOwBcAG4AIAAgACAAIAAgACAAIAAgACAAIABcACIAVABlAG0AcABlAHIAYQB0AGUAXAAiACwAIAAyADUALAAgADAALgA3ADkALAAgADAALgAxACwAIAAwAC4ANAAxACwAIAAwAC4AMAAwADUALAAgADAALgAwADEALAAgADAALgAwADIALAAgADAALgAwADMALAAgADAALgAwADQALAAgADAALgAwADEANQAsACAAMAAuADAAMQA1ACwAIAAwACwAIAAwACwAIAAwAC4AMAAwADQANwAsACAAMgA1ADsAXABuACAAIAAgACAAIAAgACAAIAAgACAAXAAiAFcAYQByAG0AXAAiACwAIAAyADYALAAgADAALgA3ADkALAAgADAALgAxACwAIAAwAC4ANAA0ACwAIAAwAC4AMAAxACwAIAAwAC4AMAAxADUALAAgADAALgAwADIALAAgADAALgAwADMALAAgADAALgAwADQALAAgADAALgAwADEANQAsACAAMAAuADAAMQA1ACwAIAAwACwAIAAwACwAIAAwAC4AMAAwADQANwAsACAAMgA2ADsAXABuACAAIAAgACAAIAAgACAAIAAgACAAXAAiAFcAYQByAG0AXAAiACwAIAAyADcALAAgADAALgA4ACwAIAAwAC4AMQAsACAAMAAuADQAOAAsACAAMAAuADAAMQAsACAAMAAuADAAMQA1ACwAIAAwAC4AMAAyACwAIAAwAC4AMAAzACwAIAAwAC4AMAA0ACwAIAAwAC4AMAAxADUALAAgADAALgAwADEANQAsACAAMAAsACAAMAAsACAAMAAuADAAMAA0ADcALAAgADIANwA7AFwAbgAgACAAIAAgACAAIAAgACAAIAAgAFwAIgBXAGEAcgBtAFwAIgAsACAAXAAiAGUiMgA4AFwAIgAsACAAMAAuADgALAAgADAALgAxACwAIAAwAC4ANQAsACAAMAAuADAAMQAsACAAMAAuADAAMQA1ACwAIAAwAC4AMAAyACwAIAAwAC4AMAAzACwAIAAwAC4AMAA0ACwAIAAwAC4AMAAxADUALAAgADAALgAwADEANQAsACAAMAAsACAAMAAsACAAMAAuADAAMAA0ADcALAAgADIAOAA7AFwAbgAgACAAIAAgACAAIAAgACAAIAAgAFwAIgBcACIALAAgAFwAIgBcACIALAAgAFwAIgBBAG4AYQBlAHIAbwBiAGkAYwAgAGwAYQBnAG8AbwBuAFwAIgAsACAAXAAiAEQAaQBnAGUAcwB0AGUAcgAgAC8AIABjAG8AdgBlAHIAZQBkACAAbABhAGcAbwBvAG4AcwBcACIALAAgAFwAIgBMAGkAcQB1AGkAZAAgAHMAeQBzAHQAZQBtAHMAXAAiACwAIABcACIARABhAGkAbAB5ACAAcwBwAHIAZQBhAGQAXAAiACwAIABcACIAQwBvAG0AcABvAHMAdABpAG4AZwAgACgAcABhAHMAcwBpAHYAZQAgAHcAaQBuAGQAcgBvAHcAKQBcACIALAAgAFwAIgBTAG8AbABpAGQAIABzAHQAbwByAGEAZwBlAFwAIgAsACAAXAAiAFAAaQB0ACAAcwB0AG8AcgBhAGcAZQBcACIALAAgAFwAIgBEAGUAZQBwACAAbABpAHQAdABlAHIAXAAiACwAIABcACIAUABvAHUAbAB0AHIAeQAgAG0AYQBuAHUAcgBlACAAdwBpAHQAaAAgAGIAZQBkAGQAaQBuAGcAXAAiACwAIABcACIAUABvAHUAbAB0AHIAeQAgAG0AYQBuAHUAcgBlACAAdwBpAHQAaABvAHUAdAAgAGIAZQBkAGQAaQBuAGcAXAAiACwAIABcACIARABpAHIAZQBjAHQAIABwAHIAbwBjAGUAcwBzAGkAbgBnAFwAIgAsACAAXAAiAEQAaQByAGUAYwB0ACAAYQBwAHAAbABpAGMAYQB0AGkAbwBuAFwAIgAsACAAXAAiAFAAYQBzAHQAdQByAGUAIAByAGEAbgBnAGUAIABhAG4AZAAgAHAAYQBkAGQAbwBjAGsAXAAiACwAIABcACIATQBBAFQAIAByAGEAdwBcACIAIABcAG4AIAAgACAAIAAgACAAIAAgAH0ALAAgAHIALAAgAGMAKQBcAG4AIAAgACAAIAAgACAAKQBcAG4AIAAgACAAIAApAFwAbgAgACAAKQA7AFwAbgBcAG4AQwBvAG0AbQBvAG4AXwBTAG8AdQByAGMAZQBEAGEAdABhAF8ATQBDAEYAVABlAG0AcABlAHIAYQB0AHUAcgBlAFoAbwBuAGUAXwBWAGEAcgBpAGEAdABpAG8AbgBcAG4AIAAgAD0ATABBAE0AQgBEAEEAKABcACIAVgBBAFIASQBBAFQASQBPAE4AIABGAFIATwBNACAAUwBPAFUAUgBDAEUAOgAgAEEAZABkAGUAZAAgAHIAbwB3ACAAbwBmACAATgBJAFIAIABNAE0AQQAgAGQAZQBmAGkAbgBpAHQAaQBvAG4AcwAgAHQAbwAgAGEAaQBkACAAbABvAG8AawB1AHAALgAgAEQAdQBwAGwAaQBjAGEAdABlAGQAIABcAHUAMAAwADIANwBQAG8AdQBsAHQAcgB5ACAAdwBpAHQAaAAgAGEAbgBkACAAdwBpAHQAaABvAHUAdAAgAGwAaQB0AHQAZQByAFwAdQAwADAAMgA3ACAAYwBvAGwAdQBtAG4AIAB3AGkAdABoACAAcwBlAHAAYQByAGEAdABlACAATgBJAFIAIABkAGUAZgBpAG4AaQB0AGkAbwBuAHMAIAB0AG8AIABhAGkAZAAgAGwAbwBvAGsAdQBwAC4AIABBAGQAZABlAGQAIABcAHUAMAAwADIANwBNAEEAVAAgAHIAYQB3AFwAdQAwADAAMgA3ACAAYwBvAGwAdQBtAG4AIAB0AG8AIABhAGwAbABvAHcAIABsAG8AbwBrAHUAcAAgAG8AZgAgAG4AdQBtAGIAZQByAHMALgBcACIAKQA7AFwAbgBcAG4AXABuAFwAbgAvACoAIABcAG4ALQAtAC0ALQAtAC0ALQAtAC0ALQAtAC0ALQAtAC0ALQAtAC0ALQAtAC0ALQAtAC0ALQAtAC0ALQAtAC0ALQAtAC0ALQAtAC0ALQAtAFwAbgBDAG8AbQBtAG8AbgBfAFMAbwB1AHIAYwBlAEQAYQB0AGEAXwBFAEYATwByAGcAYQBuAGkAYwBGAGUAcgB0AGkAbABpAHMAZQByAEEAbgBkAEMAcgBvAHAAUgBlAHMAaQBkAHUAZQBzAFwAbgAtAC0ALQAtAC0ALQAtAC0ALQAtAC0ALQAtAC0ALQAtAC0ALQAtAC0ALQAtAC0ALQAtAC0ALQAtAC0ALQAtAC0ALQAtAC0ALQAtAC0AXABuACoALwBcAG4AXABuAEMAbwBtAG0AbwBuAF8AUwBvAHUAcgBjAGUARABhAHQAYQBfAEUARgBPAHIAZwBhAG4AaQBjAEYAZQByAHQAaQBsAGkAcwBlAHIAQQBuAGQAQwByAG8AcABSAGUAcwBpAGQAdQBlAHMAXwBUAGkAdABsAGUAXABuACAAIAA9AEwAQQBNAEIARABBACgAXAAiAEUAbQBpAHMAcwBpAG8AbgAgAGYAYQBjAHQAbwByACAAZgBvAHIAIABvAHIAZwBhAG4AaQBjACAAZgBlAHIAdABpAGwAaQBzAGUAcgAgAGEAbgBkACAAYwByAG8AcAAgAHIAZQBzAGkAZAB1AGUAcwAgAHIAZQB0AHUAcgBuAGUAZAAgAHQAbwAgAHQAaABlACAAcwBvAGkAbABcACIAKQA7AFwAbgBcAG4AQwBvAG0AbQBvAG4AXwBTAG8AdQByAGMAZQBEAGEAdABhAF8ARQBGAE8AcgBnAGEAbgBpAGMARgBlAHIAdABpAGwAaQBzAGUAcgBBAG4AZABDAHIAbwBwAFIAZQBzAGkAZAB1AGUAcwBfAFYAYQByAGkAYQBiAGwAZQBcAG4AIAAgAD0ATABBAE0AQgBEAEEAKABcACIARQBGAE4AaQAgAFwAdQAwADAAMgA2ACAARQBGAE4AMgBPAGkAXAAiACkAOwBcAG4AXABuAEMAbwBtAG0AbwBuAF8AUwBvAHUAcgBjAGUARABhAHQAYQBfAEUARgBPAHIAZwBhAG4AaQBjAEYAZQByAHQAaQBsAGkAcwBlAHIAQQBuAGQAQwByAG8AcABSAGUAcwBpAGQAdQBlAHMAXwBVAG4AaQB0AFwAbgAgACAAPQBMAEEATQBCAEQAQQAoAFwAIgBrAGcAIABOADIATwAgAC0AIABOACAALwAgAGsAZwAgAE4AXAAiACkAOwBcAG4AXABuAEMAbwBtAG0AbwBuAF8AUwBvAHUAcgBjAGUARABhAHQAYQBfAEUARgBPAHIAZwBhAG4AaQBjAEYAZQByAHQAaQBsAGkAcwBlAHIAQQBuAGQAQwByAG8AcABSAGUAcwBpAGQAdQBlAHMAXwBTAG8AdQByAGMAZQBcAG4AIAAgAD0ATABBAE0AQgBEAEEAKABcACIAVgBFAEUAUgBHACAAMgAwADIANgA6ACAAVABhAGIAbABlACAAQQAuADIALgAxAC4ANABcACIAKQA7AFwAbgBcAG4AQwBvAG0AbQBvAG4AXwBTAG8AdQByAGMAZQBEAGEAdABhAF8ARQBGAE8AcgBnAGEAbgBpAGMARgBlAHIAdABpAGwAaQBzAGUAcgBBAG4AZABDAHIAbwBwAFIAZQBzAGkAZAB1AGUAcwBfAE4ASQBSAFIAZQBmAGUAcgBlAG4AYwBlAFwAbgAgACAAPQBMAEEATQBCAEQAQQAoAFwAIgBcACIAKQA7AFwAbgBcAG4AQwBvAG0AbQBvAG4AXwBTAG8AdQByAGMAZQBEAGEAdABhAF8ARQBGAE8AcgBnAGEAbgBpAGMARgBlAHIAdABpAGwAaQBzAGUAcgBBAG4AZABDAHIAbwBwAFIAZQBzAGkAZAB1AGUAcwBfAEQAYQB0AGEAXABuACAAIAA9AEwAQQBNAEIARABBACgAXABuACAAIAAgACAATQBBAEsARQBBAFIAUgBBAFkAKAAzACwAIAAyACwAIABcAG4AIAAgACAAIAAgACAATABBAE0AQgBEAEEAKAByACwAYwAsACAAXABuACAAIAAgACAAIAAgACAAIABJAE4ARABFAFgAKAB7AFwAbgAgACAAIAAgACAAIAAgACAAIAAgAFwAIgBDAGwAaQBtAGEAdABlACAAegBvAG4AZQBcACIALAAgAFwAIgBFAEYATgBpACAAXAB1ADAAMAAyADYAIABFAEYATgAyAE8AXAAiADsAXABuACAAIAAgACAAIAAgACAAIAAgACAAXAAiAFcAZQB0ACAAYwBsAGkAbQBhAHQAZQAgAHoAbwBuAGUAXAAiACwAIAAwAC4AMAAwADYAOwBcAG4AIAAgACAAIAAgACAAIAAgACAAIABcACIARAByAHkAIABjAGwAaQBtAGEAdABlACAAegBvAG4AZQBcACIALAAgADAALgAwADAANQBcAG4AIAAgACAAIAAgACAAIAAgAH0ALAAgAHIALAAgAGMAKQBcAG4AIAAgACAAIAAgACAAKQBcAG4AIAAgACAAIAApAFwAbgAgACAAKQA7AFwAbgBcAG4AQwBvAG0AbQBvAG4AXwBTAG8AdQByAGMAZQBEAGEAdABhAF8ARQBGAE8AcgBnAGEAbgBpAGMARgBlAHIAdABpAGwAaQBzAGUAcgBBAG4AZABDAHIAbwBwAFIAZQBzAGkAZAB1AGUAcwBfAFYAYQByAGkAYQB0AGkAbwBuAFwAbgAgACAAPQBMAEEATQBCAEQAQQAoAFwAIgBcACIAKQA7AFwAbgBcAG4AXABuAFwAbgBcAG4AXABuAFwAbgBcAG4AXABuAFwAbgBcAG4AXABuAFwAbgBcAG4AXABuAFwAbgBcAG4AIgB9ACwAewAiAHAAYQB0AGgAIgA6ACIALwBwAHIAbwBqAGUAYwB0AHMALwBDAG8AbQBtAG8AbgBfAEUAcQB1AGEAdABpAG8AbgBzACIALAAiAHQAZQB4AHQAIgA6ACIAXABuAC8AKgAgAFwAbgAtAC0ALQAtAC0ALQAtAC0ALQAtAC0ALQAtAC0ALQAtAC0ALQAtAC0ALQAtAC0ALQAtAC0ALQAtAC0ALQAtAC0ALQAtAC0ALQAtAC0AXABuAEMAbwBtAG0AbwBuAF8AQwBvAG4AdgBlAHIAdABOADIATwBUAG8AQwBPADIAZQBcAG4AQwBvAG4AdgBlAHIAdAAgAG4AaQB0AHIAbwB1AHMAIABvAHgAaQBkAGUAIABlAG0AaQBzAHMAaQBvAG4AcwAgAHQAbwAgAGMAYQByAGIAbwBuACAAZABpAG8AeABpAGQAZQAgAGUAcQB1AGkAdgBhAGwAZQBuAHQAIABlAG0AaQBzAHMAaQBvAG4AcwBcAG4ARQBOADIATwAgAEMATwAyAGUAXABuAHQAIABDAE8AMgBlAFwAbgBFAE4AMgBPADoAIABuAGkAdAByAG8AdQBzACAAbwB4AGkAZABlACAAZQBtAGkAcwBzAGkAbwBuAHMAIAAoAHQAIABOADIATwApAFwAbgBHAFcAUABOADIATwA6ACAAZwBsAG8AYgBhAGwAIAB3AGEAcgBtAGkAbgBnACAAcABvAHQAZQBuAHQAaQBhAGwAIABmAG8AcgAgAG4AaQB0AHIAbwB1AHMAIABvAHgAaQBkAGUAIAAoAHQAIABDAE8AMgAtAGUAIAAvACAAdAAgAE4AMgBPACkAXABuAC0ALQAtAC0ALQAtAC0ALQAtAC0ALQAtAC0ALQAtAC0ALQAtAC0ALQAtAC0ALQAtAC0ALQAtAC0ALQAtAC0ALQAtAC0ALQAtAC0ALQBcAG4AKgAvAFwAbgBcAG4AXABuAEMAbwBtAG0AbwBuAF8AQwBvAG4AdgBlAHIAdABOADIATwBUAG8AQwBPADIAZQBcAG4AIAAgAD0ATABBAE0AQgBEAEEAKABcAG4AIAAgACAAIABFAF8ATgAyAE8ALAAgAEcAVwBQAF8ATgAyAE8ALABcAG4AIAAgACAAIABFAF8ATgAyAE8AIAAqACAARwBXAFAAXwBOADIATwBcAG4AIAAgACkAXABuADsAXABuAFwAbgBDAG8AbQBtAG8AbgBfAEMAbwBuAHYAZQByAHQATgAyAE8AVABvAEMATwAyAGUAXwBUAGkAdABsAGUAXABuACAAIAA9AEwAQQBNAEIARABBACgAXAAiAEMAbwBuAHYAZQByAHQAIABuAGkAdAByAG8AdQBzACAAbwB4AGkAZABlACAAZQBtAGkAcwBzAGkAbwBuAHMAIAB0AG8AIABjAGEAcgBiAG8AbgAgAGQAaQBvAHgAaQBkAGUAIABlAHEAdQBpAHYAYQBsAGUAbgB0ACAAZQBtAGkAcwBzAGkAbwBuAHMAXAAiACkAOwBcAG4AXABuAEMAbwBtAG0AbwBuAF8AQwBvAG4AdgBlAHIAdABOADIATwBUAG8AQwBPADIAZQBfAFYAYQByAGkAYQBiAGwAZQBcAG4AIAAgAD0ATABBAE0AQgBEAEEAKABcACIARQBOADIATwAgAEMATwAyAGUAXAAiACkAOwBcAG4AXABuAEMAbwBtAG0AbwBuAF8AQwBvAG4AdgBlAHIAdABOADIATwBUAG8AQwBPADIAZQBfAFUAbgBpAHQAXABuACAAIAA9AEwAQQBNAEIARABBACgAXAAiAHQAIABDAE8AMgBlAFwAIgApADsAXABuAFwAbgBDAG8AbQBtAG8AbgBfAEMAbwBuAHYAZQByAHQATgAyAE8AVABvAEMATwAyAGUAXwBOAEkAUgBSAGUAZgBlAHIAZQBuAGMAZQBcAG4AIAAgAD0ATABBAE0AQgBEAEEAKABcACIAXAAiACkAOwBcAG4AXABuAEMAbwBtAG0AbwBuAF8AQwBvAG4AdgBlAHIAdABOADIATwBUAG8AQwBPADIAZQBfAEwAYQB0AGUAeABFAHEAdQBhAHQAaQBvAG4AXABuACAAIAA9AEwAQQBNAEIARABBACgAXAAiAEMATwAyAF8AZQAgAD0AIABFAF8AewBOADIATwB9ACAAXABcAHQAaQBtAGUAcwAgAEcAVwBQAF8AewBOADIATwB9AFwAIgApADsAXABuAFwAbgBDAG8AbQBtAG8AbgBfAEMAbwBuAHYAZQByAHQATgAyAE8AVABvAEMATwAyAGUAXwBBAHIAZwB1AG0AZQBuAHQAcwBcAG4AIAAgAD0ATABBAE0AQgBEAEEAKABcAG4AIAAgACAAIABNAEEASwBFAEEAUgBSAEEAWQAoADIALAAgADIALAAgAFwAbgAgACAAIAAgACAAIABMAEEATQBCAEQAQQAoAHIALABjACwAIABcAG4AIAAgACAAIAAgACAAIAAgAEkATgBEAEUAWAAoAHsAXABuACAAIAAgACAAIAAgACAAIAAgACAAXAAiAEUATgAyAE8AXAAiACwAXAAiAE4AaQB0AHIAbwB1AHMAIABvAHgAaQBkAGUAIABlAG0AaQBzAHMAaQBvAG4AcwAgACgAdAAgAE4AMgBPACkAXAAiADsAXABuACAAIAAgACAAIAAgACAAIAAgACAAXAAiAEcAVwBQAE4AMgBPAFwAIgAsAFwAIgBHAGwAbwBiAGEAbAAgAHcAYQByAG0AaQBuAGcAIABwAG8AdABlAG4AdABpAGEAbAAgAGYAbwByACAAbgBpAHQAcgBvAHUAcwAgAG8AeABpAGQAZQAgACgAdAAgAEMATwAyAC0AZQAgAC8AIAB0ACAATgAyAE8AKQBcACIAXABuACAAIAAgACAAIAAgACAAIAB9ACwAIAByACwAIABjACkAXABuACAAIAAgACAAIAAgACkAXABuACAAIAAgACAAKQBcAG4AIAAgACkAOwBcAG4AXABuAC8AKgAgAFwAbgAtAC0ALQAtAC0ALQAtAC0ALQAtAC0ALQAtAC0ALQAtAC0ALQAtAC0ALQAtAC0ALQAtAC0ALQAtAC0ALQAtAC0ALQAtAC0ALQAtAC0AXABuAEMAbwBtAG0AbwBuAF8AQwBvAG4AdgBlAHIAdABDAEgANABUAG8AQwBPADIAZQBcAG4AQwBvAG4AdgBlAHIAdAAgAG0AZQB0AGgAYQBuAGUAIABlAG0AaQBzAHMAaQBvAG4AcwAgAHQAbwAgAGMAYQByAGIAbwBuACAAZABpAG8AeABpAGQAZQAgAGUAcQB1AGkAdgBhAGwAZQBuAHQAIABlAG0AaQBzAHMAaQBvAG4AcwBcAG4ARQBDAEgANAAgAEMATwAyAGUAXABuAHQAIABDAE8AMgBlAFwAbgBFAEMASAA0ADoAIABtAGUAdABoAGEAbgBlACAAZQBtAGkAcwBzAGkAbwBuAHMAIAAoAHQAIABDAEgANAApAFwAbgBHAFcAUABDAEgANAA6ACAAZwBsAG8AYgBhAGwAIAB3AGEAcgBtAGkAbgBnACAAcABvAHQAZQBuAHQAaQBhAGwAIABmAG8AcgAgAG0AZQB0AGgAYQBuAGUAIAAoAHQAIABDAE8AMgAtAGUAIAAvACAAdAAgAEMASAA0ACkAXABuAC0ALQAtAC0ALQAtAC0ALQAtAC0ALQAtAC0ALQAtAC0ALQAtAC0ALQAtAC0ALQAtAC0ALQAtAC0ALQAtAC0ALQAtAC0ALQAtAC0ALQBcAG4AKgAvAFwAbgBcAG4AXABuAEMAbwBtAG0AbwBuAF8AQwBvAG4AdgBlAHIAdABDAEgANABUAG8AQwBPADIAZQBcAG4AIAAgAD0ATABBAE0AQgBEAEEAKABcAG4AIAAgACAAIABFAF8AQwBIADQALAAgAEcAVwBQAF8AQwBIADQALABcAG4AIAAgACAAIABFAF8AQwBIADQAIAAqACAARwBXAFAAXwBDAEgANABcAG4AIAAgACkAXABuADsAXABuAFwAbgBDAG8AbQBtAG8AbgBfAEMAbwBuAHYAZQByAHQAQwBIADQAVABvAEMATwAyAGUAXwBUAGkAdABsAGUAXABuACAAIAA9AEwAQQBNAEIARABBACgAXAAiAEMAbwBuAHYAZQByAHQAIABtAGUAdABoAGEAbgBlACAAZQBtAGkAcwBzAGkAbwBuAHMAIAB0AG8AIABjAGEAcgBiAG8AbgAgAGQAaQBvAHgAaQBkAGUAIABlAHEAdQBpAHYAYQBsAGUAbgB0ACAAZQBtAGkAcwBzAGkAbwBuAHMAXAAiACkAOwBcAG4AXABuAEMAbwBtAG0AbwBuAF8AQwBvAG4AdgBlAHIAdABDAEgANABUAG8AQwBPADIAZQBfAFYAYQByAGkAYQBiAGwAZQBcAG4AIAAgAD0ATABBAE0AQgBEAEEAKABcACIARQBDAEgANAAgAEMATwAyAGUAXAAiACkAOwBcAG4AXABuAEMAbwBtAG0AbwBuAF8AQwBvAG4AdgBlAHIAdABDAEgANABUAG8AQwBPADIAZQBfAFUAbgBpAHQAXABuACAAIAA9AEwAQQBNAEIARABBACgAXAAiAHQAIABDAE8AMgBlAFwAIgApADsAXABuAFwAbgBDAG8AbQBtAG8AbgBfAEMAbwBuAHYAZQByAHQAQwBIADQAVABvAEMATwAyAGUAXwBOAEkAUgBSAGUAZgBlAHIAZQBuAGMAZQBcAG4AIAAgAD0ATABBAE0AQgBEAEEAKABcACIAXAAiACkAOwBcAG4AXABuAEMAbwBtAG0AbwBuAF8AQwBvAG4AdgBlAHIAdABDAEgANABUAG8AQwBPADIAZQBfAEwAYQB0AGUAeABFAHEAdQBhAHQAaQBvAG4AXABuACAAIAA9AEwAQQBNAEIARABBACgAXAAiAEMATwAyAF8AZQAgAD0AIABFAF8AewBDAEgANAB9ACAAXABcAHQAaQBtAGUAcwAgAEcAVwBQAF8AewBDAEgANAB9AFwAIgApADsAXABuAFwAbgBDAG8AbQBtAG8AbgBfAEMAbwBuAHYAZQByAHQAQwBIADQAVABvAEMATwAyAGUAXwBBAHIAZwB1AG0AZQBuAHQAcwBcAG4AIAAgAD0ATABBAE0AQgBEAEEAKABcAG4AIAAgACAAIABNAEEASwBFAEEAUgBSAEEAWQAoADIALAAgADIALAAgAFwAbgAgACAAIAAgACAAIABMAEEATQBCAEQAQQAoAHIALABjACwAIABcAG4AIAAgACAAIAAgACAAIAAgAEkATgBEAEUAWAAoAHsAXABuACAAIAAgACAAIAAgACAAIAAgACAAXAAiAEUAQwBIADQAXAAiACwAXAAiAE0AZQB0AGgAYQBuAGUAIABlAG0AaQBzAHMAaQBvAG4AcwAgACgAdAAgAEMASAA0ACkAXAAiADsAXABuACAAIAAgACAAIAAgACAAIAAgACAAXAAiAEcAVwBQAEMASAA0AFwAIgAsAFwAIgBHAGwAbwBiAGEAbAAgAHcAYQByAG0AaQBuAGcAIABwAG8AdABlAG4AdABpAGEAbAAgAGYAbwByACAAbQBlAHQAaABhAG4AZQAgACgAdAAgAEMATwAyAC0AZQAgAC8AIAB0ACAAQwBIADQAKQBcACIAXABuACAAIAAgACAAIAAgACAAIAB9ACwAIAByACwAIABjACkAXABuACAAIAAgACAAIAAgACkAXABuACAAIAAgACAAKQBcAG4AIAAgACkAOwAiAH0ALAB7ACIAcABhAHQAaAAiADoAIgAvAHAAcgBvAGoAZQBjAHQAcwAvAEMAbwBtAG0AbwBuAF8ASQBuAHAAdQB0AEYAdQBuAGMAdABpAG8AbgBzACIALAAiAHQAZQB4AHQAIgA6ACIAVQB0AGkAbABpAHQAeQBfAEcAZQB0AEEAcgByAGEAeQBUAGEAYgBsAGUAUgBvAHcAUwB0AGEAcgB0AE4AdQBtAGIAZQByAFwAbgA9AEwAQQBNAEIARABBACgAXABuACAAIAAgACAAVABhAGIAbABlAGgAZQBhAGQAZQByAEMAZQBsAGwALABSAG8AdwBzAEIAZQB0AHcAZQBlAG4ASABlAGEAZABlAHIAYQBuAGQAQQByAHIAYQB5ACwAXABuACAAIAAgACAAUgBPAFcAKABUAGEAYgBsAGUAaABlAGEAZABlAHIAQwBlAGwAbAApACAAKwAgAFIAbwB3AHMAQgBlAHQAdwBlAGUAbgBIAGUAYQBkAGUAcgBhAG4AZABBAHIAcgBhAHkAIAAtACAAMQBcAG4AKQA7AFwAbgBcAG4AVQB0AGkAbABpAHQAeQBfAEcAZQB0AEEAcgByAGEAeQBUAGEAYgBsAGUAQwBvAGwAdQBtAG4AUwB0AGEAcgB0AE4AdQBtAGIAZQByAFwAbgA9AEwAQQBNAEIARABBACgAXABuACAAIABUAGEAYgBsAGUASABlAGEAZABlAHIAQwBlAGwAbAAsAFwAbgAgACAAQwBPAEwAVQBNAE4AKABUAGEAYgBsAGUASABlAGEAZABlAHIAQwBlAGwAbAApAFwAbgApADsAXABuAFwAbgBVAHQAaQBsAGkAdAB5AF8ARABpAHMAcABsAGEAeQBBAHIAcgBhAHkASQBuAFQAYQBiAGwAZQBcAG4APQBMAEEATQBCAEQAQQAoAFwAbgAgAEEAcgByAGEAeQBEAGEAdABhACwAIABUAGEAYgBsAGUAaABlAGEAZABlAHIAQwBlAGwAbAAsACAAUgBvAHcAcwBCAGUAdAB3AGUAZQBuAEgAZQBhAGQAZQByAGEAbgBkAEEAcgByAGEAeQAsACAAWwBDAG8AbAB1AG0AbgBzAEIAZQB0AHcAZQBlAG4ASABlAGEAZABlAHIAQQBuAGQAQQByAHIAYQB5AF0ALABcAG4AIABJAEYARQBSAFIATwBSACgAXABuACAAIAAgACAAIABJAE4ARABFAFgAKABcAG4AIAAgACAAIAAgACAAIAAgACAAIAAgACAAVQBOAEkAUQBVAEUAKABBAHIAcgBhAHkARABhAHQAYQApACwAIABcAG4AIAAgACAAIAAgACAAIAAgACAAIAAgACAAUgBPAFcAKAApAC0AVQB0AGkAbABpAHQAeQBfAEcAZQB0AEEAcgByAGEAeQBUAGEAYgBsAGUAUgBvAHcAUwB0AGEAcgB0AE4AdQBtAGIAZQByACgAVABhAGIAbABlAGgAZQBhAGQAZQByAEMAZQBsAGwALAAgAFIAbwB3AHMAQgBlAHQAdwBlAGUAbgBIAGUAYQBkAGUAcgBhAG4AZABBAHIAcgBhAHkAKQAsACAAXABuACAAIAAgACAAIAAgACAAIAAgACAAIAAgAEMATwBMAFUATQBOACgAKQAtAFUAdABpAGwAaQB0AHkAXwBHAGUAdABBAHIAcgBhAHkAVABhAGIAbABlAEMAbwBsAHUAbQBuAFMAdABhAHIAdABOAHUAbQBiAGUAcgAoAFQAYQBiAGwAZQBoAGUAYQBkAGUAcgBDAGUAbABsACkAIAArAFwAbgAgACAAIAAgACAAIAAgACAAIAAgACAAIABJAEYAKABJAFMATwBNAEkAVABUAEUARAAoAEMAbwBsAHUAbQBuAHMAQgBlAHQAdwBlAGUAbgBIAGUAYQBkAGUAcgBBAG4AZABBAHIAcgBhAHkAKQAsACAAMQAsACAAQwBvAGwAdQBtAG4AcwBCAGUAdAB3AGUAZQBuAEgAZQBhAGQAZQByAEEAbgBkAEEAcgByAGEAeQApAFwAbgAgACAAIAAgACAAIAAgACAAKQAsACAAXAAiAFwAIgBcAG4AIAAgACAAIAApAFwAbgApADsAXABuAFwAbgBVAHQAaQBsAGkAdAB5AF8ATABvAG8AawB1AHAAVgBhAGwAdQBlAEkAbgBUAGEAYgBsAGUAXABuAD0ATABBAE0AQgBEAEEAKABcAG4AIAAgACAAIABMAG8AbwBrAHUAcABWAGEAbAB1AGUALAAgAEwAbwBvAGsAdQBwAEEAcgByAGEAeQAsACAAUgBlAHQAdQByAG4AQQByAHIAYQB5ACwAXABuACAAIAAgACAAWABMAE8ATwBLAFUAUAAoAEwAbwBvAGsAdQBwAFYAYQBsAHUAZQAsACAATABvAG8AawB1AHAAQQByAHIAYQB5ACwAIABSAGUAdAB1AHIAbgBBAHIAcgBhAHkALAAgAFwAIgBcACIAKQBcAG4AKQA7AFwAbgBcAG4AVQB0AGkAbABpAHQAeQBfAEwAbwBvAGsAdQBwAFYAYQBsAHUAZQBJAG4AVABhAGIAbABlAE4AdQBtAGIAZQByAFwAbgA9AEwAQQBNAEIARABBACgAXABuACAAIAAgACAATABvAG8AawB1AHAAVgBhAGwAdQBlACwAIABMAG8AbwBrAHUAcABBAHIAcgBhAHkALAAgAFIAZQB0AHUAcgBuAEEAcgByAGEAeQAsAFwAbgAgACAAIAAgAEkARgAoAEkAUwBOAFUATQBCAEUAUgAoAFwAbgAgACAAIAAgACAAIAAgACAAWABMAE8ATwBLAFUAUAAoAEwAbwBvAGsAdQBwAFYAYQBsAHUAZQAsACAATABvAG8AawB1AHAAQQByAHIAYQB5ACwAIABSAGUAdAB1AHIAbgBBAHIAcgBhAHkALAAgAFwAIgBcACIAKQBcAG4AIAAgACAAIAApACwAIABYAEwATwBPAEsAVQBQACgATABvAG8AawB1AHAAVgBhAGwAdQBlACwAIABMAG8AbwBrAHUAcABBAHIAcgBhAHkALAAgAFIAZQB0AHUAcgBuAEEAcgByAGEAeQAsACAAXAAiAFwAIgApACwAIAAwACkAXABuACkAOwBcAG4AXABuAFUAdABpAGwAaQB0AHkAXwBMAG8AbwBrAHUAcABWAGEAbAB1AGUASQBuAFQAYQBiAGwAZQBUAHcAbwBDAG8AbAB1AG0AbgBzAFwAbgA9AEwAQQBNAEIARABBACgAXABuACAAIAAgACAATABvAG8AawB1AHAAVgBhAGwAdQBlADEALAAgAEwAbwBvAGsAdQBwAFYAYQBsAHUAZQAyACwAIABMAG8AbwBrAHUAcABBAHIAcgBhAHkAMQAsACAATABvAG8AawB1AHAAQQByAHIAYQB5ADIALAAgAFIAZQB0AHUAcgBuAEEAcgByAGEAeQAsACAAWwBWAGEAbAB1AGUASQBGAEYAYQBsAHMAZQBdACwAXABuACAAIAAgACAAWABMAE8ATwBLAFUAUAAoADEALAAgACgATABvAG8AawB1AHAAQQByAHIAYQB5ADEAPQBMAG8AbwBrAHUAcABWAGEAbAB1AGUAMQApACoAKABMAG8AbwBrAHUAcABBAHIAcgBhAHkAMgA9AEwAbwBvAGsAdQBwAFYAYQBsAHUAZQAyACkALAAgAFIAZQB0AHUAcgBuAEEAcgByAGEAeQAsACAASQBGACgASQBTAE8ATQBJAFQAVABFAEQAKABWAGEAbAB1AGUASQBGAEYAYQBsAHMAZQApACwAIABcACIAXAAiACwAIABWAGEAbAB1AGUASQBGAEYAYQBsAHMAZQApACkAXABuACkAOwBcAG4AXABuAFUAdABpAGwAaQB0AHkAXwBMAG8AbwBrAHUAcABWAGEAbAB1AGUASQBuAFQAYQBiAGwAZQBPAG4AZQBDAG8AbAB1AG0AbgBBAG4AZABIAGUAYQBkAGUAcgBcAG4APQBMAEEATQBCAEQAQQAoAFwAbgAgACAAIAAgAEwAbwBvAGsAdQBwAFYAYQBsAHUAZQAxACwAIABMAG8AbwBrAHUAcABWAGEAbAB1AGUAMgAsACAATABvAG8AawB1AHAAQQByAHIAYQB5ADEALAAgAEwAbwBvAGsAdQBwAEEAcgByAGEAeQAyACwAIABSAGUAdAB1AHIAbgBBAHIAcgBhAHkALAAgAFsAVgBhAGwAdQBlAEkAZgBGAGEAbABzAGUAXQAsAFwAbgAgACAAIAAgAEkARgBFAFIAUgBPAFIAKABcAG4AIAAgACAAIAAgACAAIAAgAFgATABPAE8ASwBVAFAAKABMAG8AbwBrAHUAcABWAGEAbAB1AGUAMQAsACAATABvAG8AawB1AHAAQQByAHIAYQB5ADEALABcAG4AIAAgACAAIAAgACAAIAAgACAAIAAgACAAWABMAE8ATwBLAFUAUAAoAEwAbwBvAGsAdQBwAFYAYQBsAHUAZQAyACwAIABMAG8AbwBrAHUAcABBAHIAcgBhAHkAMgAsACAAUgBlAHQAdQByAG4AQQByAHIAYQB5ACkAXABuACAAIAAgACAAIAAgACAAIAApACwAXABuACAAIAAgACAAIAAgACAAIABJAEYAKABJAFMATwBNAEkAVABUAEUARAAoAFYAYQBsAHUAZQBJAGYARgBhAGwAcwBlACkALAAgAFwAIgBcACIALAAgAFYAYQBsAHUAZQBJAGYARgBhAGwAcwBlACkAXABuACAAIAAgACAAKQBcAG4AKQA7AFwAbgBcAG4AVQB0AGkAbABpAHQAeQBfAFMAcABsAGkAdABTAHQAcgBpAG4AZwBJAG4AdABvAEEAcgByAGEAeQBcAG4APQBMAEEATQBCAEQAQQAoAFwAbgAgACAAIAAgAEMAZQBsAGwALAAgAEQAZQBsAGkAbQBpAHQAZQByACwAIABbAEMAaABhAHIAYQBjAHQAZQByAFQAbwBSAGUAbQBvAHYAZQAxAF0ALAAgAFsAQwBoAGEAcgBhAGMAdABlAHIAVABvAFIAZQBtAG8AdgBlADIAXQAsAFwAbgAgACAAIAAgACAAIAAgACAARgBJAEwAVABFAFIAWABNAEwAKABcAG4AIAAgACAAIAAgACAAIAAgAFwAIgBcAHUAMAAwADMAYwB0AFwAdQAwADAAMwBlAFwAdQAwADAAMwBjAHMAXAB1ADAAMAAzAGUAXAAiACAAXAB1ADAAMAAyADYAXABuACAAIAAgACAAIAAgACAAIABTAFUAQgBTAFQASQBUAFUAVABFACgAXABuACAAIAAgACAAIAAgACAAIAAgACAAIAAgAFMAVQBCAFMAVABJAFQAVQBUAEUAKABTAFUAQgBTAFQASQBUAFUAVABFACgAQwBlAGwAbAAsAEMAaABhAHIAYQBjAHQAZQByAFQAbwBSAGUAbQBvAHYAZQAxACwAXAAiAFwAIgApACwAQwBoAGEAcgBhAGMAdABlAHIAVABvAFIAZQBtAG8AdgBlADIALABcACIAXAAiACkALABcAG4AIAAgACAAIAAgACAAIAAgACAAIAAgACAARABlAGwAaQBtAGkAdABlAHIALABcACIAXAB1ADAAMAAzAGMALwBzAFwAdQAwADAAMwBlAFwAdQAwADAAMwBjAHMAXAB1ADAAMAAzAGUAXAAiAFwAbgAgACAAIAAgACAAIAAgACAAKQAgAFwAdQAwADAAMgA2AFwAbgAgACAAIAAgACAAIAAgACAAXAAiAFwAdQAwADAAMwBjAC8AcwBcAHUAMAAwADMAZQBcAHUAMAAwADMAYwAvAHQAXAB1ADAAMAAzAGUAXAAiACwAXABuACAAIAAgACAAIAAgACAAIABcACIALwAvAHMAXAAiAFwAbgAgACAAIAAgACkAXABuACkAOwBcAG4AXABuAFUAdABpAGwAaQB0AHkAXwBHAGUAdABDAGwAaQBtAGEAdABlAFoAbwBuAGUAXABuAD0ATABBAE0AQgBEAEEAKABcAG4AIAAgACAAIABhAHYAZwBUAGUAbQBwACwAYQB2AGcAUgBhAGkAbgAsAGYAcgBvAHMAdABEAGEAeQBzACwAZQBsAGUAdgAsAG0AYQBwAF8AcABlAHQALABcAG4AIAAgACAAIABtAGkAbgBUAGUAbQBwAEEAcgByAGEAeQAsAG0AYQB4AFQAZQBtAHAAQQByAHIAYQB5ACwAXABuACAAIAAgACAAbQBpAG4AUgBhAGkAbgBmAGEAbABsAEEAcgByAGEAeQAsAG0AYQB4AFIAYQBpAG4AZgBhAGwAbABBAHIAcgBhAHkALABcAG4AIAAgACAAIABtAGkAbgBGAHIAbwBzAHQAQQByAHIAYQB5ACwAbQBhAHgARgByAG8AcwB0AEEAcgByAGEAeQAsAFwAbgAgACAAIAAgAG0AaQBuAEUAbABlAHYAYQB0AGkAbwBuAEEAcgByAGEAeQAsAG0AYQB4AEUAbABlAHYAYQB0AGkAbwBuAEEAcgByAGEAeQAsAFwAbgAgACAAIAAgAG0AaQBuAFAARQBUAEEAcgByAGEAeQAsAG0AYQB4AFAARQBUAEEAcgByAGEAeQAsAFwAbgAgACAAIAAgAGMAbABpAG0AYQB0AGUAWgBvAG4AZQBBAHIAcgBhAHkALABcAG4AIAAgACAAIABMAEUAVAAoAFwAbgAgACAAIAAgACAAIAAgACAAbQBhAHMAawAsAFwAbgAgACAAIAAgACAAIAAgACAAKABWAEEATABVAEUAKABtAGkAbgBUAGUAbQBwAEEAcgByAGEAeQApAFwAdQAwADAAMwBjAD0AYQB2AGcAVABlAG0AcAApACoAXABuACAAIAAgACAAIAAgACAAIAAoAFYAQQBMAFUARQAoAG0AYQB4AFQAZQBtAHAAQQByAHIAYQB5ACkAXAB1ADAAMAAzAGUAPQBhAHYAZwBUAGUAbQBwACkAKgBcAG4AIAAgACAAIAAgACAAIAAgACgAVgBBAEwAVQBFACgAbQBpAG4AUgBhAGkAbgBmAGEAbABsAEEAcgByAGEAeQApAFwAdQAwADAAMwBjAD0AYQB2AGcAUgBhAGkAbgApACoAXABuACAAIAAgACAAIAAgACAAIAAoAFYAQQBMAFUARQAoAG0AYQB4AFIAYQBpAG4AZgBhAGwAbABBAHIAcgBhAHkAKQBcAHUAMAAwADMAZQA9AGEAdgBnAFIAYQBpAG4AKQAqAFwAbgAgACAAIAAgACAAIAAgACAAKABWAEEATABVAEUAKABtAGkAbgBGAHIAbwBzAHQAQQByAHIAYQB5ACkAXAB1ADAAMAAzAGMAPQBmAHIAbwBzAHQARABhAHkAcwApACoAXABuACAAIAAgACAAIAAgACAAIAAoAFYAQQBMAFUARQAoAG0AYQB4AEYAcgBvAHMAdABBAHIAcgBhAHkAKQBcAHUAMAAwADMAZQA9AGYAcgBvAHMAdABEAGEAeQBzACkAKgBcAG4AIAAgACAAIAAgACAAIAAgACgAVgBBAEwAVQBFACgAbQBpAG4ARQBsAGUAdgBhAHQAaQBvAG4AQQByAHIAYQB5ACkAXAB1ADAAMAAzAGMAPQBlAGwAZQB2ACkAKgBcAG4AIAAgACAAIAAgACAAIAAgACgAVgBBAEwAVQBFACgAbQBhAHgARQBsAGUAdgBhAHQAaQBvAG4AQQByAHIAYQB5ACkAXAB1ADAAMAAzAGUAPQBlAGwAZQB2ACkAKgBcAG4AIAAgACAAIAAgACAAIAAgACgAVgBBAEwAVQBFACgAbQBpAG4AUABFAFQAQQByAHIAYQB5ACkAXAB1ADAAMAAzAGMAPQBtAGEAcABfAHAAZQB0ACkAKgBcAG4AIAAgACAAIAAgACAAIAAgACgAVgBBAEwAVQBFACgAbQBhAHgAUABFAFQAQQByAHIAYQB5ACkAXAB1ADAAMAAzAGUAPQBtAGEAcABfAHAAZQB0ACkALABcAG4AIAAgACAAIAAgACAAIAAgAFQAQQBLAEUAKABcAG4AIAAgACAAIAAgACAAIAAgACAAIAAgACAARgBJAEwAVABFAFIAKABjAGwAaQBtAGEAdABlAFoAbwBuAGUAQQByAHIAYQB5ACwAbQBhAHMAawAsACAAXAAiAE4AbwAgAG0AYQB0AGMAaABcACIAKQAsAFwAbgAgACAAIAAgACAAIAAgACAAIAAgACAAIAAxAFwAbgAgACAAIAAgACAAIAAgACAAKQBcAG4AIAAgACAAIAApAFwAbgApADsAXABuAFwAbgBVAHQAaQBsAGkAdAB5AF8ATABvAG8AawB1AHAASQB0AGUAbQBGAHIAbwBtAE0AaQBuAE0AYQB4AFwAbgA9AEwAQQBNAEIARABBACgAXABuACAAIAAgACAATABvAG8AawB1AHAAVgBhAGwAdQBlACwAIABNAGkAbgBBAHIAcgBhAHkALAAgAE0AYQB4AEEAcgByAGEAeQAsACAASQB0AGUAbQBBAHIAcgBhAHkALABcAG4AIAAgACAAIABMAEUAVAAoAFwAbgAgACAAIAAgACAAIAAgACAAbQBhAHMAawAsAFwAbgAgACAAIAAgACAAIAAgACAAKABWAEEATABVAEUAKABNAGkAbgBBAHIAcgBhAHkAKQBcAHUAMAAwADMAYwA9AEwAbwBvAGsAdQBwAFYAYQBsAHUAZQApACoAXABuACAAIAAgACAAIAAgACAAIAAoAFYAQQBMAFUARQAoAE0AYQB4AEEAcgByAGEAeQApAFwAdQAwADAAMwBlAD0ATABvAG8AawB1AHAAVgBhAGwAdQBlACkALABcAG4AIAAgACAAIAAgACAAIAAgAEYASQBMAFQARQBSACgASQB0AGUAbQBBAHIAcgBhAHkALAAgAG0AYQBzAGsALAAgAFwAIgBOAG8AIABtAGEAdABjAGgAXAAiACkAXABuACAAIAAgACAAKQBcAG4AKQA7AFwAbgBcAG4AXABuAFUAdABpAGwAaQB0AHkAXwBTAHUAbQBRAHUAYQBuAHQAaQB0AHkARgByAG8AbQBDAHIAaQB0AGUAcgBpAGEAXABuAD0ATABBAE0AQgBEAEEAKABcAG4AIAAgAEMAcgBpAHQAZQByAGkAYQAxACwAIABDAHIAaQB0AGUAcgBpAGEAMQBUAHkAcABlAEEAcgByAGEAeQAsACAAUQB1AGEAbgB0AGkAdAB5ACwAIABbAE0AdQBsAHQAaQBwAGwAaQBlAHIAXQAsACAAWwBDAHIAaQB0AGUAcgBpAGEAMgBdACwAWwBDAHIAaQB0AGUAcgBpAGEAMgBBAHIAcgBhAHkAXQAsAFwAbgAgACAATABFAFQAKABcAG4AIAAgACAAIABtAHUAbAB0AGkAcABsAGkAZQByACwAIABJAEYAKABJAFMATwBNAEkAVABUAEUARAAoAE0AdQBsAHQAaQBwAGwAaQBlAHIAKQAsADEALABNAHUAbAB0AGkAcABsAGkAZQByACkALABcAG4AIAAgACAAIABxAHUAYQBuAHQAaQB0AHkALAAgAFEAdQBhAG4AdABpAHQAeQAqAE0AdQBsAHQAaQBwAGwAaQBlAHIALABcAG4AIAAgACAAIABjAHIAaQB0AGUAcgBpAGEAMQAsAC0ALQAoAEMAcgBpAHQAZQByAGkAYQAxAFQAeQBwAGUAQQByAHIAYQB5AD0AQwByAGkAdABlAHIAaQBhADEAKQAsAFwAbgAgACAAIAAgAGMAcgBpAHQAZQByAGkAYQAyACwASQBGACgASQBTAE8ATQBJAFQAVABFAEQAKABDAHIAaQB0AGUAcgBpAGEAMgApACwAMQAsAC0ALQAoAEMAcgBpAHQAZQByAGkAYQAyAEEAcgByAGEAeQA9AEMAcgBpAHQAZQByAGkAYQAyACkAKQAsAFwAbgAgACAAIAAgAFMAVQBNAFAAUgBPAEQAVQBDAFQAKABjAHIAaQB0AGUAcgBpAGEAMQAqAGMAcgBpAHQAZQByAGkAYQAyACoAcQB1AGEAbgB0AGkAdAB5ACkAXABuACAAIAApAFwAbgApADsAXABuAFwAbgBnAGUAdABPAHYAZQByAGwAYQBwAHAAaQBuAGcAUgBlAHAAbwByAHQAaQBuAGcAQwB5AGMAbABl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BcAG4AIAAgACAAIAAgACAAIAAgAFAAZQByAGkAbwBkAEUAbgBkACwATABBAE0AQgBEAEEAKABzAHQALABFAEQAQQBUAEUAKABzAHQALAAxADIAKQAtADEAKQAsAFwAbgAgACAAIAAgACAAIAAgACAAQQAsAFMALQAzADYANQAsAFwAbgAgACAAIAAgACAAIAAgACAAeQBhACwAWQBFAEEAUgAoAEEAKQAsAFwAbgAgACAAIAAgACAAIAAgACAAeQBiACwAWQBFAEEAUgAoAEUAKQAsAFwAbgAgACAAIAAgACAAIAAgACAAZgBpAHIAcwB0AFkAZQBhAHIALAB5AGEAKwAoAFAAZQByAGkAbwBkAEUAbgBkACgARABBAFQARQAoAHkAYQAsAG0ALABkACkAKQBcAHUAMAAwADMAYwAgAFMAKQAsAFwAbgAgACAAIAAgACAAIAAgACAAbABhAHMAdABZAGUAYQByACwAeQBiAC0AKABEAEEAVABFACgAeQBiACwAbQAsAGQAKQBcAHUAMAAwADMAZQAgAEUAKQAsAFwAbgAgACAAIAAgACAAIAAgACAATQBBAFgAKAAwACwAbABhAHMAdABZAGUAYQByAC0AZgBpAHIAcwB0AFkAZQBhAHIAKwAxACkAXABuACAAIAAgACAAKQBcAG4AKQA7AFwAbgBcAG4AZwBlAHQATwB2AGUAcgBsAGEAcABwAGkAbgBnAFIAZQBwAG8AcgB0AGkAbgBnAFAAZQByAGkAbwBkAHMAXABuAD0ATABBAE0AQgBEAEEAKABcAG4AIAAgACAAIABQAHIAbwBkAHUAYwB0AGkAbwBuAEMAeQBjAGwAZQBTAHQAYQByAHQALABQAHIAbwBkAHUAYwB0AGkAbwBuAEMAeQBjAGwAZQBFAG4AZAAsAFIAZQBwAG8AcgB0AGkAbgBnAEMAeQBjAGwAZQBTAHQAYQByAHQALABcAG4AIAAgACAAIABMAEUAVAAoAFwAbgAgACAAIAAgACAAIAAgACAAUwAsAFAAcgBvAGQAdQBjAHQAaQBvAG4AQwB5AGMAbABlAFMAdABhAHIAdAAsAFwAbgAgACAAIAAgACAAIAAgACAARQAsAFAAcgBvAGQAdQBjAHQAaQBvAG4AQwB5AGMAbABlAEUAbgBkACwAXABuACAAIAAgACAAIAAgACAAIABtACwATQBPAE4AVABIACgAUgBlAHAAbwByAHQAaQBuAGcAQwB5AGMAbABlAFMAdABhAHIAdAApACwAXABuACAAIAAgACAAIAAgACAAIABkACwARABBAFkAKABSAGUAcABvAHIAdABpAG4AZwBDAHkAYwBsAGUAUwB0AGEAcgB0ACkALAAgAC8AKgBoAGUAbABwAGUAcgA6ACAAZQBuAGQAIABkAGEAdABlACAAZgBvAHIAIABhACAAcgBlAHAAbwByAHQAaQBuAGcAIABwAGUAcgBpAG8AZAAgAHMAdABhAHIAdABpAG4AZwAgAGEAdAAgAGEAIABnAGkAdgBlAG4AIABkAGEAdABlACoALwBcAG4AIAAgACAAIAAgACAAIAAgAFAAZQByAGkAbwBkAEUAbgBkACwATABBAE0AQgBEAEEAKABzAHQALABFAEQAQQBUAEUAKABzAHQALAAxADIAKQAtADEAKQAsACAALwAqAG8AbgBsAHkAIABuAGUAZQBkACAAdABvACAAbABvAG8AawAgAGIAYQBjAGsAIAAzADYANQAgAGQAYQB5AHMAKABtAGEAeAAgAG8AdgBlAHIAbABhAHAAIAB3AGkAbgBkAG8AdwApACoALwBcAG4AIAAgACAAIAAgACAAIAAgAEEALABTAC0AMwA2ADUALABcAG4AIAAgACAAIAAgACAAIAAgAHkAYQAsAFkARQBBAFIAKABBACkALABcAG4AIAAgACAAIAAgACAAIAAgAHkAYgAsAFkARQBBAFIAKABFACkALAAgAC8AKgBpAGYAIAB0AGgAZQAgAGEAbgBjAGgAbwByACAAZgBvAHIAIAB5AGEAIABlAG4AZABzACAAYgBlAGYAbwByAGUAIABTACwAaQB0ACAAYwBhAG4AXAB1ADAAMAAyADcAdAAgAG8AdgBlAHIAbABhAHAAOwAgAG0AbwB2AGUAIAB0AG8AIABuAGUAeAB0ACAAeQBlAGEAcgAqAC8AXABuACAAIAAgACAAIAAgACAAIABmAGkAcgBzAHQAWQBlAGEAcgAsAHkAYQArACgAUABlAHIAaQBvAGQARQBuAGQAKABEAEEAVABFACgAeQBhACwAbQAsAGQAKQApAFwAdQAwADAAMwBjAFMAKQAsACAALwAqAGkAZgAgAHQAaABlACAAYQBuAGMAaABvAHIAIABmAG8AcgAgAHkAYgAgAHMAdABhAHIAdABzACAAYQBmAHQAZQByACAARQAsAGkAdAAgAGMAYQBuAFwAdQAwADAAMgA3AHQAIABvAHYAZQByAGwAYQBwADsAIABtAG8AdgBlACAAdABvACAAcAByAGUAdgBpAG8AdQBzACAAeQBlAGEAcgAqAC8AXABuACAAIAAgACAAIAAgACAAIABsAGEAcwB0AFkAZQBhAHIALAB5AGIALQAoAEQAQQBUAEUAKAB5AGIALABtACwAZAApAFwAdQAwADAAMwBlAEUAKQAsAFwAbgAgACAAIAAgACAAIAAgACAAbgAsAE0AQQBYACgAMAAsAGwAYQBzAHQAWQBlAGEAcgAtAGYAaQByAHMAdABZAGUAYQByACsAMQApACwAXABuACAAIAAgACAAIAAgACAAIAB5AHIAcwAsAFMARQBRAFUARQBOAEMARQAoAG4ALAAxACwAZgBpAHIAcwB0AFkAZQBhAHIALAAxACkALABcAG4AIAAgACAAIAAgACAAIAAgAHMAdABhAHIAdABzACwARABBAFQARQAoAHkAcgBzACwAbQAsAGQAKQAsAFwAbgAgACAAIAAgACAAIAAgACAAZQBuAGQAcwAsAE0AQQBQACgAcwB0AGEAcgB0AHMALABQAGUAcgBpAG8AZABFAG4AZAApACwAXABuACAAIAAgACAAIAAgACAAIAB0AGEAZwAsAEkARgAoAHMAdABhAHIAdABzAD0AUgBlAHAAbwByAHQAaQBuAGcAQwB5AGMAbABlAFMAdABhAHIAdAAsAFwAIgAgACgAVABoAGkAcwAgAHIAZQBwAG8AcgB0AGkAbgBnACAAYwB5AGMAbABlACkAXAAiACwAXAAiAFwAIgApACwAXABuACAAIAAgACAAIAAgACAAIABzAHQAYQByAHQAcwBUAGUAeAB0ACwAVABFAFgAVAAoAHMAdABhAHIAdABzACwAXAAiAGQAZAAgAG0AbQBtACAAeQB5AHkAeQBcACIAKQAsAFwAbgAgACAAIAAgACAAIAAgACAAZQBuAGQAcwBUAGUAeAB0ACwAVABFAFgAVAAoAGUAbgBkAHMALABcACIAZABkACAAbQBtAG0AIAB5AHkAeQB5AFwAIgApACwAXABuACAAIAAgACAAIAAgACAAIABJAEYAKABuAD0AMAAsAFwAIgBcACIALABIAFMAVABBAEMASwAoAHMAdABhAHIAdABzAFQAZQB4AHQAIABcAHUAMAAwADIANgAgAFwAIgAgAHQAbwAgAFwAIgAgAFwAdQAwADAAMgA2ACAAZQBuAGQAcwBUAGUAeAB0ACAAXAB1ADAAMAAyADYAIAB0AGEAZwApACkAXABuACAAIAAgACAAKQBcAG4AKQA7AFwAbgBcAG4AVQB0AGkAbABpAHQAeQBfAEQAaQBzAHAAbABhAHkARgB1AG4AYwB0AGkAbwBuAE4AYQBtAGUAXABuAD0ATABBAE0AQgBEAEEAKABGAHUAbgBjAHQAaQBvAG4ALAAgAFQARQBYAFQAQgBFAEYATwBSAEUAKABGAE8AUgBNAFUATABBAFQARQBYAFQAKABGAHUAbgBjAHQAaQBvAG4AKQAsACAAXAAiACgAXAAiACkAKQA7AFwAbgBcAG4AVQB0AGkAbABpAHQAeQBfAEwAbwBvAGsAdQBwAE4AMgBPAEUARgBGAHIAbwBtAFAAcgBvAGQASQByAHIAaQBnAGEAdABpAG8AbgBSAGEAaQBuAGYAYQBsAGwAXABuAD0ATABBAE0AQgBEAEEAKABcAG4AIAAgACAAIABQAHIAbwBkAHUAYwB0AGkAbwBuAFMAeQBzAHQAZQBtACwAIABJAHIAcgBpAGcAYQB0AGkAbwBuAE0AZQB0AGgAbwBkACwAIABSAGEAaQBuAGYAYQBsAGwAWgBvAG4AZQAsAFwAbgAgACAAIAAgAFAAcgBvAGQAdQBjAHQAaQBvAG4AUwB5AHMAdABlAG0AQQByAHIAYQB5ACwAIABJAHIAcgBpAGcAYQB0AGkAbwBuAE0AZQB0AGgAbwBkAEEAcgByAGEAeQAsACAAUgBhAGkAbgBmAGEAbABsAFoAbwBuAGUAQQByAHIAYQB5ACwAUgBlAHQAdQByAG4AQQByAHIAYQB5ACwAXABuACAAIAAgACAATABFAFQAKABcAG4AIAAgACAAIAAgACAAIAAgAEkAcgByAGkAZwBhAHQAaQBvAG4ATQBlAHQAaABvAGQALAAgAEkARgAoAEkAcgByAGkAZwBhAHQAaQBvAG4ATQBlAHQAaABvAGQAPQBcACIATgBvAHQAIABpAHIAcgBpAGcAYQB0AGUAZABcACIALAAgAFwAIgBOAG8AdAAgAGkAcgByAGkAZwBhAHQAZQBkAFwAIgAsACAAXAAiAEEAbgB5AFwAIgApACwAXABuACAAIAAgACAAIAAgACAAIABSAGEAaQBuAGYAYQBsAGwAWgBvAG4AZQAsACAASQBGACgASQByAHIAaQBnAGEAdABpAG8AbgBNAGUAdABoAG8AZAAgAD0AIABcACIATgBvAHQAIABpAHIAcgBpAGcAYQB0AGUAZABcACIALAAgAFIAYQBpAG4AZgBhAGwAbABaAG8AbgBlACwAIABcACIAQQBuAHkAXAAiACkALABcAG4AIAAgACAAIAAgACAAIAAgAFgATABPAE8ASwBVAFAAKAAxACwAIABcAG4AIAAgACAAIAAgACAAIAAgACAAIAAgACAAKABQAHIAbwBkAHUAYwB0AGkAbwBuAFMAeQBzAHQAZQBtAEEAcgByAGEAeQA9AFAAcgBvAGQAdQBjAHQAaQBvAG4AUwB5AHMAdABlAG0AKQAqAFwAbgAgACAAIAAgACAAIAAgACAAIAAgACAAIAAoAEkAcgByAGkAZwBhAHQAaQBvAG4ATQBlAHQAaABvAGQAQQByAHIAYQB5AD0ASQByAHIAaQBnAGEAdABpAG8AbgBNAGUAdABoAG8AZAApACoAXABuACAAIAAgACAAIAAgACAAIAAgACAAIAAgACgAUgBhAGkAbgBmAGEAbABsAFoAbwBuAGUAQQByAHIAYQB5AD0AUgBhAGkAbgBmAGEAbABsAFoAbwBuAGUAKQAsACAAXABuACAAIAAgACAAIAAgACAAIAAgACAAIAAgAFIAZQB0AHUAcgBuAEEAcgByAGEAeQApAFwAbgAgACAAIAAgACkAXABuACkAOwBcAG4AXABuAEMAbwBtAG0AbwBuAEMAcgBvAHAAcABpAG4AZwBfAEcAZQB0AEYAcgBhAGMAVwBFAFQAXABuAD0ATABBAE0AQgBEAEEAKABcAG4AIAAgACAAIABMAGUAYQBjAGgAaQBuAGcAWgBvAG4AZQAsAFwAbgAgACAAIAAgAFAAcgBvAGQAdQBjAHQAaQBvAG4AUwB5AHMAdABlAG0ALABcAG4AIAAgACAAIABMAGUAYQBjAGgAaQBuAGcAWgBvAG4AZQBMAG8AbwBrAHUAcAAsAFwAbgAgACAAIAAgAEwAZQBhAGMAaABpAG4AZwBaAG8AbgBlAEYAcgBhAGMAVwBFAFQATABvAG8AawB1AHAALABcAG4AIAAgACAAIABQAHIAbwBkAHUAYwB0AGkAbwBuAFMAeQBzAHQAZQBtAEwAbwBvAGsAdQBwACwAXABuACAAIAAgACAAUAByAG8AZAB1AGMAdABpAG8AbgBTAHkAcwB0AGUAbQBGAHIAYQBjAFcARQBUAEwAbwBvAGsAdQBwACwAXABuACAAIAAgACAATABFAFQAKABcAG4AIAAgACAAIAAgACAAIAAgAEwAZQBhAGMAaABpAG4AZwBaAG8AbgBlAEYAcgBhAGMAVwBFAFQALAAgAFwAbgAgACAAIAAgACAAIAAgACAAQwBvAG0AbQBvAG4AXwBJAG4AcAB1AHQARgB1AG4AYwB0AGkAbwBuAHMALgBVAHQAaQBsAGkAdAB5AF8ATABvAG8AawB1AHAAVgBhAGwAdQBlAEkAbgBUAGEAYgBsAGUATgB1AG0AYgBlAHIAKABcAG4AIAAgACAAIAAgACAAIAAgACAAIAAgACAATABlAGEAYwBoAGkAbgBnAFoAbwBuAGUALABMAGUAYQBjAGgAaQBuAGcAWgBvAG4AZQBMAG8AbwBrAHUAcAAsAEwAZQBhAGMAaABpAG4AZwBaAG8AbgBlAEYAcgBhAGMAVwBFAFQATABvAG8AawB1AHAAXABuACAAIAAgACAAIAAgACAAIAApACwAXABuACAAIAAgACAAIAAgACAAIABQAHIAbwBkAHUAYwB0AGkAbwBuAFMAeQBzAHQAZQBtAEYAcgBhAGMAVwBFAFQALAAgAFwAbgAgACAAIAAgACAAIAAgACAAQwBvAG0AbQBvAG4AXwBJAG4AcAB1AHQARgB1AG4AYwB0AGkAbwBuAHMALgBVAHQAaQBsAGkAdAB5AF8ATABvAG8AawB1AHAAVgBhAGwAdQBlAEkAbgBUAGEAYgBsAGUATgB1AG0AYgBlAHIAKABcAG4AIAAgACAAIAAgACAAIAAgACAAIAAgACAAUAByAG8AZAB1AGMAdABpAG8AbgBTAHkAcwB0AGUAbQAsAFAAcgBvAGQAdQBjAHQAaQBvAG4AUwB5AHMAdABlAG0ATABvAG8AawB1AHAALABQAHIAbwBkAHUAYwB0AGkAbwBuAFMAeQBzAHQAZQBtAEYAcgBhAGMAVwBFAFQATABvAG8AawB1AHAAXABuACAAIAAgACAAIAAgACAAIAApACwAXABuACAAIAAgACAAIAAgACAAIABJAEYAKABMAGUAYQBjAGgAaQBuAGcAWgBvAG4AZQBGAHIAYQBjAFcARQBUACAAKwAgAFAAcgBvAGQAdQBjAHQAaQBvAG4AUwB5AHMAdABlAG0ARgByAGEAYwBXAEUAVABcAHUAMAAwADMAZQAwACwAIAAxACwAIAAwACkAXABuACAAIAAgACAAKQApADsAXABuAFwAbgBcAG4AVQB0AGkAbABpAHQAeQBfAEMAbwBuAHYAZQByAHQAUwB0AGEAdABlAEMAbwBtAG0AbwBuAE4AYQBtAGUAVABvAEEAYgBiAHIAZQB2AGkAYQB0AGkAbwBuAFwAbgA9AEwAQQBNAEIARABBACgAXABuACAAIAAgACAAUwB0AGEAdABlAEMAbwBtAG0AbwBuAE4AYQBtAGUALABcAG4AIAAgACAAIABTAHQAYQB0AGUAQwBvAG0AbQBvAG4ATgBhAG0AZQBBAHIAcgBhAHkALAAgAFMAdABhAHQAZQBBAGIAYgByAGUAdgBpAGEAdABpAG8AbgBBAHIAcgBhAHkALABcAG4AIAAgACAAIABYAEwATwBPAEsAVQBQACgAUwB0AGEAdABlAEMAbwBtAG0AbwBuAE4AYQBtAGUALAAgAFMAdABhAHQAZQBDAG8AbQBtAG8AbgBOAGEAbQBlAEEAcgByAGEAeQAsACAAUwB0AGEAdABlAEEAYgBiAHIAZQB2AGkAYQB0AGkAbwBuAEEAcgByAGEAeQAsACAAXAAiAFwAIgApAFwAbgApADsAXABuAFwAbgBVAHQAaQBsAGkAdAB5AF8AUwBvAHUAcgBjAGUASAB5AHAAZQByAGwAaQBuAGs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HUAMAAwADIANwBcACIAIABcAHUAMAAwADIANgAgAHMAaAAgAFwAdQAwADAAMgA2ACAAXAAiAFwAdQAwADAAMgA3ACEAXAAiACAAXAB1ADAAMAAyADYAIABhAGQAZAByAFwAbgAgACAAKQBcAG4AKQA7AFwAbgBcAG4AVQB0AGkAbABpAHQAeQBfAFMAbwB1AHIAYwBlAEgAeQBwAGUAcgBsAGkAbgBrAEQAaQBmAGYAZQByAGUAbgB0AFMAaABlAGUAdABcAG4APQBMAEEATQBCAEQAQQAoAFQAYQByAGcAZQB0AEMAZQBsAGwALABcAG4AIAAgAEwARQBUACgAXABuACAAIAAgACAAcwBoACwAIABUAEUAWABUAEEARgBUAEUAUgAoAEMARQBMAEwAKABcACIAZgBpAGwAZQBuAGEAbQBlAFwAIgAsACAAVABhAHIAZwBlAHQAQwBlAGwAbAApACwAIABcACIAXQBcACIAKQAsAFwAbgAgACAAIAAgAGEAZABkAHIALAAgAEMARQBMAEwAKABcACIAYQBkAGQAcgBlAHMAcwBcACIALAAgAFQAYQByAGcAZQB0AEMAZQBsAGwAKQAsAFwAbgAgACAAIAAgAFwAIgAjAFwAIgAgAFwAdQAwADAAMgA2ACAAYQBkAGQAcgBcAG4AIAAgACkAXABuACkAOwBcAG4AXABuAFUAdABpAGwAaQB0AHkAXwBEAGkAcwBwAGwAYQB5AEEAcgBnAHUAbQBlAG4AdABzAF8AMQBfADIAXABuAD0ATABBAE0AQgBEAEEAKABcAG4AIAAgACAAIABBAHIAZwB1AG0AZQBuAHQAcwBBAHIAcgBhAHkALABcAG4AIAAgACAAIABDAEgATwBPAFMARQBDAE8ATABTACgAQQByAGcAdQBtAGUAbgB0AHMAQQByAHIAYQB5ACwAIAAxACwAIAAyACkAXABuACkAOwBcAG4AXABuAFUAdABpAGwAaQB0AHkAXwBEAGkAcwBwAGwAYQB5AEEAcgBnAHUAbQBlAG4AdABzAF8AMwBfADQAXABuAD0ATABBAE0AQgBEAEEAKABcAG4AIAAgACAAIABBAHIAZwB1AG0AZQBuAHQAcwBBAHIAcgBhAHkALABcAG4AIAAgACAAIABDAEgATwBPAFMARQBDAE8ATABTACgAQQByAGcAdQBtAGUAbgB0AHMAQQByAHIAYQB5ACwAIAAzACwAIAA0ACkAXABuACkAOwBcAG4AXABuAEMAbwBtAG0AbwBuAF8ARwBlAHQATQBDAEYAVABlAG0AcABlAHIAYQB0AHUAcgBlAFoAbwBuAGUAXABuAD0ATABBAE0AQgBEAEEAKABcAG4AIAAgACAAIABUAGUAbQBwAGUAcgBhAHQAdQByAGUALAAgAE0ATQBTACwAIABUAGUAbQBwAGUAcgBhAHQAdQByAGUAQQByAHIAYQB5ACwAIABNAE0AUwBBAHIAcgBhAHkALAAgAFIAZQB0AHUAcgBuAEEAcgByAGEAeQAsAFwAbgAgACAAIAAgAFgATABPAE8ASwBVAFAAKABcAG4AIAAgACAAIAAgACAAIAAgAE0ARQBEAEkAQQBOACgAXABuACAAIAAgACAAIAAgACAAIAAgACAAIAAgAFIATwBVAE4ARAAoAFQAZQBtAHAAZQByAGEAdAB1AHIAZQAsACAAMAApACwAIABcAG4AIAAgACAAIAAgACAAIAAgACAAIAAgACAATQBJAE4AKABUAGUAbQBwAGUAcgBhAHQAdQByAGUAQQByAHIAYQB5ACkALAAgAFwAbgAgACAAIAAgACAAIAAgACAAIAAgACAAIABNAEEAWAAoAFQAZQBtAHAAZQByAGEAdAB1AHIAZQBBAHIAcgBhAHkAKQBcAG4AIAAgACAAIAAgACAAIAAgACkALABcAG4AIAAgACAAIAAgACAAIAAgAFQAZQBtAHAAZQByAGEAdAB1AHIAZQBBAHIAcgBhAHkALABcAG4AIAAgACAAIAAgACAAIAAgAFgATABPAE8ASwBVAFAAKABNAE0AUwAsACAATQBNAFMAQQByAHIAYQB5ACwAIABSAGUAdAB1AHIAbgBBAHIAcgBhAHkAKQBcAG4AIAAgACAAIAApAFwAbgApADsAXABuAFwAbgBcAG4AVQB0AGkAbABpAHQAeQBfAFIAZQBzAHUAbAB0AHMASQB0AGUAbQBGAHIAbwBtAEUAcQB1AGEAdABpAG8AbgBUAGkAdABsAGUAQQBuAGQAUwBvAHUAcgBjAGUAXABuAD0ATABBAE0AQgBEAEEAKABcAG4AIAAgACAAIABUAGkAdABsAGUAQwBlAGwAbAAsACAAUwBvAHUAcgBjAGUAQwBlAGwAbAAsAFwAbgAgACAAIAAgAFMAVQBCAFMAVABJAFQAVQBUAEUAKABMAEUARgBUACgAUwBvAHUAcgBjAGUAQwBlAGwAbAAsACAARgBJAE4ARAAoAFwAIgAsAFwAIgAsACAAUwBvAHUAcgBjAGUAQwBlAGwAbAApACAALQAxACkALAAgAFwAIgBWAEUARQBSAEcAIAAyADAAMgA2ADoAIABcACIALAAgAFwAIgBcACIAKQAgAFwAdQAwADAAMgA2ACAAXAAiACAAXAAiACAAXAB1ADAAMAAyADYAIABUAGkAdABsAGUAQwBlAGwAbABcAG4AKQA7ACIAfQAsAHsAIgBwAGEAdABoACIAOgAiAC8AcAByAG8AagBlAGMAdABzAC8AVwBhAHMAdABlAFMAbwBsAGkAZABfAEUAcQB1AGEAdABpAG8AbgBzACIALAAiAHQAZQB4AHQAIgA6ACIALwAqAFwAbgA9AD0APQA9AD0APQA9AD0APQA9AD0APQA9AD0APQA9AD0APQA9AD0APQA9AD0APQA9AD0APQA9AD0APQA9AD0APQA9AD0APQA9AD0APQA9AD0APQA9AD0APQA9AD0APQA9AD0APQA9AD0APQA9AD0APQA9AD0APQA9AD0APQA9AD0APQA9AD0APQA9AD0APQA9AD0APQA9AFwAbgAxADAALgAxADoAIABXAGEAcwB0AGUAXABuAD0APQA9AD0APQA9AD0APQA9AD0APQA9AD0APQA9AD0APQA9AD0APQA9AD0APQA9AD0APQA9AD0APQA9AD0APQA9AD0APQA9AD0APQA9AD0APQA9AD0APQA9AD0APQA9AD0APQA9AD0APQA9AD0APQA9AD0APQA9AD0APQA9AD0APQA9AD0APQA9AD0APQA9AD0APQA9AD0AXABuADEAMAAuADEALgAxAC4AMQAgAE0AZQB0AGgAbwBkACAAMQAgAC0AIABTAG8AbABpAGQAIABXAGEAcwB0AGUAIABUAHIAZQBhAHQAbQBlAG4AdA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EAMABfADEAXwAxAF8AMQBfAF8AMQBfAEUAbQBpAHMAcwBpAG8AbgBzAEYAcgBvAG0AVwBhAHMAdABlAE0AYQBuAGEAZwBlAG0AZQBuAHQAXABuAEUAbQBpAHMAcwBpAG8AbgBzACAAZgByAG8AbQAgAHcAYQBzAHQAZQAgAG0AYQBuAGEAZwBlAG0AZQBuAHQAIABiAHkAIABnAHIAZQBlAG4AaABvAHUAcwBlACAAZwBhAHMAXABuAEUAXwBnAFwAbgB0ACAAQwBPADIAZQBcAG4ARQBfAGcAPQBcAFwAcwB1AG0AXwB0AFwAXABzAHUAbQBfAHcAKABRAF8AdwB0AFwAXAB0AGkAbQBlAHMAIABFAEYAXwB3AHQAZwApAFwAbgBRAF8AdwB0ACAAPQAgAHEAdQBhAG4AdABpAHQAeQAgAG8AZgAgAHMAbwBsAGkAZAAgAHcAYQBzAHQAZQAgAG8AZgAgAHQAeQBwAGUAIAB3ACAAYgBlAGkAbgBnACAAcwBlAG4AdAAgAHQAbwAgAHQAcgBlAGEAdABtAGUAbgB0ACAAZgBhAGMAaQBsAGkAdAB5ACAAdAAsACAAbwBuACAAYQAgAHcAZQB0ACAAdwBlAGkAZwBoAHQAIABiAGEAcwBpAHMAIAAoAHQAKQBcAG4ARQBGAF8AdwB0AGcAIAA9ACAAZQBtAGkAcwBzAGkAbwBuACAAZgBhAGMAdABvAHIAIABmAG8AcgAgAGcAcgBlAGUAbgBoAG8AdQBzAGUAIABnAGEAcwAgAGcAIABmAG8AcgAgAHQAaABlACAAbQBhAG4AYQBnAGUAbQBlAG4AdAAgAG8AZgAgAHcAYQBzAHQAZQAgAGEAdAAgAHQAcgBlAGEAdABtAGUAbgB0ACAAZgBhAGMAaQBsAGkAdAB5ACAAdAAgACgAdAAgAEMATwAyAGUALwB0ACkAXABuAC0ALQAtAC0ALQAtAC0ALQAtAC0ALQAtAC0ALQAtAC0ALQAtAC0ALQAtAC0ALQAtAC0ALQAtAC0ALQAtAC0ALQAtAC0ALQAtAC0ALQBcAG4AKgAvAFwAbgBcAG4AVgBFAEUAUgBHAF8AMQAwAF8AMQBfADEAXwAxAF8AXwAxAF8ARQBtAGkAcwBzAGkAbwBuAHMARgByAG8AbQBXAGEAcwB0AGUATQBhAG4AYQBnAGUAbQBlAG4AdABcAG4AIAAgAD0ATABBAE0AQgBEAEEAKABcAG4AIAAgACAAIABRAF8AdwB0ACwAIABFAEYAXwB3AHQAZwAsAFwAbgAgACAAIAAgAFEAXwB3AHQAIAAqACAARQBGAF8AdwB0AGcAXABuACAAIAApADsAXABuAFwAbgBWAEUARQBSAEcAXwAxADAAXwAxAF8AMQBfADEAXwBfADEAXwBFAG0AaQBzAHMAaQBvAG4AcwBGAHIAbwBtAFcAYQBzAHQAZQBNAGEAbgBhAGcAZQBtAGUAbgB0AF8AVABpAHQAbABlAFwAbgAgACAAPQBMAEEATQBCAEQAQQAoAFwAIgBFAG0AaQBzAHMAaQBvAG4AcwAgAGYAcgBvAG0AIAB3AGEAcwB0AGUAIABtAGEAbgBhAGcAZQBtAGUAbgB0ACAAYgB5ACAAZwByAGUAZQBuAGgAbwB1AHMAZQAgAGcAYQBzAFwAIgApADsAXABuAFwAbgBWAEUARQBSAEcAXwAxADAAXwAxAF8AMQBfADEAXwBfADEAXwBFAG0AaQBzAHMAaQBvAG4AcwBGAHIAbwBtAFcAYQBzAHQAZQBNAGEAbgBhAGcAZQBtAGUAbgB0AF8AVgBhAHIAaQBhAGIAbABlAFwAbgAgACAAPQBMAEEATQBCAEQAQQAoAFwAIgBFAF8AZwBcACIAKQA7AFwAbgBcAG4AVgBFAEUAUgBHAF8AMQAwAF8AMQBfADEAXwAxAF8AXwAxAF8ARQBtAGkAcwBzAGkAbwBuAHMARgByAG8AbQBXAGEAcwB0AGUATQBhAG4AYQBnAGUAbQBlAG4AdABfAFUAbgBpAHQAXABuACAAIAA9AEwAQQBNAEIARABBACgAXAAiAHQAIABDAE8AMgBlAFwAIgApADsAXABuAFwAbgBWAEUARQBSAEcAXwAxADAAXwAxAF8AMQBfADEAXwBfADEAXwBFAG0AaQBzAHMAaQBvAG4AcwBGAHIAbwBtAFcAYQBzAHQAZQBNAGEAbgBhAGcAZQBtAGUAbgB0AF8AUwBvAHUAcgBjAGUAXABuACAAIAA9AEwAQQBNAEIARABBACgAXAAiAFYARQBFAFIARwAgADIAMAAyADYAOgAgADEAMAAuADEALgAxAC4AMQAsACAARQBxAHUAYQB0AGkAbwBuACAAKAAxACkAXAAiACkAOwBcAG4AXABuAFYARQBFAFIARwBfADEAMABfADEAXwAxAF8AMQBfAF8AMQBfAEUAbQBpAHMAcwBpAG8AbgBzAEYAcgBvAG0AVwBhAHMAdABlAE0AYQBuAGEAZwBlAG0AZQBuAHQAXwBOAEkAUgBSAGUAZgBlAHIAZQBuAGMAZQBcAG4AIAAgAD0ATABBAE0AQgBEAEEAKABcACIAXAAiACkAOwBcAG4AXABuAFYARQBFAFIARwBfADEAMABfADEAXwAxAF8AMQBfAF8AMQBfAEUAbQBpAHMAcwBpAG8AbgBzAEYAcgBvAG0AVwBhAHMAdABlAE0AYQBuAGEAZwBlAG0AZQBuAHQAXwBMAGEAdABlAHgARQBxAHUAYQB0AGkAbwBuAFwAbgAgACAAPQBMAEEATQBCAEQAQQAoAFwAIgBFAF8AZwA9AFwAXABzAHUAbQBcAFwAbgBvAGwAaQBtAGkAdABzAF8AdABcAFwAcwB1AG0AXABcAG4AbwBsAGkAbQBpAHQAcwBfAHcAKABRAF8AewB3AHQAfQBcAFwAdABpAG0AZQBzACAARQBGAF8AewB3AHQAZwB9ACkAXAAiACkAOwBcAG4AXABuAFYARQBFAFIARwBfADEAMABfADEAXwAxAF8AMQBfAF8AMQBfAEUAbQBpAHMAcwBpAG8AbgBzAEYAcgBvAG0AVwBhAHMAdABlAE0AYQBuAGEAZwBlAG0AZQBuAHQAXwBBAHIAZwB1AG0AZQBuAHQAcwBcAG4AIAAgAD0ATABBAE0AQgBEAEEAKABcAG4AIAAgACAAIABNAEEASwBFAEEAUgBSAEEAWQAoADcALAAgADQALABcAG4AIAAgACAAIAAgACAATABBAE0AQgBEAEEAKAByACwAYwAsAFwAbgAgACAAIAAgACAAIAAgACAASQBOAEQARQBYACgAewBcAG4AIAAgACAAIAAgACAAIAAgACAAIABcACIAUQBfAHcAdABcACIALAAgAFwAIgBxAHUAYQBuAHQAaQB0AHkAIABvAGYAIABzAG8AbABpAGQAIAB3AGEAcwB0AGUAIABvAGYAIAB0AHkAcABlACAAdwAgAGIAZQBpAG4AZwAgAHMAZQBuAHQAIAB0AG8AIAB0AHIAZQBhAHQAbQBlAG4AdAAgAGYAYQBjAGkAbABpAHQAeQAgAHQALAAgAG8AbgAgAGEAIAB3AGUAdAAgAHcAZQBpAGcAaAB0ACAAYgBhAHMAaQBzAFwAIgAsACAAXAAiAHQAXAAiACwAIABcACIAUwB1AG0AIABvAGYAIABRAF8AdgBvAGwAdwB0ACAAYQBuAGQAIABRAF8AbQBhAHMAcwB3AHQAXAAiADsAXABuACAAIAAgACAAIAAgACAAIAAgACAAXAAiAEUARgBfAHcAdABnAFwAIgAsACAAXAAiAGUAbQBpAHMAcwBpAG8AbgAgAGYAYQBjAHQAbwByACAAZgBvAHIAIABnAHIAZQBlAG4AaABvAHUAcwBlACAAZwBhAHMAIABnACAAZgBvAHIAIAB0AGgAZQAgAG0AYQBuAGEAZwBlAG0AZQBuAHQAIABvAGYAIAB3AGEAcwB0AGUAIABhAHQAIAB0AHIAZQBhAHQAbQBlAG4AdAAgAGYAYQBjAGkAbABpAHQAeQAgAHQAXAAiACwAIABcACIAdAAgAEMATwAyAGUALwB0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DsAXABuACAAIAAgACAAIAAgACAAIAAgACAAXAAiAGcAXAAiACwAIABcACIAZwByAGUAZQBuAGgAbwB1AHMAZQAgAGcAYQBzAFwAIgAsACAAXAAiAFwAIgAsACAAXAAiAEkAbgBwAHUAdABcACIAOwBcAG4AIAAgACAAIAAgACAAIAAgACAAIABcACIAUQBfAHYAbwBsAHcAdABcACIALAAgAFwAIgBxAHUAYQBuAHQAaQB0AHkAIABvAGYAIABzAG8AbABkACAAdwBhAHMAdABlACAAaQBuAHAAdQB0ACAAYQBzACAAdgBvAGwAdQBtAGUAIABhAG4AZAAgAGMAbwBuAHYAZQByAHQAZQBkACAAdABvACAAdABvAG4AbgBlAHMAXAAiACwAIABcACIAdABvAG4AbgBlAHMAXAAiACwAIABcACIAQwBhAGwAYwB1AGwAYQB0AGUAZAAgAGYAcgBvAG0AIAAxADAALgAxAC4AMQAuADEAIAAoADIAKQBcACIAOwBcAG4AIAAgACAAIAAgACAAIAAgACAAIABcACIAUQBfAG0AYQBzAHMAdwB0AFwAIgAsACAAXAAiAHEAdQBhAG4AdABpAHQAeQAgAG8AZgAgAHMAbwBsAGkAZAAgAHcAYQBzAHQAZQAgAGkAbgBwAHUAdAAgAGEAcwAgAG0AYQBzAHMAXAAiACwAIABcACIAdABvAG4AbgBlAHMAXAAiACwAIABcACIASQBuAHAAdQB0AFwAIgBcAG4AIAAgACAAIAAgACAAIAAgAH0ALAAgAHIALAAgAGMAKQBcAG4AIAAgACAAIAAgACAAKQBcAG4AIAAgACAAIAApAFwAbgAgACAAKQA7AFwAbgBcAG4AVgBFAEUAUgBHAF8AMQAwAF8AMQBfADEAXwAxAF8AXwAxAF8ARQBtAGkAcwBzAGkAbwBuAHMARgByAG8AbQBXAGEAcwB0AGUATQBhAG4AYQBnAGUAbQBlAG4AdABfAFYAYQByAGkAYQB0AGkAbwBuAFwAbgAgACAAPQBMAEEATQBCAEQAQQAoAFwAIgBWAEEAUgBJAEEAVABJAE8ATgAgAE8ATgAgAFMATwBVAFIAQwBFADoAIABBAGQAZABlAGQAIABRAF8AdgBvAGwAdwB0ACAAYQBuAGQAIABRAF8AbQBhAHMAcwB3AHQAIAB2AGEAcgBpAGEAYgBsAGUAcwAgAHQAbwAgAGMAbABlAGEAcgBsAHkAIAB0AHIAYQBjAGsAIABpAG4AcAB1AHQAIABvAHIAIABjAGEAbABjAHUAbABhAHQAZQBkACAAUQAgAHYAYQBsAHUAZQBzAFwAIgApADsAXABuAFwAbgAvACoAXABuAC0ALQAtAC0ALQAtAC0ALQAtAC0ALQAtAC0ALQAtAC0ALQAtAC0ALQAtAC0ALQAtAC0ALQAtAC0ALQAtAC0ALQAtAC0ALQAtAC0ALQBcAG4AVgBFAEUAUgBHAF8AMQAwAF8AMQBfADEAXwAxAF8AXwAyAF8ATQBhAHMAcwBPAGYAVwBhAHMAdABlAEYAcgBvAG0AVgBvAGwAdQBtAGUAXABuAE0AYQBzAHMAIABvAGYAIAB3AGEAcwB0AGUAIABmAHIAbwBtACAAdwBhAHMAdABlACAAdgBvAGwAdQBtAGUAXABuAFEAXwB3AHQAXABuAHQAXABuAFEAXwB3AHQAPQBWAF8AdwB0AFwAXAB0AGkAbQBlAHMAIABWAFQATQBfAHcAXABuAFYAXwB3AHQAIAA9ACAAdgBvAGwAdQBtAGUAIABvAGYAIABzAG8AbABpAGQAIAB3AGEAcwB0AGUAIAB0AHkAcABlACAAdwAgAGIAZQBpAG4AZwAgAHMAZQBuAHQAIAB0AG8AIAB0AHIAZQBhAHQAbQBlAG4AdAAgAGYAYQBjAGkAbABpAHQAeQAgAHQAIAAoAG0AMwApAFwAbgBWAFQATQBfAHcAIAA9ACAAYwBvAG4AdgBlAHIAcwBpAG8AbgAgAGYAYQBjAHQAbwByACAAbwBmACAAdgBvAGwAdQBtAGUAIAB0AG8AIABtAGEAcwBzACAAZgBvAHIAIAB3AGEAcwB0AGUAIAB0AHkAcABlACAAdwAgACgAdAAvAG0AMwApAFwAbgAtAC0ALQAtAC0ALQAtAC0ALQAtAC0ALQAtAC0ALQAtAC0ALQAtAC0ALQAtAC0ALQAtAC0ALQAtAC0ALQAtAC0ALQAtAC0ALQAtAC0AXABuACoALwBcAG4AXABuAFYARQBFAFIARwBfADEAMABfADEAXwAxAF8AMQBfAF8AMgBfAE0AYQBzAHMATwBmAFcAYQBzAHQAZQBGAHIAbwBtAFYAbwBsAHUAbQBlAFwAbgAgACAAPQBMAEEATQBCAEQAQQAoAFwAbgAgACAAIAAgAFYAXwB3AHQALAAgAFYAVABNAF8AdwAsAFwAbgAgACAAIAAgAFYAXwB3AHQAIAAqACAAVgBUAE0AXwB3AFwAbgAgACAAKQA7AFwAbgBcAG4AVgBFAEUAUgBHAF8AMQAwAF8AMQBfADEAXwAxAF8AXwAyAF8ATQBhAHMAcwBPAGYAVwBhAHMAdABlAEYAcgBvAG0AVgBvAGwAdQBtAGUAXwBUAGkAdABsAGUAXABuACAAIAA9AEwAQQBNAEIARABBACgAXAAiAE0AYQBzAHMAIABvAGYAIAB3AGEAcwB0AGUAIABmAHIAbwBtACAAdwBhAHMAdABlACAAdgBvAGwAdQBtAGUAXAAiACkAOwBcAG4AXABuAFYARQBFAFIARwBfADEAMABfADEAXwAxAF8AMQBfAF8AMgBfAE0AYQBzAHMATwBmAFcAYQBzAHQAZQBGAHIAbwBtAFYAbwBsAHUAbQBlAF8AVgBhAHIAaQBhAGIAbABlAFwAbgAgACAAPQBMAEEATQBCAEQAQQAoAFwAIgBRAF8AdwB0AFwAIgApADsAXABuAFwAbgBWAEUARQBSAEcAXwAxADAAXwAxAF8AMQBfADEAXwBfADIAXwBNAGEAcwBzAE8AZgBXAGEAcwB0AGUARgByAG8AbQBWAG8AbAB1AG0AZQBfAFUAbgBpAHQAXABuACAAIAA9AEwAQQBNAEIARABBACgAXAAiAHQAXAAiACkAOwBcAG4AXABuAFYARQBFAFIARwBfADEAMABfADEAXwAxAF8AMQBfAF8AMgBfAE0AYQBzAHMATwBmAFcAYQBzAHQAZQBGAHIAbwBtAFYAbwBsAHUAbQBlAF8AUwBvAHUAcgBjAGUAXABuACAAIAA9AEwAQQBNAEIARABBACgAXAAiAFYARQBFAFIARwAgADIAMAAyADYAOgAgADEAMAAuADEALgAxAC4AMQAsACAARQBxAHUAYQB0AGkAbwBuACAAKAAyACkAXAAiACkAOwBcAG4AXABuAFYARQBFAFIARwBfADEAMABfADEAXwAxAF8AMQBfAF8AMgBfAE0AYQBzAHMATwBmAFcAYQBzAHQAZQBGAHIAbwBtAFYAbwBsAHUAbQBlAF8ATgBJAFIAUgBlAGYAZQByAGUAbgBjAGUAXABuACAAIAA9AEwAQQBNAEIARABBACgAXAAiAFwAIgApADsAXABuAFwAbgBWAEUARQBSAEcAXwAxADAAXwAxAF8AMQBfADEAXwBfADIAXwBNAGEAcwBzAE8AZgBXAGEAcwB0AGUARgByAG8AbQBWAG8AbAB1AG0AZQBfAEwAYQB0AGUAeABFAHEAdQBhAHQAaQBvAG4AXABuACAAIAA9AEwAQQBNAEIARABBACgAXAAiAFEAXwB7AHcAdAB9AD0AVgBfAHsAdwB0AH0AXABcAHQAaQBtAGUAcwAgAFYAVABNAF8AdwBcACIAKQA7AFwAbgBcAG4AVgBFAEUAUgBHAF8AMQAwAF8AMQBfADEAXwAxAF8AXwAyAF8ATQBhAHMAcwBPAGYAVwBhAHMAdABlAEYAcgBvAG0AVgBvAGwAdQBtAGUAXwBBAHIAZwB1AG0AZQBuAHQAcwBcAG4AIAAgAD0ATABBAE0AQgBEAEEAKABcAG4AIAAgACAAIABNAEEASwBFAEEAUgBSAEEAWQAoADQALAAgADQALABcAG4AIAAgACAAIAAgACAATABBAE0AQgBEAEEAKAByACwAYwAsAFwAbgAgACAAIAAgACAAIAAgACAASQBOAEQARQBYACgAewBcAG4AIAAgACAAIAAgACAAIAAgACAAIABcACIAVgBfAHcAdABcACIALAAgAFwAIgB2AG8AbAB1AG0AZQAgAG8AZgAgAHMAbwBsAGkAZAAgAHcAYQBzAHQAZQAgAHQAeQBwAGUAIAB3ACAAYgBlAGkAbgBnACAAcwBlAG4AdAAgAHQAbwAgAHQAcgBlAGEAdABtAGUAbgB0ACAAZgBhAGMAaQBsAGkAdAB5ACAAdABcACIALAAgAFwAIgBtADMAXAAiACwAIABcACIASQBuAHAAdQB0AFwAIgA7AFwAbgAgACAAIAAgACAAIAAgACAAIAAgAFwAIgBWAFQATQBfAHcAXAAiACwAIABcACIAYwBvAG4AdgBlAHIAcwBpAG8AbgAgAGYAYQBjAHQAbwByACAAbwBmACAAdgBvAGwAdQBtAGUAIAB0AG8AIABtAGEAcwBzACAAZgBvAHIAIAB3AGEAcwB0AGUAIAB0AHkAcABlACAAdwBcACIALAAgAFwAIgB0AC8AbQAzAFwAIgAsACAAXAAiAEMAbwBuAHMAdABhAG4AdABcACIAOwBcAG4AIAAgACAAIAAgACAAIAAgACAAIABcACIAdwBcACIALAAgAFwAIgB3AGEAcwB0AGUAIAB0AHkAcABlAFwAIgAsACAAXAAiAFwAIgAsACAAXAAiAEkAbgBwAHUAdABcACIAOwBcAG4AIAAgACAAIAAgACAAIAAgACAAIABcACIAdABcACIALAAgAFwAIgB0AHIAZQBhAHQAbQBlAG4AdAAgAGYAYQBjAGkAbABpAHQAeQBcACIALAAgAFwAIgBcACIALAAgAFwAIgBJAG4AcAB1AHQAXAAiAFwAbgAgACAAIAAgACAAIAAgACAAfQAsACAAcgAsACAAYwApAFwAbgAgACAAIAAgACAAIAApAFwAbgAgACAAIAAgACkAXABuACAAIAApADsAXABuACIAfQAsAHsAIgBwAGEAdABoACIAOgAiAC8AcAByAG8AagBlAGMAdABzAC8AVwBhAHMAdABlAFMAbwBsAGkAZABfAFMAbwB1AHIAYwBlAEQAYQB0AGEAIgAsACIAdABlAHgAdAAiADoAIgAvACoAXABuAD0APQA9AD0APQA9AD0APQA9AD0APQA9AD0APQA9AD0APQA9AD0APQA9AD0APQA9AD0APQA9AD0APQA9AD0APQA9AD0APQA9AD0APQA9AD0APQA9AD0APQA9AD0APQA9AD0APQA9AD0APQA9AD0APQA9AD0APQA9AD0APQA9AD0APQA9AD0APQA9AD0APQA9AD0APQA9AD0AXABuAEUAbQBpAHMAcwBpAG8AbgAgAGYAYQBjAHQAbwByAHMAIABmAG8AcgAgAHcAYQBzAHQAZQBzACAAZABpAHMAcABvAHMAZQBkACAAbwBmACAAYQB0ACAAZABpAGYAZgBlAHIAZQBuAHQAIAB0AHIAZQBhAHQAbQBlAG4AdAAgAGYAYQBjAGkAbABpAHQAaQBlAHMAXABuAD0APQA9AD0APQA9AD0APQA9AD0APQA9AD0APQA9AD0APQA9AD0APQA9AD0APQA9AD0APQA9AD0APQA9AD0APQA9AD0APQA9AD0APQA9AD0APQA9AD0APQA9AD0APQA9AD0APQA9AD0APQA9AD0APQA9AD0APQA9AD0APQA9AD0APQA9AD0APQA9AD0APQA9AD0APQA9AD0AXABuACoALwBcAG4AXABuAFcAYQBzAHQAZQBfAEUAbQBpAHMAcwBpAG8AbgBGAGEAYwB0AG8AcgBzAEYAbwByAFcAYQBzAHQAZQBUAHIAZQBhAHQAbQBlAG4AdABfAFQAaQB0AGwAZQBcAG4APQBMAEEATQBCAEQAQQAoACgAXAAiAEUAbQBpAHMAcwBpAG8AbgAgAGYAYQBjAHQAbwByAHMAIABmAG8AcgAgAHcAYQBzAHQAZQBzACAAZABpAHMAcABvAHMAZQBkACAAbwBmACAAYQB0ACAAZABpAGYAZgBlAHIAZQBuAHQAIAB0AHIAZQBhAHQAbQBlAG4AdAAgAGYAYQBjAGkAbABpAHQAaQBlAHMAXAAiACkAKQA7AFwAbgBcAG4AVwBhAHMAdABlAF8ARQBtAGkAcwBzAGkAbwBuAEYAYQBjAHQAbwByAHMARgBvAHIAVwBhAHMAdABlAFQAcgBlAGEAdABtAGUAbgB0AF8AVgBhAHIAaQBhAGIAbABlAFwAbgA9AEwAQQBNAEIARABBACgAKABcACIARQBGAHcAdABcACIAKQApADsAXABuAFwAbgBXAGEAcwB0AGUAXwBFAG0AaQBzAHMAaQBvAG4ARgBhAGMAdABvAHIAcwBGAG8AcgBXAGEAcwB0AGUAVAByAGUAYQB0AG0AZQBuAHQAXwBVAG4AaQB0AFwAbgA9AEwAQQBNAEIARABBACgAKABcACIAdAAgAEMATwAyAGUAIAAvACAAdABcACIAKQApADsAXABuAFwAbgBXAGEAcwB0AGUAXwBFAG0AaQBzAHMAaQBvAG4ARgBhAGMAdABvAHIAcwBGAG8AcgBXAGEAcwB0AGUAVAByAGUAYQB0AG0AZQBuAHQAXwBTAG8AdQByAGMAZQBcAG4APQBMAEEATQBCAEQAQQAoACgAXAAiAFYARQBFAFIARwAgADIAMAAyADYAOgAgAFQAYQBiAGwAZQAgAEEALgA0AC4AMQAuADEAXAAiACkAKQA7AFwAbgBcAG4AVwBhAHMAdABlAF8ARQBtAGkAcwBzAGkAbwBuAEYAYQBjAHQAbwByAHMARgBvAHIAVwBhAHMAdABlAFQAcgBlAGEAdABtAGUAbgB0AF8ARABhAHQAYQBcAG4APQBMAEEATQBCAEQAQQAoAFwAbgAgACAATQBBAEsARQBBAFIAUgBBAFkAKAAzADUALAAgADQALABcAG4AIAAgACAAIABMAEEATQBCAEQAQQAoAHIALABjACwAXABuACAAIAAgACAAIAAgAEkATgBEAEUAWAAoAHsAXABuACAAIAAgACAAIAAgACAAIABcACIAVAByAGUAYQB0AG0AZQBuAHQAIAB0AHkAcABlACAAdABcACIALAAgAFwAIgBXAGEAcwB0AGUAIAB0AHkAcABlACAAdwBcACIALAAgAFwAIgBFAEYAdwB0AFwAIgAsACAAXAAiAEUARgAgAHMAbwB1AHIAYwBlAFwAIgA7AFwAbgAgACAAIAAgACAAIAAgACAAXAAiAEwAYQBuAGQAZgBpAGwAbABcACIALAAgAFwAIgBGAG8AbwBkACAAdwBhAHMAdABlACAAKABpAG4AYwBsAHUAZABpAG4AZwAgAGEAbgBpAG0AYQBsACAAYwBhAHIAYwBhAHMAcwBlAHMALAAgAHMAcABvAGkAbABlAGQAIABhAG4AaQBtAGEAbAAgAGYAZQBlAGQAIABvAHIAIABjAHIAbwBwACkAXAAiACwAIAAyAC4AMQAsACAAXAAiAE4ARwBBAEYAIAAyADAAMgA1ACAAdABhAGIAbABlACAAMQA1AFwAIgA7AFwAbgAgACAAIAAgACAAIAAgACAAXAAiAEwAYQBuAGQAZgBpAGwAbABcACIALAAgAFwAIgBQAGEAcABlAHIAIABhAG4AZAAgAGMAYQByAGQAYgBvAGEAcgBkAFwAIgAsACAAMwAuADMALAAgAFwAIgBOAEcAQQBGACAAMgAwADIANQAgAHQAYQBiAGwAZQAgADEANQBcACIAOwBcAG4AIAAgACAAIAAgACAAIAAgAFwAIgBMAGEAbgBkAGYAaQBsAGwAXAAiACwAIABcACIARwByAGUAZQBuACAAdwBhAHMAdABlACAAKABpAG4AYwBsAHUAZABpAG4AZwAgAGMAcgBvAHAAIAByAGUAcwBpAGQAdQBlAHMAIABvAHIAIABwAHIAdQBuAGkAbgBnAHMAKQBcACIALAAgADEALgA2ACwAIABcACIATgBHAEEARgAgADIAMAAyADUAIAB0AGEAYgBsAGUAIAAxADUAXAAiADsAXABuACAAIAAgACAAIAAgACAAIABcACIATABhAG4AZABmAGkAbABsAFwAIgAsACAAXAAiAFcAbwBvAGQAXAAiACwAIAAwAC4ANwAsACAAXAAiAE4ARwBBAEYAIAAyADAAMgA1ACAAdABhAGIAbABlACAAMQA1AFwAIgA7AFwAbgAgACAAIAAgACAAIAAgACAAXAAiAEwAYQBuAGQAZgBpAGwAbABcACIALAAgAFwAIgBUAGUAeAB0AGkAbABlAHMAXAAiACwAIAAyAC4AMAAsACAAXAAiAE4ARwBBAEYAIAAyADAAMgA1ACAAdABhAGIAbABlACAAMQA1AFwAIgA7AFwAbgAgACAAIAAgACAAIAAgACAAXAAiAEwAYQBuAGQAZgBpAGwAbABcACIALAAgAFwAIgBTAGwAdQBkAGcAZQBcACIALAAgADAALgA0ACwAIABcACIATgBHAEEARgAgADIAMAAyADUAIAB0AGEAYgBsAGUAIAAxADUAXAAiADsAXABuACAAIAAgACAAIAAgACAAIABcACIATABhAG4AZABmAGkAbABsAFwAIgAsACAAXAAiAFIAdQBiAGIAZQByACAAYQBuAGQAIABsAGUAYQB0AGgAZQByAFwAIgAsACAAMwAuADMALAAgAFwAIgBOAEcAQQBGACAAMgAwADIANQAgAHQAYQBiAGwAZQAgADEANQBcACIAOwBcAG4AIAAgACAAIAAgACAAIAAgAFwAIgBMAGEAbgBkAGYAaQBsAGwAXAAiACwAIABcACIASQBuAGUAcgB0ACAAdwBhAHMAdABlACAAKABpAG4AYwBsAHUAZABpAG4AZwAgAGMAbwBuAGMAcgBlAHQAZQAsACAAbQBlAHQAYQBsACwAIABwAGwAYQBzAHQAaQBjACAAbwByACAAZwBsAGEAcwBzACkAXAAiACwAIAAwACwAIABcACIATgBHAEEARgAgADIAMAAyADUAIAB0AGEAYgBsAGUAIAAxADUAXAAiADsAXABuACAAIAAgACAAIAAgACAAIABcACIATABhAG4AZABmAGkAbABsAFwAIgAsACAAXAAiAE0AdQBuAGkAYwBpAHAAYQBsACAAcwBvAGwAaQBkACAAdwBhAHMAdABlAFwAIgAsACAAMQAuADYALAAgAFwAIgBOAEcAQQBGACAAMgAwADIANQAgAHQAYQBiAGwAZQAgADEANQBcACIAOwBcAG4AIAAgACAAIAAgACAAIAAgAFwAIgBMAGEAbgBkAGYAaQBsAGwAXAAiACwAIABcACIAQwBvAG0AbQBlAHIAYwBpAGEAbAAgAGEAbgBkACAAaQBuAGQAdQBzAHQAcgBpAGEAbAAgAHcAYQBzAHQAZQBcACIALAAgADEALgAzACwAIABcACIATgBHAEEARgAgADIAMAAyADUAIAB0AGEAYgBsAGUAIAAxADUAXAAiADsAXABuACAAIAAgACAAIAAgACAAIABcACIATABhAG4AZABmAGkAbABsAFwAIgAsACAAXAAiAEMAbwBuAHMAdAByAHUAYwB0AGkAbwBuACAAYQBuAGQAIABkAGUAbQBvAGwAaQB0AGkAbwBuACAAdwBhAHMAdABlAFwAIgAsACAAMAAuADIALAAgAFwAIgBOAEcAQQBGACAAMgAwADIANQAgAHQAYQBiAGwAZQAgADEANQBcACIAOwBcAG4AIAAgACAAIAAgACAAIAAgAFwAbgAgACAAIAAgACAAIAAgACAAXAAiAEkAbgBjAGkAbgBlAHIAYQB0AGkAbwBuAFwAIgAsACAAXAAiAEYAbwBvAGQAIAB3AGEAcwB0AGUALAAgAGcAcgBlAGUAbgAgAHcAYQBzAHQAZQAsACAAdwBvAG8AZAAsACAAcwBsAHUAZABnAGUAXAAiACwAIAAwACwAIABcACIAXAAiADsAXABuACAAIAAgACAAIAAgACAAIABcACIASQBuAGMAaQBuAGUAcgBhAHQAaQBvAG4AXAAiACwAIABcACIARgBvAG8AZAAgAHcAYQBzAHQAZQAgACgAaQBuAGMAbAB1AGQAaQBuAGcAIABhAG4AaQBtAGEAbAAgAGMAYQByAGMAYQBzAHMAZQBzACwAIABzAHAAbwBpAGwAZQBkACAAYQBuAGkAbQBhAGwAIABmAGUAZQBkACAAbwByACAAYwByAG8AcAApAFwAIgAsACAAMAAsACAAXAAiAFwAIgA7AFwAbgAgACAAIAAgACAAIAAgACAAXAAiAEkAbgBjAGkAbgBlAHIAYQB0AGkAbwBuAFwAIgAsACAAXAAiAEcAcgBlAGUAbgAgAHcAYQBzAHQAZQAgACgAaQBuAGMAbAB1AGQAaQBuAGcAIABjAHIAbwBwACAAcgBlAHMAaQBkAHUAZQBzACAAbwByACAAcAByAHUAbgBpAG4AZwBzACkAXAAiACwAIAAwACwAIABcACIAXAAiADsAXABuACAAIAAgACAAIAAgACAAIABcACIASQBuAGMAaQBuAGUAcgBhAHQAaQBvAG4AXAAiACwAIABcACIAVwBvAG8AZABcACIALAAgADAALAAgAFwAIgBcACIAOwBcAG4AIAAgACAAIAAgACAAIAAgAFwAIgBJAG4AYwBpAG4AZQByAGEAdABpAG8AbgBcACIALAAgAFwAIgBTAGwAdQBkAGcAZQBcACIALAAgADAALAAgAFwAIgBcACIAOwBcAG4AIAAgACAAIAAgACAAIAAgAFwAIgBJAG4AYwBpAG4AZQByAGEAdABpAG8AbgBcACIALAAgAFwAIgBQAGEAcABlAHIAIABhAG4AZAAgAGMAYQByAGQAYgBvAGEAcgBkAFwAIgAsACAAMAAuADAAMQA2ADkALAAgAFwAIgBcACIAOwBcAG4AIAAgACAAIAAgACAAIAAgAFwAIgBJAG4AYwBpAG4AZQByAGEAdABpAG8AbgBcACIALAAgAFwAIgBUAGUAeAB0AGkAbABlAHMAXAAiACwAIAAwAC4AMwA2ADYANwAsACAAXAAiAFwAIgA7AFwAbgAgACAAIAAgACAAIAAgACAAXAAiAEkAbgBjAGkAbgBlAHIAYQB0AGkAbwBuAFwAIgAsACAAXAAiAFIAdQBiAGIAZQByACAAYQBuAGQAIABsAGUAYQB0AGgAZQByAFwAIgAsACAAMAAuADQAOQAxADkALAAgAFwAIgBcACIAOwBcAG4AIAAgACAAIAAgACAAIAAgAFwAIgBJAG4AYwBpAG4AZQByAGEAdABpAG8AbgBcACIALAAgAFwAIgBJAG4AZQByAHQAIAB3AGEAcwB0AGUAIAAoAGkAbgBjAGwAdQBkAGkAbgBnACAAYwBvAG4AYwByAGUAdABlACwAIABtAGUAdABhAGwALAAgAHAAbABhAHMAdABpAGMAIABvAHIAIABnAGwAYQBzAHMAKQBcACIALAAgADAALgAxADEAMAAwACwAIABcACIAXAAiADsAXABuACAAIAAgACAAIAAgACAAIABcACIASQBuAGMAaQBuAGUAcgBhAHQAaQBvAG4AXAAiACwAIABcACIATQB1AG4AaQBjAGkAcABhAGwAIABzAG8AbABpAGQAIAB3AGEAcwB0AGUAXAAiACwAIAAwAC4AMAA1ADMANwAsACAAXAAiAE4ARwBBAEYAIAAyADAAMgA1ACAAVABhAGIAbABlACAAMQA4AFwAIgA7AFwAbgAgACAAIAAgACAAIAAgACAAXAAiAEkAbgBjAGkAbgBlAHIAYQB0AGkAbwBuAFwAIgAsACAAXAAiAEMAbwBtAG0AZQByAGMAaQBhAGwAIABhAG4AZAAgAGkAbgBkAHUAcwB0AHIAaQBhAGwAIAB3AGEAcwB0AGUAXAAiACwAIAAxAC4ANgA0ADkALAAgAFwAIgBOAEcAQQBGACAAMgAwADIANQAgAFQAYQBiAGwAZQAgADEAOABcACIAOwBcAG4AXABuACAAIAAgACAAIAAgACAAIABcACIAQwBvAG0AcABvAHMAdABpAG4AZwBcACIALAAgAFwAIgBBAGwAbAAgAG8AcgBnAGEAbgBpAGMAIAB3AGEAcwB0AGUAXAAiACwAIAAwAC4AMAA0ADYALAAgAFwAIgBOAEcAQQBGACAAMgAwADIANQAgAFQAYQBiAGwAZQAgADEAOQBcACIAOwBcAG4AIAAgACAAIAAgACAAIAAgAFwAIgBDAG8AbQBwAG8AcwB0AGkAbgBnAFwAIgAsACAAXAAiAEYAbwBvAGQAIAB3AGEAcwB0AGUAIAAoAGkAbgBjAGwAdQBkAGkAbgBnACAAYQBuAGkAbQBhAGwAIABjAGEAcgBjAGEAcwBzAGUAcwAsACAAcwBwAG8AaQBsAGUAZAAgAGEAbgBpAG0AYQBsACAAZgBlAGUAZAAgAG8AcgAgAGMAcgBvAHAAKQBcACIALAAgADAALgAwADQANgAsACAAXAAiAFwAIgA7AFwAbgAgACAAIAAgACAAIAAgACAAXAAiAEMAbwBtAHAAbwBzAHQAaQBuAGcAXAAiACwAIABcACIARwByAGUAZQBuACAAdwBhAHMAdABlACAAKABpAG4AYwBsAHUAZABpAG4AZwAgAGMAcgBvAHAAIAByAGUAcwBpAGQAdQBlAHMAIABvAHIAIABwAHIAdQBuAGkAbgBnAHMAKQBcACIALAAgADAALgAwADQANgAsACAAXAAiAFwAIgA7AFwAbgAgACAAIAAgACAAIAAgACAAXAAiAEMAbwBtAHAAbwBzAHQAaQBuAGcAXAAiACwAIABcACIAVwBvAG8AZABcACIALAAgADAALgAwADQANgAsACAAXAAiAFwAIgA7AFwAbgAgACAAIAAgACAAIAAgACAAXAAiAEMAbwBtAHAAbwBzAHQAaQBuAGcAXAAiACwAIABcACIAUwBsAHUAZABnAGUAXAAiACwAIAAwAC4AMAA0ADYALAAgAFwAIgBcACIAOwBcAG4AIAAgACAAIAAgACAAIAAgAFwAIgBDAG8AbQBwAG8AcwB0AGkAbgBnAFwAIgAsACAAXAAiAFAAYQBwAGUAcgAgAGEAbgBkACAAYwBhAHIAZABiAG8AYQByAGQAXAAiACwAIAAwAC4AMAA0ADYALAAgAFwAIgBcACIAOwBcAG4AXABuACAAIAAgACAAIAAgACAAIABcACIAQQBuAGEAZQByAG8AYgBpAGMAIABkAGkAZwBlAHMAdABpAG8AbgBcACIALAAgAFwAIgBBAGwAbAAgAG8AcgBnAGEAbgBpAGMAIAB3AGEAcwB0AGUAXAAiACwAIAAwAC4AMAAyADgALAAgAFwAIgBOAEcAQQBGACAAMgAwADIANQAgAFQAYQBiAGwAZQAgADEAOQBcACIAOwBcAG4AIAAgACAAIAAgACAAIAAgAFwAIgBBAG4AYQBlAHIAbwBiAGkAYwAgAGQAaQBnAGUAcwB0AGkAbwBuAFwAIgAsACAAXAAiAEYAbwBvAGQAIAB3AGEAcwB0AGUAIAAoAGkAbgBjAGwAdQBkAGkAbgBnACAAYQBuAGkAbQBhAGwAIABjAGEAcgBjAGEAcwBzAGUAcwAsACAAcwBwAG8AaQBsAGUAZAAgAGEAbgBpAG0AYQBsACAAZgBlAGUAZAAgAG8AcgAgAGMAcgBvAHAAKQBcACIALAAgADAALgAwADIAOAAsACAAXAAiAFwAIgA7AFwAbgAgACAAIAAgACAAIAAgACAAXAAiAEEAbgBhAGUAcgBvAGIAaQBjACAAZABpAGcAZQBzAHQAaQBvAG4AXAAiACwAIABcACIARwByAGUAZQBuACAAdwBhAHMAdABlACAAKABpAG4AYwBsAHUAZABpAG4AZwAgAGMAcgBvAHAAIAByAGUAcwBpAGQAdQBlAHMAIABvAHIAIABwAHIAdQBuAGkAbgBnAHMAKQBcACIALAAgADAALgAwADIAOAAsACAAXAAiAFwAIgA7AFwAbgAgACAAIAAgACAAIAAgACAAXAAiAEEAbgBhAGUAcgBvAGIAaQBjACAAZABpAGcAZQBzAHQAaQBvAG4AXAAiACwAIABcACIAVwBvAG8AZABcACIALAAgADAALgAwADIAOAAsACAAXAAiAFwAIgA7AFwAbgAgACAAIAAgACAAIAAgACAAXAAiAEEAbgBhAGUAcgBvAGIAaQBjACAAZABpAGcAZQBzAHQAaQBvAG4AXAAiACwAIABcACIAUwBsAHUAZABnAGUAXAAiACwAIAAwAC4AMAAyADgALAAgAFwAIgBcACIAOwBcAG4AIAAgACAAIAAgACAAIAAgAFwAIgBBAG4AYQBlAHIAbwBiAGkAYwAgAGQAaQBnAGUAcwB0AGkAbwBuAFwAIgAsACAAXAAiAFAAYQBwAGUAcgAgAGEAbgBkACAAYwBhAHIAZABiAG8AYQByAGQAXAAiACwAIAAwAC4AMAAyADgALAAgAFwAIgBcACIAXABuACAAIAAgACAAIAAgAH0ALAAgAHIALAAgAGMAKQBcAG4AKQApACkAOwBcAG4AXABuAFcAYQBzAHQAZQBfAEUAbQBpAHMAcwBpAG8AbgBGAGEAYwB0AG8AcgBzAEYAbwByAFcAYQBzAHQAZQBUAHIAZQBhAHQAbQBlAG4AdABfAFYAYQByAGkAYQB0AGkAbwBuAFwAbgA9AEwAQQBNAEIARABBACgAXABuACAAIABNAEEASwBFAEEAUgBSAEEAWQAoADcALAAgADEALABcAG4AIAAgACAAIABMAEEATQBCAEQAQQAoAHIALABjACwAXABuACAAIAAgACAAIAAgAEkATgBEAEUAWAAoAHsAXABuACAAIAAgACAAIAAgACAAIABcACIAVgBBAFIASQBBAFQASQBPAE4AIABPAE4AIABTAE8AVQBSAEMARQA6AFwAIgA7AFwAbgAgACAAIAAgACAAIAAgACAAXAAiAEYAaQB4AGUAZAAgAHQAeQBwAG8AIABcAHUAMAAwADIANwBwAGEAcABlAHIAIABhAG4AZAAgAGMAYQByAGIAbwBhAHIAZABcAHUAMAAwADIANwAgAHQAbwAgAFwAdQAwADAAMgA3AHAAYQBwAGUAcgAgAGEAbgBkACAAYwBhAHIAZABiAG8AYQByAGQAXAB1ADAAMAAyADcAXAAiADsAXABuACAAIAAgACAAIAAgACAAIABcACIARgBpAHgAZQBkACAAdAB5AHAAbwAgAFwAdQAwADAAMgA3AHAAcgB1AG4AbgBpAG4AZwBzAFwAdQAwADAAMgA3ACAAdABvACAAXAB1ADAAMAAyADcAcAByAHUAbgBpAG4AZwBzAFwAdQAwADAAMgA3AFwAIgA7AFwAbgAgACAAIAAgACAAIAAgACAAXAAiAEEAZABkAGUAZAAgAEUARgAgAHMAbwB1AHIAYwBlACAAYwBvAGwAdQBtAG4AIAB3AGkAdABoACAAcwBwAGUAYwBpAGYAaQBjACAAcgBlAGYAZQByAGUAbgBjAGUAcwBcACIAOwBcAG4AIAAgACAAIAAgACAAIAAgAFwAIgBBAGQAZABlAGQAIABzAHUAYgAtAGMAYQB0AGUAZwBvAHIAaQBlAHMAIABmAG8AcgAgAFwAdQAwADAAMgA3AEkAbgBjAGkAbgBlAHIAYQB0AGkAbwBuADoAIABGAG8AbwBkACAAdwBhAHMAdABlACwAIABnAHIAZQBlAG4AIAB3AGEAcwB0AGUALAAgAHcAbwBvAGQALAAgAHMAbAB1AGQAZwBlAFwAdQAwADAAMgA3ACAAaQBuACAAbwByAGQAZQByACAAdABvACAAdQBzAGUAIAB2AG8AbAB1AG0AZQAgAHQAbwAgAG0AYQBzAHMAIABjAG8AbgB2AGUAcgBzAGkAbwBuACAAZgBhAGMAdABvAHIAIAB2AGEAbAB1AGUAcwBcACIAOwBcAG4AIAAgACAAIAAgACAAIAAgAFwAIgBBAGQAZABlAGQAIABzAHUAYgAtAGMAYQB0AGUAZwBvAHIAaQBlAHMAIABmAG8AcgAgAFwAdQAwADAAMgA3AEMAbwBtAHAAbwBzAHQAaQBuAGcAOgAgAEEAbABsACAAbwByAGcAYQBuAGkAYwAgAHcAYQBzAHQAZQBcAHUAMAAwADIANwAgAGkAbgAgAG8AcgBkAGUAcgAgAHQAbwAgAHUAcwBlACAAdgBvAGwAdQBtAGUAIAB0AG8AIABtAGEAcwBzACAAYwBvAG4AdgBlAHIAcwBpAG8AbgAgAGYAYQBjAHQAbwByACAAdgBhAGwAdQBlAHMAXAAiADsAXABuACAAIAAgACAAIAAgACAAIABcACIAQQBkAGQAZQBkACAAcwB1AGIALQBjAGEAdABlAGcAbwByAGkAZQBzACAAZgBvAHIAIABcAHUAMAAwADIANwBBAG4AYQBlAHIAbwBiAGkAYwAgAGQAaQBnAGUAcwB0AGkAbwBuADoAIABBAGwAbAAgAG8AcgBnAGEAbgBpAGMAIAB3AGEAcwB0AGUAXAB1ADAAMAAyADcAIABpAG4AIABvAHIAZABlAHIAIAB0AG8AIAB1AHMAZQAgAHYAbwBsAHUAbQBlACAAdABvACAAbQBhAHMAcwAgAGMAbwBuAHYAZQByAHMAaQBvAG4AIABmAGEAYwB0AG8AcgAgAHYAYQBsAHUAZQBzAFwAIgBcAG4AIAAgACAAIAAgACAAfQAsACAAcgAsACAAYwApAFwAbgApACkAKQA7AFwAbgBcAG4AXABuAC8AKgBcAG4APQA9AD0APQA9AD0APQA9AD0APQA9AD0APQA9AD0APQA9AD0APQA9AD0APQA9AD0APQA9AD0APQA9AD0APQA9AD0APQA9AD0APQA9AD0APQA9AD0APQA9AD0APQA9AD0APQA9AD0APQA9AD0APQA9AD0APQA9AD0APQA9AD0APQA9AD0APQA9AD0APQA9AD0APQA9AD0APQBcAG4AVABhAGIAbABlACAAQQAuADQALgAxAC4AMgA6ACAAVgBvAGwAdQBtAGUAIAB0AG8AIABtAGEAcwBzACAAYwBvAG4AdgBlAHIAcwBpAG8AbgAgAGYAYQBjAHQAbwByACAAZgBvAHIAIAB2AGEAcgBpAG8AdQBzACAAdwBhAHMAdABlACAAdAB5AHAAZQBzACAAKAB0AC8AbQAzACkAIAAoAFYAVABNAHcAKQBcAG4APQA9AD0APQA9AD0APQA9AD0APQA9AD0APQA9AD0APQA9AD0APQA9AD0APQA9AD0APQA9AD0APQA9AD0APQA9AD0APQA9AD0APQA9AD0APQA9AD0APQA9AD0APQA9AD0APQA9AD0APQA9AD0APQA9AD0APQA9AD0APQA9AD0APQA9AD0APQA9AD0APQA9AD0APQA9AD0APQBcAG4AKgAvAFwAbgBcAG4AVwBhAHMAdABlAF8AVwBhAHMAdABlAFYAbwBsAHUAbQBlAFQAbwBNAGEAcwBzAEMAbwBuAHYAZQByAHMAaQBvAG4AXwBUAGkAdABsAGUAXABuAD0ATABBAE0AQgBEAEEAKAAoAFwAIgBWAG8AbAB1AG0AZQAgAHQAbwAgAG0AYQBzAHMAIABjAG8AbgB2AGUAcgBzAGkAbwBuACAAZgBhAGMAdABvAHIAIABmAG8AcgAgAHYAYQByAGkAbwB1AHMAIAB3AGEAcwB0AGUAIAB0AHkAcABlAHMAXAAiACkAKQA7AFwAbgBcAG4AVwBhAHMAdABlAF8AVwBhAHMAdABlAFYAbwBsAHUAbQBlAFQAbwBNAGEAcwBzAEMAbwBuAHYAZQByAHMAaQBvAG4AXwBWAGEAcgBpAGEAYgBsAGUAXABuAD0ATABBAE0AQgBEAEEAKAAoAFwAIgBWAFQATQB3AFwAIgApACkAOwBcAG4AXABuAFcAYQBzAHQAZQBfAFcAYQBzAHQAZQBWAG8AbAB1AG0AZQBUAG8ATQBhAHMAcwBDAG8AbgB2AGUAcgBzAGkAbwBuAF8AVQBuAGkAdABcAG4APQBMAEEATQBCAEQAQQAoACgAXAAiAHQALwBtADMAXAAiACkAKQA7AFwAbgBcAG4AVwBhAHMAdABlAF8AVwBhAHMAdABlAFYAbwBsAHUAbQBlAFQAbwBNAGEAcwBzAEMAbwBuAHYAZQByAHMAaQBvAG4AXwBTAG8AdQByAGMAZQBcAG4APQBMAEEATQBCAEQAQQAoACgAXAAiAFYARQBFAFIARwAgADIAMAAyADYAOgAgAFQAYQBiAGwAZQAgAEEALgA0AC4AMQAuADIAXAAiACkAKQA7AFwAbgBcAG4AVwBhAHMAdABlAF8AVwBhAHMAdABlAFYAbwBsAHUAbQBlAFQAbwBNAGEAcwBzAEMAbwBuAHYAZQByAHMAaQBvAG4AXwBEAGEAdABhAFwAbgA9AEwAQQBNAEIARABBACgAXABuACAAIABNAEEASwBFAEEAUgBSAEEAWQAoADEAMgAsACAAMgAsAFwAbgAgACAAIAAgAEwAQQBNAEIARABBACgAcgAsAGMALABcAG4AIAAgACAAIAAgACAASQBOAEQARQBYACgAewBcAG4AIAAgACAAIAAgACAAIAAgAFwAIgBXAGEAcwB0AGUAIAB0AHkAcABlACAAdwBcACIALAAgAFwAIgBWAFQATQB3AFwAIgA7AFwAbgAgACAAIAAgACAAIAAgACAAXAAiAEYAbwBvAGQAIAB3AGEAcwB0AGUAIAAoAGkAbgBjAGwAdQBkAGkAbgBnACAAYQBuAGkAbQBhAGwAIABjAGEAcgBjAGEAcwBzAGUAcwAsACAAcwBwAG8AaQBsAGUAZAAgAGEAbgBpAG0AYQBsACAAZgBlAGUAZAAgAG8AcgAgAGMAcgBvAHAAKQBcACIALAAgADAALgA1ADAAOwBcAG4AIAAgACAAIAAgACAAIAAgAFwAIgBQAGEAcABlAHIAIABhAG4AZAAgAGMAYQByAGQAYgBvAGEAcgBkAFwAIgAsACAAMAAuADAAOQA7AFwAbgAgACAAIAAgACAAIAAgACAAXAAiAEcAcgBlAGUAbgAgAHcAYQBzAHQAZQAgACgAaQBuAGMAbAB1AGQAaQBuAGcAIABjAHIAbwBwACAAcgBlAHMAaQBkAHUAZQBzACAAbwByACAAcAByAHUAbgBpAG4AZwBzACkAXAAiACwAIAAwAC4AMgA0ADsAXABuACAAIAAgACAAIAAgACAAIABcACIAVwBvAG8AZABcACIALAAgADAALgAxADUAOwBcAG4AIAAgACAAIAAgACAAIAAgAFwAIgBUAGUAeAB0AGkAbABlAHMAXAAiACwAIAAwAC4AMQA0ADsAXABuACAAIAAgACAAIAAgACAAIABcACIAUwBsAHUAZABnAGUAXAAiACwAIAAwAC4ANwAyADsAXABuACAAIAAgACAAIAAgACAAIABcACIAUgB1AGIAYgBlAHIAIABhAG4AZAAgAGwAZQBhAHQAaABlAHIAXAAiACwAIAAwAC4AMQA0ADsAXABuACAAIAAgACAAIAAgACAAIABcACIASQBuAGUAcgB0ACAAdwBhAHMAdABlACAAKABpAG4AYwBsAHUAZABpAG4AZwAgAGMAbwBuAGMAcgBlAHQAZQAsACAAbQBlAHQAYQBsACwAIABwAGwAYQBzAHQAaQBjACAAbwByACAAZwBsAGEAcwBzACkAXAAiACwAIAAwAC4ANAAyADsAXABuACAAIAAgACAAIAAgACAAIABcACIATQB1AG4AaQBjAGkAcABhAGwAIABzAG8AbABpAGQAIAB3AGEAcwB0AGUAXAAiACwAIAAwAC4AMwA2ADsAXABuACAAIAAgACAAIAAgACAAIABcACIAQwBvAG0AbQBlAHIAYwBpAGEAbAAgAGEAbgBkACAAaQBuAGQAdQBzAHQAcgBpAGEAbAAgAHcAYQBzAHQAZQBcACIALAAgADAALgAzADMAOwBcAG4AIAAgACAAIAAgACAAIAAgAFwAIgBDAG8AbgBzAHQAcgB1AGMAdABpAG8AbgAgAGEAbgBkACAAZABlAG0AbwBsAGkAdABpAG8AbgAgAHcAYQBzAHQAZQBcACIALAAgADAALgAzADkAXABuACAAIAAgACAAIAAgAH0ALAAgAHIALAAgAGMAKQBcAG4AKQApACkAOwBcAG4AXABuAFcAYQBzAHQAZQBfAFcAYQBzAHQAZQBWAG8AbAB1AG0AZQBUAG8ATQBhAHMAcwBDAG8AbgB2AGUAcgBzAGkAbwBuAF8AVgBhAHIAaQBhAHQAaQBvAG4AXABuAD0ATABBAE0AQgBEAEEAKAAoAFwAIgBWAEEAUgBJAEEAVABJAE8ATgAgAE8ARgAgAFMATwBVAFIAQwBFADoAIABDAGgAYQBuAGcAZQBkACAAYwBvAGwAdQBtAG4AIABoAGUAYQBkAGUAcgAgAEMARgB3ACAAdABvACAAVgBUAE0AdwAgAHQAbwAgAG0AYQB0AGMAaAAgAHQAaQB0AGwAZQAgAHYAYQByAGkAYQBiAGwAZQAuAFwAIgApACkAOwBcAG4AXABuAFwAbgAiAH0ALAB7ACIAcABhAHQAaAAiADoAIgAvAHAAcgBvAGoAZQBjAHQAcwAvAFcAYQBzAHQAZQBTAG8AbABpAGQAXwBJAG4AcAB1AHQARgB1AG4AYwB0AGkAbwBuAHMAIgAsACIAdABlAHgAdAAiADoAIgBcAG4AVwBhAHMAdABlAFMAbwBsAGkAZABfAEkAbgBwAHUAdABGAHUAbgBjAHQAaQBvAG4AcwBfAFMAdQBtAFcAYQBzAHQAZQBUAHIAZQBhAHQAbQBlAG4AdABcAG4APQBMAEEATQBCAEQAQQAoAFwAbgAgACAAVAByAGUAYQB0AG0AZQBuAHQAQQByAHIAYQB5ACwAIABXAGEAcwB0AGUAQQByAHIAYQB5ACwAIABUAHIAZQBhAHQAbQBlAG4AdABMAG8AYwBhAHQAaQBvAG4AQQByAHIAYQB5ACwAIABVAG4AaQB0AEEAcgByAGEAeQAsACAAQQBtAG8AdQBuAHQAQQByAHIAYQB5ACwAXABuACAAIABUAHIAZQBhAHQAbQBlAG4AdABUAHkAcABlACwAIABXAGEAcwB0AGUAVAB5AHAAZQAsACAAVAByAGUAYQB0AG0AZQBuAHQATABvAGMAYQB0AGkAbwBuAFQAeQBwAGUALAAgAFUAbgBpAHQAVAB5AHAAZQAsAFwAbgAgACAAUwBVAE0ASQBGAFMAKABcAG4AIAAgACAAIABBAG0AbwB1AG4AdABBAHIAcgBhAHkALABcAG4AIAAgACAAVAByAGUAYQB0AG0AZQBuAHQAQQByAHIAYQB5ACwAIABUAHIAZQBhAHQAbQBlAG4AdABUAHkAcABlACwAXABuACAAIAAgACAAVwBhAHMAdABlAEEAcgByAGEAeQAsACAAVwBhAHMAdABlAFQAeQBwAGUALABcAG4AIAAgACAAIABUAHIAZQBhAHQAbQBlAG4AdABMAG8AYwBhAHQAaQBvAG4AQQByAHIAYQB5ACwAIABUAHIAZQBhAHQAbQBlAG4AdABMAG8AYwBhAHQAaQBvAG4AVAB5AHAAZQAsACAAXABuACAAIAAgACAAVQBuAGkAdABBAHIAcgBhAHkALAAgAFUAbgBpAHQAVAB5AHAAZQBcAG4AIAAgACkAXABuACkAOwAiAH0AXQAsACIAcAByAG8AagBlAGMAdABOAGEAbQBlAHMAIgA6AFsAIgBDAG8AbQBtAG8AbgBfAFMAbwB1AHIAYwBlAEQAYQB0AGEALgBDAG8AbQBtAG8AbgBfAFMAbwB1AHIAYwBlAEQAYQB0AGEAXwBEAGUAbgBzAGkAdAB5AE8AZgBNAGUAdABoAGEAbgBlAF8AVABpAHQAbABlACIALAAiAEMAbwBtAG0AbwBuAF8AUwBvAHUAcgBjAGUARABhAHQAYQAuAEMAbwBtAG0AbwBuAF8AUwBvAHUAcgBjAGUARABhAHQAYQBfAEQAZQBuAHMAaQB0AHkATwBmAE0AZQB0AGgAYQBuAGUAXwBVAG4AaQB0ACIALAAiAEMAbwBtAG0AbwBuAF8AUwBvAHUAcgBjAGUARABhAHQAYQAuAEMAbwBtAG0AbwBuAF8AUwBvAHUAcgBjAGUARABhAHQAYQBfAEQAZQBuAHMAaQB0AHkATwBmAE0AZQB0AGgAYQBuAGUAXwBTAG8AdQByAGMAZQAiACwAIgBDAG8AbQBtAG8AbgBfAFMAbwB1AHIAYwBlAEQAYQB0AGEALgBDAG8AbQBtAG8AbgBfAFMAbwB1AHIAYwBlAEQAYQB0AGEAXwBEAGUAbgBzAGkAdAB5AE8AZgBNAGUAdABoAGEAbgBlAF8ARABhAHQAYQAiACwAIgBDAG8AbQBtAG8AbgBfAFMAbwB1AHIAYwBlAEQAYQB0AGEALgBDAG8AbQBtAG8AbgBfAFMAbwB1AHIAYwBlAEQAYQB0AGEAXwBDAG8AbgB2AGUAcgB0AE4AMgBvAEUAbABlAG0AZQBuAHQAYQBsAFQAbwBNAG8AbABlAGMAdQBsAGEAcgBDAGcAXwBUAGkAdABsAGUAIgAsACIAQwBvAG0AbQBvAG4AXwBTAG8AdQByAGMAZQBEAGEAdABhAC4AQwBvAG0AbQBvAG4AXwBTAG8AdQByAGMAZQBEAGEAdABhAF8AQwBvAG4AdgBlAHIAdABOADIAbwBFAGwAZQBtAGUAbgB0AGEAbABUAG8ATQBvAGwAZQBjAHUAbABhAHIAQwBnAF8AVgBhAHIAaQBhAGIAbABlACIALAAiAEMAbwBtAG0AbwBuAF8AUwBvAHUAcgBjAGUARABhAHQAYQAuAEMAbwBtAG0AbwBuAF8AUwBvAHUAcgBjAGUARABhAHQAYQBfAEMAbwBuAHYAZQByAHQATgAyAG8ARQBsAGUAbQBlAG4AdABhAGwAVABvAE0AbwBsAGUAYwB1AGwAYQByAEMAZwBfAFUAbgBpAHQAIgAsACIAQwBvAG0AbQBvAG4AXwBTAG8AdQByAGMAZQBEAGEAdABhAC4AQwBvAG0AbQBvAG4AXwBTAG8AdQByAGMAZQBEAGEAdABhAF8AQwBvAG4AdgBlAHIAdABOADIAbwBFAGwAZQBtAGUAbgB0AGEAbABUAG8ATQBvAGwAZQBjAHUAbABhAHIAQwBnAF8AUwBvAHUAcgBjAGUAIgAsACIAQwBvAG0AbQBvAG4AXwBTAG8AdQByAGMAZQBEAGEAdABhAC4AQwBvAG0AbQBvAG4AXwBTAG8AdQByAGMAZQBEAGEAdABhAF8AQwBvAG4AdgBlAHIAdABOADIAbwBFAGwAZQBtAGUAbgB0AGEAbABUAG8ATQBvAGwAZQBjAHUAbABhAHIAQwBnAF8ARABhAHQAYQAiACwAIgBDAG8AbQBtAG8AbgBfAFMAbwB1AHIAYwBlAEQAYQB0AGEALgBDAG8AbQBtAG8AbgBfAFMAbwB1AHIAYwBlAEQAYQB0AGEAXwBDAG8AbgB2AGUAcgB0AEcAYQBzAEUAbABlAG0AZQBuAHQAYQBsAFQAbwBNAG8AbABlAGMAdQBsAGEAcgBfAFQAaQB0AGwAZQAiACwAIgBDAG8AbQBtAG8AbgBfAFMAbwB1AHIAYwBlAEQAYQB0AGEALgBDAG8AbQBtAG8AbgBfAFMAbwB1AHIAYwBlAEQAYQB0AGEAXwBDAG8AbgB2AGUAcgB0AEcAYQBzAEUAbABlAG0AZQBuAHQAYQBsAFQAbwBNAG8AbABlAGMAdQBsAGEAcgBfAFYAYQByAGkAYQBiAGwAZQAiACwAIgBDAG8AbQBtAG8AbgBfAFMAbwB1AHIAYwBlAEQAYQB0AGEALgBDAG8AbQBtAG8AbgBfAFMAbwB1AHIAYwBlAEQAYQB0AGEAXwBDAG8AbgB2AGUAcgB0AEcAYQBzAEUAbABlAG0AZQBuAHQAYQBsAFQAbwBNAG8AbABlAGMAdQBsAGEAcgBfAFUAbgBpAHQAIgAsACIAQwBvAG0AbQBvAG4AXwBTAG8AdQByAGMAZQBEAGEAdABhAC4AQwBvAG0AbQBvAG4AXwBTAG8AdQByAGMAZQBEAGEAdABhAF8AQwBvAG4AdgBlAHIAdABHAGEAcwBFAGwAZQBtAGUAbgB0AGEAbABUAG8ATQBvAGwAZQBjAHUAbABhAHIAXwBTAG8AdQByAGMAZQAiACwAIgBDAG8AbQBtAG8AbgBfAFMAbwB1AHIAYwBlAEQAYQB0AGEALgBDAG8AbQBtAG8AbgBfAFMAbwB1AHIAYwBlAEQAYQB0AGEAXwBDAG8AbgB2AGUAcgB0AEcAYQBzAEUAbABlAG0AZQBuAHQAYQBsAFQAbwBNAG8AbABlAGMAdQBsAGEAcgBfAEQAYQB0AGEAIgAsACIAQwBvAG0AbQBvAG4AXwBTAG8AdQByAGMAZQBEAGEAdABhAC4AQwBvAG0AbQBvAG4AXwBTAG8AdQByAGMAZQBEAGEAdABhAF8ARwBXAFAAXwBUAGkAdABsAGUAIgAsACIAQwBvAG0AbQBvAG4AXwBTAG8AdQByAGMAZQBEAGEAdABhAC4AQwBvAG0AbQBvAG4AXwBTAG8AdQByAGMAZQBEAGEAdABhAF8ARwBXAFAAXwBWAGEAcgBpAGEAYgBsAGUAIgAsACIAQwBvAG0AbQBvAG4AXwBTAG8AdQByAGMAZQBEAGEAdABhAC4AQwBvAG0AbQBvAG4AXwBTAG8AdQByAGMAZQBEAGEAdABhAF8ARwBXAFAAXwBVAG4AaQB0ACIALAAiAEMAbwBtAG0AbwBuAF8AUwBvAHUAcgBjAGUARABhAHQAYQAuAEMAbwBtAG0AbwBuAF8AUwBvAHUAcgBjAGUARABhAHQAYQBfAEcAVwBQAF8AUwBvAHUAcgBjAGUAIgAsACIAQwBvAG0AbQBvAG4AXwBTAG8AdQByAGMAZQBEAGEAdABhAC4AQwBvAG0AbQBvAG4AXwBTAG8AdQByAGMAZQBEAGEAdABhAF8ARwBXAFAAXwBEAGEAdABhACIALAAiAEMAbwBtAG0AbwBuAF8AUwBvAHUAcgBjAGUARABhAHQAYQAuAEMAbwBtAG0AbwBuAF8AUwBvAHUAcgBjAGUARABhAHQAYQBfAEEAdQBzAHQAcgBhAGwAaQBhAG4AUwB0AGEAdABlAHMAVABlAHIAcgBpAHQAbwByAGkAZQBzAF8AVABpAHQAbABlACIALAAiAEMAbwBtAG0AbwBuAF8AUwBvAHUAcgBjAGUARABhAHQAYQAuAEMAbwBtAG0AbwBuAF8AUwBvAHUAcgBjAGUARABhAHQAYQBfAEEAdQBzAHQAcgBhAGwAaQBhAG4AUwB0AGEAdABlAHMAVABlAHIAcgBpAHQAbwByAGkAZQBzAF8AVgBhAHIAaQBhAGIAbABlACIALAAiAEMAbwBtAG0AbwBuAF8AUwBvAHUAcgBjAGUARABhAHQAYQAuAEMAbwBtAG0AbwBuAF8AUwBvAHUAcgBjAGUARABhAHQAYQBfAEEAdQBzAHQAcgBhAGwAaQBhAG4AUwB0AGEAdABlAHMAVABlAHIAcgBpAHQAbwByAGkAZQBzAF8AVQBuAGkAdAAiACwAIgBDAG8AbQBtAG8AbgBfAFMAbwB1AHIAYwBlAEQAYQB0AGEALgBDAG8AbQBtAG8AbgBfAFMAbwB1AHIAYwBlAEQAYQB0AGEAXwBBAHUAcwB0AHIAYQBsAGkAYQBuAFMAdABhAHQAZQBzAFQAZQByAHIAaQB0AG8AcgBpAGUAcwBfAFMAbwB1AHIAYwBlACIALAAiAEMAbwBtAG0AbwBuAF8AUwBvAHUAcgBjAGUARABhAHQAYQAuAEMAbwBtAG0AbwBuAF8AUwBvAHUAcgBjAGUARABhAHQAYQBfAEEAdQBzAHQAcgBhAGwAaQBhAG4AUwB0AGEAdABlAHMAVABlAHIAcgBpAHQAbwByAGkAZQBzAF8ARABhAHQAYQAiACwAIgBDAG8AbQBtAG8AbgBfAFMAbwB1AHIAYwBlAEQAYQB0AGEALgBDAG8AbQBtAG8AbgBfAFMAbwB1AHIAYwBlAEQAYQB0AGEAXwBXAEEAUwBBADQAQQByAGUAYQBzAF8AVABpAHQAbABlACIALAAiAEMAbwBtAG0AbwBuAF8AUwBvAHUAcgBjAGUARABhAHQAYQAuAEMAbwBtAG0AbwBuAF8AUwBvAHUAcgBjAGUARABhAHQAYQBfAFcAQQBTAEEANABBAHIAZQBhAHMAXwBWAGEAcgBpAGEAYgBsAGUAIgAsACIAQwBvAG0AbQBvAG4AXwBTAG8AdQByAGMAZQBEAGEAdABhAC4AQwBvAG0AbQBvAG4AXwBTAG8AdQByAGMAZQBEAGEAdABhAF8AVwBBAFMAQQA0AEEAcgBlAGEAcwBfAFUAbgBpAHQAIgAsACIAQwBvAG0AbQBvAG4AXwBTAG8AdQByAGMAZQBEAGEAdABhAC4AQwBvAG0AbQBvAG4AXwBTAG8AdQByAGMAZQBEAGEAdABhAF8AVwBBAFMAQQA0AEEAcgBlAGEAcwBfAFMAbwB1AHIAYwBlACIALAAiAEMAbwBtAG0AbwBuAF8AUwBvAHUAcgBjAGUARABhAHQAYQAuAEMAbwBtAG0AbwBuAF8AUwBvAHUAcgBjAGUARABhAHQAYQBfAFcAQQBTAEEANABBAHIAZQBhAHMAXwBEAGEAdABhACIALAAiAEMAbwBtAG0AbwBuAF8AUwBvAHUAcgBjAGUARABhAHQAYQAuAEMAbwBtAG0AbwBuAF8AUwBvAHUAcgBjAGUARABhAHQAYQBfAFcAZQB0AEEAbgBkAEQAcgB5AFoAbwBuAGUAcwBfAFQAaQB0AGwAZQAiACwAIgBDAG8AbQBtAG8AbgBfAFMAbwB1AHIAYwBlAEQAYQB0AGEALgBDAG8AbQBtAG8AbgBfAFMAbwB1AHIAYwBlAEQAYQB0AGEAXwBXAGUAdABBAG4AZABEAHIAeQBaAG8AbgBlAHMAXwBWAGEAcgBpAGEAYgBsAGUAIgAsACIAQwBvAG0AbQBvAG4AXwBTAG8AdQByAGMAZQBEAGEAdABhAC4AQwBvAG0AbQBvAG4AXwBTAG8AdQByAGMAZQBEAGEAdABhAF8AVwBlAHQAQQBuAGQARAByAHkAWgBvAG4AZQBzAF8AVQBuAGkAdAAiACwAIgBDAG8AbQBtAG8AbgBfAFMAbwB1AHIAYwBlAEQAYQB0AGEALgBDAG8AbQBtAG8AbgBfAFMAbwB1AHIAYwBlAEQAYQB0AGEAXwBXAGUAdABBAG4AZABEAHIAeQBaAG8AbgBlAHMAXwBTAG8AdQByAGMAZQAiACwAIgBDAG8AbQBtAG8AbgBfAFMAbwB1AHIAYwBlAEQAYQB0AGEALgBDAG8AbQBtAG8AbgBfAFMAbwB1AHIAYwBlAEQAYQB0AGEAXwBXAGUAdABBAG4AZABEAHIAeQBaAG8AbgBlAHMAXwBWAGEAcgBpAGEAdABpAG8AbgAiACwAIgBDAG8AbQBtAG8AbgBfAFMAbwB1AHIAYwBlAEQAYQB0AGEALgBDAG8AbQBtAG8AbgBfAFMAbwB1AHIAYwBlAEQAYQB0AGEAXwBXAGUAdABBAG4AZABEAHIAeQBaAG8AbgBlAHMAXwBEAGEAdABhACIALAAiAEMAbwBtAG0AbwBuAF8AUwBvAHUAcgBjAGUARABhAHQAYQAuAEMAbwBtAG0AbwBuAF8AUwBvAHUAcgBjAGUARABhAHQAYQBfAEMAbABpAG0AYQB0AGUAWgBvAG4AZQBzAF8AVABpAHQAbABlACIALAAiAEMAbwBtAG0AbwBuAF8AUwBvAHUAcgBjAGUARABhAHQAYQAuAEMAbwBtAG0AbwBuAF8AUwBvAHUAcgBjAGUARABhAHQAYQBfAEMAbABpAG0AYQB0AGUAWgBvAG4AZQBzAF8AVgBhAHIAaQBhAGIAbABlACIALAAiAEMAbwBtAG0AbwBuAF8AUwBvAHUAcgBjAGUARABhAHQAYQAuAEMAbwBtAG0AbwBuAF8AUwBvAHUAcgBjAGUARABhAHQAYQBfAEMAbABpAG0AYQB0AGUAWgBvAG4AZQBzAF8AVQBuAGkAdAAiACwAIgBDAG8AbQBtAG8AbgBfAFMAbwB1AHIAYwBlAEQAYQB0AGEALgBDAG8AbQBtAG8AbgBfAFMAbwB1AHIAYwBlAEQAYQB0AGEAXwBDAGwAaQBtAGEAdABlAFoAbwBuAGUAcwBfAFMAbwB1AHIAYwBlACIALAAiAEMAbwBtAG0AbwBuAF8AUwBvAHUAcgBjAGUARABhAHQAYQAuAEMAbwBtAG0AbwBuAF8AUwBvAHUAcgBjAGUARABhAHQAYQBfAEMAbABpAG0AYQB0AGUAWgBvAG4AZQBzAF8AVgBhAHIAaQBhAHQAaQBvAG4AIgAsACIAQwBvAG0AbQBvAG4AXwBTAG8AdQByAGMAZQBEAGEAdABhAC4AQwBvAG0AbQBvAG4AXwBTAG8AdQByAGMAZQBEAGEAdABhAF8AQwBsAGkAbQBhAHQAZQBaAG8AbgBlAHMAXwBEAGEAdABhACIALAAiAEMAbwBtAG0AbwBuAF8AUwBvAHUAcgBjAGUARABhAHQAYQAuAEMAbwBtAG0AbwBuAF8AUwBvAHUAcgBjAGUARABhAHQAYQBfAEMAbABpAG0AYQB0AGUAWgBvAG4AZQBzAF8AQQBwAHAAZQBuAGQAaQBjAGUAcwAiACwAIgBDAG8AbQBtAG8AbgBfAFMAbwB1AHIAYwBlAEQAYQB0AGEALgBDAG8AbQBtAG8AbgBfAFMAbwB1AHIAYwBlAEQAYQB0AGEAXwBUAGUAbQBwAGUAcgBhAHQAdQByAGUAWgBvAG4AZQBzAF8AVABpAHQAbABlACIALAAiAEMAbwBtAG0AbwBuAF8AUwBvAHUAcgBjAGUARABhAHQAYQAuAEMAbwBtAG0AbwBuAF8AUwBvAHUAcgBjAGUARABhAHQAYQBfAFQAZQBtAHAAZQByAGEAdAB1AHIAZQBaAG8AbgBlAHMAXwBWAGEAcgBpAGEAYgBsAGUAIgAsACIAQwBvAG0AbQBvAG4AXwBTAG8AdQByAGMAZQBEAGEAdABhAC4AQwBvAG0AbQBvAG4AXwBTAG8AdQByAGMAZQBEAGEAdABhAF8AVABlAG0AcABlAHIAYQB0AHUAcgBlAFoAbwBuAGUAcwBfAFUAbgBpAHQAIgAsACIAQwBvAG0AbQBvAG4AXwBTAG8AdQByAGMAZQBEAGEAdABhAC4AQwBvAG0AbQBvAG4AXwBTAG8AdQByAGMAZQBEAGEAdABhAF8AVABlAG0AcABlAHIAYQB0AHUAcgBlAFoAbwBuAGUAcwBfAFMAbwB1AHIAYwBlACIALAAiAEMAbwBtAG0AbwBuAF8AUwBvAHUAcgBjAGUARABhAHQAYQAuAEMAbwBtAG0AbwBuAF8AUwBvAHUAcgBjAGUARABhAHQAYQBfAFQAZQBtAHAAZQByAGEAdAB1AHIAZQBaAG8AbgBlAHMAXwBWAGEAcgBpAGEAdABpAG8AbgAiACwAIgBDAG8AbQBtAG8AbgBfAFMAbwB1AHIAYwBlAEQAYQB0AGEALgBDAG8AbQBtAG8AbgBfAFMAbwB1AHIAYwBlAEQAYQB0AGEAXwBUAGUAbQBwAGUAcgBhAHQAdQByAGUAWgBvAG4AZQBzAF8ARABhAHQAYQAiACwAIgBDAG8AbQBtAG8AbgBfAFMAbwB1AHIAYwBlAEQAYQB0AGEALgBDAG8AbQBtAG8AbgBfAFMAbwB1AHIAYwBlAEQAYQB0AGEAXwBSAGEAaQBuAGYAYQBsAGwAWgBvAG4AZQBzAF8AVABpAHQAbABlACIALAAiAEMAbwBtAG0AbwBuAF8AUwBvAHUAcgBjAGUARABhAHQAYQAuAEMAbwBtAG0AbwBuAF8AUwBvAHUAcgBjAGUARABhAHQAYQBfAFIAYQBpAG4AZgBhAGwAbABaAG8AbgBlAHMAXwBWAGEAcgBpAGEAYgBsAGUAIgAsACIAQwBvAG0AbQBvAG4AXwBTAG8AdQByAGMAZQBEAGEAdABhAC4AQwBvAG0AbQBvAG4AXwBTAG8AdQByAGMAZQBEAGEAdABhAF8AUgBhAGkAbgBmAGEAbABsAFoAbwBuAGUAcwBfAFUAbgBpAHQAIgAsACIAQwBvAG0AbQBvAG4AXwBTAG8AdQByAGMAZQBEAGEAdABhAC4AQwBvAG0AbQBvAG4AXwBTAG8AdQByAGMAZQBEAGEAdABhAF8AUgBhAGkAbgBmAGEAbABsAFoAbwBuAGUAcwBfAFMAbwB1AHIAYwBlACIALAAiAEMAbwBtAG0AbwBuAF8AUwBvAHUAcgBjAGUARABhAHQAYQAuAEMAbwBtAG0AbwBuAF8AUwBvAHUAcgBjAGUARABhAHQAYQBfAFIAYQBpAG4AZgBhAGwAbABaAG8AbgBlAHMAXwBWAGEAcgBpAGEAdABpAG8AbgAiACwAIgBDAG8AbQBtAG8AbgBfAFMAbwB1AHIAYwBlAEQAYQB0AGEALgBDAG8AbQBtAG8AbgBfAFMAbwB1AHIAYwBlAEQAYQB0AGEAXwBSAGEAaQBuAGYAYQBsAGwAWgBvAG4AZQBzAF8ARABhAHQAYQAiACwAIgBDAG8AbQBtAG8AbgBfAFMAbwB1AHIAYwBlAEQAYQB0AGEALgBDAG8AbQBtAG8AbgBfAFMAbwB1AHIAYwBlAEQAYQB0AGEAXwBMAGUAYQBjAGgAaQBuAGcAWgBvAG4AZQBzAF8AVABpAHQAbABlACIALAAiAEMAbwBtAG0AbwBuAF8AUwBvAHUAcgBjAGUARABhAHQAYQAuAEMAbwBtAG0AbwBuAF8AUwBvAHUAcgBjAGUARABhAHQAYQBfAEwAZQBhAGMAaABpAG4AZwBaAG8AbgBlAHMAXwBWAGEAcgBpAGEAYgBsAGUAIgAsACIAQwBvAG0AbQBvAG4AXwBTAG8AdQByAGMAZQBEAGEAdABhAC4AQwBvAG0AbQBvAG4AXwBTAG8AdQByAGMAZQBEAGEAdABhAF8ATABlAGEAYwBoAGkAbgBnAFoAbwBuAGUAcwBfAFUAbgBpAHQAIgAsACIAQwBvAG0AbQBvAG4AXwBTAG8AdQByAGMAZQBEAGEAdABhAC4AQwBvAG0AbQBvAG4AXwBTAG8AdQByAGMAZQBEAGEAdABhAF8ATABlAGEAYwBoAGkAbgBnAFoAbwBuAGUAcwBfAFMAbwB1AHIAYwBlACIALAAiAEMAbwBtAG0AbwBuAF8AUwBvAHUAcgBjAGUARABhAHQAYQAuAEMAbwBtAG0AbwBuAF8AUwBvAHUAcgBjAGUARABhAHQAYQBfAEwAZQBhAGMAaABpAG4AZwBaAG8AbgBlAHMAXwBWAGEAcgBpAGEAdABpAG8AbgAiACwAIgBDAG8AbQBtAG8AbgBfAFMAbwB1AHIAYwBlAEQAYQB0AGEALgBDAG8AbQBtAG8AbgBfAFMAbwB1AHIAYwBlAEQAYQB0AGEAXwBMAGUAYQBjAGgAaQBuAGcAWgBvAG4AZQBzAF8ARABhAHQAYQAiACwAIgBDAG8AbQBtAG8AbgBfAFMAbwB1AHIAYwBlAEQAYQB0AGEALgBDAG8AbQBtAG8AbgBfAFMAbwB1AHIAYwBlAEQAYQB0AGEAXwBGAHIAYQBjAFcARQBUAF8AVABpAHQAbABlACIALAAiAEMAbwBtAG0AbwBuAF8AUwBvAHUAcgBjAGUARABhAHQAYQAuAEMAbwBtAG0AbwBuAF8AUwBvAHUAcgBjAGUARABhAHQAYQBfAEYAcgBhAGMAVwBFAFQAXwBVAG4AaQB0ACIALAAiAEMAbwBtAG0AbwBuAF8AUwBvAHUAcgBjAGUARABhAHQAYQAuAEMAbwBtAG0AbwBuAF8AUwBvAHUAcgBjAGUARABhAHQAYQBfAEYAcgBhAGMAVwBFAFQAXwBTAG8AdQByAGMAZQAiACwAIgBDAG8AbQBtAG8AbgBfAFMAbwB1AHIAYwBlAEQAYQB0AGEALgBDAG8AbQBtAG8AbgBfAFMAbwB1AHIAYwBlAEQAYQB0AGEAXwBGAHIAYQBjAFcARQBUAF8ATgBJAFIAUgBlAGYAZQByAGUAbgBjAGUAIgAsACIAQwBvAG0AbQBvAG4AXwBTAG8AdQByAGMAZQBEAGEAdABhAC4AQwBvAG0AbQBvAG4AXwBTAG8AdQByAGMAZQBEAGEAdABhAF8ARgByAGEAYwBXAEUAVABfAEQAYQB0AGEAIgAsACIAQwBvAG0AbQBvAG4AXwBTAG8AdQByAGMAZQBEAGEAdABhAC4AQwBvAG0AbQBvAG4AXwBTAG8AdQByAGMAZQBEAGEAdABhAF8ARgByAGEAYwBXAEUAVABfAFYAYQByAGkAYQB0AGkAbwBuACIALAAiAEMAbwBtAG0AbwBuAF8AUwBvAHUAcgBjAGUARABhAHQAYQAuAEMAbwBtAG0AbwBuAF8AUwBvAHUAcgBjAGUARABhAHQAYQBfAEQAYQB0AGEAUwBjAG8AcgBlAHMAXwBTAGMAbwBwAGUAMwBfAFQAaQB0AGwAZQAiACwAIgBDAG8AbQBtAG8AbgBfAFMAbwB1AHIAYwBlAEQAYQB0AGEALgBDAG8AbQBtAG8AbgBfAFMAbwB1AHIAYwBlAEQAYQB0AGEAXwBEAGEAdABhAFMAYwBvAHIAZQBzAF8AUwBjAG8AcABlADMAXwBWAGEAcgBpAGEAYgBsAGUAIgAsACIAQwBvAG0AbQBvAG4AXwBTAG8AdQByAGMAZQBEAGEAdABhAC4AQwBvAG0AbQBvAG4AXwBTAG8AdQByAGMAZQBEAGEAdABhAF8ARABhAHQAYQBTAGMAbwByAGUAcwBfAFMAYwBvAHAAZQAzAF8AVQBuAGkAdAAiACwAIgBDAG8AbQBtAG8AbgBfAFMAbwB1AHIAYwBlAEQAYQB0AGEALgBDAG8AbQBtAG8AbgBfAFMAbwB1AHIAYwBlAEQAYQB0AGEAXwBEAGEAdABhAFMAYwBvAHIAZQBzAF8AUwBjAG8AcABlADMAXwBTAG8AdQByAGMAZQAiACwAIgBDAG8AbQBtAG8AbgBfAFMAbwB1AHIAYwBlAEQAYQB0AGEALgBDAG8AbQBtAG8AbgBfAFMAbwB1AHIAYwBlAEQAYQB0AGEAXwBEAGEAdABhAFMAYwBvAHIAZQBzAF8AUwBjAG8AcABlADMAXwBWAGEAcgBpAGEAdABpAG8AbgAiACwAIgBDAG8AbQBtAG8AbgBfAFMAbwB1AHIAYwBlAEQAYQB0AGEALgBDAG8AbQBtAG8AbgBfAFMAbwB1AHIAYwBlAEQAYQB0AGEAXwBEAGEAdABhAFMAYwBvAHIAZQBzAF8AUwBjAG8AcABlADMAXwBEAGEAdABhACIALAAiAEMAbwBtAG0AbwBuAF8AUwBvAHUAcgBjAGUARABhAHQAYQAuAEMAbwBtAG0AbwBuAF8AUwBvAHUAcgBjAGUARABhAHQAYQBfAEYAcgBhAGMATABFAEEAQwBIAF8AVABpAHQAbABlACIALAAiAEMAbwBtAG0AbwBuAF8AUwBvAHUAcgBjAGUARABhAHQAYQAuAEMAbwBtAG0AbwBuAF8AUwBvAHUAcgBjAGUARABhAHQAYQBfAEYAcgBhAGMATABFAEEAQwBIAF8AVQBuAGkAdAAiACwAIgBDAG8AbQBtAG8AbgBfAFMAbwB1AHIAYwBlAEQAYQB0AGEALgBDAG8AbQBtAG8AbgBfAFMAbwB1AHIAYwBlAEQAYQB0AGEAXwBGAHIAYQBjAEwARQBBAEMASABfAFMAbwB1AHIAYwBlACIALAAiAEMAbwBtAG0AbwBuAF8AUwBvAHUAcgBjAGUARABhAHQAYQAuAEMAbwBtAG0AbwBuAF8AUwBvAHUAcgBjAGUARABhAHQAYQBfAEYAcgBhAGMATABFAEEAQwBIAF8ATgBJAFIAUgBlAGYAZQByAGUAbgBjAGUAIgAsACIAQwBvAG0AbQBvAG4AXwBTAG8AdQByAGMAZQBEAGEAdABhAC4AQwBvAG0AbQBvAG4AXwBTAG8AdQByAGMAZQBEAGEAdABhAF8ARgByAGEAYwBMAEUAQQBDAEgAXwBEAGEAdABhACIALAAiAEMAbwBtAG0AbwBuAF8AUwBvAHUAcgBjAGUARABhAHQAYQAuAEMAbwBtAG0AbwBuAF8AUwBvAHUAcgBjAGUARABhAHQAYQBfAEYAcgBhAGMATABFAEEAQwBIAF8AVgBhAHIAaQBhAHQAaQBvAG4AIgAsACIAQwBvAG0AbQBvAG4AXwBTAG8AdQByAGMAZQBEAGEAdABhAC4AQwBvAG0AbQBvAG4AXwBTAG8AdQByAGMAZQBEAGEAdABhAF8ARQBGAGwAZQBhAGMAaABfAFQAaQB0AGwAZQAiACwAIgBDAG8AbQBtAG8AbgBfAFMAbwB1AHIAYwBlAEQAYQB0AGEALgBDAG8AbQBtAG8AbgBfAFMAbwB1AHIAYwBlAEQAYQB0AGEAXwBFAEYAbABlAGEAYwBoAF8AVQBuAGkAdAAiACwAIgBDAG8AbQBtAG8AbgBfAFMAbwB1AHIAYwBlAEQAYQB0AGEALgBDAG8AbQBtAG8AbgBfAFMAbwB1AHIAYwBlAEQAYQB0AGEAXwBFAEYAbABlAGEAYwBoAF8AUwBvAHUAcgBjAGUAIgAsACIAQwBvAG0AbQBvAG4AXwBTAG8AdQByAGMAZQBEAGEAdABhAC4AQwBvAG0AbQBvAG4AXwBTAG8AdQByAGMAZQBEAGEAdABhAF8ARQBGAGwAZQBhAGMAaABfAE4ASQBSAFIAZQBmAGUAcgBlAG4AYwBlACIALAAiAEMAbwBtAG0AbwBuAF8AUwBvAHUAcgBjAGUARABhAHQAYQAuAEMAbwBtAG0AbwBuAF8AUwBvAHUAcgBjAGUARABhAHQAYQBfAEUARgBsAGUAYQBjAGgAXwBEAGEAdABhACIALAAiAEMAbwBtAG0AbwBuAF8AUwBvAHUAcgBjAGUARABhAHQAYQAuAEMAbwBtAG0AbwBuAF8AUwBvAHUAcgBjAGUARABhAHQAYQBfAEUARgBsAGUAYQBjAGgAXwBWAGEAcgBpAGEAdABpAG8AbgAiACwAIgBDAG8AbQBtAG8AbgBfAFMAbwB1AHIAYwBlAEQAYQB0AGEALgBDAG8AbQBtAG8AbgBfAFMAbwB1AHIAYwBlAEQAYQB0AGEAXwBFAEYATgAyAE8AXwBUAGkAdABsAGUAIgAsACIAQwBvAG0AbQBvAG4AXwBTAG8AdQByAGMAZQBEAGEAdABhAC4AQwBvAG0AbQBvAG4AXwBTAG8AdQByAGMAZQBEAGEAdABhAF8ARQBGAE4AMgBPAF8AVQBuAGkAdAAiACwAIgBDAG8AbQBtAG8AbgBfAFMAbwB1AHIAYwBlAEQAYQB0AGEALgBDAG8AbQBtAG8AbgBfAFMAbwB1AHIAYwBlAEQAYQB0AGEAXwBFAEYATgAyAE8AXwBTAG8AdQByAGMAZQAiACwAIgBDAG8AbQBtAG8AbgBfAFMAbwB1AHIAYwBlAEQAYQB0AGEALgBDAG8AbQBtAG8AbgBfAFMAbwB1AHIAYwBlAEQAYQB0AGEAXwBFAEYATgAyAE8AXwBOAEkAUgBSAGUAZgBlAHIAZQBuAGMAZQAiACwAIgBDAG8AbQBtAG8AbgBfAFMAbwB1AHIAYwBlAEQAYQB0AGEALgBDAG8AbQBtAG8AbgBfAFMAbwB1AHIAYwBlAEQAYQB0AGEAXwBFAEYATgAyAE8AXwBEAGEAdABhACIALAAiAEMAbwBtAG0AbwBuAF8AUwBvAHUAcgBjAGUARABhAHQAYQAuAEMAbwBtAG0AbwBuAF8AUwBvAHUAcgBjAGUARABhAHQAYQBfAEUARgBOADIATwBfAFYAYQByAGkAYQB0AGkAbwBuACIALAAiAEMAbwBtAG0AbwBuAF8AUwBvAHUAcgBjAGUARABhAHQAYQAuAEMAbwBtAG0AbwBuAF8AUwBvAHUAcgBjAGUARABhAHQAYQBfAEYAcgBhAGMAVwBFAFQASQByAHIAaQBnAGEAdABpAG8AbgBfAFQAaQB0AGwAZQAiACwAIgBDAG8AbQBtAG8AbgBfAFMAbwB1AHIAYwBlAEQAYQB0AGEALgBDAG8AbQBtAG8AbgBfAFMAbwB1AHIAYwBlAEQAYQB0AGEAXwBGAHIAYQBjAFcARQBUAEkAcgByAGkAZwBhAHQAaQBvAG4AXwBVAG4AaQB0ACIALAAiAEMAbwBtAG0AbwBuAF8AUwBvAHUAcgBjAGUARABhAHQAYQAuAEMAbwBtAG0AbwBuAF8AUwBvAHUAcgBjAGUARABhAHQAYQBfAEYAcgBhAGMAVwBFAFQASQByAHIAaQBnAGEAdABpAG8AbgBfAFMAbwB1AHIAYwBlACIALAAiAEMAbwBtAG0AbwBuAF8AUwBvAHUAcgBjAGUARABhAHQAYQAuAEMAbwBtAG0AbwBuAF8AUwBvAHUAcgBjAGUARABhAHQAYQBfAEYAcgBhAGMAVwBFAFQASQByAHIAaQBnAGEAdABpAG8AbgBfAE4ASQBSAFIAZQBmAGUAcgBlAG4AYwBlACIALAAiAEMAbwBtAG0AbwBuAF8AUwBvAHUAcgBjAGUARABhAHQAYQAuAEMAbwBtAG0AbwBuAF8AUwBvAHUAcgBjAGUARABhAHQAYQBfAEYAcgBhAGMAVwBFAFQASQByAHIAaQBnAGEAdABpAG8AbgBfAEQAYQB0AGEAIgAsACIAQwBvAG0AbQBvAG4AXwBTAG8AdQByAGMAZQBEAGEAdABhAC4AQwBvAG0AbQBvAG4AXwBTAG8AdQByAGMAZQBEAGEAdABhAF8ARgByAGEAYwBXAEUAVABJAHIAcgBpAGcAYQB0AGkAbwBuAF8AVgBhAHIAaQBhAHQAaQBvAG4AIgAsACIAQwBvAG0AbQBvAG4AXwBTAG8AdQByAGMAZQBEAGEAdABhAC4AQwBvAG0AbQBvAG4AXwBTAG8AdQByAGMAZQBEAGEAdABhAF8ARQBGAFAAYQBzAHQAdQByAGUAUgBhAG4AZwBlAEEAbgBkAFAAYQBkAGQAbwBjAGsAXwBUAGkAdABsAGUAIgAsACIAQwBvAG0AbQBvAG4AXwBTAG8AdQByAGMAZQBEAGEAdABhAC4AQwBvAG0AbQBvAG4AXwBTAG8AdQByAGMAZQBEAGEAdABhAF8ARQBGAFAAYQBzAHQAdQByAGUAUgBhAG4AZwBlAEEAbgBkAFAAYQBkAGQAbwBjAGsAXwBVAG4AaQB0ACIALAAiAEMAbwBtAG0AbwBuAF8AUwBvAHUAcgBjAGUARABhAHQAYQAuAEMAbwBtAG0AbwBuAF8AUwBvAHUAcgBjAGUARABhAHQAYQBfAEUARgBQAGEAcwB0AHUAcgBlAFIAYQBuAGcAZQBBAG4AZABQAGEAZABkAG8AYwBrAF8AUwBvAHUAcgBjAGUAIgAsACIAQwBvAG0AbQBvAG4AXwBTAG8AdQByAGMAZQBEAGEAdABhAC4AQwBvAG0AbQBvAG4AXwBTAG8AdQByAGMAZQBEAGEAdABhAF8ARQBGAFAAYQBzAHQAdQByAGUAUgBhAG4AZwBlAEEAbgBkAFAAYQBkAGQAbwBjAGsAXwBOAEkAUgBSAGUAZgBlAHIAZQBuAGMAZQAiACwAIgBDAG8AbQBtAG8AbgBfAFMAbwB1AHIAYwBlAEQAYQB0AGEALgBDAG8AbQBtAG8AbgBfAFMAbwB1AHIAYwBlAEQAYQB0AGEAXwBFAEYAUABhAHMAdAB1AHIAZQBSAGEAbgBnAGUAQQBuAGQAUABhAGQAZABvAGMAawBfAEQAYQB0AGEAIgAsACIAQwBvAG0AbQBvAG4AXwBTAG8AdQByAGMAZQBEAGEAdABhAC4AQwBvAG0AbQBvAG4AXwBTAG8AdQByAGMAZQBEAGEAdABhAF8ARQBGAFAAYQBzAHQAdQByAGUAUgBhAG4AZwBlAEEAbgBkAFAAYQBkAGQAbwBjAGsAXwBWAGEAcgBpAGEAdABpAG8AbgAiACwAIgBDAG8AbQBtAG8AbgBfAFMAbwB1AHIAYwBlAEQAYQB0AGEALgBDAG8AbQBtAG8AbgBfAFMAbwB1AHIAYwBlAEQAYQB0AGEAXwBNAG8AbgB0AGgAcwBUAG8AUwBlAGEAcwBvAG4AcwBfAFQAaQB0AGwAZQAiACwAIgBDAG8AbQBtAG8AbgBfAFMAbwB1AHIAYwBlAEQAYQB0AGEALgBDAG8AbQBtAG8AbgBfAFMAbwB1AHIAYwBlAEQAYQB0AGEAXwBNAG8AbgB0AGgAcwBUAG8AUwBlAGEAcwBvAG4AcwBfAFUAbgBpAHQAIgAsACIAQwBvAG0AbQBvAG4AXwBTAG8AdQByAGMAZQBEAGEAdABhAC4AQwBvAG0AbQBvAG4AXwBTAG8AdQByAGMAZQBEAGEAdABhAF8ATQBvAG4AdABoAHMAVABvAFMAZQBhAHMAbwBuAHMAXwBTAG8AdQByAGMAZQAiACwAIgBDAG8AbQBtAG8AbgBfAFMAbwB1AHIAYwBlAEQAYQB0AGEALgBDAG8AbQBtAG8AbgBfAFMAbwB1AHIAYwBlAEQAYQB0AGEAXwBNAG8AbgB0AGgAcwBUAG8AUwBlAGEAcwBvAG4AcwBfAE4ASQBSAFIAZQBmAGUAcgBlAG4AYwBlACIALAAiAEMAbwBtAG0AbwBuAF8AUwBvAHUAcgBjAGUARABhAHQAYQAuAEMAbwBtAG0AbwBuAF8AUwBvAHUAcgBjAGUARABhAHQAYQBfAE0AbwBuAHQAaABzAFQAbwBTAGUAYQBzAG8AbgBzAF8ARABhAHQAYQAiACwAIgBDAG8AbQBtAG8AbgBfAFMAbwB1AHIAYwBlAEQAYQB0AGEALgBDAG8AbQBtAG8AbgBfAFMAbwB1AHIAYwBlAEQAYQB0AGEAXwBNAG8AbgB0AGgAcwBUAG8AUwBlAGEAcwBvAG4AcwBfAFYAYQByAGkAYQB0AGkAbwBuACIALAAiAEMAbwBtAG0AbwBuAF8AUwBvAHUAcgBjAGUARABhAHQAYQAuAEMAbwBtAG0AbwBuAF8AUwBvAHUAcgBjAGUARABhAHQAYQBfAEUARgBPAHIAZwBhAG4AaQBjAEYAZQByAHQAaQBsAGkAcwBlAHIAQQBuAGQAQwByAG8AcABSAGUAcwBpAGQAdQBlAHMAXwBUAGkAdABsAGUAIgAsACIAQwBvAG0AbQBvAG4AXwBTAG8AdQByAGMAZQBEAGEAdABhAC4AQwBvAG0AbQBvAG4AXwBTAG8AdQByAGMAZQBEAGEAdABhAF8ARQBGAE8AcgBnAGEAbgBpAGMARgBlAHIAdABpAGwAaQBzAGUAcgBBAG4AZABDAHIAbwBwAFIAZQBzAGkAZAB1AGUAcwBfAFYAYQByAGkAYQBiAGwAZQAiACwAIgBDAG8AbQBtAG8AbgBfAFMAbwB1AHIAYwBlAEQAYQB0AGEALgBDAG8AbQBtAG8AbgBfAFMAbwB1AHIAYwBlAEQAYQB0AGEAXwBFAEYATwByAGcAYQBuAGkAYwBGAGUAcgB0AGkAbABpAHMAZQByAEEAbgBkAEMAcgBvAHAAUgBlAHMAaQBkAHUAZQBzAF8AVQBuAGkAdAAiACwAIgBDAG8AbQBtAG8AbgBfAFMAbwB1AHIAYwBlAEQAYQB0AGEALgBDAG8AbQBtAG8AbgBfAFMAbwB1AHIAYwBlAEQAYQB0AGEAXwBFAEYATwByAGcAYQBuAGkAYwBGAGUAcgB0AGkAbABpAHMAZQByAEEAbgBkAEMAcgBvAHAAUgBlAHMAaQBkAHUAZQBzAF8AUwBvAHUAcgBjAGUAIgAsACIAQwBvAG0AbQBvAG4AXwBTAG8AdQByAGMAZQBEAGEAdABhAC4AQwBvAG0AbQBvAG4AXwBTAG8AdQByAGMAZQBEAGEAdABhAF8ARQBGAE8AcgBnAGEAbgBpAGMARgBlAHIAdABpAGwAaQBzAGUAcgBBAG4AZABDAHIAbwBwAFIAZQBzAGkAZAB1AGUAcwBfAE4ASQBSAFIAZQBmAGUAcgBlAG4AYwBlACIALAAiAEMAbwBtAG0AbwBuAF8AUwBvAHUAcgBjAGUARABhAHQAYQAuAEMAbwBtAG0AbwBuAF8AUwBvAHUAcgBjAGUARABhAHQAYQBfAEUARgBPAHIAZwBhAG4AaQBjAEYAZQByAHQAaQBsAGkAcwBlAHIAQQBuAGQAQwByAG8AcABSAGUAcwBpAGQAdQBlAHMAXwBEAGEAdABhACIALAAiAEMAbwBtAG0AbwBuAF8AUwBvAHUAcgBjAGUARABhAHQAYQAuAEMAbwBtAG0AbwBuAF8AUwBvAHUAcgBjAGUARABhAHQAYQBfAEUARgBPAHIAZwBhAG4AaQBjAEYAZQByAHQAaQBsAGkAcwBlAHIAQQBuAGQAQwByAG8AcABSAGUAcwBpAGQAdQBlAHMAXwBWAGEAcgBpAGEAdABpAG8AbgAiACwAIgBDAG8AbQBtAG8AbgBfAEUAcQB1AGEAdABpAG8AbgBzAC4AQwBvAG0AbQBvAG4AXwBDAG8AbgB2AGUAcgB0AE4AMgBPAFQAbwBDAE8AMgBlACIALAAiAEMAbwBtAG0AbwBuAF8ARQBxAHUAYQB0AGkAbwBuAHMALgBDAG8AbQBtAG8AbgBfAEMAbwBuAHYAZQByAHQATgAyAE8AVABvAEMATwAyAGUAXwBUAGkAdABsAGUAIgAsACIAQwBvAG0AbQBvAG4AXwBFAHEAdQBhAHQAaQBvAG4AcwAuAEMAbwBtAG0AbwBuAF8AQwBvAG4AdgBlAHIAdABOADIATwBUAG8AQwBPADIAZQBfAFYAYQByAGkAYQBiAGwAZQAiACwAIgBDAG8AbQBtAG8AbgBfAEUAcQB1AGEAdABpAG8AbgBzAC4AQwBvAG0AbQBvAG4AXwBDAG8AbgB2AGUAcgB0AE4AMgBPAFQAbwBDAE8AMgBlAF8AVQBuAGkAdAAiACwAIgBDAG8AbQBtAG8AbgBfAEUAcQB1AGEAdABpAG8AbgBzAC4AQwBvAG0AbQBvAG4AXwBDAG8AbgB2AGUAcgB0AE4AMgBPAFQAbwBDAE8AMgBlAF8ATgBJAFIAUgBlAGYAZQByAGUAbgBjAGUAIgAsACIAQwBvAG0AbQBvAG4AXwBFAHEAdQBhAHQAaQBvAG4AcwAuAEMAbwBtAG0AbwBuAF8AQwBvAG4AdgBlAHIAdABOADIATwBUAG8AQwBPADIAZQBfAEwAYQB0AGUAeABFAHEAdQBhAHQAaQBvAG4AIgAsACIAQwBvAG0AbQBvAG4AXwBFAHEAdQBhAHQAaQBvAG4AcwAuAEMAbwBtAG0AbwBuAF8AQwBvAG4AdgBlAHIAdABOADIATwBUAG8AQwBPADIAZQBfAEEAcgBnAHUAbQBlAG4AdABzACIALAAiAEMAbwBtAG0AbwBuAF8ARQBxAHUAYQB0AGkAbwBuAHMALgBDAG8AbQBtAG8AbgBfAEMAbwBuAHYAZQByAHQAQwBIADQAVABvAEMATwAyAGUAIgAsACIAQwBvAG0AbQBvAG4AXwBFAHEAdQBhAHQAaQBvAG4AcwAuAEMAbwBtAG0AbwBuAF8AQwBvAG4AdgBlAHIAdABDAEgANABUAG8AQwBPADIAZQBfAFQAaQB0AGwAZQAiACwAIgBDAG8AbQBtAG8AbgBfAEUAcQB1AGEAdABpAG8AbgBzAC4AQwBvAG0AbQBvAG4AXwBDAG8AbgB2AGUAcgB0AEMASAA0AFQAbwBDAE8AMgBlAF8AVgBhAHIAaQBhAGIAbABlACIALAAiAEMAbwBtAG0AbwBuAF8ARQBxAHUAYQB0AGkAbwBuAHMALgBDAG8AbQBtAG8AbgBfAEMAbwBuAHYAZQByAHQAQwBIADQAVABvAEMATwAyAGUAXwBVAG4AaQB0ACIALAAiAEMAbwBtAG0AbwBuAF8ARQBxAHUAYQB0AGkAbwBuAHMALgBDAG8AbQBtAG8AbgBfAEMAbwBuAHYAZQByAHQAQwBIADQAVABvAEMATwAyAGUAXwBOAEkAUgBSAGUAZgBlAHIAZQBuAGMAZQAiACwAIgBDAG8AbQBtAG8AbgBfAEUAcQB1AGEAdABpAG8AbgBzAC4AQwBvAG0AbQBvAG4AXwBDAG8AbgB2AGUAcgB0AEMASAA0AFQAbwBDAE8AMgBlAF8ATABhAHQAZQB4AEUAcQB1AGEAdABpAG8AbgAiACwAIgBDAG8AbQBtAG8AbgBfAEUAcQB1AGEAdABpAG8AbgBzAC4AQwBvAG0AbQBvAG4AXwBDAG8AbgB2AGUAcgB0AEMASAA0AFQAbwBDAE8AMgBlAF8AQQByAGcAdQBtAGUAbgB0AHMAIgAsACIAQwBvAG0AbQBvAG4AXwBJAG4AcAB1AHQARgB1AG4AYwB0AGkAbwBuAHMALgBVAHQAaQBsAGkAdAB5AF8ARwBlAHQAQQByAHIAYQB5AFQAYQBiAGwAZQBSAG8AdwBTAHQAYQByAHQATgB1AG0AYgBlAHIAIgAsACIAQwBvAG0AbQBvAG4AXwBJAG4AcAB1AHQARgB1AG4AYwB0AGkAbwBuAHMALgBVAHQAaQBsAGkAdAB5AF8ARwBlAHQAQQByAHIAYQB5AFQAYQBiAGwAZQBDAG8AbAB1AG0AbgBTAHQAYQByAHQATgB1AG0AYgBlAHIAIgAsACIAQwBvAG0AbQBvAG4AXwBJAG4AcAB1AHQARgB1AG4AYwB0AGkAbwBuAHMALgBVAHQAaQBsAGkAdAB5AF8ARABpAHMAcABsAGEAeQBBAHIAcgBhAHkASQBuAFQAYQBiAGwAZQAiACwAIgBDAG8AbQBtAG8AbgBfAEkAbgBwAHUAdABGAHUAbgBjAHQAaQBvAG4AcwAuAFUAdABpAGwAaQB0AHkAXwBMAG8AbwBrAHUAcABWAGEAbAB1AGUASQBuAFQAYQBiAGwAZQAiACwAIgBDAG8AbQBtAG8AbgBfAEkAbgBwAHUAdABGAHUAbgBjAHQAaQBvAG4AcwAuAFUAdABpAGwAaQB0AHkAXwBMAG8AbwBrAHUAcABWAGEAbAB1AGUASQBuAFQAYQBiAGwAZQBOAHUAbQBiAGUAcgAiACwAIgBDAG8AbQBtAG8AbgBfAEkAbgBwAHUAdABGAHUAbgBjAHQAaQBvAG4AcwAuAFUAdABpAGwAaQB0AHkAXwBMAG8AbwBrAHUAcABWAGEAbAB1AGUASQBuAFQAYQBiAGwAZQBUAHcAbwBDAG8AbAB1AG0AbgBzACIALAAiAEMAbwBtAG0AbwBuAF8ASQBuAHAAdQB0AEYAdQBuAGMAdABpAG8AbgBzAC4AVQB0AGkAbABpAHQAeQBfAEwAbwBvAGsAdQBwAFYAYQBsAHUAZQBJAG4AVABhAGIAbABlAE8AbgBlAEMAbwBsAHUAbQBuAEEAbgBkAEgAZQBhAGQAZQByACIALAAiAEMAbwBtAG0AbwBuAF8ASQBuAHAAdQB0AEYAdQBuAGMAdABpAG8AbgBzAC4AVQB0AGkAbABpAHQAeQBfAFMAcABsAGkAdABTAHQAcgBpAG4AZwBJAG4AdABvAEEAcgByAGEAeQAiACwAIgBDAG8AbQBtAG8AbgBfAEkAbgBwAHUAdABGAHUAbgBjAHQAaQBvAG4AcwAuAFUAdABpAGwAaQB0AHkAXwBHAGUAdABDAGwAaQBtAGEAdABlAFoAbwBuAGUAIgAsACIAQwBvAG0AbQBvAG4AXwBJAG4AcAB1AHQARgB1AG4AYwB0AGkAbwBuAHMALgBVAHQAaQBsAGkAdAB5AF8ATABvAG8AawB1AHAASQB0AGUAbQBGAHIAbwBtAE0AaQBuAE0AYQB4ACIALAAiAEMAbwBtAG0AbwBuAF8ASQBuAHAAdQB0AEYAdQBuAGMAdABpAG8AbgBzAC4AVQB0AGkAbABpAHQAeQBfAFMAdQBtAFEAdQBhAG4AdABpAHQAeQBGAHIAbwBtAEMAcgBpAHQAZQByAGkAYQAiACwAIgBDAG8AbQBtAG8AbgBfAEkAbgBwAHUAdABGAHUAbgBjAHQAaQBvAG4AcwAuAGcAZQB0AE8AdgBlAHIAbABhAHAAcABpAG4AZwBSAGUAcABvAHIAdABpAG4AZwBDAHkAYwBsAGUAcwAiACwAIgBDAG8AbQBtAG8AbgBfAEkAbgBwAHUAdABGAHUAbgBjAHQAaQBvAG4AcwAuAGcAZQB0AE8AdgBlAHIAbABhAHAAcABpAG4AZwBSAGUAcABvAHIAdABpAG4AZwBQAGUAcgBpAG8AZABzACIALAAiAEMAbwBtAG0AbwBuAF8ASQBuAHAAdQB0AEYAdQBuAGMAdABpAG8AbgBzAC4AVQB0AGkAbABpAHQAeQBfAEQAaQBzAHAAbABhAHkARgB1AG4AYwB0AGkAbwBuAE4AYQBtAGUAIgAsACIAQwBvAG0AbQBvAG4AXwBJAG4AcAB1AHQARgB1AG4AYwB0AGkAbwBuAHMALgBVAHQAaQBsAGkAdAB5AF8ATABvAG8AawB1AHAATgAyAE8ARQBGAEYAcgBvAG0AUAByAG8AZABJAHIAcgBpAGcAYQB0AGkAbwBuAFIAYQBpAG4AZgBhAGwAbAAiACwAIgBDAG8AbQBtAG8AbgBfAEkAbgBwAHUAdABGAHUAbgBjAHQAaQBvAG4AcwAuAEMAbwBtAG0AbwBuAEMAcgBvAHAAcABpAG4AZwBfAEcAZQB0AEYAcgBhAGMAVwBFAFQAIgAsACIAQwBvAG0AbQBvAG4AXwBJAG4AcAB1AHQARgB1AG4AYwB0AGkAbwBuAHMALgBVAHQAaQBsAGkAdAB5AF8AQwBvAG4AdgBlAHIAdABTAHQAYQB0AGUAQwBvAG0AbQBvAG4ATgBhAG0AZQBUAG8AQQBiAGIAcgBlAHYAaQBhAHQAaQBvAG4AIgAsACIAQwBvAG0AbQBvAG4AXwBJAG4AcAB1AHQARgB1AG4AYwB0AGkAbwBuAHMALgBVAHQAaQBsAGkAdAB5AF8AUwBvAHUAcgBjAGUASAB5AHAAZQByAGwAaQBuAGsARABpAGYAZgBlAHIAZQBuAHQAUwBoAGUAZQB0ACIALAAiAEMAbwBtAG0AbwBuAF8ASQBuAHAAdQB0AEYAdQBuAGMAdABpAG8AbgBzAC4AVQB0AGkAbABpAHQAeQBfAFIAZQBzAHUAbAB0AHMASQB0AGUAbQBGAHIAbwBtAEUAcQB1AGEAdABpAG8AbgBUAGkAdABsAGUAQQBuAGQAUwBvAHUAcgBjAGUAIgAsACIAVwBhAHMAdABlAFMAbwBsAGkAZABfAEUAcQB1AGEAdABpAG8AbgBzAC4AVgBFAEUAUgBHAF8AMQAwAF8AMQBfADEAXwAxAF8AXwAxAF8ARQBtAGkAcwBzAGkAbwBuAHMARgByAG8AbQBXAGEAcwB0AGUATQBhAG4AYQBnAGUAbQBlAG4AdAAiACwAIgBXAGEAcwB0AGUAUwBvAGwAaQBkAF8ARQBxAHUAYQB0AGkAbwBuAHMALgBWAEUARQBSAEcAXwAxADAAXwAxAF8AMQBfADEAXwBfADEAXwBFAG0AaQBzAHMAaQBvAG4AcwBGAHIAbwBtAFcAYQBzAHQAZQBNAGEAbgBhAGcAZQBtAGUAbgB0AF8AVABpAHQAbABlACIALAAiAFcAYQBzAHQAZQBTAG8AbABpAGQAXwBFAHEAdQBhAHQAaQBvAG4AcwAuAFYARQBFAFIARwBfADEAMABfADEAXwAxAF8AMQBfAF8AMQBfAEUAbQBpAHMAcwBpAG8AbgBzAEYAcgBvAG0AVwBhAHMAdABlAE0AYQBuAGEAZwBlAG0AZQBuAHQAXwBWAGEAcgBpAGEAYgBsAGUAIgAsACIAVwBhAHMAdABlAFMAbwBsAGkAZABfAEUAcQB1AGEAdABpAG8AbgBzAC4AVgBFAEUAUgBHAF8AMQAwAF8AMQBfADEAXwAxAF8AXwAxAF8ARQBtAGkAcwBzAGkAbwBuAHMARgByAG8AbQBXAGEAcwB0AGUATQBhAG4AYQBnAGUAbQBlAG4AdABfAFUAbgBpAHQAIgAsACIAVwBhAHMAdABlAFMAbwBsAGkAZABfAEUAcQB1AGEAdABpAG8AbgBzAC4AVgBFAEUAUgBHAF8AMQAwAF8AMQBfADEAXwAxAF8AXwAxAF8ARQBtAGkAcwBzAGkAbwBuAHMARgByAG8AbQBXAGEAcwB0AGUATQBhAG4AYQBnAGUAbQBlAG4AdABfAFMAbwB1AHIAYwBlACIALAAiAFcAYQBzAHQAZQBTAG8AbABpAGQAXwBFAHEAdQBhAHQAaQBvAG4AcwAuAFYARQBFAFIARwBfADEAMABfADEAXwAxAF8AMQBfAF8AMQBfAEUAbQBpAHMAcwBpAG8AbgBzAEYAcgBvAG0AVwBhAHMAdABlAE0AYQBuAGEAZwBlAG0AZQBuAHQAXwBOAEkAUgBSAGUAZgBlAHIAZQBuAGMAZQAiACwAIgBXAGEAcwB0AGUAUwBvAGwAaQBkAF8ARQBxAHUAYQB0AGkAbwBuAHMALgBWAEUARQBSAEcAXwAxADAAXwAxAF8AMQBfADEAXwBfADEAXwBFAG0AaQBzAHMAaQBvAG4AcwBGAHIAbwBtAFcAYQBzAHQAZQBNAGEAbgBhAGcAZQBtAGUAbgB0AF8ATABhAHQAZQB4AEUAcQB1AGEAdABpAG8AbgAiACwAIgBXAGEAcwB0AGUAUwBvAGwAaQBkAF8ARQBxAHUAYQB0AGkAbwBuAHMALgBWAEUARQBSAEcAXwAxADAAXwAxAF8AMQBfADEAXwBfADEAXwBFAG0AaQBzAHMAaQBvAG4AcwBGAHIAbwBtAFcAYQBzAHQAZQBNAGEAbgBhAGcAZQBtAGUAbgB0AF8AQQByAGcAdQBtAGUAbgB0AHMAIgAsACIAVwBhAHMAdABlAFMAbwBsAGkAZABfAEUAcQB1AGEAdABpAG8AbgBzAC4AVgBFAEUAUgBHAF8AMQAwAF8AMQBfADEAXwAxAF8AXwAxAF8ARQBtAGkAcwBzAGkAbwBuAHMARgByAG8AbQBXAGEAcwB0AGUATQBhAG4AYQBnAGUAbQBlAG4AdABfAFYAYQByAGkAYQB0AGkAbwBuACIALAAiAFcAYQBzAHQAZQBTAG8AbABpAGQAXwBFAHEAdQBhAHQAaQBvAG4AcwAuAFYARQBFAFIARwBfADEAMABfADEAXwAxAF8AMQBfAF8AMgBfAE0AYQBzAHMATwBmAFcAYQBzAHQAZQBGAHIAbwBtAFYAbwBsAHUAbQBlACIALAAiAFcAYQBzAHQAZQBTAG8AbABpAGQAXwBFAHEAdQBhAHQAaQBvAG4AcwAuAFYARQBFAFIARwBfADEAMABfADEAXwAxAF8AMQBfAF8AMgBfAE0AYQBzAHMATwBmAFcAYQBzAHQAZQBGAHIAbwBtAFYAbwBsAHUAbQBlAF8AVABpAHQAbABlACIALAAiAFcAYQBzAHQAZQBTAG8AbABpAGQAXwBFAHEAdQBhAHQAaQBvAG4AcwAuAFYARQBFAFIARwBfADEAMABfADEAXwAxAF8AMQBfAF8AMgBfAE0AYQBzAHMATwBmAFcAYQBzAHQAZQBGAHIAbwBtAFYAbwBsAHUAbQBlAF8AVgBhAHIAaQBhAGIAbABlACIALAAiAFcAYQBzAHQAZQBTAG8AbABpAGQAXwBFAHEAdQBhAHQAaQBvAG4AcwAuAFYARQBFAFIARwBfADEAMABfADEAXwAxAF8AMQBfAF8AMgBfAE0AYQBzAHMATwBmAFcAYQBzAHQAZQBGAHIAbwBtAFYAbwBsAHUAbQBlAF8AVQBuAGkAdAAiACwAIgBXAGEAcwB0AGUAUwBvAGwAaQBkAF8ARQBxAHUAYQB0AGkAbwBuAHMALgBWAEUARQBSAEcAXwAxADAAXwAxAF8AMQBfADEAXwBfADIAXwBNAGEAcwBzAE8AZgBXAGEAcwB0AGUARgByAG8AbQBWAG8AbAB1AG0AZQBfAFMAbwB1AHIAYwBlACIALAAiAFcAYQBzAHQAZQBTAG8AbABpAGQAXwBFAHEAdQBhAHQAaQBvAG4AcwAuAFYARQBFAFIARwBfADEAMABfADEAXwAxAF8AMQBfAF8AMgBfAE0AYQBzAHMATwBmAFcAYQBzAHQAZQBGAHIAbwBtAFYAbwBsAHUAbQBlAF8ATgBJAFIAUgBlAGYAZQByAGUAbgBjAGUAIgAsACIAVwBhAHMAdABlAFMAbwBsAGkAZABfAEUAcQB1AGEAdABpAG8AbgBzAC4AVgBFAEUAUgBHAF8AMQAwAF8AMQBfADEAXwAxAF8AXwAyAF8ATQBhAHMAcwBPAGYAVwBhAHMAdABlAEYAcgBvAG0AVgBvAGwAdQBtAGUAXwBMAGEAdABlAHgARQBxAHUAYQB0AGkAbwBuACIALAAiAFcAYQBzAHQAZQBTAG8AbABpAGQAXwBFAHEAdQBhAHQAaQBvAG4AcwAuAFYARQBFAFIARwBfADEAMABfADEAXwAxAF8AMQBfAF8AMgBfAE0AYQBzAHMATwBmAFcAYQBzAHQAZQBGAHIAbwBtAFYAbwBsAHUAbQBlAF8AQQByAGcAdQBtAGUAbgB0AHMAIgAsACIAVwBhAHMAdABlAFMAbwBsAGkAZABfAFMAbwB1AHIAYwBlAEQAYQB0AGEALgBXAGEAcwB0AGUAXwBFAG0AaQBzAHMAaQBvAG4ARgBhAGMAdABvAHIAcwBGAG8AcgBXAGEAcwB0AGUAVAByAGUAYQB0AG0AZQBuAHQAXwBUAGkAdABsAGUAIgAsACIAVwBhAHMAdABlAFMAbwBsAGkAZABfAFMAbwB1AHIAYwBlAEQAYQB0AGEALgBXAGEAcwB0AGUAXwBFAG0AaQBzAHMAaQBvAG4ARgBhAGMAdABvAHIAcwBGAG8AcgBXAGEAcwB0AGUAVAByAGUAYQB0AG0AZQBuAHQAXwBWAGEAcgBpAGEAYgBsAGUAIgAsACIAVwBhAHMAdABlAFMAbwBsAGkAZABfAFMAbwB1AHIAYwBlAEQAYQB0AGEALgBXAGEAcwB0AGUAXwBFAG0AaQBzAHMAaQBvAG4ARgBhAGMAdABvAHIAcwBGAG8AcgBXAGEAcwB0AGUAVAByAGUAYQB0AG0AZQBuAHQAXwBVAG4AaQB0ACIALAAiAFcAYQBzAHQAZQBTAG8AbABpAGQAXwBTAG8AdQByAGMAZQBEAGEAdABhAC4AVwBhAHMAdABlAF8ARQBtAGkAcwBzAGkAbwBuAEYAYQBjAHQAbwByAHMARgBvAHIAVwBhAHMAdABlAFQAcgBlAGEAdABtAGUAbgB0AF8AUwBvAHUAcgBjAGUAIgAsACIAVwBhAHMAdABlAFMAbwBsAGkAZABfAFMAbwB1AHIAYwBlAEQAYQB0AGEALgBXAGEAcwB0AGUAXwBFAG0AaQBzAHMAaQBvAG4ARgBhAGMAdABvAHIAcwBGAG8AcgBXAGEAcwB0AGUAVAByAGUAYQB0AG0AZQBuAHQAXwBEAGEAdABhACIALAAiAFcAYQBzAHQAZQBTAG8AbABpAGQAXwBTAG8AdQByAGMAZQBEAGEAdABhAC4AVwBhAHMAdABlAF8ARQBtAGkAcwBzAGkAbwBuAEYAYQBjAHQAbwByAHMARgBvAHIAVwBhAHMAdABlAFQAcgBlAGEAdABtAGUAbgB0AF8AVgBhAHIAaQBhAHQAaQBvAG4AIgAsACIAVwBhAHMAdABlAFMAbwBsAGkAZABfAFMAbwB1AHIAYwBlAEQAYQB0AGEALgBXAGEAcwB0AGUAXwBXAGEAcwB0AGUAVgBvAGwAdQBtAGUAVABvAE0AYQBzAHMAQwBvAG4AdgBlAHIAcwBpAG8AbgBfAFQAaQB0AGwAZQAiACwAIgBXAGEAcwB0AGUAUwBvAGwAaQBkAF8AUwBvAHUAcgBjAGUARABhAHQAYQAuAFcAYQBzAHQAZQBfAFcAYQBzAHQAZQBWAG8AbAB1AG0AZQBUAG8ATQBhAHMAcwBDAG8AbgB2AGUAcgBzAGkAbwBuAF8AVgBhAHIAaQBhAGIAbABlACIALAAiAFcAYQBzAHQAZQBTAG8AbABpAGQAXwBTAG8AdQByAGMAZQBEAGEAdABhAC4AVwBhAHMAdABlAF8AVwBhAHMAdABlAFYAbwBsAHUAbQBlAFQAbwBNAGEAcwBzAEMAbwBuAHYAZQByAHMAaQBvAG4AXwBVAG4AaQB0ACIALAAiAFcAYQBzAHQAZQBTAG8AbABpAGQAXwBTAG8AdQByAGMAZQBEAGEAdABhAC4AVwBhAHMAdABlAF8AVwBhAHMAdABlAFYAbwBsAHUAbQBlAFQAbwBNAGEAcwBzAEMAbwBuAHYAZQByAHMAaQBvAG4AXwBTAG8AdQByAGMAZQAiACwAIgBXAGEAcwB0AGUAUwBvAGwAaQBkAF8AUwBvAHUAcgBjAGUARABhAHQAYQAuAFcAYQBzAHQAZQBfAFcAYQBzAHQAZQBWAG8AbAB1AG0AZQBUAG8ATQBhAHMAcwBDAG8AbgB2AGUAcgBzAGkAbwBuAF8ARABhAHQAYQAiACwAIgBXAGEAcwB0AGUAUwBvAGwAaQBkAF8AUwBvAHUAcgBjAGUARABhAHQAYQAuAFcAYQBzAHQAZQBfAFcAYQBzAHQAZQBWAG8AbAB1AG0AZQBUAG8ATQBhAHMAcwBDAG8AbgB2AGUAcgBzAGkAbwBuAF8AVgBhAHIAaQBhAHQAaQBvAG4AIgAsACIAVwBhAHMAdABlAFMAbwBsAGkAZABfAEkAbgBwAHUAdABGAHUAbgBjAHQAaQBvAG4AcwAuAFcAYQBzAHQAZQBTAG8AbABpAGQAXwBJAG4AcAB1AHQARgB1AG4AYwB0AGkAbwBuAHMAXwBTAHUAbQBXAGEAcwB0AGUAVAByAGUAYQB0AG0AZQBuAHQ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7</vt:i4>
      </vt:variant>
      <vt:variant>
        <vt:lpstr>Named Ranges</vt:lpstr>
      </vt:variant>
      <vt:variant>
        <vt:i4>7</vt:i4>
      </vt:variant>
    </vt:vector>
  </HeadingPairs>
  <TitlesOfParts>
    <vt:vector size="14" baseType="lpstr">
      <vt:lpstr>Home</vt:lpstr>
      <vt:lpstr>Overview</vt:lpstr>
      <vt:lpstr>Results</vt:lpstr>
      <vt:lpstr>Input - Solid waste</vt:lpstr>
      <vt:lpstr>10.1.1-2 Solid waste treatment</vt:lpstr>
      <vt:lpstr>Constants - Solid Waste</vt:lpstr>
      <vt:lpstr>Constants - Common</vt:lpstr>
      <vt:lpstr>Common_SourceData_DensityOfMethane_Data</vt:lpstr>
      <vt:lpstr>Table_E_g_offsite</vt:lpstr>
      <vt:lpstr>Table_E_g_onsite</vt:lpstr>
      <vt:lpstr>Table_V_w_t_offsite</vt:lpstr>
      <vt:lpstr>Table_V_w_t_onsite</vt:lpstr>
      <vt:lpstr>VEERG_10_1_1_1__1_EmissionsFromWasteManagement_Scope1_Result_Method1</vt:lpstr>
      <vt:lpstr>VEERG_10_1_1_1__1_EmissionsFromWasteManagement_Scope3_Result_Method1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2026-08-10T02:16:45Z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