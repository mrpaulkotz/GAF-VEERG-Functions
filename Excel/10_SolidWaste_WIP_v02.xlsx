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tables/table1.xml" ContentType="application/vnd.openxmlformats-officedocument.spreadsheetml.table+xml"/>
  <Override PartName="/xl/drawings/drawing2.xml" ContentType="application/vnd.openxmlformats-officedocument.drawing+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3FEE79C2-D82C-4A79-8E7F-0759F6054B15}" xr6:coauthVersionLast="47" xr6:coauthVersionMax="47" xr10:uidLastSave="{00000000-0000-0000-0000-000000000000}"/>
  <bookViews>
    <workbookView xWindow="0" yWindow="60" windowWidth="37950" windowHeight="20355" firstSheet="1" activeTab="4" xr2:uid="{992023F3-CAB7-4E5B-A348-08D563A0EF40}"/>
  </bookViews>
  <sheets>
    <sheet name="Home" sheetId="71" r:id="rId1"/>
    <sheet name="Overview" sheetId="118" r:id="rId2"/>
    <sheet name="Results" sheetId="13" r:id="rId3"/>
    <sheet name="Input - Solid waste" sheetId="70" r:id="rId4"/>
    <sheet name="10.1.1-2 Solid waste treatment" sheetId="69" r:id="rId5"/>
    <sheet name="Constants - Solid Waste" sheetId="110" r:id="rId6"/>
    <sheet name="Constants - Common" sheetId="122" r:id="rId7"/>
  </sheet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TwoColumns">_xlfn.LAMBDA(_xlpm.LookupValue1,_xlpm.LookupValue2,_xlpm.LookupArray1,_xlpm.LookupArray2,_xlpm.ReturnArray, _xlfn.XLOOKUP(1, (_xlpm.LookupArray1 = _xlpm.LookupValue1) * (_xlpm.LookupArray2 = _xlpm.LookupValue2), _xlpm.ReturnArray, ""))</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6">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6">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6">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6">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6">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Organic.VEERG_5_2_1_1__2_MassOfNitrogenInOrganicFertiliser">_xlfn.LAMBDA(_xlpm.Morganicjf,_xlpm.FNorganicf, _xlpm.Morganicjf * _xlpm.FNorganicf)</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Range_LivestockStartingValues">#REF!</definedName>
    <definedName name="Step1">#REF!</definedName>
    <definedName name="Step2">#REF!</definedName>
    <definedName name="Step3">#REF!</definedName>
    <definedName name="VEERG_10_1_1_1__1_EmissionsFromWasteManagement_Scope1_Result_Method1">'10.1.1-2 Solid waste treatment'!$E$151</definedName>
    <definedName name="VEERG_10_1_1_1__1_EmissionsFromWasteManagement_Scope3_Result_Method1">'10.1.1-2 Solid waste treatment'!$E$192</definedName>
    <definedName name="WasteSolid_Equations.VEERG_10_1_1_1__1_EmissionsFromWasteManagement">_xlfn.LAMBDA(_xlpm.Q_wt,_xlpm.EF_wtg, _xlpm.Q_wt * _xlpm.EF_wtg)</definedName>
    <definedName name="WasteSolid_Equations.VEERG_10_1_1_1__1_EmissionsFromWasteManagement_Arguments">_xlfn.LAMBDA(_xlfn.MAKEARRAY(7, 4, _xlfn.LAMBDA(_xlpm.r,_xlpm.c, INDEX({"Q_wt","quantity of solid waste of type w being sent to treatment facility t, on a wet weight basis","t","Sum of Q_volwt and Q_masswt";"EF_wtg","emission factor for greenhouse gas g for the management of waste at treatment facility t","t CO2e/t","Constant";"w","waste type","","Input";"t","treatment facility","","Input";"g","greenhouse gas","","Input";"Q_volwt","quantity of sold waste input as volume and converted to tonnes","tonnes","Calculated from 10.1.1.1 (2)";"Q_masswt","quantity of solid waste input as mass","tonnes","Input"}, _xlpm.r, _xlpm.c))))</definedName>
    <definedName name="WasteSolid_Equations.VEERG_10_1_1_1__1_EmissionsFromWasteManagement_LatexEquation">_xlfn.LAMBDA("E_g=\sum\nolimits_t\sum\nolimits_w(Q_{wt}\times EF_{wtg})")</definedName>
    <definedName name="WasteSolid_Equations.VEERG_10_1_1_1__1_EmissionsFromWasteManagement_NIRReference">_xlfn.LAMBDA("")</definedName>
    <definedName name="WasteSolid_Equations.VEERG_10_1_1_1__1_EmissionsFromWasteManagement_Source">_xlfn.LAMBDA("VEERG 2026: 10.1.1.1, Equation (1)")</definedName>
    <definedName name="WasteSolid_Equations.VEERG_10_1_1_1__1_EmissionsFromWasteManagement_Title">_xlfn.LAMBDA("Emissions from waste management by greenhouse gas")</definedName>
    <definedName name="WasteSolid_Equations.VEERG_10_1_1_1__1_EmissionsFromWasteManagement_Unit">_xlfn.LAMBDA("t CO2e")</definedName>
    <definedName name="WasteSolid_Equations.VEERG_10_1_1_1__1_EmissionsFromWasteManagement_Variable">_xlfn.LAMBDA("E_g")</definedName>
    <definedName name="WasteSolid_Equations.VEERG_10_1_1_1__1_EmissionsFromWasteManagement_Variation">_xlfn.LAMBDA("VARIATION ON SOURCE: Added Q_volwt and Q_masswt variables to clearly track input or calculated Q values")</definedName>
    <definedName name="WasteSolid_Equations.VEERG_10_1_1_1__2_MassOfWasteFromVolume">_xlfn.LAMBDA(_xlpm.V_wt,_xlpm.VTM_w, _xlpm.V_wt * _xlpm.VTM_w)</definedName>
    <definedName name="WasteSolid_Equations.VEERG_10_1_1_1__2_MassOfWasteFromVolume_Arguments">_xlfn.LAMBDA(_xlfn.MAKEARRAY(4, 4, _xlfn.LAMBDA(_xlpm.r,_xlpm.c, INDEX({"V_wt","volume of solid waste type w being sent to treatment facility t","m3","Input";"VTM_w","conversion factor of volume to mass for waste type w","t/m3","Constant";"w","waste type","","Input";"t","treatment facility","","Input"}, _xlpm.r, _xlpm.c))))</definedName>
    <definedName name="WasteSolid_Equations.VEERG_10_1_1_1__2_MassOfWasteFromVolume_LatexEquation">_xlfn.LAMBDA("Q_{wt}=V_{wt}\times VTM_w")</definedName>
    <definedName name="WasteSolid_Equations.VEERG_10_1_1_1__2_MassOfWasteFromVolume_NIRReference">_xlfn.LAMBDA("")</definedName>
    <definedName name="WasteSolid_Equations.VEERG_10_1_1_1__2_MassOfWasteFromVolume_Source">_xlfn.LAMBDA("VEERG 2026: 10.1.1.1, Equation (2)")</definedName>
    <definedName name="WasteSolid_Equations.VEERG_10_1_1_1__2_MassOfWasteFromVolume_Title">_xlfn.LAMBDA("Mass of waste from waste volume")</definedName>
    <definedName name="WasteSolid_Equations.VEERG_10_1_1_1__2_MassOfWasteFromVolume_Unit">_xlfn.LAMBDA("t")</definedName>
    <definedName name="WasteSolid_Equations.VEERG_10_1_1_1__2_MassOfWasteFromVolume_Variable">_xlfn.LAMBDA("Q_wt")</definedName>
    <definedName name="WasteSolid_InputFunctions.WasteSolid_InputFunctions_SumWasteTreatment">_xlfn.LAMBDA(_xlpm.TreatmentArray,_xlpm.WasteArray,_xlpm.TreatmentLocationArray,_xlpm.UnitArray,_xlpm.AmountArray,_xlpm.TreatmentType,_xlpm.WasteType,_xlpm.TreatmentLocationType,_xlpm.UnitType, SUMIFS(_xlpm.AmountArray, _xlpm.TreatmentArray, _xlpm.TreatmentType, _xlpm.WasteArray, _xlpm.WasteType, _xlpm.TreatmentLocationArray, _xlpm.TreatmentLocationType, _xlpm.UnitArray, _xlpm.UnitType))</definedName>
    <definedName name="WasteSolid_SourceData.Waste_EmissionFactorsForWasteTreatment_Data">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crop)","","";"Incineration","Green waste (including crop residues or prunings)","","";"Incineration","Wood","","";"Incineration","Sludge","","";"Incineration","Paper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crop)","","";"Composting","Green waste (including crop residues or prunings)","","";"Composting","Wood","","";"Composting","Sludge","","";"Composting","Paper and cardboard","","";"Anaerobic digestion","All organic waste",0.028,"NGAF 2025 Table 19";"Anaerobic digestion","Food waste (including animal carcasses, spoiled animal feed or crop)","","";"Anaerobic digestion","Green waste (including crop residues or prunings)","","";"Anaerobic digestion","Wood","","";"Anaerobic digestion","Sludge","","";"Anaerobic digestion","Paper and cardboard","",""}, _xlpm.r, _xlpm.c))))</definedName>
    <definedName name="WasteSolid_SourceData.Waste_EmissionFactorsForWasteTreatment_Source">_xlfn.LAMBDA(("VEERG 2026: Table A.4.1.1"))</definedName>
    <definedName name="WasteSolid_SourceData.Waste_EmissionFactorsForWasteTreatment_Title">_xlfn.LAMBDA(("Emission factors for wastes disposed of at different treatment facilities"))</definedName>
    <definedName name="WasteSolid_SourceData.Waste_EmissionFactorsForWasteTreatment_Unit">_xlfn.LAMBDA(("t CO2e / t"))</definedName>
    <definedName name="WasteSolid_SourceData.Waste_EmissionFactorsForWasteTreatment_Variable">_xlfn.LAMBDA(("EFwt"))</definedName>
    <definedName name="WasteSolid_SourceData.Waste_EmissionFactorsForWasteTreatment_Variation">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WasteVolumeToMassConversion_Data">_xlfn.LAMBDA(_xlfn.MAKEARRAY(12, 2, _xlfn.LAMBDA(_xlpm.r,_xlpm.c, INDEX({"Waste type w","VTMw";"Food waste (including animal carcasses, spoiled animal feed or crop)",0.5;"Paper and cardboard",0.09;"Green waste (including crop residues or prunings)",0.24;"Wood",0.15;"Textiles",0.14;"Sludge",0.72;"Rubber and leather",0.14;"Inert waste (including concrete, metal, plastic or glass)",0.42;"Municipal solid waste",0.36;"Commercial and industrial waste",0.33;"Construction and demolition waste",0.39}, _xlpm.r, _xlpm.c))))</definedName>
    <definedName name="WasteSolid_SourceData.Waste_WasteVolumeToMassConversion_Source">_xlfn.LAMBDA(("VEERG 2026: Table A.4.1.2"))</definedName>
    <definedName name="WasteSolid_SourceData.Waste_WasteVolumeToMassConversion_Title">_xlfn.LAMBDA(("Volume to mass conversion factor for various waste types"))</definedName>
    <definedName name="WasteSolid_SourceData.Waste_WasteVolumeToMassConversion_Unit">_xlfn.LAMBDA(("t/m3"))</definedName>
    <definedName name="WasteSolid_SourceData.Waste_WasteVolumeToMassConversion_Variable">_xlfn.LAMBDA(("VTMw"))</definedName>
    <definedName name="WasteSolid_SourceData.Waste_WasteVolumeToMassConversion_Variation">_xlfn.LAMBDA(("VARIATION OF SOURCE: Changed column header CFw to VTMw to match title variable."))</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68" i="69" l="1"/>
  <c r="H179" i="69"/>
  <c r="H185" i="69"/>
  <c r="H144" i="69"/>
  <c r="H138" i="69"/>
  <c r="D50" i="110" a="1"/>
  <c r="D50" i="110" s="1"/>
  <c r="E50" i="110" a="1"/>
  <c r="E50" i="110" s="1"/>
  <c r="F50" i="110" a="1"/>
  <c r="F50" i="110" s="1"/>
  <c r="G50" i="110" a="1"/>
  <c r="G50" i="110" s="1"/>
  <c r="D49" i="110" a="1"/>
  <c r="D49" i="110" s="1"/>
  <c r="E49" i="110" a="1"/>
  <c r="E49" i="110" s="1"/>
  <c r="F49" i="110" a="1"/>
  <c r="F49" i="110" s="1"/>
  <c r="G49" i="110" a="1"/>
  <c r="G49" i="110" s="1"/>
  <c r="D48" i="110" a="1"/>
  <c r="D48" i="110" s="1"/>
  <c r="E48" i="110" a="1"/>
  <c r="E48" i="110" s="1"/>
  <c r="F48" i="110" a="1"/>
  <c r="F48" i="110" s="1"/>
  <c r="G48" i="110" a="1"/>
  <c r="G48" i="110" s="1"/>
  <c r="D47" i="110" a="1"/>
  <c r="D47" i="110" s="1"/>
  <c r="E47" i="110" a="1"/>
  <c r="E47" i="110" s="1"/>
  <c r="F47" i="110" a="1"/>
  <c r="F47" i="110" s="1"/>
  <c r="G47" i="110" a="1"/>
  <c r="G47" i="110" s="1"/>
  <c r="D46" i="110" a="1"/>
  <c r="D46" i="110" s="1"/>
  <c r="E46" i="110" a="1"/>
  <c r="E46" i="110" s="1"/>
  <c r="O17" i="110" s="1"/>
  <c r="F46" i="110" a="1"/>
  <c r="F46" i="110" s="1"/>
  <c r="G46" i="110" a="1"/>
  <c r="G46" i="110" s="1"/>
  <c r="D45" i="110" a="1"/>
  <c r="D45" i="110" s="1"/>
  <c r="E45" i="110" a="1"/>
  <c r="E45" i="110" s="1"/>
  <c r="F45" i="110" a="1"/>
  <c r="F45" i="110" s="1"/>
  <c r="G45" i="110" a="1"/>
  <c r="G45" i="110" s="1"/>
  <c r="D44" i="110" a="1"/>
  <c r="D44" i="110" s="1"/>
  <c r="E44" i="110" a="1"/>
  <c r="E44" i="110" s="1"/>
  <c r="F44" i="110" a="1"/>
  <c r="F44" i="110" s="1"/>
  <c r="G44" i="110" a="1"/>
  <c r="G44" i="110" s="1"/>
  <c r="D43" i="110" a="1"/>
  <c r="D43" i="110" s="1"/>
  <c r="E43" i="110" a="1"/>
  <c r="E43" i="110" s="1"/>
  <c r="F43" i="110" a="1"/>
  <c r="F43" i="110" s="1"/>
  <c r="G43" i="110" a="1"/>
  <c r="G43" i="110" s="1"/>
  <c r="D42" i="110" a="1"/>
  <c r="D42" i="110" s="1"/>
  <c r="E42" i="110" a="1"/>
  <c r="E42" i="110" s="1"/>
  <c r="F42" i="110" a="1"/>
  <c r="F42" i="110" s="1"/>
  <c r="G42" i="110" a="1"/>
  <c r="G42" i="110" s="1"/>
  <c r="D41" i="110" a="1"/>
  <c r="D41" i="110" s="1"/>
  <c r="E41" i="110" a="1"/>
  <c r="E41" i="110" s="1"/>
  <c r="M18" i="110" s="1"/>
  <c r="F41" i="110" a="1"/>
  <c r="F41" i="110" s="1"/>
  <c r="G41" i="110" a="1"/>
  <c r="G41" i="110" s="1"/>
  <c r="D40" i="110" a="1"/>
  <c r="D40" i="110" s="1"/>
  <c r="E40" i="110" a="1"/>
  <c r="E40" i="110" s="1"/>
  <c r="M17" i="110" s="1"/>
  <c r="F40" i="110" a="1"/>
  <c r="F40" i="110" s="1"/>
  <c r="G40" i="110" a="1"/>
  <c r="G40" i="110" s="1"/>
  <c r="D39" i="110" a="1"/>
  <c r="D39" i="110" s="1"/>
  <c r="E39" i="110" a="1"/>
  <c r="E39" i="110" s="1"/>
  <c r="F39" i="110" a="1"/>
  <c r="F39" i="110" s="1"/>
  <c r="G39" i="110" a="1"/>
  <c r="G39" i="110" s="1"/>
  <c r="D38" i="110" a="1"/>
  <c r="D38" i="110" s="1"/>
  <c r="E38" i="110" a="1"/>
  <c r="E38" i="110" s="1"/>
  <c r="K26" i="110" s="1"/>
  <c r="F38" i="110" a="1"/>
  <c r="F38" i="110" s="1"/>
  <c r="G38" i="110" a="1"/>
  <c r="G38" i="110" s="1"/>
  <c r="D37" i="110" a="1"/>
  <c r="D37" i="110" s="1"/>
  <c r="E37" i="110" a="1"/>
  <c r="E37" i="110" s="1"/>
  <c r="K25" i="110" s="1"/>
  <c r="F37" i="110" a="1"/>
  <c r="F37" i="110" s="1"/>
  <c r="G37" i="110" a="1"/>
  <c r="G37" i="110" s="1"/>
  <c r="E259" i="122" a="1"/>
  <c r="E259" i="122" s="1"/>
  <c r="D259" i="122" a="1"/>
  <c r="D259" i="122" s="1"/>
  <c r="E258" i="122" a="1"/>
  <c r="E258" i="122" s="1"/>
  <c r="D258" i="122" a="1"/>
  <c r="D258" i="122" s="1"/>
  <c r="D256" i="122" a="1"/>
  <c r="D256" i="122" s="1"/>
  <c r="D255" i="122" a="1"/>
  <c r="D255" i="122" s="1"/>
  <c r="D254" i="122" a="1"/>
  <c r="D254" i="122" s="1"/>
  <c r="D253" i="122" a="1"/>
  <c r="D253" i="122" s="1"/>
  <c r="S250" i="122" a="1"/>
  <c r="S250" i="122" s="1"/>
  <c r="R250" i="122" a="1"/>
  <c r="R250" i="122" s="1"/>
  <c r="Q250" i="122" a="1"/>
  <c r="Q250" i="122" s="1"/>
  <c r="P250" i="122" a="1"/>
  <c r="P250" i="122" s="1"/>
  <c r="O250" i="122" a="1"/>
  <c r="O250" i="122" s="1"/>
  <c r="N250" i="122" a="1"/>
  <c r="N250" i="122" s="1"/>
  <c r="M250" i="122" a="1"/>
  <c r="M250" i="122" s="1"/>
  <c r="L250" i="122" a="1"/>
  <c r="L250" i="122" s="1"/>
  <c r="K250" i="122" a="1"/>
  <c r="K250" i="122" s="1"/>
  <c r="J250" i="122" a="1"/>
  <c r="J250" i="122" s="1"/>
  <c r="I250" i="122" a="1"/>
  <c r="I250" i="122" s="1"/>
  <c r="H250" i="122" a="1"/>
  <c r="H250" i="122" s="1"/>
  <c r="G250" i="122" a="1"/>
  <c r="G250" i="122" s="1"/>
  <c r="F250" i="122" a="1"/>
  <c r="F250" i="122" s="1"/>
  <c r="E250" i="122" a="1"/>
  <c r="E250" i="122" s="1"/>
  <c r="D250" i="122" a="1"/>
  <c r="D250" i="122" s="1"/>
  <c r="S249" i="122" a="1"/>
  <c r="S249" i="122" s="1"/>
  <c r="R249" i="122" a="1"/>
  <c r="R249" i="122" s="1"/>
  <c r="Q249" i="122" a="1"/>
  <c r="Q249" i="122" s="1"/>
  <c r="P249" i="122" a="1"/>
  <c r="P249" i="122" s="1"/>
  <c r="O249" i="122" a="1"/>
  <c r="O249" i="122" s="1"/>
  <c r="N249" i="122" a="1"/>
  <c r="N249" i="122" s="1"/>
  <c r="M249" i="122" a="1"/>
  <c r="M249" i="122" s="1"/>
  <c r="L249" i="122" a="1"/>
  <c r="L249" i="122" s="1"/>
  <c r="K249" i="122" a="1"/>
  <c r="K249" i="122" s="1"/>
  <c r="J249" i="122" a="1"/>
  <c r="J249" i="122" s="1"/>
  <c r="I249" i="122" a="1"/>
  <c r="I249" i="122" s="1"/>
  <c r="H249" i="122" a="1"/>
  <c r="H249" i="122" s="1"/>
  <c r="G249" i="122" a="1"/>
  <c r="G249" i="122" s="1"/>
  <c r="F249" i="122" a="1"/>
  <c r="F249" i="122" s="1"/>
  <c r="E249" i="122" a="1"/>
  <c r="E249" i="122" s="1"/>
  <c r="D249" i="122" a="1"/>
  <c r="D249" i="122" s="1"/>
  <c r="S248" i="122" a="1"/>
  <c r="S248" i="122" s="1"/>
  <c r="R248" i="122" a="1"/>
  <c r="R248" i="122" s="1"/>
  <c r="Q248" i="122" a="1"/>
  <c r="Q248" i="122" s="1"/>
  <c r="P248" i="122" a="1"/>
  <c r="P248" i="122" s="1"/>
  <c r="O248" i="122" a="1"/>
  <c r="O248" i="122" s="1"/>
  <c r="N248" i="122" a="1"/>
  <c r="N248" i="122" s="1"/>
  <c r="M248" i="122" a="1"/>
  <c r="M248" i="122" s="1"/>
  <c r="L248" i="122" a="1"/>
  <c r="L248" i="122" s="1"/>
  <c r="K248" i="122" a="1"/>
  <c r="K248" i="122" s="1"/>
  <c r="J248" i="122" a="1"/>
  <c r="J248" i="122" s="1"/>
  <c r="I248" i="122" a="1"/>
  <c r="I248" i="122" s="1"/>
  <c r="H248" i="122" a="1"/>
  <c r="H248" i="122" s="1"/>
  <c r="G248" i="122" a="1"/>
  <c r="G248" i="122" s="1"/>
  <c r="F248" i="122" a="1"/>
  <c r="F248" i="122" s="1"/>
  <c r="E248" i="122" a="1"/>
  <c r="E248" i="122" s="1"/>
  <c r="D248" i="122" a="1"/>
  <c r="D248" i="122" s="1"/>
  <c r="S247" i="122" a="1"/>
  <c r="S247" i="122" s="1"/>
  <c r="R247" i="122" a="1"/>
  <c r="R247" i="122" s="1"/>
  <c r="Q247" i="122" a="1"/>
  <c r="Q247" i="122" s="1"/>
  <c r="P247" i="122" a="1"/>
  <c r="P247" i="122" s="1"/>
  <c r="O247" i="122" a="1"/>
  <c r="O247" i="122" s="1"/>
  <c r="N247" i="122" a="1"/>
  <c r="N247" i="122" s="1"/>
  <c r="M247" i="122" a="1"/>
  <c r="M247" i="122" s="1"/>
  <c r="L247" i="122" a="1"/>
  <c r="L247" i="122" s="1"/>
  <c r="K247" i="122" a="1"/>
  <c r="K247" i="122" s="1"/>
  <c r="J247" i="122" a="1"/>
  <c r="J247" i="122" s="1"/>
  <c r="I247" i="122" a="1"/>
  <c r="I247" i="122" s="1"/>
  <c r="H247" i="122" a="1"/>
  <c r="H247" i="122" s="1"/>
  <c r="G247" i="122" a="1"/>
  <c r="G247" i="122" s="1"/>
  <c r="F247" i="122" a="1"/>
  <c r="F247" i="122" s="1"/>
  <c r="E247" i="122" a="1"/>
  <c r="E247" i="122" s="1"/>
  <c r="D247" i="122" a="1"/>
  <c r="D247" i="122" s="1"/>
  <c r="S246" i="122" a="1"/>
  <c r="S246" i="122" s="1"/>
  <c r="R246" i="122" a="1"/>
  <c r="R246" i="122" s="1"/>
  <c r="Q246" i="122" a="1"/>
  <c r="Q246" i="122" s="1"/>
  <c r="P246" i="122" a="1"/>
  <c r="P246" i="122" s="1"/>
  <c r="O246" i="122" a="1"/>
  <c r="O246" i="122" s="1"/>
  <c r="N246" i="122" a="1"/>
  <c r="N246" i="122" s="1"/>
  <c r="M246" i="122" a="1"/>
  <c r="M246" i="122" s="1"/>
  <c r="L246" i="122" a="1"/>
  <c r="L246" i="122" s="1"/>
  <c r="K246" i="122" a="1"/>
  <c r="K246" i="122" s="1"/>
  <c r="J246" i="122" a="1"/>
  <c r="J246" i="122" s="1"/>
  <c r="I246" i="122" a="1"/>
  <c r="I246" i="122" s="1"/>
  <c r="H246" i="122" a="1"/>
  <c r="H246" i="122" s="1"/>
  <c r="G246" i="122" a="1"/>
  <c r="G246" i="122" s="1"/>
  <c r="F246" i="122" a="1"/>
  <c r="F246" i="122" s="1"/>
  <c r="E246" i="122" a="1"/>
  <c r="E246" i="122" s="1"/>
  <c r="D246" i="122" a="1"/>
  <c r="D246" i="122" s="1"/>
  <c r="S245" i="122" a="1"/>
  <c r="S245" i="122" s="1"/>
  <c r="R245" i="122" a="1"/>
  <c r="R245" i="122" s="1"/>
  <c r="Q245" i="122" a="1"/>
  <c r="Q245" i="122" s="1"/>
  <c r="P245" i="122" a="1"/>
  <c r="P245" i="122" s="1"/>
  <c r="O245" i="122" a="1"/>
  <c r="O245" i="122" s="1"/>
  <c r="N245" i="122" a="1"/>
  <c r="N245" i="122" s="1"/>
  <c r="M245" i="122" a="1"/>
  <c r="M245" i="122" s="1"/>
  <c r="L245" i="122" a="1"/>
  <c r="L245" i="122" s="1"/>
  <c r="K245" i="122" a="1"/>
  <c r="K245" i="122" s="1"/>
  <c r="J245" i="122" a="1"/>
  <c r="J245" i="122" s="1"/>
  <c r="I245" i="122" a="1"/>
  <c r="I245" i="122" s="1"/>
  <c r="H245" i="122" a="1"/>
  <c r="H245" i="122" s="1"/>
  <c r="G245" i="122" a="1"/>
  <c r="G245" i="122" s="1"/>
  <c r="F245" i="122" a="1"/>
  <c r="F245" i="122" s="1"/>
  <c r="E245" i="122" a="1"/>
  <c r="E245" i="122" s="1"/>
  <c r="D245" i="122" a="1"/>
  <c r="D245" i="122" s="1"/>
  <c r="S244" i="122" a="1"/>
  <c r="S244" i="122" s="1"/>
  <c r="R244" i="122" a="1"/>
  <c r="R244" i="122" s="1"/>
  <c r="Q244" i="122" a="1"/>
  <c r="Q244" i="122" s="1"/>
  <c r="P244" i="122" a="1"/>
  <c r="P244" i="122" s="1"/>
  <c r="O244" i="122" a="1"/>
  <c r="O244" i="122" s="1"/>
  <c r="N244" i="122" a="1"/>
  <c r="N244" i="122" s="1"/>
  <c r="M244" i="122" a="1"/>
  <c r="M244" i="122" s="1"/>
  <c r="L244" i="122" a="1"/>
  <c r="L244" i="122" s="1"/>
  <c r="K244" i="122" a="1"/>
  <c r="K244" i="122" s="1"/>
  <c r="J244" i="122" a="1"/>
  <c r="J244" i="122" s="1"/>
  <c r="I244" i="122" a="1"/>
  <c r="I244" i="122" s="1"/>
  <c r="H244" i="122" a="1"/>
  <c r="H244" i="122" s="1"/>
  <c r="G244" i="122" a="1"/>
  <c r="G244" i="122" s="1"/>
  <c r="F244" i="122" a="1"/>
  <c r="F244" i="122" s="1"/>
  <c r="E244" i="122" a="1"/>
  <c r="E244" i="122" s="1"/>
  <c r="D244" i="122" a="1"/>
  <c r="D244" i="122" s="1"/>
  <c r="S243" i="122" a="1"/>
  <c r="S243" i="122" s="1"/>
  <c r="R243" i="122" a="1"/>
  <c r="R243" i="122" s="1"/>
  <c r="Q243" i="122" a="1"/>
  <c r="Q243" i="122" s="1"/>
  <c r="P243" i="122" a="1"/>
  <c r="P243" i="122" s="1"/>
  <c r="O243" i="122" a="1"/>
  <c r="O243" i="122" s="1"/>
  <c r="N243" i="122" a="1"/>
  <c r="N243" i="122" s="1"/>
  <c r="M243" i="122" a="1"/>
  <c r="M243" i="122" s="1"/>
  <c r="L243" i="122" a="1"/>
  <c r="L243" i="122" s="1"/>
  <c r="K243" i="122" a="1"/>
  <c r="K243" i="122" s="1"/>
  <c r="J243" i="122" a="1"/>
  <c r="J243" i="122" s="1"/>
  <c r="I243" i="122" a="1"/>
  <c r="I243" i="122" s="1"/>
  <c r="H243" i="122" a="1"/>
  <c r="H243" i="122" s="1"/>
  <c r="G243" i="122" a="1"/>
  <c r="G243" i="122" s="1"/>
  <c r="F243" i="122" a="1"/>
  <c r="F243" i="122" s="1"/>
  <c r="E243" i="122" a="1"/>
  <c r="E243" i="122" s="1"/>
  <c r="D243" i="122" a="1"/>
  <c r="D243" i="122" s="1"/>
  <c r="S242" i="122" a="1"/>
  <c r="S242" i="122" s="1"/>
  <c r="R242" i="122" a="1"/>
  <c r="R242" i="122" s="1"/>
  <c r="Q242" i="122" a="1"/>
  <c r="Q242" i="122" s="1"/>
  <c r="P242" i="122" a="1"/>
  <c r="P242" i="122" s="1"/>
  <c r="O242" i="122" a="1"/>
  <c r="O242" i="122" s="1"/>
  <c r="N242" i="122" a="1"/>
  <c r="N242" i="122" s="1"/>
  <c r="M242" i="122" a="1"/>
  <c r="M242" i="122" s="1"/>
  <c r="L242" i="122" a="1"/>
  <c r="L242" i="122" s="1"/>
  <c r="K242" i="122" a="1"/>
  <c r="K242" i="122" s="1"/>
  <c r="J242" i="122" a="1"/>
  <c r="J242" i="122" s="1"/>
  <c r="I242" i="122" a="1"/>
  <c r="I242" i="122" s="1"/>
  <c r="H242" i="122" a="1"/>
  <c r="H242" i="122" s="1"/>
  <c r="G242" i="122" a="1"/>
  <c r="G242" i="122" s="1"/>
  <c r="F242" i="122" a="1"/>
  <c r="F242" i="122" s="1"/>
  <c r="E242" i="122" a="1"/>
  <c r="E242" i="122" s="1"/>
  <c r="D242" i="122" a="1"/>
  <c r="D242" i="122" s="1"/>
  <c r="S241" i="122" a="1"/>
  <c r="S241" i="122" s="1"/>
  <c r="R241" i="122" a="1"/>
  <c r="R241" i="122" s="1"/>
  <c r="Q241" i="122" a="1"/>
  <c r="Q241" i="122" s="1"/>
  <c r="P241" i="122" a="1"/>
  <c r="P241" i="122" s="1"/>
  <c r="O241" i="122" a="1"/>
  <c r="O241" i="122" s="1"/>
  <c r="N241" i="122" a="1"/>
  <c r="N241" i="122" s="1"/>
  <c r="M241" i="122" a="1"/>
  <c r="M241" i="122" s="1"/>
  <c r="L241" i="122" a="1"/>
  <c r="L241" i="122" s="1"/>
  <c r="K241" i="122" a="1"/>
  <c r="K241" i="122" s="1"/>
  <c r="J241" i="122" a="1"/>
  <c r="J241" i="122" s="1"/>
  <c r="I241" i="122" a="1"/>
  <c r="I241" i="122" s="1"/>
  <c r="H241" i="122" a="1"/>
  <c r="H241" i="122" s="1"/>
  <c r="G241" i="122" a="1"/>
  <c r="G241" i="122" s="1"/>
  <c r="F241" i="122" a="1"/>
  <c r="F241" i="122" s="1"/>
  <c r="E241" i="122" a="1"/>
  <c r="E241" i="122" s="1"/>
  <c r="D241" i="122" a="1"/>
  <c r="D241" i="122" s="1"/>
  <c r="S240" i="122" a="1"/>
  <c r="S240" i="122" s="1"/>
  <c r="R240" i="122" a="1"/>
  <c r="R240" i="122" s="1"/>
  <c r="Q240" i="122" a="1"/>
  <c r="Q240" i="122" s="1"/>
  <c r="P240" i="122" a="1"/>
  <c r="P240" i="122" s="1"/>
  <c r="O240" i="122" a="1"/>
  <c r="O240" i="122" s="1"/>
  <c r="N240" i="122" a="1"/>
  <c r="N240" i="122" s="1"/>
  <c r="M240" i="122" a="1"/>
  <c r="M240" i="122" s="1"/>
  <c r="L240" i="122" a="1"/>
  <c r="L240" i="122" s="1"/>
  <c r="K240" i="122" a="1"/>
  <c r="K240" i="122" s="1"/>
  <c r="J240" i="122" a="1"/>
  <c r="J240" i="122" s="1"/>
  <c r="I240" i="122" a="1"/>
  <c r="I240" i="122" s="1"/>
  <c r="H240" i="122" a="1"/>
  <c r="H240" i="122" s="1"/>
  <c r="G240" i="122" a="1"/>
  <c r="G240" i="122" s="1"/>
  <c r="F240" i="122" a="1"/>
  <c r="F240" i="122" s="1"/>
  <c r="E240" i="122" a="1"/>
  <c r="E240" i="122" s="1"/>
  <c r="D240" i="122" a="1"/>
  <c r="D240" i="122" s="1"/>
  <c r="S239" i="122" a="1"/>
  <c r="S239" i="122" s="1"/>
  <c r="R239" i="122" a="1"/>
  <c r="R239" i="122" s="1"/>
  <c r="Q239" i="122" a="1"/>
  <c r="Q239" i="122" s="1"/>
  <c r="P239" i="122" a="1"/>
  <c r="P239" i="122" s="1"/>
  <c r="O239" i="122" a="1"/>
  <c r="O239" i="122" s="1"/>
  <c r="N239" i="122" a="1"/>
  <c r="N239" i="122" s="1"/>
  <c r="M239" i="122" a="1"/>
  <c r="M239" i="122" s="1"/>
  <c r="L239" i="122" a="1"/>
  <c r="L239" i="122" s="1"/>
  <c r="K239" i="122" a="1"/>
  <c r="K239" i="122" s="1"/>
  <c r="J239" i="122" a="1"/>
  <c r="J239" i="122" s="1"/>
  <c r="I239" i="122" a="1"/>
  <c r="I239" i="122" s="1"/>
  <c r="H239" i="122" a="1"/>
  <c r="H239" i="122" s="1"/>
  <c r="G239" i="122" a="1"/>
  <c r="G239" i="122" s="1"/>
  <c r="F239" i="122" a="1"/>
  <c r="F239" i="122" s="1"/>
  <c r="E239" i="122" a="1"/>
  <c r="E239" i="122" s="1"/>
  <c r="D239" i="122" a="1"/>
  <c r="D239" i="122" s="1"/>
  <c r="S238" i="122" a="1"/>
  <c r="S238" i="122" s="1"/>
  <c r="R238" i="122" a="1"/>
  <c r="R238" i="122" s="1"/>
  <c r="Q238" i="122" a="1"/>
  <c r="Q238" i="122" s="1"/>
  <c r="P238" i="122" a="1"/>
  <c r="P238" i="122" s="1"/>
  <c r="O238" i="122" a="1"/>
  <c r="O238" i="122" s="1"/>
  <c r="N238" i="122" a="1"/>
  <c r="N238" i="122" s="1"/>
  <c r="M238" i="122" a="1"/>
  <c r="M238" i="122" s="1"/>
  <c r="L238" i="122" a="1"/>
  <c r="L238" i="122" s="1"/>
  <c r="K238" i="122" a="1"/>
  <c r="K238" i="122" s="1"/>
  <c r="J238" i="122" a="1"/>
  <c r="J238" i="122" s="1"/>
  <c r="I238" i="122" a="1"/>
  <c r="I238" i="122" s="1"/>
  <c r="H238" i="122" a="1"/>
  <c r="H238" i="122" s="1"/>
  <c r="G238" i="122" a="1"/>
  <c r="G238" i="122" s="1"/>
  <c r="F238" i="122" a="1"/>
  <c r="F238" i="122" s="1"/>
  <c r="E238" i="122" a="1"/>
  <c r="E238" i="122" s="1"/>
  <c r="D238" i="122" a="1"/>
  <c r="D238" i="122" s="1"/>
  <c r="S237" i="122" a="1"/>
  <c r="S237" i="122" s="1"/>
  <c r="R237" i="122" a="1"/>
  <c r="R237" i="122" s="1"/>
  <c r="Q237" i="122" a="1"/>
  <c r="Q237" i="122" s="1"/>
  <c r="P237" i="122" a="1"/>
  <c r="P237" i="122" s="1"/>
  <c r="O237" i="122" a="1"/>
  <c r="O237" i="122" s="1"/>
  <c r="N237" i="122" a="1"/>
  <c r="N237" i="122" s="1"/>
  <c r="M237" i="122" a="1"/>
  <c r="M237" i="122" s="1"/>
  <c r="L237" i="122" a="1"/>
  <c r="L237" i="122" s="1"/>
  <c r="K237" i="122" a="1"/>
  <c r="K237" i="122" s="1"/>
  <c r="J237" i="122" a="1"/>
  <c r="J237" i="122" s="1"/>
  <c r="I237" i="122" a="1"/>
  <c r="I237" i="122" s="1"/>
  <c r="H237" i="122" a="1"/>
  <c r="H237" i="122" s="1"/>
  <c r="G237" i="122" a="1"/>
  <c r="G237" i="122" s="1"/>
  <c r="F237" i="122" a="1"/>
  <c r="F237" i="122" s="1"/>
  <c r="E237" i="122" a="1"/>
  <c r="E237" i="122" s="1"/>
  <c r="D237" i="122" a="1"/>
  <c r="D237" i="122" s="1"/>
  <c r="S236" i="122" a="1"/>
  <c r="S236" i="122" s="1"/>
  <c r="R236" i="122" a="1"/>
  <c r="R236" i="122" s="1"/>
  <c r="Q236" i="122" a="1"/>
  <c r="Q236" i="122" s="1"/>
  <c r="P236" i="122" a="1"/>
  <c r="P236" i="122" s="1"/>
  <c r="O236" i="122" a="1"/>
  <c r="O236" i="122" s="1"/>
  <c r="N236" i="122" a="1"/>
  <c r="N236" i="122" s="1"/>
  <c r="M236" i="122" a="1"/>
  <c r="M236" i="122" s="1"/>
  <c r="L236" i="122" a="1"/>
  <c r="L236" i="122" s="1"/>
  <c r="K236" i="122" a="1"/>
  <c r="K236" i="122" s="1"/>
  <c r="J236" i="122" a="1"/>
  <c r="J236" i="122" s="1"/>
  <c r="I236" i="122" a="1"/>
  <c r="I236" i="122" s="1"/>
  <c r="H236" i="122" a="1"/>
  <c r="H236" i="122" s="1"/>
  <c r="G236" i="122" a="1"/>
  <c r="G236" i="122" s="1"/>
  <c r="F236" i="122" a="1"/>
  <c r="F236" i="122" s="1"/>
  <c r="E236" i="122" a="1"/>
  <c r="E236" i="122" s="1"/>
  <c r="D236" i="122" a="1"/>
  <c r="D236" i="122" s="1"/>
  <c r="S235" i="122" a="1"/>
  <c r="S235" i="122" s="1"/>
  <c r="R235" i="122" a="1"/>
  <c r="R235" i="122" s="1"/>
  <c r="Q235" i="122" a="1"/>
  <c r="Q235" i="122" s="1"/>
  <c r="P235" i="122" a="1"/>
  <c r="P235" i="122" s="1"/>
  <c r="O235" i="122" a="1"/>
  <c r="O235" i="122" s="1"/>
  <c r="N235" i="122" a="1"/>
  <c r="N235" i="122" s="1"/>
  <c r="M235" i="122" a="1"/>
  <c r="M235" i="122" s="1"/>
  <c r="L235" i="122" a="1"/>
  <c r="L235" i="122" s="1"/>
  <c r="K235" i="122" a="1"/>
  <c r="K235" i="122" s="1"/>
  <c r="J235" i="122" a="1"/>
  <c r="J235" i="122" s="1"/>
  <c r="I235" i="122" a="1"/>
  <c r="I235" i="122" s="1"/>
  <c r="H235" i="122" a="1"/>
  <c r="H235" i="122" s="1"/>
  <c r="G235" i="122" a="1"/>
  <c r="G235" i="122" s="1"/>
  <c r="F235" i="122" a="1"/>
  <c r="F235" i="122" s="1"/>
  <c r="E235" i="122" a="1"/>
  <c r="E235" i="122" s="1"/>
  <c r="D235" i="122" a="1"/>
  <c r="D235" i="122" s="1"/>
  <c r="S234" i="122" a="1"/>
  <c r="S234" i="122" s="1"/>
  <c r="R234" i="122" a="1"/>
  <c r="R234" i="122" s="1"/>
  <c r="Q234" i="122" a="1"/>
  <c r="Q234" i="122" s="1"/>
  <c r="P234" i="122" a="1"/>
  <c r="P234" i="122" s="1"/>
  <c r="O234" i="122" a="1"/>
  <c r="O234" i="122" s="1"/>
  <c r="N234" i="122" a="1"/>
  <c r="N234" i="122" s="1"/>
  <c r="M234" i="122" a="1"/>
  <c r="M234" i="122" s="1"/>
  <c r="L234" i="122" a="1"/>
  <c r="L234" i="122" s="1"/>
  <c r="K234" i="122" a="1"/>
  <c r="K234" i="122" s="1"/>
  <c r="J234" i="122" a="1"/>
  <c r="J234" i="122" s="1"/>
  <c r="I234" i="122" a="1"/>
  <c r="I234" i="122" s="1"/>
  <c r="H234" i="122" a="1"/>
  <c r="H234" i="122" s="1"/>
  <c r="G234" i="122" a="1"/>
  <c r="G234" i="122" s="1"/>
  <c r="F234" i="122" a="1"/>
  <c r="F234" i="122" s="1"/>
  <c r="E234" i="122" a="1"/>
  <c r="E234" i="122" s="1"/>
  <c r="D234" i="122" a="1"/>
  <c r="D234" i="122" s="1"/>
  <c r="S233" i="122" a="1"/>
  <c r="S233" i="122" s="1"/>
  <c r="R233" i="122" a="1"/>
  <c r="R233" i="122" s="1"/>
  <c r="Q233" i="122" a="1"/>
  <c r="Q233" i="122" s="1"/>
  <c r="P233" i="122" a="1"/>
  <c r="P233" i="122" s="1"/>
  <c r="O233" i="122" a="1"/>
  <c r="O233" i="122" s="1"/>
  <c r="N233" i="122" a="1"/>
  <c r="N233" i="122" s="1"/>
  <c r="M233" i="122" a="1"/>
  <c r="M233" i="122" s="1"/>
  <c r="L233" i="122" a="1"/>
  <c r="L233" i="122" s="1"/>
  <c r="K233" i="122" a="1"/>
  <c r="K233" i="122" s="1"/>
  <c r="J233" i="122" a="1"/>
  <c r="J233" i="122" s="1"/>
  <c r="I233" i="122" a="1"/>
  <c r="I233" i="122" s="1"/>
  <c r="H233" i="122" a="1"/>
  <c r="H233" i="122" s="1"/>
  <c r="G233" i="122" a="1"/>
  <c r="G233" i="122" s="1"/>
  <c r="F233" i="122" a="1"/>
  <c r="F233" i="122" s="1"/>
  <c r="E233" i="122" a="1"/>
  <c r="E233" i="122" s="1"/>
  <c r="D233" i="122" a="1"/>
  <c r="D233" i="122" s="1"/>
  <c r="S232" i="122" a="1"/>
  <c r="S232" i="122" s="1"/>
  <c r="R232" i="122" a="1"/>
  <c r="R232" i="122" s="1"/>
  <c r="Q232" i="122" a="1"/>
  <c r="Q232" i="122" s="1"/>
  <c r="P232" i="122" a="1"/>
  <c r="P232" i="122" s="1"/>
  <c r="O232" i="122" a="1"/>
  <c r="O232" i="122" s="1"/>
  <c r="N232" i="122" a="1"/>
  <c r="N232" i="122" s="1"/>
  <c r="M232" i="122" a="1"/>
  <c r="M232" i="122" s="1"/>
  <c r="L232" i="122" a="1"/>
  <c r="L232" i="122" s="1"/>
  <c r="K232" i="122" a="1"/>
  <c r="K232" i="122" s="1"/>
  <c r="J232" i="122" a="1"/>
  <c r="J232" i="122" s="1"/>
  <c r="I232" i="122" a="1"/>
  <c r="I232" i="122" s="1"/>
  <c r="H232" i="122" a="1"/>
  <c r="H232" i="122" s="1"/>
  <c r="G232" i="122" a="1"/>
  <c r="G232" i="122" s="1"/>
  <c r="F232" i="122" a="1"/>
  <c r="F232" i="122" s="1"/>
  <c r="E232" i="122" a="1"/>
  <c r="E232" i="122" s="1"/>
  <c r="D232" i="122" a="1"/>
  <c r="D232" i="122" s="1"/>
  <c r="D229" i="122" a="1"/>
  <c r="D229" i="122" s="1"/>
  <c r="D228" i="122" a="1"/>
  <c r="D228" i="122" s="1"/>
  <c r="D227" i="122" a="1"/>
  <c r="D227" i="122" s="1"/>
  <c r="E224" i="122" a="1"/>
  <c r="E224" i="122" s="1"/>
  <c r="D224" i="122" a="1"/>
  <c r="D224" i="122" s="1"/>
  <c r="E223" i="122" a="1"/>
  <c r="E223" i="122" s="1"/>
  <c r="D223" i="122" a="1"/>
  <c r="D223" i="122" s="1"/>
  <c r="E222" i="122" a="1"/>
  <c r="E222" i="122" s="1"/>
  <c r="D222" i="122" a="1"/>
  <c r="D222" i="122" s="1"/>
  <c r="E221" i="122" a="1"/>
  <c r="E221" i="122" s="1"/>
  <c r="D221" i="122" a="1"/>
  <c r="D221" i="122" s="1"/>
  <c r="E220" i="122" a="1"/>
  <c r="E220" i="122" s="1"/>
  <c r="D220" i="122" a="1"/>
  <c r="D220" i="122" s="1"/>
  <c r="E219" i="122" a="1"/>
  <c r="E219" i="122" s="1"/>
  <c r="D219" i="122" a="1"/>
  <c r="D219" i="122" s="1"/>
  <c r="E218" i="122" a="1"/>
  <c r="E218" i="122" s="1"/>
  <c r="D218" i="122" a="1"/>
  <c r="D218" i="122" s="1"/>
  <c r="E217" i="122" a="1"/>
  <c r="E217" i="122" s="1"/>
  <c r="D217" i="122" a="1"/>
  <c r="D217" i="122" s="1"/>
  <c r="E216" i="122" a="1"/>
  <c r="E216" i="122" s="1"/>
  <c r="D216" i="122" a="1"/>
  <c r="D216" i="122" s="1"/>
  <c r="E215" i="122" a="1"/>
  <c r="E215" i="122" s="1"/>
  <c r="D215" i="122" a="1"/>
  <c r="D215" i="122" s="1"/>
  <c r="E214" i="122" a="1"/>
  <c r="E214" i="122" s="1"/>
  <c r="D214" i="122" a="1"/>
  <c r="D214" i="122" s="1"/>
  <c r="E213" i="122" a="1"/>
  <c r="E213" i="122" s="1"/>
  <c r="D213" i="122" a="1"/>
  <c r="D213" i="122" s="1"/>
  <c r="D211" i="122" a="1"/>
  <c r="D211" i="122" s="1"/>
  <c r="E208" i="122" a="1"/>
  <c r="E208" i="122" s="1"/>
  <c r="D208" i="122" a="1"/>
  <c r="D208" i="122" s="1"/>
  <c r="E207" i="122" a="1"/>
  <c r="E207" i="122" s="1"/>
  <c r="D207" i="122" a="1"/>
  <c r="D207" i="122" s="1"/>
  <c r="D205" i="122" a="1"/>
  <c r="D205" i="122" s="1"/>
  <c r="D204" i="122" a="1"/>
  <c r="D204" i="122" s="1"/>
  <c r="D203" i="122" a="1"/>
  <c r="D203" i="122" s="1"/>
  <c r="D202" i="122" a="1"/>
  <c r="D202" i="122" s="1"/>
  <c r="H199" i="122" a="1"/>
  <c r="H199" i="122" s="1"/>
  <c r="G199" i="122" a="1"/>
  <c r="G199" i="122" s="1"/>
  <c r="F199" i="122" a="1"/>
  <c r="F199" i="122" s="1"/>
  <c r="E199" i="122" a="1"/>
  <c r="E199" i="122" s="1"/>
  <c r="D199" i="122" a="1"/>
  <c r="D199" i="122" s="1"/>
  <c r="H198" i="122" a="1"/>
  <c r="H198" i="122" s="1"/>
  <c r="G198" i="122" a="1"/>
  <c r="G198" i="122" s="1"/>
  <c r="F198" i="122" a="1"/>
  <c r="F198" i="122" s="1"/>
  <c r="E198" i="122" a="1"/>
  <c r="E198" i="122" s="1"/>
  <c r="D198" i="122" a="1"/>
  <c r="D198" i="122" s="1"/>
  <c r="H197" i="122" a="1"/>
  <c r="H197" i="122" s="1"/>
  <c r="G197" i="122" a="1"/>
  <c r="G197" i="122" s="1"/>
  <c r="F197" i="122" a="1"/>
  <c r="F197" i="122" s="1"/>
  <c r="E197" i="122" a="1"/>
  <c r="E197" i="122" s="1"/>
  <c r="D197" i="122" a="1"/>
  <c r="D197" i="122" s="1"/>
  <c r="H196" i="122" a="1"/>
  <c r="H196" i="122" s="1"/>
  <c r="G196" i="122" a="1"/>
  <c r="G196" i="122" s="1"/>
  <c r="F196" i="122" a="1"/>
  <c r="F196" i="122" s="1"/>
  <c r="E196" i="122" a="1"/>
  <c r="E196" i="122" s="1"/>
  <c r="D196" i="122" a="1"/>
  <c r="D196" i="122" s="1"/>
  <c r="H195" i="122" a="1"/>
  <c r="H195" i="122" s="1"/>
  <c r="G195" i="122" a="1"/>
  <c r="G195" i="122" s="1"/>
  <c r="F195" i="122" a="1"/>
  <c r="F195" i="122" s="1"/>
  <c r="E195" i="122" a="1"/>
  <c r="E195" i="122" s="1"/>
  <c r="D195" i="122" a="1"/>
  <c r="D195" i="122" s="1"/>
  <c r="H194" i="122" a="1"/>
  <c r="H194" i="122" s="1"/>
  <c r="G194" i="122" a="1"/>
  <c r="G194" i="122" s="1"/>
  <c r="F194" i="122" a="1"/>
  <c r="F194" i="122" s="1"/>
  <c r="E194" i="122" a="1"/>
  <c r="E194" i="122" s="1"/>
  <c r="D194" i="122" a="1"/>
  <c r="D194" i="122" s="1"/>
  <c r="H193" i="122" a="1"/>
  <c r="H193" i="122" s="1"/>
  <c r="G193" i="122" a="1"/>
  <c r="G193" i="122" s="1"/>
  <c r="F193" i="122" a="1"/>
  <c r="F193" i="122" s="1"/>
  <c r="E193" i="122" a="1"/>
  <c r="E193" i="122" s="1"/>
  <c r="D193" i="122" a="1"/>
  <c r="D193" i="122" s="1"/>
  <c r="H192" i="122" a="1"/>
  <c r="H192" i="122" s="1"/>
  <c r="G192" i="122" a="1"/>
  <c r="G192" i="122" s="1"/>
  <c r="F192" i="122" a="1"/>
  <c r="F192" i="122" s="1"/>
  <c r="E192" i="122" a="1"/>
  <c r="E192" i="122" s="1"/>
  <c r="D192" i="122" a="1"/>
  <c r="D192" i="122" s="1"/>
  <c r="H191" i="122" a="1"/>
  <c r="H191" i="122" s="1"/>
  <c r="G191" i="122" a="1"/>
  <c r="G191" i="122" s="1"/>
  <c r="F191" i="122" a="1"/>
  <c r="F191" i="122" s="1"/>
  <c r="E191" i="122" a="1"/>
  <c r="E191" i="122" s="1"/>
  <c r="D191" i="122" a="1"/>
  <c r="D191" i="122" s="1"/>
  <c r="H190" i="122" a="1"/>
  <c r="H190" i="122" s="1"/>
  <c r="G190" i="122" a="1"/>
  <c r="G190" i="122" s="1"/>
  <c r="F190" i="122" a="1"/>
  <c r="F190" i="122" s="1"/>
  <c r="E190" i="122" a="1"/>
  <c r="E190" i="122" s="1"/>
  <c r="D190" i="122" a="1"/>
  <c r="D190" i="122" s="1"/>
  <c r="H189" i="122" a="1"/>
  <c r="H189" i="122" s="1"/>
  <c r="G189" i="122" a="1"/>
  <c r="G189" i="122" s="1"/>
  <c r="F189" i="122" a="1"/>
  <c r="F189" i="122" s="1"/>
  <c r="E189" i="122" a="1"/>
  <c r="E189" i="122" s="1"/>
  <c r="D189" i="122" a="1"/>
  <c r="D189" i="122" s="1"/>
  <c r="H188" i="122" a="1"/>
  <c r="H188" i="122" s="1"/>
  <c r="G188" i="122" a="1"/>
  <c r="G188" i="122" s="1"/>
  <c r="F188" i="122" a="1"/>
  <c r="F188" i="122" s="1"/>
  <c r="E188" i="122" a="1"/>
  <c r="E188" i="122" s="1"/>
  <c r="D188" i="122" a="1"/>
  <c r="D188" i="122" s="1"/>
  <c r="H187" i="122" a="1"/>
  <c r="H187" i="122" s="1"/>
  <c r="G187" i="122" a="1"/>
  <c r="G187" i="122" s="1"/>
  <c r="F187" i="122" a="1"/>
  <c r="F187" i="122" s="1"/>
  <c r="E187" i="122" a="1"/>
  <c r="E187" i="122" s="1"/>
  <c r="D187" i="122" a="1"/>
  <c r="D187" i="122" s="1"/>
  <c r="D181" i="122" a="1"/>
  <c r="D181" i="122" s="1"/>
  <c r="D180" i="122" a="1"/>
  <c r="D180" i="122" s="1"/>
  <c r="D179" i="122" a="1"/>
  <c r="D179" i="122" s="1"/>
  <c r="D178" i="122" a="1"/>
  <c r="D178" i="122" s="1"/>
  <c r="E175" i="122" a="1"/>
  <c r="E175" i="122" s="1"/>
  <c r="D175" i="122" a="1"/>
  <c r="D175" i="122" s="1"/>
  <c r="D174" i="122"/>
  <c r="D174" i="122" a="1"/>
  <c r="D173" i="122" a="1"/>
  <c r="D173" i="122" s="1"/>
  <c r="D170" i="122" a="1"/>
  <c r="D170" i="122" s="1"/>
  <c r="D169" i="122"/>
  <c r="D169" i="122" a="1"/>
  <c r="D168" i="122" a="1"/>
  <c r="D168" i="122" s="1"/>
  <c r="D167" i="122" a="1"/>
  <c r="D167" i="122" s="1"/>
  <c r="D164" i="122" a="1"/>
  <c r="D164" i="122" s="1"/>
  <c r="D163" i="122" a="1"/>
  <c r="D163" i="122" s="1"/>
  <c r="D162" i="122" a="1"/>
  <c r="D162" i="122" s="1"/>
  <c r="D161" i="122" a="1"/>
  <c r="D161" i="122" s="1"/>
  <c r="E158" i="122" a="1"/>
  <c r="E158" i="122" s="1"/>
  <c r="D158" i="122" a="1"/>
  <c r="D158" i="122" s="1"/>
  <c r="E157" i="122" a="1"/>
  <c r="E157" i="122" s="1"/>
  <c r="D157" i="122" a="1"/>
  <c r="D157" i="122" s="1"/>
  <c r="E156" i="122" a="1"/>
  <c r="E156" i="122" s="1"/>
  <c r="D156" i="122" a="1"/>
  <c r="D156" i="122" s="1"/>
  <c r="E155" i="122" a="1"/>
  <c r="E155" i="122" s="1"/>
  <c r="D155" i="122" a="1"/>
  <c r="D155" i="122" s="1"/>
  <c r="E154" i="122" a="1"/>
  <c r="E154" i="122" s="1"/>
  <c r="D154" i="122" a="1"/>
  <c r="D154" i="122" s="1"/>
  <c r="D151" i="122" a="1"/>
  <c r="D151" i="122" s="1"/>
  <c r="D150" i="122" a="1"/>
  <c r="D150" i="122" s="1"/>
  <c r="E147" i="122" a="1"/>
  <c r="E147" i="122" s="1"/>
  <c r="D147" i="122" a="1"/>
  <c r="D147" i="122" s="1"/>
  <c r="E146" i="122" a="1"/>
  <c r="E146" i="122" s="1"/>
  <c r="D146" i="122" a="1"/>
  <c r="D146" i="122" s="1"/>
  <c r="E145" i="122" a="1"/>
  <c r="E145" i="122" s="1"/>
  <c r="D145" i="122" a="1"/>
  <c r="D145" i="122" s="1"/>
  <c r="E144" i="122" a="1"/>
  <c r="E144" i="122" s="1"/>
  <c r="D144" i="122" a="1"/>
  <c r="D144" i="122" s="1"/>
  <c r="E143" i="122" a="1"/>
  <c r="E143" i="122" s="1"/>
  <c r="D143" i="122" a="1"/>
  <c r="D143" i="122" s="1"/>
  <c r="D141" i="122" a="1"/>
  <c r="D141" i="122" s="1"/>
  <c r="D140" i="122"/>
  <c r="D140" i="122" a="1"/>
  <c r="D139" i="122" a="1"/>
  <c r="D139" i="122" s="1"/>
  <c r="E136" i="122" a="1"/>
  <c r="E136" i="122" s="1"/>
  <c r="D136" i="122" a="1"/>
  <c r="D136" i="122" s="1"/>
  <c r="E135" i="122" a="1"/>
  <c r="E135" i="122" s="1"/>
  <c r="D135" i="122" a="1"/>
  <c r="D135" i="122" s="1"/>
  <c r="D133" i="122" a="1"/>
  <c r="D133" i="122" s="1"/>
  <c r="D132" i="122" a="1"/>
  <c r="D132" i="122" s="1"/>
  <c r="E129" i="122" a="1"/>
  <c r="E129" i="122" s="1"/>
  <c r="D129" i="122" a="1"/>
  <c r="D129" i="122" s="1"/>
  <c r="E128" i="122" a="1"/>
  <c r="E128" i="122" s="1"/>
  <c r="D128" i="122" a="1"/>
  <c r="D128" i="122" s="1"/>
  <c r="D125" i="122" a="1"/>
  <c r="D125" i="122" s="1"/>
  <c r="D124" i="122" a="1"/>
  <c r="D124" i="122" s="1"/>
  <c r="G121" i="122" a="1"/>
  <c r="G121" i="122" s="1"/>
  <c r="F121" i="122" a="1"/>
  <c r="F121" i="122" s="1"/>
  <c r="E121" i="122" a="1"/>
  <c r="E121" i="122" s="1"/>
  <c r="D121" i="122" a="1"/>
  <c r="D121" i="122" s="1"/>
  <c r="G120" i="122" a="1"/>
  <c r="G120" i="122" s="1"/>
  <c r="F120" i="122" a="1"/>
  <c r="F120" i="122" s="1"/>
  <c r="E120" i="122" a="1"/>
  <c r="E120" i="122" s="1"/>
  <c r="D120" i="122" a="1"/>
  <c r="D120" i="122" s="1"/>
  <c r="D117" i="122" a="1"/>
  <c r="D117" i="122" s="1"/>
  <c r="D116" i="122" a="1"/>
  <c r="D116" i="122" s="1"/>
  <c r="D115" i="122" a="1"/>
  <c r="D115" i="122" s="1"/>
  <c r="G112" i="122" a="1"/>
  <c r="G112" i="122" s="1"/>
  <c r="F112" i="122" a="1"/>
  <c r="F112" i="122" s="1"/>
  <c r="E112" i="122" a="1"/>
  <c r="E112" i="122" s="1"/>
  <c r="D112" i="122" a="1"/>
  <c r="D112" i="122" s="1"/>
  <c r="G111" i="122" a="1"/>
  <c r="G111" i="122" s="1"/>
  <c r="F111" i="122" a="1"/>
  <c r="F111" i="122" s="1"/>
  <c r="E111" i="122" a="1"/>
  <c r="E111" i="122" s="1"/>
  <c r="D111" i="122" a="1"/>
  <c r="D111" i="122" s="1"/>
  <c r="G110" i="122" a="1"/>
  <c r="G110" i="122" s="1"/>
  <c r="F110" i="122" a="1"/>
  <c r="F110" i="122" s="1"/>
  <c r="E110" i="122" a="1"/>
  <c r="E110" i="122" s="1"/>
  <c r="D110" i="122" a="1"/>
  <c r="D110" i="122" s="1"/>
  <c r="D107" i="122" a="1"/>
  <c r="D107" i="122" s="1"/>
  <c r="D106" i="122" a="1"/>
  <c r="D106" i="122" s="1"/>
  <c r="D105" i="122" a="1"/>
  <c r="D105" i="122" s="1"/>
  <c r="D99" i="122" a="1"/>
  <c r="D99" i="122" s="1"/>
  <c r="S97" i="122" a="1"/>
  <c r="S97" i="122" s="1"/>
  <c r="R97" i="122" a="1"/>
  <c r="R97" i="122" s="1"/>
  <c r="Q97" i="122" a="1"/>
  <c r="Q97" i="122" s="1"/>
  <c r="P97" i="122" a="1"/>
  <c r="P97" i="122" s="1"/>
  <c r="O97" i="122" a="1"/>
  <c r="O97" i="122" s="1"/>
  <c r="N97" i="122" a="1"/>
  <c r="N97" i="122" s="1"/>
  <c r="M97" i="122" a="1"/>
  <c r="M97" i="122" s="1"/>
  <c r="L97" i="122" a="1"/>
  <c r="L97" i="122" s="1"/>
  <c r="K97" i="122" a="1"/>
  <c r="K97" i="122" s="1"/>
  <c r="J97" i="122" a="1"/>
  <c r="J97" i="122" s="1"/>
  <c r="I97" i="122" a="1"/>
  <c r="I97" i="122" s="1"/>
  <c r="H97" i="122" a="1"/>
  <c r="H97" i="122" s="1"/>
  <c r="G97" i="122" a="1"/>
  <c r="G97" i="122" s="1"/>
  <c r="F97" i="122" a="1"/>
  <c r="F97" i="122" s="1"/>
  <c r="E97" i="122" a="1"/>
  <c r="E97" i="122" s="1"/>
  <c r="D97" i="122" a="1"/>
  <c r="D97" i="122" s="1"/>
  <c r="S96" i="122" a="1"/>
  <c r="S96" i="122" s="1"/>
  <c r="R96" i="122" a="1"/>
  <c r="R96" i="122" s="1"/>
  <c r="Q96" i="122" a="1"/>
  <c r="Q96" i="122" s="1"/>
  <c r="P96" i="122" a="1"/>
  <c r="P96" i="122" s="1"/>
  <c r="O96" i="122" a="1"/>
  <c r="O96" i="122" s="1"/>
  <c r="N96" i="122" a="1"/>
  <c r="N96" i="122" s="1"/>
  <c r="M96" i="122" a="1"/>
  <c r="M96" i="122" s="1"/>
  <c r="L96" i="122" a="1"/>
  <c r="L96" i="122" s="1"/>
  <c r="K96" i="122" a="1"/>
  <c r="K96" i="122" s="1"/>
  <c r="J96" i="122" a="1"/>
  <c r="J96" i="122" s="1"/>
  <c r="I96" i="122" a="1"/>
  <c r="I96" i="122" s="1"/>
  <c r="H96" i="122" a="1"/>
  <c r="H96" i="122" s="1"/>
  <c r="G96" i="122" a="1"/>
  <c r="G96" i="122" s="1"/>
  <c r="F96" i="122" a="1"/>
  <c r="F96" i="122" s="1"/>
  <c r="E96" i="122" a="1"/>
  <c r="E96" i="122" s="1"/>
  <c r="D96" i="122" a="1"/>
  <c r="D96" i="122" s="1"/>
  <c r="S95" i="122" a="1"/>
  <c r="S95" i="122" s="1"/>
  <c r="R95" i="122" a="1"/>
  <c r="R95" i="122" s="1"/>
  <c r="Q95" i="122" a="1"/>
  <c r="Q95" i="122" s="1"/>
  <c r="P95" i="122" a="1"/>
  <c r="P95" i="122" s="1"/>
  <c r="O95" i="122" a="1"/>
  <c r="O95" i="122" s="1"/>
  <c r="N95" i="122" a="1"/>
  <c r="N95" i="122" s="1"/>
  <c r="M95" i="122" a="1"/>
  <c r="M95" i="122" s="1"/>
  <c r="L95" i="122" a="1"/>
  <c r="L95" i="122" s="1"/>
  <c r="K95" i="122" a="1"/>
  <c r="K95" i="122" s="1"/>
  <c r="J95" i="122" a="1"/>
  <c r="J95" i="122" s="1"/>
  <c r="I95" i="122" a="1"/>
  <c r="I95" i="122" s="1"/>
  <c r="H95" i="122" a="1"/>
  <c r="H95" i="122" s="1"/>
  <c r="G95" i="122" a="1"/>
  <c r="G95" i="122" s="1"/>
  <c r="F95" i="122" a="1"/>
  <c r="F95" i="122" s="1"/>
  <c r="E95" i="122" a="1"/>
  <c r="E95" i="122" s="1"/>
  <c r="D95" i="122" a="1"/>
  <c r="D95" i="122" s="1"/>
  <c r="S94" i="122" a="1"/>
  <c r="S94" i="122" s="1"/>
  <c r="R94" i="122" a="1"/>
  <c r="R94" i="122" s="1"/>
  <c r="Q94" i="122" a="1"/>
  <c r="Q94" i="122" s="1"/>
  <c r="P94" i="122" a="1"/>
  <c r="P94" i="122" s="1"/>
  <c r="O94" i="122" a="1"/>
  <c r="O94" i="122" s="1"/>
  <c r="N94" i="122" a="1"/>
  <c r="N94" i="122" s="1"/>
  <c r="M94" i="122" a="1"/>
  <c r="M94" i="122" s="1"/>
  <c r="L94" i="122" a="1"/>
  <c r="L94" i="122" s="1"/>
  <c r="K94" i="122" a="1"/>
  <c r="K94" i="122" s="1"/>
  <c r="J94" i="122" a="1"/>
  <c r="J94" i="122" s="1"/>
  <c r="I94" i="122" a="1"/>
  <c r="I94" i="122" s="1"/>
  <c r="H94" i="122" a="1"/>
  <c r="H94" i="122" s="1"/>
  <c r="G94" i="122" a="1"/>
  <c r="G94" i="122" s="1"/>
  <c r="F94" i="122" a="1"/>
  <c r="F94" i="122" s="1"/>
  <c r="E94" i="122" a="1"/>
  <c r="E94" i="122" s="1"/>
  <c r="D94" i="122" a="1"/>
  <c r="D94" i="122" s="1"/>
  <c r="S93" i="122" a="1"/>
  <c r="S93" i="122" s="1"/>
  <c r="R93" i="122" a="1"/>
  <c r="R93" i="122" s="1"/>
  <c r="Q93" i="122" a="1"/>
  <c r="Q93" i="122" s="1"/>
  <c r="P93" i="122" a="1"/>
  <c r="P93" i="122" s="1"/>
  <c r="O93" i="122" a="1"/>
  <c r="O93" i="122" s="1"/>
  <c r="N93" i="122" a="1"/>
  <c r="N93" i="122" s="1"/>
  <c r="M93" i="122" a="1"/>
  <c r="M93" i="122" s="1"/>
  <c r="L93" i="122" a="1"/>
  <c r="L93" i="122" s="1"/>
  <c r="K93" i="122" a="1"/>
  <c r="K93" i="122" s="1"/>
  <c r="J93" i="122" a="1"/>
  <c r="J93" i="122" s="1"/>
  <c r="I93" i="122" a="1"/>
  <c r="I93" i="122" s="1"/>
  <c r="H93" i="122" a="1"/>
  <c r="H93" i="122" s="1"/>
  <c r="G93" i="122" a="1"/>
  <c r="G93" i="122" s="1"/>
  <c r="F93" i="122" a="1"/>
  <c r="F93" i="122" s="1"/>
  <c r="E93" i="122" a="1"/>
  <c r="E93" i="122" s="1"/>
  <c r="D93" i="122" a="1"/>
  <c r="D93" i="122" s="1"/>
  <c r="S92" i="122" a="1"/>
  <c r="S92" i="122" s="1"/>
  <c r="R92" i="122" a="1"/>
  <c r="R92" i="122" s="1"/>
  <c r="Q92" i="122" a="1"/>
  <c r="Q92" i="122" s="1"/>
  <c r="P92" i="122" a="1"/>
  <c r="P92" i="122" s="1"/>
  <c r="O92" i="122" a="1"/>
  <c r="O92" i="122" s="1"/>
  <c r="N92" i="122" a="1"/>
  <c r="N92" i="122" s="1"/>
  <c r="M92" i="122" a="1"/>
  <c r="M92" i="122" s="1"/>
  <c r="L92" i="122" a="1"/>
  <c r="L92" i="122" s="1"/>
  <c r="K92" i="122" a="1"/>
  <c r="K92" i="122" s="1"/>
  <c r="J92" i="122" a="1"/>
  <c r="J92" i="122" s="1"/>
  <c r="I92" i="122" a="1"/>
  <c r="I92" i="122" s="1"/>
  <c r="H92" i="122" a="1"/>
  <c r="H92" i="122" s="1"/>
  <c r="G92" i="122" a="1"/>
  <c r="G92" i="122" s="1"/>
  <c r="F92" i="122" a="1"/>
  <c r="F92" i="122" s="1"/>
  <c r="E92" i="122" a="1"/>
  <c r="E92" i="122" s="1"/>
  <c r="D92" i="122" a="1"/>
  <c r="D92" i="122" s="1"/>
  <c r="S91" i="122" a="1"/>
  <c r="S91" i="122" s="1"/>
  <c r="R91" i="122" a="1"/>
  <c r="R91" i="122" s="1"/>
  <c r="Q91" i="122" a="1"/>
  <c r="Q91" i="122" s="1"/>
  <c r="P91" i="122" a="1"/>
  <c r="P91" i="122" s="1"/>
  <c r="O91" i="122" a="1"/>
  <c r="O91" i="122" s="1"/>
  <c r="N91" i="122" a="1"/>
  <c r="N91" i="122" s="1"/>
  <c r="M91" i="122" a="1"/>
  <c r="M91" i="122" s="1"/>
  <c r="L91" i="122" a="1"/>
  <c r="L91" i="122" s="1"/>
  <c r="K91" i="122" a="1"/>
  <c r="K91" i="122" s="1"/>
  <c r="J91" i="122" a="1"/>
  <c r="J91" i="122" s="1"/>
  <c r="I91" i="122" a="1"/>
  <c r="I91" i="122" s="1"/>
  <c r="H91" i="122" a="1"/>
  <c r="H91" i="122" s="1"/>
  <c r="G91" i="122" a="1"/>
  <c r="G91" i="122" s="1"/>
  <c r="F91" i="122" a="1"/>
  <c r="F91" i="122" s="1"/>
  <c r="E91" i="122" a="1"/>
  <c r="E91" i="122" s="1"/>
  <c r="D91" i="122" a="1"/>
  <c r="D91" i="122" s="1"/>
  <c r="S90" i="122" a="1"/>
  <c r="S90" i="122" s="1"/>
  <c r="R90" i="122" a="1"/>
  <c r="R90" i="122" s="1"/>
  <c r="Q90" i="122" a="1"/>
  <c r="Q90" i="122" s="1"/>
  <c r="P90" i="122" a="1"/>
  <c r="P90" i="122" s="1"/>
  <c r="O90" i="122" a="1"/>
  <c r="O90" i="122" s="1"/>
  <c r="N90" i="122" a="1"/>
  <c r="N90" i="122" s="1"/>
  <c r="M90" i="122" a="1"/>
  <c r="M90" i="122" s="1"/>
  <c r="L90" i="122" a="1"/>
  <c r="L90" i="122" s="1"/>
  <c r="K90" i="122" a="1"/>
  <c r="K90" i="122" s="1"/>
  <c r="J90" i="122" a="1"/>
  <c r="J90" i="122" s="1"/>
  <c r="I90" i="122" a="1"/>
  <c r="I90" i="122" s="1"/>
  <c r="H90" i="122" a="1"/>
  <c r="H90" i="122" s="1"/>
  <c r="G90" i="122" a="1"/>
  <c r="G90" i="122" s="1"/>
  <c r="F90" i="122" a="1"/>
  <c r="F90" i="122" s="1"/>
  <c r="E90" i="122" a="1"/>
  <c r="E90" i="122" s="1"/>
  <c r="D90" i="122" a="1"/>
  <c r="D90" i="122" s="1"/>
  <c r="D83" i="122" a="1"/>
  <c r="D83" i="122" s="1"/>
  <c r="D82" i="122" a="1"/>
  <c r="D82" i="122" s="1"/>
  <c r="D81" i="122" a="1"/>
  <c r="D81" i="122" s="1"/>
  <c r="E77" i="122" a="1"/>
  <c r="E77" i="122" s="1"/>
  <c r="D77" i="122" a="1"/>
  <c r="D77" i="122" s="1"/>
  <c r="E76" i="122" a="1"/>
  <c r="E76" i="122" s="1"/>
  <c r="D76" i="122" a="1"/>
  <c r="D76" i="122" s="1"/>
  <c r="E75" i="122" a="1"/>
  <c r="E75" i="122" s="1"/>
  <c r="D75" i="122" a="1"/>
  <c r="D75" i="122" s="1"/>
  <c r="E74" i="122" a="1"/>
  <c r="E74" i="122" s="1"/>
  <c r="D74" i="122" a="1"/>
  <c r="D74" i="122" s="1"/>
  <c r="E73" i="122" a="1"/>
  <c r="E73" i="122" s="1"/>
  <c r="D73" i="122" a="1"/>
  <c r="D73" i="122" s="1"/>
  <c r="E72" i="122" a="1"/>
  <c r="E72" i="122" s="1"/>
  <c r="D72" i="122" a="1"/>
  <c r="D72" i="122" s="1"/>
  <c r="E71" i="122" a="1"/>
  <c r="E71" i="122" s="1"/>
  <c r="D71" i="122" a="1"/>
  <c r="D71" i="122" s="1"/>
  <c r="E70" i="122" a="1"/>
  <c r="E70" i="122" s="1"/>
  <c r="D70" i="122" a="1"/>
  <c r="D70" i="122" s="1"/>
  <c r="E69" i="122" a="1"/>
  <c r="E69" i="122" s="1"/>
  <c r="D69" i="122" a="1"/>
  <c r="D69" i="122" s="1"/>
  <c r="E68" i="122" a="1"/>
  <c r="E68" i="122" s="1"/>
  <c r="D68" i="122" a="1"/>
  <c r="D68" i="122" s="1"/>
  <c r="E67" i="122" a="1"/>
  <c r="E67" i="122" s="1"/>
  <c r="D67" i="122" a="1"/>
  <c r="D67" i="122" s="1"/>
  <c r="E66" i="122" a="1"/>
  <c r="E66" i="122" s="1"/>
  <c r="D66" i="122" a="1"/>
  <c r="D66" i="122" s="1"/>
  <c r="E65" i="122" a="1"/>
  <c r="E65" i="122" s="1"/>
  <c r="D65" i="122" a="1"/>
  <c r="D65" i="122" s="1"/>
  <c r="E64" i="122" a="1"/>
  <c r="E64" i="122" s="1"/>
  <c r="D64" i="122" a="1"/>
  <c r="D64" i="122" s="1"/>
  <c r="D59" i="122" a="1"/>
  <c r="D59" i="122" s="1"/>
  <c r="D58" i="122" a="1"/>
  <c r="D58" i="122" s="1"/>
  <c r="D57" i="122" a="1"/>
  <c r="D57" i="122" s="1"/>
  <c r="G54" i="122" a="1"/>
  <c r="G54" i="122" s="1"/>
  <c r="F54" i="122" a="1"/>
  <c r="F54" i="122" s="1"/>
  <c r="E54" i="122" a="1"/>
  <c r="E54" i="122" s="1"/>
  <c r="D54" i="122" a="1"/>
  <c r="D54" i="122" s="1"/>
  <c r="G53" i="122" a="1"/>
  <c r="G53" i="122" s="1"/>
  <c r="F53" i="122" a="1"/>
  <c r="F53" i="122" s="1"/>
  <c r="E53" i="122" a="1"/>
  <c r="E53" i="122" s="1"/>
  <c r="D53" i="122" a="1"/>
  <c r="D53" i="122" s="1"/>
  <c r="G52" i="122" a="1"/>
  <c r="G52" i="122" s="1"/>
  <c r="F52" i="122" a="1"/>
  <c r="F52" i="122" s="1"/>
  <c r="E52" i="122" a="1"/>
  <c r="E52" i="122" s="1"/>
  <c r="D52" i="122" a="1"/>
  <c r="D52" i="122" s="1"/>
  <c r="G51" i="122" a="1"/>
  <c r="G51" i="122" s="1"/>
  <c r="F51" i="122" a="1"/>
  <c r="F51" i="122" s="1"/>
  <c r="E51" i="122" a="1"/>
  <c r="E51" i="122" s="1"/>
  <c r="D51" i="122" a="1"/>
  <c r="D51" i="122" s="1"/>
  <c r="G50" i="122" a="1"/>
  <c r="G50" i="122" s="1"/>
  <c r="F50" i="122" a="1"/>
  <c r="F50" i="122" s="1"/>
  <c r="E50" i="122" a="1"/>
  <c r="E50" i="122" s="1"/>
  <c r="D50" i="122" a="1"/>
  <c r="D50" i="122" s="1"/>
  <c r="G49" i="122" a="1"/>
  <c r="G49" i="122" s="1"/>
  <c r="F49" i="122" a="1"/>
  <c r="F49" i="122" s="1"/>
  <c r="E49" i="122" a="1"/>
  <c r="E49" i="122" s="1"/>
  <c r="D49" i="122" a="1"/>
  <c r="D49" i="122" s="1"/>
  <c r="G48" i="122" a="1"/>
  <c r="G48" i="122" s="1"/>
  <c r="F48" i="122" a="1"/>
  <c r="F48" i="122" s="1"/>
  <c r="E48" i="122" a="1"/>
  <c r="E48" i="122" s="1"/>
  <c r="D48" i="122" a="1"/>
  <c r="D48" i="122" s="1"/>
  <c r="D46" i="122" a="1"/>
  <c r="D46" i="122" s="1"/>
  <c r="D45" i="122" a="1"/>
  <c r="D45" i="122" s="1"/>
  <c r="E43" i="122" a="1"/>
  <c r="E43" i="122" s="1"/>
  <c r="D43" i="122" a="1"/>
  <c r="D43" i="122" s="1"/>
  <c r="E42" i="122" a="1"/>
  <c r="E42" i="122" s="1"/>
  <c r="D42" i="122" a="1"/>
  <c r="D42" i="122" s="1"/>
  <c r="E41" i="122" a="1"/>
  <c r="E41" i="122" s="1"/>
  <c r="D41" i="122" a="1"/>
  <c r="D41" i="122" s="1"/>
  <c r="E40" i="122" a="1"/>
  <c r="E40" i="122" s="1"/>
  <c r="D40" i="122" a="1"/>
  <c r="D40" i="122" s="1"/>
  <c r="E39" i="122" a="1"/>
  <c r="E39" i="122" s="1"/>
  <c r="D39" i="122" a="1"/>
  <c r="D39" i="122" s="1"/>
  <c r="E38" i="122" a="1"/>
  <c r="E38" i="122" s="1"/>
  <c r="D38" i="122" a="1"/>
  <c r="D38" i="122" s="1"/>
  <c r="E37" i="122" a="1"/>
  <c r="E37" i="122" s="1"/>
  <c r="D37" i="122" a="1"/>
  <c r="D37" i="122" s="1"/>
  <c r="D35" i="122" a="1"/>
  <c r="D35" i="122" s="1"/>
  <c r="D34" i="122" a="1"/>
  <c r="D34" i="122" s="1"/>
  <c r="D30" i="122" a="1"/>
  <c r="D30" i="122" s="1"/>
  <c r="D29" i="122" a="1"/>
  <c r="D29" i="122" s="1"/>
  <c r="D28" i="122" a="1"/>
  <c r="D28" i="122" s="1"/>
  <c r="D27" i="122" a="1"/>
  <c r="D27" i="122" s="1"/>
  <c r="D26" i="122" a="1"/>
  <c r="D26" i="122" s="1"/>
  <c r="D25" i="122" a="1"/>
  <c r="D25" i="122" s="1"/>
  <c r="D24" i="122" a="1"/>
  <c r="D24" i="122" s="1"/>
  <c r="D23" i="122" a="1"/>
  <c r="D23" i="122" s="1"/>
  <c r="D22" i="122" a="1"/>
  <c r="D22" i="122" s="1"/>
  <c r="D21" i="122" a="1"/>
  <c r="D21" i="122" s="1"/>
  <c r="D19" i="122" a="1"/>
  <c r="D19" i="122" s="1"/>
  <c r="D18" i="122" a="1"/>
  <c r="D18" i="122" s="1"/>
  <c r="F14" i="122" a="1"/>
  <c r="F14" i="122" s="1"/>
  <c r="E14" i="122" a="1"/>
  <c r="E14" i="122" s="1"/>
  <c r="D14" i="122" a="1"/>
  <c r="D14" i="122" s="1"/>
  <c r="F13" i="122" a="1"/>
  <c r="F13" i="122" s="1"/>
  <c r="E13" i="122" a="1"/>
  <c r="E13" i="122" s="1"/>
  <c r="D13" i="122" a="1"/>
  <c r="D13" i="122" s="1"/>
  <c r="F12" i="122" a="1"/>
  <c r="F12" i="122" s="1"/>
  <c r="E12" i="122" a="1"/>
  <c r="E12" i="122" s="1"/>
  <c r="D12" i="122" a="1"/>
  <c r="D12" i="122" s="1"/>
  <c r="F11" i="122" a="1"/>
  <c r="F11" i="122" s="1"/>
  <c r="E11" i="122" a="1"/>
  <c r="E11" i="122" s="1"/>
  <c r="D11" i="122" a="1"/>
  <c r="D11" i="122" s="1"/>
  <c r="F10" i="122" a="1"/>
  <c r="F10" i="122" s="1"/>
  <c r="E10" i="122" a="1"/>
  <c r="E10" i="122" s="1"/>
  <c r="D10" i="122" a="1"/>
  <c r="D10" i="122" s="1"/>
  <c r="F9" i="122" a="1"/>
  <c r="F9" i="122" s="1"/>
  <c r="E9" i="122" a="1"/>
  <c r="E9" i="122" s="1"/>
  <c r="D9" i="122" a="1"/>
  <c r="D9" i="122" s="1"/>
  <c r="F8" i="122" a="1"/>
  <c r="F8" i="122" s="1"/>
  <c r="E8" i="122" a="1"/>
  <c r="E8" i="122" s="1"/>
  <c r="D8" i="122" a="1"/>
  <c r="D8" i="122" s="1"/>
  <c r="F7" i="122" a="1"/>
  <c r="F7" i="122" s="1"/>
  <c r="E7" i="122" a="1"/>
  <c r="E7" i="122" s="1"/>
  <c r="D7" i="122" a="1"/>
  <c r="D7" i="122" s="1"/>
  <c r="D5" i="122" a="1"/>
  <c r="D5" i="122" s="1"/>
  <c r="G36" i="110" a="1"/>
  <c r="G36" i="110" s="1"/>
  <c r="G35" i="110" a="1"/>
  <c r="G35" i="110" s="1"/>
  <c r="G34" i="110" a="1"/>
  <c r="G34" i="110" s="1"/>
  <c r="G33" i="110" a="1"/>
  <c r="G33" i="110" s="1"/>
  <c r="G32" i="110" a="1"/>
  <c r="G32" i="110" s="1"/>
  <c r="G31" i="110" a="1"/>
  <c r="G31" i="110" s="1"/>
  <c r="G30" i="110" a="1"/>
  <c r="G30" i="110" s="1"/>
  <c r="G29" i="110" a="1"/>
  <c r="G29" i="110" s="1"/>
  <c r="G28" i="110" a="1"/>
  <c r="G28" i="110" s="1"/>
  <c r="G27" i="110" a="1"/>
  <c r="G27" i="110" s="1"/>
  <c r="G26" i="110" a="1"/>
  <c r="G26" i="110" s="1"/>
  <c r="G25" i="110" a="1"/>
  <c r="G25" i="110" s="1"/>
  <c r="G24" i="110" a="1"/>
  <c r="G24" i="110" s="1"/>
  <c r="G23" i="110" a="1"/>
  <c r="G23" i="110" s="1"/>
  <c r="G22" i="110" a="1"/>
  <c r="G22" i="110" s="1"/>
  <c r="G21" i="110" a="1"/>
  <c r="G21" i="110" s="1"/>
  <c r="G20" i="110" a="1"/>
  <c r="G20" i="110" s="1"/>
  <c r="G19" i="110" a="1"/>
  <c r="G19" i="110" s="1"/>
  <c r="G18" i="110" a="1"/>
  <c r="G18" i="110" s="1"/>
  <c r="G17" i="110" a="1"/>
  <c r="G17" i="110" s="1"/>
  <c r="A77" i="110"/>
  <c r="A49" i="110"/>
  <c r="A109" i="69"/>
  <c r="A136" i="69"/>
  <c r="A66" i="69"/>
  <c r="O21" i="110" l="1"/>
  <c r="O20" i="110"/>
  <c r="O19" i="110"/>
  <c r="O18" i="110"/>
  <c r="M21" i="110"/>
  <c r="M20" i="110"/>
  <c r="M19" i="110"/>
  <c r="H54" i="122"/>
  <c r="H53" i="122"/>
  <c r="H50" i="122"/>
  <c r="H48" i="122"/>
  <c r="H51" i="122"/>
  <c r="H52" i="122"/>
  <c r="H49" i="122"/>
  <c r="A15" i="110"/>
  <c r="A14" i="110"/>
  <c r="A11" i="110"/>
  <c r="A8" i="110"/>
  <c r="A5" i="110"/>
  <c r="A4" i="110"/>
  <c r="A3" i="110"/>
  <c r="A15" i="69"/>
  <c r="A14" i="69"/>
  <c r="A11" i="69"/>
  <c r="A8" i="69"/>
  <c r="A5" i="69"/>
  <c r="A4" i="69"/>
  <c r="A3" i="69"/>
  <c r="A15" i="70"/>
  <c r="A14" i="70"/>
  <c r="A11" i="70"/>
  <c r="A8" i="70"/>
  <c r="A5" i="70"/>
  <c r="A4" i="70"/>
  <c r="A3" i="70"/>
  <c r="A15" i="118"/>
  <c r="A14" i="118"/>
  <c r="A11" i="118"/>
  <c r="A8" i="118"/>
  <c r="A5" i="118"/>
  <c r="A4" i="118"/>
  <c r="A3" i="118"/>
  <c r="A14" i="13"/>
  <c r="A11" i="13"/>
  <c r="A8" i="13"/>
  <c r="D98" i="69" a="1"/>
  <c r="D98" i="69" s="1"/>
  <c r="H105" i="69" l="1" a="1"/>
  <c r="H105" i="69" s="1"/>
  <c r="D105" i="69" a="1"/>
  <c r="D105" i="69" s="1"/>
  <c r="E103" i="69" a="1"/>
  <c r="E103" i="69" s="1"/>
  <c r="F192" i="69" s="1"/>
  <c r="E102" i="69" a="1"/>
  <c r="E102" i="69" s="1"/>
  <c r="D97" i="69" a="1"/>
  <c r="D97" i="69" s="1"/>
  <c r="D96" i="69" a="1"/>
  <c r="D96" i="69" s="1"/>
  <c r="J16" i="69" a="1"/>
  <c r="J16" i="69" s="1"/>
  <c r="J15" i="69" a="1"/>
  <c r="J15" i="69" s="1"/>
  <c r="J14" i="69" a="1"/>
  <c r="J14" i="69" s="1"/>
  <c r="J13" i="69" a="1"/>
  <c r="J13" i="69" s="1"/>
  <c r="I16" i="69" a="1"/>
  <c r="I16" i="69" s="1"/>
  <c r="I15" i="69" a="1"/>
  <c r="I15" i="69" s="1"/>
  <c r="I14" i="69" a="1"/>
  <c r="I14" i="69" s="1"/>
  <c r="I13" i="69" a="1"/>
  <c r="I13" i="69" s="1"/>
  <c r="D7" i="110" a="1"/>
  <c r="D7" i="110" s="1"/>
  <c r="G13" i="69" a="1"/>
  <c r="G13" i="69" s="1"/>
  <c r="D13" i="69" a="1"/>
  <c r="D13" i="69" s="1"/>
  <c r="E11" i="69" a="1"/>
  <c r="E11" i="69" s="1"/>
  <c r="E10" i="69" a="1"/>
  <c r="E10" i="69" s="1"/>
  <c r="D6" i="69" a="1"/>
  <c r="D6" i="69" s="1"/>
  <c r="D5" i="69" a="1"/>
  <c r="D5" i="69" s="1"/>
  <c r="D68" i="110" a="1"/>
  <c r="D68" i="110" s="1"/>
  <c r="E68" i="110" a="1"/>
  <c r="E68" i="110" s="1"/>
  <c r="D67" i="110" a="1"/>
  <c r="D67" i="110" s="1"/>
  <c r="E67" i="110" a="1"/>
  <c r="E67" i="110" s="1"/>
  <c r="D66" i="110" a="1"/>
  <c r="D66" i="110" s="1"/>
  <c r="E66" i="110" a="1"/>
  <c r="E66" i="110" s="1"/>
  <c r="D65" i="110" a="1"/>
  <c r="D65" i="110" s="1"/>
  <c r="E65" i="110" a="1"/>
  <c r="E65" i="110" s="1"/>
  <c r="D64" i="110" a="1"/>
  <c r="D64" i="110" s="1"/>
  <c r="E64" i="110" a="1"/>
  <c r="E64" i="110" s="1"/>
  <c r="D63" i="110" a="1"/>
  <c r="D63" i="110" s="1"/>
  <c r="E63" i="110" a="1"/>
  <c r="E63" i="110" s="1"/>
  <c r="D62" i="110" a="1"/>
  <c r="D62" i="110" s="1"/>
  <c r="E62" i="110" a="1"/>
  <c r="E62" i="110" s="1"/>
  <c r="D61" i="110" a="1"/>
  <c r="D61" i="110" s="1"/>
  <c r="E61" i="110" a="1"/>
  <c r="E61" i="110" s="1"/>
  <c r="D60" i="110" a="1"/>
  <c r="D60" i="110" s="1"/>
  <c r="E60" i="110" a="1"/>
  <c r="E60" i="110" s="1"/>
  <c r="D59" i="110" a="1"/>
  <c r="D59" i="110" s="1"/>
  <c r="E59" i="110" a="1"/>
  <c r="E59" i="110" s="1"/>
  <c r="E58" i="110" a="1"/>
  <c r="E58" i="110" s="1"/>
  <c r="D58" i="110" a="1"/>
  <c r="D58" i="110" s="1"/>
  <c r="D56" i="110" a="1"/>
  <c r="D56" i="110" s="1"/>
  <c r="D54" i="110" a="1"/>
  <c r="D54" i="110" s="1"/>
  <c r="D55" i="110" a="1"/>
  <c r="D55" i="110" s="1"/>
  <c r="D53" i="110" a="1"/>
  <c r="D53" i="110" s="1"/>
  <c r="D52" i="110" a="1"/>
  <c r="D52" i="110" s="1"/>
  <c r="D36" i="110" a="1"/>
  <c r="D36" i="110" s="1"/>
  <c r="E36" i="110" a="1"/>
  <c r="E36" i="110" s="1"/>
  <c r="K24" i="110" s="1"/>
  <c r="F36" i="110" a="1"/>
  <c r="F36" i="110" s="1"/>
  <c r="D35" i="110" a="1"/>
  <c r="D35" i="110" s="1"/>
  <c r="E35" i="110" a="1"/>
  <c r="E35" i="110" s="1"/>
  <c r="K23" i="110" s="1"/>
  <c r="F35" i="110" a="1"/>
  <c r="F35" i="110" s="1"/>
  <c r="D34" i="110" a="1"/>
  <c r="D34" i="110" s="1"/>
  <c r="E34" i="110" a="1"/>
  <c r="E34" i="110" s="1"/>
  <c r="K22" i="110" s="1"/>
  <c r="F34" i="110" a="1"/>
  <c r="F34" i="110" s="1"/>
  <c r="D33" i="110" a="1"/>
  <c r="D33" i="110" s="1"/>
  <c r="E33" i="110" a="1"/>
  <c r="E33" i="110" s="1"/>
  <c r="K21" i="110" s="1"/>
  <c r="F33" i="110" a="1"/>
  <c r="F33" i="110" s="1"/>
  <c r="D32" i="110" a="1"/>
  <c r="D32" i="110" s="1"/>
  <c r="E32" i="110" a="1"/>
  <c r="E32" i="110" s="1"/>
  <c r="K20" i="110" s="1"/>
  <c r="F32" i="110" a="1"/>
  <c r="F32" i="110" s="1"/>
  <c r="D31" i="110" a="1"/>
  <c r="D31" i="110" s="1"/>
  <c r="E31" i="110" a="1"/>
  <c r="E31" i="110" s="1"/>
  <c r="K19" i="110" s="1"/>
  <c r="F31" i="110" a="1"/>
  <c r="F31" i="110" s="1"/>
  <c r="D30" i="110" a="1"/>
  <c r="D30" i="110" s="1"/>
  <c r="E30" i="110" a="1"/>
  <c r="E30" i="110" s="1"/>
  <c r="K18" i="110" s="1"/>
  <c r="F30" i="110" a="1"/>
  <c r="F30" i="110" s="1"/>
  <c r="D29" i="110" a="1"/>
  <c r="D29" i="110" s="1"/>
  <c r="E29" i="110" a="1"/>
  <c r="E29" i="110" s="1"/>
  <c r="K17" i="110" s="1"/>
  <c r="F29" i="110" a="1"/>
  <c r="F29" i="110" s="1"/>
  <c r="D28" i="110" a="1"/>
  <c r="D28" i="110" s="1"/>
  <c r="E28" i="110" a="1"/>
  <c r="E28" i="110" s="1"/>
  <c r="F28" i="110" a="1"/>
  <c r="F28" i="110" s="1"/>
  <c r="D27" i="110" a="1"/>
  <c r="D27" i="110" s="1"/>
  <c r="E27" i="110" a="1"/>
  <c r="E27" i="110" s="1"/>
  <c r="I27" i="110" s="1"/>
  <c r="F27" i="110" a="1"/>
  <c r="F27" i="110" s="1"/>
  <c r="D26" i="110" a="1"/>
  <c r="D26" i="110" s="1"/>
  <c r="E26" i="110" a="1"/>
  <c r="E26" i="110" s="1"/>
  <c r="I26" i="110" s="1"/>
  <c r="F26" i="110" a="1"/>
  <c r="F26" i="110" s="1"/>
  <c r="D25" i="110" a="1"/>
  <c r="D25" i="110" s="1"/>
  <c r="E25" i="110" a="1"/>
  <c r="E25" i="110" s="1"/>
  <c r="I25" i="110" s="1"/>
  <c r="F25" i="110" a="1"/>
  <c r="F25" i="110" s="1"/>
  <c r="D24" i="110" a="1"/>
  <c r="D24" i="110" s="1"/>
  <c r="E24" i="110" a="1"/>
  <c r="E24" i="110" s="1"/>
  <c r="I24" i="110" s="1"/>
  <c r="F24" i="110" a="1"/>
  <c r="F24" i="110" s="1"/>
  <c r="D23" i="110" a="1"/>
  <c r="D23" i="110" s="1"/>
  <c r="E23" i="110" a="1"/>
  <c r="E23" i="110" s="1"/>
  <c r="I23" i="110" s="1"/>
  <c r="F23" i="110" a="1"/>
  <c r="F23" i="110" s="1"/>
  <c r="D22" i="110" a="1"/>
  <c r="D22" i="110" s="1"/>
  <c r="E22" i="110" a="1"/>
  <c r="E22" i="110" s="1"/>
  <c r="I22" i="110" s="1"/>
  <c r="F22" i="110" a="1"/>
  <c r="F22" i="110" s="1"/>
  <c r="D21" i="110" a="1"/>
  <c r="D21" i="110" s="1"/>
  <c r="E21" i="110" a="1"/>
  <c r="E21" i="110" s="1"/>
  <c r="I21" i="110" s="1"/>
  <c r="F21" i="110" a="1"/>
  <c r="F21" i="110" s="1"/>
  <c r="D20" i="110" a="1"/>
  <c r="D20" i="110" s="1"/>
  <c r="E20" i="110" a="1"/>
  <c r="E20" i="110" s="1"/>
  <c r="I20" i="110" s="1"/>
  <c r="F20" i="110" a="1"/>
  <c r="F20" i="110" s="1"/>
  <c r="D19" i="110" a="1"/>
  <c r="D19" i="110" s="1"/>
  <c r="E19" i="110" a="1"/>
  <c r="E19" i="110" s="1"/>
  <c r="I19" i="110" s="1"/>
  <c r="F19" i="110" a="1"/>
  <c r="F19" i="110" s="1"/>
  <c r="D18" i="110" a="1"/>
  <c r="D18" i="110" s="1"/>
  <c r="E18" i="110" a="1"/>
  <c r="E18" i="110" s="1"/>
  <c r="I18" i="110" s="1"/>
  <c r="F18" i="110" a="1"/>
  <c r="F18" i="110" s="1"/>
  <c r="F17" i="110" a="1"/>
  <c r="F17" i="110" s="1"/>
  <c r="E17" i="110" a="1"/>
  <c r="E17" i="110" s="1"/>
  <c r="I17" i="110" s="1"/>
  <c r="D17" i="110" a="1"/>
  <c r="D17" i="110" s="1"/>
  <c r="D15" i="110" a="1"/>
  <c r="D15" i="110" s="1"/>
  <c r="D14" i="110" a="1"/>
  <c r="D14" i="110" s="1"/>
  <c r="D6" i="110" a="1"/>
  <c r="D6" i="110" s="1"/>
  <c r="D5" i="110" a="1"/>
  <c r="D5" i="110" s="1"/>
  <c r="E99" i="69" a="1"/>
  <c r="E7" i="69" a="1"/>
  <c r="F151" i="69" l="1"/>
  <c r="E99" i="69"/>
  <c r="D157" i="69" a="1"/>
  <c r="D116" i="69" a="1"/>
  <c r="D59" i="69" a="1"/>
  <c r="E116" i="69" a="1"/>
  <c r="E59" i="69" a="1"/>
  <c r="E157" i="69" a="1"/>
  <c r="E7" i="69"/>
  <c r="D21" i="69" a="1"/>
  <c r="E21" i="69" a="1"/>
  <c r="A15" i="13"/>
  <c r="A5" i="13"/>
  <c r="A4" i="13"/>
  <c r="A3" i="13"/>
  <c r="J136" i="69" l="1" a="1"/>
  <c r="J136" i="69" s="1"/>
  <c r="J179" i="69" a="1"/>
  <c r="J179" i="69" s="1"/>
  <c r="J138" i="69" a="1"/>
  <c r="J138" i="69" s="1"/>
  <c r="G80" i="69" a="1"/>
  <c r="G80" i="69" s="1"/>
  <c r="G88" i="69" a="1"/>
  <c r="G88" i="69" s="1"/>
  <c r="G79" i="69" a="1"/>
  <c r="G79" i="69" s="1"/>
  <c r="G86" i="69" a="1"/>
  <c r="G86" i="69" s="1"/>
  <c r="G85" i="69" a="1"/>
  <c r="G85" i="69" s="1"/>
  <c r="G92" i="69" a="1"/>
  <c r="G92" i="69" s="1"/>
  <c r="G84" i="69" a="1"/>
  <c r="G84" i="69" s="1"/>
  <c r="G91" i="69" a="1"/>
  <c r="G91" i="69" s="1"/>
  <c r="G83" i="69" a="1"/>
  <c r="G83" i="69" s="1"/>
  <c r="G90" i="69" a="1"/>
  <c r="G90" i="69" s="1"/>
  <c r="G82" i="69" a="1"/>
  <c r="G82" i="69" s="1"/>
  <c r="G89" i="69" a="1"/>
  <c r="G89" i="69" s="1"/>
  <c r="J137" i="69" a="1"/>
  <c r="J137" i="69" s="1"/>
  <c r="J144" i="69" a="1"/>
  <c r="J144" i="69" s="1"/>
  <c r="G143" i="69" a="1"/>
  <c r="G143" i="69" s="1"/>
  <c r="G137" i="69" a="1"/>
  <c r="G137" i="69" s="1"/>
  <c r="G187" i="69" a="1"/>
  <c r="G187" i="69" s="1"/>
  <c r="G180" i="69" a="1"/>
  <c r="G180" i="69" s="1"/>
  <c r="G48" i="69" a="1"/>
  <c r="G48" i="69" s="1"/>
  <c r="G41" i="69" a="1"/>
  <c r="G41" i="69" s="1"/>
  <c r="G149" i="69" a="1"/>
  <c r="G149" i="69" s="1"/>
  <c r="G142" i="69" a="1"/>
  <c r="G142" i="69" s="1"/>
  <c r="G186" i="69" a="1"/>
  <c r="G186" i="69" s="1"/>
  <c r="G136" i="69" a="1"/>
  <c r="G136" i="69" s="1"/>
  <c r="G148" i="69" a="1"/>
  <c r="G148" i="69" s="1"/>
  <c r="G141" i="69" a="1"/>
  <c r="G141" i="69" s="1"/>
  <c r="G47" i="69" a="1"/>
  <c r="G47" i="69" s="1"/>
  <c r="G54" i="69" a="1"/>
  <c r="G54" i="69" s="1"/>
  <c r="G178" i="69" a="1"/>
  <c r="G178" i="69" s="1"/>
  <c r="G147" i="69" a="1"/>
  <c r="G147" i="69" s="1"/>
  <c r="G140" i="69" a="1"/>
  <c r="G140" i="69" s="1"/>
  <c r="G46" i="69" a="1"/>
  <c r="G46" i="69" s="1"/>
  <c r="G184" i="69" a="1"/>
  <c r="G184" i="69" s="1"/>
  <c r="G53" i="69" a="1"/>
  <c r="G53" i="69" s="1"/>
  <c r="G146" i="69" a="1"/>
  <c r="G146" i="69" s="1"/>
  <c r="G139" i="69" a="1"/>
  <c r="G139" i="69" s="1"/>
  <c r="G45" i="69" a="1"/>
  <c r="G45" i="69" s="1"/>
  <c r="G190" i="69" a="1"/>
  <c r="G190" i="69" s="1"/>
  <c r="G183" i="69" a="1"/>
  <c r="G183" i="69" s="1"/>
  <c r="G177" i="69" a="1"/>
  <c r="G177" i="69" s="1"/>
  <c r="G52" i="69" a="1"/>
  <c r="G52" i="69" s="1"/>
  <c r="G145" i="69" a="1"/>
  <c r="G145" i="69" s="1"/>
  <c r="G44" i="69" a="1"/>
  <c r="G44" i="69" s="1"/>
  <c r="G189" i="69" a="1"/>
  <c r="G189" i="69" s="1"/>
  <c r="G182" i="69" a="1"/>
  <c r="G182" i="69" s="1"/>
  <c r="G51" i="69" a="1"/>
  <c r="G51" i="69" s="1"/>
  <c r="G188" i="69" a="1"/>
  <c r="G188" i="69" s="1"/>
  <c r="G181" i="69" a="1"/>
  <c r="G181" i="69" s="1"/>
  <c r="G50" i="69" a="1"/>
  <c r="G50" i="69" s="1"/>
  <c r="G42" i="69" a="1"/>
  <c r="G42" i="69" s="1"/>
  <c r="J178" i="69" a="1"/>
  <c r="J178" i="69" s="1"/>
  <c r="J185" i="69" a="1"/>
  <c r="J185" i="69" s="1"/>
  <c r="H26" i="69" a="1"/>
  <c r="H26" i="69" s="1"/>
  <c r="H48" i="69" a="1"/>
  <c r="H48" i="69" s="1"/>
  <c r="H41" i="69" a="1"/>
  <c r="H41" i="69" s="1"/>
  <c r="H47" i="69" a="1"/>
  <c r="H47" i="69" s="1"/>
  <c r="H54" i="69" a="1"/>
  <c r="H54" i="69" s="1"/>
  <c r="H46" i="69" a="1"/>
  <c r="H46" i="69" s="1"/>
  <c r="H53" i="69" a="1"/>
  <c r="H53" i="69" s="1"/>
  <c r="H45" i="69" a="1"/>
  <c r="H45" i="69" s="1"/>
  <c r="H52" i="69" a="1"/>
  <c r="H52" i="69" s="1"/>
  <c r="H44" i="69" a="1"/>
  <c r="H44" i="69" s="1"/>
  <c r="H51" i="69" a="1"/>
  <c r="H51" i="69" s="1"/>
  <c r="H50" i="69" a="1"/>
  <c r="H50" i="69" s="1"/>
  <c r="H42" i="69" a="1"/>
  <c r="H42" i="69" s="1"/>
  <c r="J177" i="69" a="1"/>
  <c r="J177" i="69" s="1"/>
  <c r="H68" i="69" a="1"/>
  <c r="H68" i="69" s="1"/>
  <c r="H88" i="69" a="1"/>
  <c r="H88" i="69" s="1"/>
  <c r="H79" i="69" a="1"/>
  <c r="H79" i="69" s="1"/>
  <c r="H86" i="69" a="1"/>
  <c r="H86" i="69" s="1"/>
  <c r="H85" i="69" a="1"/>
  <c r="H85" i="69" s="1"/>
  <c r="H92" i="69" a="1"/>
  <c r="H92" i="69" s="1"/>
  <c r="H84" i="69" a="1"/>
  <c r="H84" i="69" s="1"/>
  <c r="H91" i="69" a="1"/>
  <c r="H91" i="69" s="1"/>
  <c r="H83" i="69" a="1"/>
  <c r="H83" i="69" s="1"/>
  <c r="H90" i="69" a="1"/>
  <c r="H90" i="69" s="1"/>
  <c r="H82" i="69" a="1"/>
  <c r="H82" i="69" s="1"/>
  <c r="H89" i="69" a="1"/>
  <c r="H89" i="69" s="1"/>
  <c r="H80" i="69" a="1"/>
  <c r="H80" i="69" s="1"/>
  <c r="H24" i="69" a="1"/>
  <c r="H24" i="69" s="1"/>
  <c r="H75" i="69" a="1"/>
  <c r="H75" i="69" s="1"/>
  <c r="G163" i="69" a="1"/>
  <c r="G163" i="69" s="1"/>
  <c r="G129" i="69" a="1"/>
  <c r="G129" i="69" s="1"/>
  <c r="G176" i="69" a="1"/>
  <c r="G176" i="69" s="1"/>
  <c r="G162" i="69" a="1"/>
  <c r="G162" i="69" s="1"/>
  <c r="G128" i="69" a="1"/>
  <c r="G128" i="69" s="1"/>
  <c r="G175" i="69" a="1"/>
  <c r="G175" i="69" s="1"/>
  <c r="G161" i="69" a="1"/>
  <c r="G161" i="69" s="1"/>
  <c r="G174" i="69" a="1"/>
  <c r="G174" i="69" s="1"/>
  <c r="G160" i="69" a="1"/>
  <c r="G160" i="69" s="1"/>
  <c r="G126" i="69" a="1"/>
  <c r="G126" i="69" s="1"/>
  <c r="G173" i="69" a="1"/>
  <c r="G173" i="69" s="1"/>
  <c r="G159" i="69" a="1"/>
  <c r="G159" i="69" s="1"/>
  <c r="G125" i="69" a="1"/>
  <c r="G125" i="69" s="1"/>
  <c r="G172" i="69" a="1"/>
  <c r="G172" i="69" s="1"/>
  <c r="G158" i="69" a="1"/>
  <c r="G158" i="69" s="1"/>
  <c r="G124" i="69" a="1"/>
  <c r="G124" i="69" s="1"/>
  <c r="G171" i="69" a="1"/>
  <c r="G171" i="69" s="1"/>
  <c r="G123" i="69" a="1"/>
  <c r="G123" i="69" s="1"/>
  <c r="G169" i="69" a="1"/>
  <c r="G169" i="69" s="1"/>
  <c r="G121" i="69" a="1"/>
  <c r="G121" i="69" s="1"/>
  <c r="G134" i="69" a="1"/>
  <c r="G134" i="69" s="1"/>
  <c r="G133" i="69" a="1"/>
  <c r="G133" i="69" s="1"/>
  <c r="G166" i="69" a="1"/>
  <c r="G166" i="69" s="1"/>
  <c r="G132" i="69" a="1"/>
  <c r="G132" i="69" s="1"/>
  <c r="G117" i="69" a="1"/>
  <c r="G117" i="69" s="1"/>
  <c r="G164" i="69" a="1"/>
  <c r="G164" i="69" s="1"/>
  <c r="G130" i="69" a="1"/>
  <c r="G130" i="69" s="1"/>
  <c r="G170" i="69" a="1"/>
  <c r="G170" i="69" s="1"/>
  <c r="G122" i="69" a="1"/>
  <c r="G122" i="69" s="1"/>
  <c r="G135" i="69" a="1"/>
  <c r="G135" i="69" s="1"/>
  <c r="G120" i="69" a="1"/>
  <c r="G120" i="69" s="1"/>
  <c r="G167" i="69" a="1"/>
  <c r="G167" i="69" s="1"/>
  <c r="G119" i="69" a="1"/>
  <c r="G119" i="69" s="1"/>
  <c r="G118" i="69" a="1"/>
  <c r="G118" i="69" s="1"/>
  <c r="G165" i="69" a="1"/>
  <c r="G165" i="69" s="1"/>
  <c r="G131" i="69" a="1"/>
  <c r="G131" i="69" s="1"/>
  <c r="J135" i="69" a="1"/>
  <c r="J135" i="69" s="1"/>
  <c r="J121" i="69" a="1"/>
  <c r="J121" i="69" s="1"/>
  <c r="J134" i="69" a="1"/>
  <c r="J134" i="69" s="1"/>
  <c r="J120" i="69" a="1"/>
  <c r="J120" i="69" s="1"/>
  <c r="J127" i="69" a="1"/>
  <c r="J127" i="69" s="1"/>
  <c r="J133" i="69" a="1"/>
  <c r="J133" i="69" s="1"/>
  <c r="J119" i="69" a="1"/>
  <c r="J119" i="69" s="1"/>
  <c r="J132" i="69" a="1"/>
  <c r="J132" i="69" s="1"/>
  <c r="J118" i="69" a="1"/>
  <c r="J118" i="69" s="1"/>
  <c r="J117" i="69" a="1"/>
  <c r="J117" i="69" s="1"/>
  <c r="J126" i="69" a="1"/>
  <c r="J126" i="69" s="1"/>
  <c r="J125" i="69" a="1"/>
  <c r="J125" i="69" s="1"/>
  <c r="J124" i="69" a="1"/>
  <c r="J124" i="69" s="1"/>
  <c r="J122" i="69" a="1"/>
  <c r="J122" i="69" s="1"/>
  <c r="J123" i="69" a="1"/>
  <c r="J123" i="69" s="1"/>
  <c r="J168" i="69" a="1"/>
  <c r="J168" i="69" s="1"/>
  <c r="J167" i="69" a="1"/>
  <c r="J167" i="69" s="1"/>
  <c r="J166" i="69" a="1"/>
  <c r="J166" i="69" s="1"/>
  <c r="J163" i="69" a="1"/>
  <c r="J163" i="69" s="1"/>
  <c r="J161" i="69" a="1"/>
  <c r="J161" i="69" s="1"/>
  <c r="J160" i="69" a="1"/>
  <c r="J160" i="69" s="1"/>
  <c r="J176" i="69" a="1"/>
  <c r="J176" i="69" s="1"/>
  <c r="J162" i="69" a="1"/>
  <c r="J162" i="69" s="1"/>
  <c r="J175" i="69" a="1"/>
  <c r="J175" i="69" s="1"/>
  <c r="J174" i="69" a="1"/>
  <c r="J174" i="69" s="1"/>
  <c r="J173" i="69" a="1"/>
  <c r="J173" i="69" s="1"/>
  <c r="J159" i="69" a="1"/>
  <c r="J159" i="69" s="1"/>
  <c r="J158" i="69" a="1"/>
  <c r="J158" i="69" s="1"/>
  <c r="J165" i="69" a="1"/>
  <c r="J165" i="69" s="1"/>
  <c r="J164" i="69" a="1"/>
  <c r="J164" i="69" s="1"/>
  <c r="D157" i="69"/>
  <c r="H63" i="69" a="1"/>
  <c r="H63" i="69" s="1"/>
  <c r="H77" i="69" a="1"/>
  <c r="H77" i="69" s="1"/>
  <c r="H39" i="69" a="1"/>
  <c r="H39" i="69" s="1"/>
  <c r="H74" i="69" a="1"/>
  <c r="H74" i="69" s="1"/>
  <c r="E59" i="69"/>
  <c r="H59" i="69" s="1" a="1"/>
  <c r="H59" i="69" s="1"/>
  <c r="H25" i="69" a="1"/>
  <c r="H25" i="69" s="1"/>
  <c r="H69" i="69" a="1"/>
  <c r="H69" i="69" s="1"/>
  <c r="H78" i="69" a="1"/>
  <c r="H78" i="69" s="1"/>
  <c r="H73" i="69" a="1"/>
  <c r="H73" i="69" s="1"/>
  <c r="H31" i="69" a="1"/>
  <c r="H31" i="69" s="1"/>
  <c r="E157" i="69"/>
  <c r="E116" i="69"/>
  <c r="H76" i="69" a="1"/>
  <c r="H76" i="69" s="1"/>
  <c r="H71" i="69" a="1"/>
  <c r="H71" i="69" s="1"/>
  <c r="H67" i="69" a="1"/>
  <c r="H67" i="69" s="1"/>
  <c r="H65" i="69" a="1"/>
  <c r="H65" i="69" s="1"/>
  <c r="H64" i="69" a="1"/>
  <c r="H64" i="69" s="1"/>
  <c r="H62" i="69" a="1"/>
  <c r="H62" i="69" s="1"/>
  <c r="H61" i="69" a="1"/>
  <c r="H61" i="69" s="1"/>
  <c r="H72" i="69" a="1"/>
  <c r="H72" i="69" s="1"/>
  <c r="G71" i="69" a="1"/>
  <c r="G71" i="69" s="1"/>
  <c r="G69" i="69" a="1"/>
  <c r="G69" i="69" s="1"/>
  <c r="G68" i="69" a="1"/>
  <c r="G68" i="69" s="1"/>
  <c r="G67" i="69" a="1"/>
  <c r="G67" i="69" s="1"/>
  <c r="G66" i="69" a="1"/>
  <c r="G66" i="69" s="1"/>
  <c r="G65" i="69" a="1"/>
  <c r="G65" i="69" s="1"/>
  <c r="G78" i="69" a="1"/>
  <c r="G78" i="69" s="1"/>
  <c r="G64" i="69" a="1"/>
  <c r="G64" i="69" s="1"/>
  <c r="G77" i="69" a="1"/>
  <c r="G77" i="69" s="1"/>
  <c r="G63" i="69" a="1"/>
  <c r="G63" i="69" s="1"/>
  <c r="G76" i="69" a="1"/>
  <c r="G76" i="69" s="1"/>
  <c r="G62" i="69" a="1"/>
  <c r="G62" i="69" s="1"/>
  <c r="G75" i="69" a="1"/>
  <c r="G75" i="69" s="1"/>
  <c r="G61" i="69" a="1"/>
  <c r="G61" i="69" s="1"/>
  <c r="G74" i="69" a="1"/>
  <c r="G74" i="69" s="1"/>
  <c r="G60" i="69" a="1"/>
  <c r="G60" i="69" s="1"/>
  <c r="G73" i="69" a="1"/>
  <c r="G73" i="69" s="1"/>
  <c r="G72" i="69" a="1"/>
  <c r="G72" i="69" s="1"/>
  <c r="D116" i="69"/>
  <c r="H38" i="69" a="1"/>
  <c r="H38" i="69" s="1"/>
  <c r="D59" i="69"/>
  <c r="H37" i="69" a="1"/>
  <c r="H37" i="69" s="1"/>
  <c r="H33" i="69" a="1"/>
  <c r="H33" i="69" s="1"/>
  <c r="D21" i="69"/>
  <c r="G38" i="69" a="1"/>
  <c r="G38" i="69" s="1"/>
  <c r="G24" i="69" a="1"/>
  <c r="G24" i="69" s="1"/>
  <c r="G37" i="69" a="1"/>
  <c r="G37" i="69" s="1"/>
  <c r="G23" i="69" a="1"/>
  <c r="G23" i="69" s="1"/>
  <c r="G36" i="69" a="1"/>
  <c r="G36" i="69" s="1"/>
  <c r="G22" i="69" a="1"/>
  <c r="G22" i="69" s="1"/>
  <c r="G35" i="69" a="1"/>
  <c r="G35" i="69" s="1"/>
  <c r="G34" i="69" a="1"/>
  <c r="G34" i="69" s="1"/>
  <c r="G33" i="69" a="1"/>
  <c r="G33" i="69" s="1"/>
  <c r="G31" i="69" a="1"/>
  <c r="G31" i="69" s="1"/>
  <c r="G30" i="69" a="1"/>
  <c r="G30" i="69" s="1"/>
  <c r="G29" i="69" a="1"/>
  <c r="G29" i="69" s="1"/>
  <c r="G28" i="69" a="1"/>
  <c r="G28" i="69" s="1"/>
  <c r="G27" i="69" a="1"/>
  <c r="G27" i="69" s="1"/>
  <c r="G40" i="69" a="1"/>
  <c r="G40" i="69" s="1"/>
  <c r="G26" i="69" a="1"/>
  <c r="G26" i="69" s="1"/>
  <c r="G39" i="69" a="1"/>
  <c r="G39" i="69" s="1"/>
  <c r="G25" i="69" a="1"/>
  <c r="G25" i="69" s="1"/>
  <c r="H23" i="69" a="1"/>
  <c r="H23" i="69" s="1"/>
  <c r="H36" i="69" a="1"/>
  <c r="H36" i="69" s="1"/>
  <c r="H22" i="69" a="1"/>
  <c r="H22" i="69" s="1"/>
  <c r="H66" i="69" a="1"/>
  <c r="H66" i="69" s="1"/>
  <c r="H60" i="69" a="1"/>
  <c r="H60" i="69" s="1"/>
  <c r="H35" i="69" a="1"/>
  <c r="H35" i="69" s="1"/>
  <c r="H34" i="69" a="1"/>
  <c r="H34" i="69" s="1"/>
  <c r="H40" i="69" a="1"/>
  <c r="H40" i="69" s="1"/>
  <c r="E21" i="69"/>
  <c r="H21" i="69" s="1" a="1"/>
  <c r="H21" i="69" s="1"/>
  <c r="H30" i="69" a="1"/>
  <c r="H30" i="69" s="1"/>
  <c r="H29" i="69" a="1"/>
  <c r="H29" i="69" s="1"/>
  <c r="H28" i="69" a="1"/>
  <c r="H28" i="69" s="1"/>
  <c r="H27" i="69" a="1"/>
  <c r="H27" i="69" s="1"/>
  <c r="I24" i="69" l="1" a="1"/>
  <c r="I24" i="69" s="1"/>
  <c r="H119" i="69" s="1"/>
  <c r="I119" i="69" s="1"/>
  <c r="K119" i="69" s="1" a="1"/>
  <c r="K119" i="69" s="1"/>
  <c r="J116" i="69" a="1"/>
  <c r="J116" i="69" s="1"/>
  <c r="I50" i="69" a="1"/>
  <c r="I50" i="69" s="1"/>
  <c r="H145" i="69" s="1"/>
  <c r="I68" i="69" a="1"/>
  <c r="I68" i="69" s="1"/>
  <c r="H166" i="69" s="1"/>
  <c r="I166" i="69" s="1"/>
  <c r="K166" i="69" s="1" a="1"/>
  <c r="K166" i="69" s="1"/>
  <c r="I54" i="69" a="1"/>
  <c r="I54" i="69" s="1"/>
  <c r="H149" i="69" s="1"/>
  <c r="I75" i="69" a="1"/>
  <c r="I75" i="69" s="1"/>
  <c r="H173" i="69" s="1"/>
  <c r="I173" i="69" s="1"/>
  <c r="K173" i="69" s="1" a="1"/>
  <c r="K173" i="69" s="1"/>
  <c r="I52" i="69" a="1"/>
  <c r="I52" i="69" s="1"/>
  <c r="H147" i="69" s="1"/>
  <c r="I47" i="69" a="1"/>
  <c r="I47" i="69" s="1"/>
  <c r="H142" i="69" s="1"/>
  <c r="I26" i="69" a="1"/>
  <c r="I26" i="69" s="1"/>
  <c r="H121" i="69" s="1"/>
  <c r="I121" i="69" s="1"/>
  <c r="K121" i="69" s="1" a="1"/>
  <c r="K121" i="69" s="1"/>
  <c r="I89" i="69" a="1"/>
  <c r="I89" i="69" s="1"/>
  <c r="H187" i="69" s="1"/>
  <c r="I82" i="69" a="1"/>
  <c r="I82" i="69" s="1"/>
  <c r="H180" i="69" s="1"/>
  <c r="I90" i="69" a="1"/>
  <c r="I90" i="69" s="1"/>
  <c r="H188" i="69" s="1"/>
  <c r="I45" i="69" a="1"/>
  <c r="I45" i="69" s="1"/>
  <c r="H140" i="69" s="1"/>
  <c r="I83" i="69" a="1"/>
  <c r="I83" i="69" s="1"/>
  <c r="H181" i="69" s="1"/>
  <c r="I42" i="69" a="1"/>
  <c r="I42" i="69" s="1"/>
  <c r="H137" i="69" s="1"/>
  <c r="I137" i="69" s="1"/>
  <c r="K137" i="69" s="1" a="1"/>
  <c r="K137" i="69" s="1"/>
  <c r="I91" i="69" a="1"/>
  <c r="I91" i="69" s="1"/>
  <c r="H189" i="69" s="1"/>
  <c r="I84" i="69" a="1"/>
  <c r="I84" i="69" s="1"/>
  <c r="H182" i="69" s="1"/>
  <c r="I53" i="69" a="1"/>
  <c r="I53" i="69" s="1"/>
  <c r="H148" i="69" s="1"/>
  <c r="I41" i="69" a="1"/>
  <c r="I41" i="69" s="1"/>
  <c r="H136" i="69" s="1"/>
  <c r="I136" i="69" s="1"/>
  <c r="K136" i="69" s="1" a="1"/>
  <c r="K136" i="69" s="1"/>
  <c r="I92" i="69" a="1"/>
  <c r="I92" i="69" s="1"/>
  <c r="H190" i="69" s="1"/>
  <c r="I48" i="69" a="1"/>
  <c r="I48" i="69" s="1"/>
  <c r="H143" i="69" s="1"/>
  <c r="I85" i="69" a="1"/>
  <c r="I85" i="69" s="1"/>
  <c r="H183" i="69" s="1"/>
  <c r="I51" i="69" a="1"/>
  <c r="I51" i="69" s="1"/>
  <c r="H146" i="69" s="1"/>
  <c r="I46" i="69" a="1"/>
  <c r="I46" i="69" s="1"/>
  <c r="H141" i="69" s="1"/>
  <c r="I86" i="69" a="1"/>
  <c r="I86" i="69" s="1"/>
  <c r="H184" i="69" s="1"/>
  <c r="I79" i="69" a="1"/>
  <c r="I79" i="69" s="1"/>
  <c r="H177" i="69" s="1"/>
  <c r="I177" i="69" s="1"/>
  <c r="K177" i="69" s="1" a="1"/>
  <c r="K177" i="69" s="1"/>
  <c r="I88" i="69" a="1"/>
  <c r="I88" i="69" s="1"/>
  <c r="H186" i="69" s="1"/>
  <c r="I44" i="69" a="1"/>
  <c r="I44" i="69" s="1"/>
  <c r="H139" i="69" s="1"/>
  <c r="I80" i="69" a="1"/>
  <c r="I80" i="69" s="1"/>
  <c r="H178" i="69" s="1"/>
  <c r="I178" i="69" s="1"/>
  <c r="K178" i="69" s="1" a="1"/>
  <c r="K178" i="69" s="1"/>
  <c r="I39" i="69" a="1"/>
  <c r="I39" i="69" s="1"/>
  <c r="H134" i="69" s="1"/>
  <c r="I134" i="69" s="1"/>
  <c r="K134" i="69" s="1" a="1"/>
  <c r="K134" i="69" s="1"/>
  <c r="I78" i="69" a="1"/>
  <c r="I78" i="69" s="1"/>
  <c r="H176" i="69" s="1"/>
  <c r="I176" i="69" s="1"/>
  <c r="K176" i="69" s="1" a="1"/>
  <c r="K176" i="69" s="1"/>
  <c r="I31" i="69" a="1"/>
  <c r="I31" i="69" s="1"/>
  <c r="H126" i="69" s="1"/>
  <c r="I126" i="69" s="1"/>
  <c r="K126" i="69" s="1" a="1"/>
  <c r="K126" i="69" s="1"/>
  <c r="I76" i="69" a="1"/>
  <c r="I76" i="69" s="1"/>
  <c r="H174" i="69" s="1"/>
  <c r="I174" i="69" s="1"/>
  <c r="K174" i="69" s="1" a="1"/>
  <c r="K174" i="69" s="1"/>
  <c r="I73" i="69" a="1"/>
  <c r="I73" i="69" s="1"/>
  <c r="H171" i="69" s="1"/>
  <c r="I74" i="69" a="1"/>
  <c r="I74" i="69" s="1"/>
  <c r="H172" i="69" s="1"/>
  <c r="I25" i="69" a="1"/>
  <c r="I25" i="69" s="1"/>
  <c r="H120" i="69" s="1"/>
  <c r="I120" i="69" s="1"/>
  <c r="K120" i="69" s="1" a="1"/>
  <c r="K120" i="69" s="1"/>
  <c r="I27" i="69" a="1"/>
  <c r="I27" i="69" s="1"/>
  <c r="H122" i="69" s="1"/>
  <c r="I122" i="69" s="1"/>
  <c r="K122" i="69" s="1" a="1"/>
  <c r="K122" i="69" s="1"/>
  <c r="I36" i="69" a="1"/>
  <c r="I36" i="69" s="1"/>
  <c r="H131" i="69" s="1"/>
  <c r="G157" i="69" a="1"/>
  <c r="G157" i="69" s="1"/>
  <c r="G116" i="69" a="1"/>
  <c r="G116" i="69" s="1"/>
  <c r="I63" i="69" a="1"/>
  <c r="I63" i="69" s="1"/>
  <c r="H161" i="69" s="1"/>
  <c r="I161" i="69" s="1"/>
  <c r="K161" i="69" s="1" a="1"/>
  <c r="K161" i="69" s="1"/>
  <c r="J157" i="69" a="1"/>
  <c r="J157" i="69" s="1"/>
  <c r="G59" i="69" a="1"/>
  <c r="G59" i="69" s="1"/>
  <c r="I59" i="69" s="1" a="1"/>
  <c r="I59" i="69" s="1"/>
  <c r="H157" i="69" s="1"/>
  <c r="I72" i="69" a="1"/>
  <c r="I72" i="69" s="1"/>
  <c r="H170" i="69" s="1"/>
  <c r="I71" i="69" a="1"/>
  <c r="I71" i="69" s="1"/>
  <c r="H169" i="69" s="1"/>
  <c r="I77" i="69" a="1"/>
  <c r="I77" i="69" s="1"/>
  <c r="H175" i="69" s="1"/>
  <c r="I175" i="69" s="1"/>
  <c r="K175" i="69" s="1" a="1"/>
  <c r="K175" i="69" s="1"/>
  <c r="I40" i="69" a="1"/>
  <c r="I40" i="69" s="1"/>
  <c r="H135" i="69" s="1"/>
  <c r="I135" i="69" s="1"/>
  <c r="K135" i="69" s="1" a="1"/>
  <c r="K135" i="69" s="1"/>
  <c r="I34" i="69" a="1"/>
  <c r="I34" i="69" s="1"/>
  <c r="H129" i="69" s="1"/>
  <c r="I65" i="69" a="1"/>
  <c r="I65" i="69" s="1"/>
  <c r="H163" i="69" s="1"/>
  <c r="I163" i="69" s="1"/>
  <c r="K163" i="69" s="1" a="1"/>
  <c r="K163" i="69" s="1"/>
  <c r="I69" i="69" a="1"/>
  <c r="I69" i="69" s="1"/>
  <c r="H167" i="69" s="1"/>
  <c r="I167" i="69" s="1"/>
  <c r="K167" i="69" s="1" a="1"/>
  <c r="K167" i="69" s="1"/>
  <c r="I38" i="69" a="1"/>
  <c r="I38" i="69" s="1"/>
  <c r="H133" i="69" s="1"/>
  <c r="I133" i="69" s="1"/>
  <c r="K133" i="69" s="1" a="1"/>
  <c r="K133" i="69" s="1"/>
  <c r="I61" i="69" a="1"/>
  <c r="I61" i="69" s="1"/>
  <c r="H159" i="69" s="1"/>
  <c r="I159" i="69" s="1"/>
  <c r="K159" i="69" s="1" a="1"/>
  <c r="K159" i="69" s="1"/>
  <c r="G21" i="69" a="1"/>
  <c r="G21" i="69" s="1"/>
  <c r="I21" i="69" s="1" a="1"/>
  <c r="I21" i="69" s="1"/>
  <c r="H116" i="69" s="1"/>
  <c r="I35" i="69" a="1"/>
  <c r="I35" i="69" s="1"/>
  <c r="H130" i="69" s="1"/>
  <c r="I22" i="69" a="1"/>
  <c r="I22" i="69" s="1"/>
  <c r="H117" i="69" s="1"/>
  <c r="I117" i="69" s="1"/>
  <c r="K117" i="69" s="1" a="1"/>
  <c r="K117" i="69" s="1"/>
  <c r="I64" i="69" a="1"/>
  <c r="I64" i="69" s="1"/>
  <c r="H162" i="69" s="1"/>
  <c r="I162" i="69" s="1"/>
  <c r="K162" i="69" s="1" a="1"/>
  <c r="K162" i="69" s="1"/>
  <c r="I23" i="69" a="1"/>
  <c r="I23" i="69" s="1"/>
  <c r="H118" i="69" s="1"/>
  <c r="I118" i="69" s="1"/>
  <c r="K118" i="69" s="1" a="1"/>
  <c r="K118" i="69" s="1"/>
  <c r="I37" i="69" a="1"/>
  <c r="I37" i="69" s="1"/>
  <c r="H132" i="69" s="1"/>
  <c r="I132" i="69" s="1"/>
  <c r="K132" i="69" s="1" a="1"/>
  <c r="K132" i="69" s="1"/>
  <c r="I66" i="69" a="1"/>
  <c r="I66" i="69" s="1"/>
  <c r="H164" i="69" s="1"/>
  <c r="I164" i="69" s="1"/>
  <c r="K164" i="69" s="1" a="1"/>
  <c r="K164" i="69" s="1"/>
  <c r="I67" i="69" a="1"/>
  <c r="I67" i="69" s="1"/>
  <c r="H165" i="69" s="1"/>
  <c r="I165" i="69" s="1"/>
  <c r="K165" i="69" s="1" a="1"/>
  <c r="K165" i="69" s="1"/>
  <c r="I30" i="69" a="1"/>
  <c r="I30" i="69" s="1"/>
  <c r="H125" i="69" s="1"/>
  <c r="I125" i="69" s="1"/>
  <c r="K125" i="69" s="1" a="1"/>
  <c r="K125" i="69" s="1"/>
  <c r="I29" i="69" a="1"/>
  <c r="I29" i="69" s="1"/>
  <c r="H124" i="69" s="1"/>
  <c r="I124" i="69" s="1"/>
  <c r="K124" i="69" s="1" a="1"/>
  <c r="K124" i="69" s="1"/>
  <c r="I60" i="69" a="1"/>
  <c r="I60" i="69" s="1"/>
  <c r="H158" i="69" s="1"/>
  <c r="I158" i="69" s="1"/>
  <c r="K158" i="69" s="1" a="1"/>
  <c r="K158" i="69" s="1"/>
  <c r="I28" i="69" a="1"/>
  <c r="I28" i="69" s="1"/>
  <c r="H123" i="69" s="1"/>
  <c r="I123" i="69" s="1"/>
  <c r="K123" i="69" s="1" a="1"/>
  <c r="K123" i="69" s="1"/>
  <c r="H127" i="69"/>
  <c r="I62" i="69" a="1"/>
  <c r="I62" i="69" s="1"/>
  <c r="H160" i="69" s="1"/>
  <c r="I160" i="69" s="1"/>
  <c r="K160" i="69" s="1" a="1"/>
  <c r="K160" i="69" s="1"/>
  <c r="I33" i="69" a="1"/>
  <c r="I33" i="69" s="1"/>
  <c r="H128" i="69" s="1"/>
  <c r="I144" i="69" l="1"/>
  <c r="K144" i="69" s="1" a="1"/>
  <c r="K144" i="69" s="1"/>
  <c r="I185" i="69"/>
  <c r="K185" i="69" s="1" a="1"/>
  <c r="K185" i="69" s="1"/>
  <c r="I179" i="69"/>
  <c r="K179" i="69" s="1" a="1"/>
  <c r="K179" i="69" s="1"/>
  <c r="I168" i="69"/>
  <c r="K168" i="69" s="1" a="1"/>
  <c r="K168" i="69" s="1"/>
  <c r="I127" i="69"/>
  <c r="K127" i="69" s="1" a="1"/>
  <c r="K127" i="69" s="1"/>
  <c r="I138" i="69"/>
  <c r="K138" i="69" s="1" a="1"/>
  <c r="K138" i="69" s="1"/>
  <c r="I116" i="69"/>
  <c r="K116" i="69" s="1" a="1"/>
  <c r="K116" i="69" s="1"/>
  <c r="I157" i="69"/>
  <c r="K157" i="69" s="1" a="1"/>
  <c r="K157" i="69" s="1"/>
  <c r="E192" i="69" l="1"/>
  <c r="E13" i="13" s="1"/>
  <c r="F13" i="13" s="1"/>
  <c r="E151" i="69"/>
  <c r="E9" i="13" s="1"/>
  <c r="F9" i="13"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<sst xmlns="http://schemas.openxmlformats.org/spreadsheetml/2006/main" count="400" uniqueCount="162">
  <si>
    <t>Home</t>
  </si>
  <si>
    <t>INPUTS</t>
  </si>
  <si>
    <t>APPENDICES</t>
  </si>
  <si>
    <t>Emissions breakdown</t>
  </si>
  <si>
    <t>Climate zone</t>
  </si>
  <si>
    <t>Unit</t>
  </si>
  <si>
    <t>State/Territory</t>
  </si>
  <si>
    <t>Common Name</t>
  </si>
  <si>
    <t>Abbreviation</t>
  </si>
  <si>
    <t>SA 4 Name</t>
  </si>
  <si>
    <t>Function name</t>
  </si>
  <si>
    <t>Gas</t>
  </si>
  <si>
    <t>CO2-e factor</t>
  </si>
  <si>
    <t>Variable</t>
  </si>
  <si>
    <t>Conversion factor</t>
  </si>
  <si>
    <t>Conversion factor 1</t>
  </si>
  <si>
    <t>Conversion factor 2</t>
  </si>
  <si>
    <t>Conversion factor combined</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</si>
  <si>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</si>
  <si>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</si>
  <si>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</si>
  <si>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</si>
  <si>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</si>
  <si>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</si>
  <si>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</si>
  <si>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</si>
  <si>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</si>
  <si>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</si>
  <si>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</si>
  <si>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</si>
  <si>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</si>
  <si>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</si>
  <si>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</si>
  <si>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</si>
  <si>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</si>
  <si>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</si>
  <si>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Temperature Zone</t>
  </si>
  <si>
    <t>Min MAT</t>
  </si>
  <si>
    <t>Max MAT</t>
  </si>
  <si>
    <t>Rainfall Zone</t>
  </si>
  <si>
    <t>Annual rainfall</t>
  </si>
  <si>
    <t>Leaching Zone</t>
  </si>
  <si>
    <t>Leaching criteria</t>
  </si>
  <si>
    <t>Data source</t>
  </si>
  <si>
    <t>Data score</t>
  </si>
  <si>
    <t>CALCULATIONS</t>
  </si>
  <si>
    <t>Constants - Common</t>
  </si>
  <si>
    <t>Is in leaching zone</t>
  </si>
  <si>
    <t>FracWET</t>
  </si>
  <si>
    <t>Method 1</t>
  </si>
  <si>
    <t>Scope 1 source</t>
  </si>
  <si>
    <t>Production system j</t>
  </si>
  <si>
    <t>EFN2O</t>
  </si>
  <si>
    <t>Production system only</t>
  </si>
  <si>
    <t>Irrigation method</t>
  </si>
  <si>
    <t>GHG Unit</t>
  </si>
  <si>
    <t>Month</t>
  </si>
  <si>
    <t>Irrigation type i</t>
  </si>
  <si>
    <t>t CO2e</t>
  </si>
  <si>
    <t>EFPRP</t>
  </si>
  <si>
    <t>GHG emissions method 1</t>
  </si>
  <si>
    <t>GHG emissions method 2</t>
  </si>
  <si>
    <t>Season</t>
  </si>
  <si>
    <t>Poultry manure with bedding</t>
  </si>
  <si>
    <t>Solid storage</t>
  </si>
  <si>
    <t>Composting (passive windrow)</t>
  </si>
  <si>
    <t>Digester / covered lagoons</t>
  </si>
  <si>
    <t>Pasture range and paddock</t>
  </si>
  <si>
    <t>Direct processing</t>
  </si>
  <si>
    <t>Direct application</t>
  </si>
  <si>
    <t>MAT (ºC)</t>
  </si>
  <si>
    <t>Anaerobic lagoon</t>
  </si>
  <si>
    <t>Liquid systems</t>
  </si>
  <si>
    <t>Daily spread</t>
  </si>
  <si>
    <t>Pit storage</t>
  </si>
  <si>
    <t>Deep litter</t>
  </si>
  <si>
    <t>Poultry manure without bedding</t>
  </si>
  <si>
    <t>MAT raw</t>
  </si>
  <si>
    <t>Climate Zone</t>
  </si>
  <si>
    <t>EFNi &amp; EFN2Oi</t>
  </si>
  <si>
    <t>💡 NOTE: When there is no Method 2, the Method 2 result are the same as Method 1</t>
  </si>
  <si>
    <t>`</t>
  </si>
  <si>
    <t xml:space="preserve">  </t>
  </si>
  <si>
    <t>💡 Below is a diagram that maps the equations used to calculate emissions, and how they interact with each other.</t>
  </si>
  <si>
    <t xml:space="preserve">    Click on a box to go to the corresponding calculation.</t>
  </si>
  <si>
    <t xml:space="preserve"> </t>
  </si>
  <si>
    <t>Description</t>
  </si>
  <si>
    <t>💡 You can add more rows to the table by right-clicking on the table and selecting "Insert &gt; Table rows above/below"</t>
  </si>
  <si>
    <t>Constants - Solid Waste</t>
  </si>
  <si>
    <t>Treatment type t</t>
  </si>
  <si>
    <t>Waste type w</t>
  </si>
  <si>
    <t>EFwt</t>
  </si>
  <si>
    <t>VTMw</t>
  </si>
  <si>
    <t>10.1.1-2 Solid waste treatment</t>
  </si>
  <si>
    <t>Treatment</t>
  </si>
  <si>
    <t>Waste type</t>
  </si>
  <si>
    <t>Vwt</t>
  </si>
  <si>
    <r>
      <t>Q</t>
    </r>
    <r>
      <rPr>
        <b/>
        <vertAlign val="subscript"/>
        <sz val="11"/>
        <color rgb="FF183C1B"/>
        <rFont val="Times New Roman"/>
        <family val="1"/>
      </rPr>
      <t>wt</t>
    </r>
  </si>
  <si>
    <r>
      <t>VTM</t>
    </r>
    <r>
      <rPr>
        <b/>
        <vertAlign val="subscript"/>
        <sz val="11"/>
        <color rgb="FF183C1B"/>
        <rFont val="Times New Roman"/>
        <family val="1"/>
      </rPr>
      <t>w</t>
    </r>
  </si>
  <si>
    <t>Input - Solid waste</t>
  </si>
  <si>
    <t>tonnes</t>
  </si>
  <si>
    <t>Amount unit (select)</t>
  </si>
  <si>
    <t>Treatment location (select)</t>
  </si>
  <si>
    <t>Waste type (select)</t>
  </si>
  <si>
    <t>Treatment type (select)</t>
  </si>
  <si>
    <t>Amount</t>
  </si>
  <si>
    <t>Landfill</t>
  </si>
  <si>
    <t>Table_WasteTypes_Landfill</t>
  </si>
  <si>
    <t>Table_WasteTypes_Incineration</t>
  </si>
  <si>
    <t>Table_WasteTypes_Composting</t>
  </si>
  <si>
    <t>Table_WasteTypes_Anaerobicdigestion</t>
  </si>
  <si>
    <t>Removed and treated off-site</t>
  </si>
  <si>
    <t>cubic metres m3</t>
  </si>
  <si>
    <t>Solid waste treatment</t>
  </si>
  <si>
    <t>Treated on-site</t>
  </si>
  <si>
    <t>Incineration</t>
  </si>
  <si>
    <t>Paper and cardboard</t>
  </si>
  <si>
    <t>Table_V_w_t_onsite</t>
  </si>
  <si>
    <t>Table_V_w_t_offsite</t>
  </si>
  <si>
    <r>
      <rPr>
        <b/>
        <sz val="16"/>
        <color theme="1" tint="0.24994659260841701"/>
        <rFont val="Times New Roman"/>
        <family val="1"/>
      </rPr>
      <t>E</t>
    </r>
    <r>
      <rPr>
        <b/>
        <vertAlign val="subscript"/>
        <sz val="16"/>
        <color theme="1" tint="0.24994659260841701"/>
        <rFont val="Times New Roman"/>
        <family val="1"/>
      </rPr>
      <t>g</t>
    </r>
  </si>
  <si>
    <t>Volume of solid waste treated on-site (scope 1)</t>
  </si>
  <si>
    <t>Volume of solid waste sent offsite for treatment by third party (scope 3)</t>
  </si>
  <si>
    <t>Food waste (including animal carcasses, spoiled animal feed or crop)</t>
  </si>
  <si>
    <t>10:1.1.1 Solid waste treatment</t>
  </si>
  <si>
    <t>Scope 3 source</t>
  </si>
  <si>
    <t>Table_E_g_offsite</t>
  </si>
  <si>
    <t>Emissions from waste management of waste taken off-site (scope 3)</t>
  </si>
  <si>
    <t>Table_E_g_onsite</t>
  </si>
  <si>
    <t>Emissions from waste management of waste treated on-site (scope 1)</t>
  </si>
  <si>
    <t>EF source</t>
  </si>
  <si>
    <t>10: Solid Waste Treatment: Overview</t>
  </si>
  <si>
    <t>10: Solid Waste Treatment: Results</t>
  </si>
  <si>
    <t>Composting</t>
  </si>
  <si>
    <t>Landfill food waste on site (tonnes)</t>
  </si>
  <si>
    <t>Landfill food waste on site (m3)</t>
  </si>
  <si>
    <t>Landfill food waste offsite (tonnes)</t>
  </si>
  <si>
    <t>Landfill food waste offsite (m3)</t>
  </si>
  <si>
    <t>Landfill Paper offsite (tonnes)</t>
  </si>
  <si>
    <t>Landfill Paper waste offsite (m3)</t>
  </si>
  <si>
    <t>Landfill Paper waste on site (tonnes)</t>
  </si>
  <si>
    <t>Landfill Paper on site (m3)</t>
  </si>
  <si>
    <t>Landfill Green waste offsite (tonnes)</t>
  </si>
  <si>
    <t>Landfill Green waste offsite (m3)</t>
  </si>
  <si>
    <t>Landfill Green waste on site (tonnes)</t>
  </si>
  <si>
    <t>Landfill Green waste on site (m3)</t>
  </si>
  <si>
    <t>Green waste (including crop residues or prunings)</t>
  </si>
  <si>
    <t>Compost food waste on site (m3)</t>
  </si>
  <si>
    <t>Compost food waste on site (tonnes)</t>
  </si>
  <si>
    <t>Compost paper and cardboard on site (tonnes)</t>
  </si>
  <si>
    <t>Compost paper and cardboard on site (m3)</t>
  </si>
  <si>
    <t>Not used</t>
  </si>
  <si>
    <r>
      <t>E</t>
    </r>
    <r>
      <rPr>
        <b/>
        <vertAlign val="subscript"/>
        <sz val="11"/>
        <color rgb="FF183C1B"/>
        <rFont val="Times New Roman"/>
        <family val="1"/>
      </rPr>
      <t>g</t>
    </r>
  </si>
  <si>
    <r>
      <t>EF</t>
    </r>
    <r>
      <rPr>
        <b/>
        <vertAlign val="subscript"/>
        <sz val="11"/>
        <color rgb="FF183C1B"/>
        <rFont val="Times New Roman"/>
        <family val="1"/>
      </rPr>
      <t>wtg</t>
    </r>
  </si>
  <si>
    <r>
      <t>Q</t>
    </r>
    <r>
      <rPr>
        <b/>
        <vertAlign val="subscript"/>
        <sz val="11"/>
        <color rgb="FF183C1B"/>
        <rFont val="Times New Roman"/>
        <family val="1"/>
      </rPr>
      <t>volwt</t>
    </r>
  </si>
  <si>
    <r>
      <t>Q</t>
    </r>
    <r>
      <rPr>
        <b/>
        <vertAlign val="subscript"/>
        <sz val="11"/>
        <color rgb="FF533001"/>
        <rFont val="Times New Roman"/>
        <family val="1"/>
      </rPr>
      <t>masswt</t>
    </r>
  </si>
  <si>
    <t>Summed above</t>
  </si>
  <si>
    <t>Incineration paper and cardboard on site (tonnes)</t>
  </si>
  <si>
    <t>Incineration paper and cardboard on site (m3)</t>
  </si>
  <si>
    <t>Incineration green waste on site (tonnes)</t>
  </si>
  <si>
    <t>Incineration green waste on site (m3)</t>
  </si>
  <si>
    <t>Incineration green waste offsite (tonnes)</t>
  </si>
  <si>
    <t>Incineration green waste offsite (m3)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</si>
</sst>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43" formatCode="_-* #,##0.00_-;\-* #,##0.00_-;_-* &quot;-&quot;??_-;_-@_-"/>
    <numFmt numFmtId="164" formatCode="0.000"/>
    <numFmt numFmtId="165" formatCode="#,##0.000"/>
    <numFmt numFmtId="166" formatCode="d/mm/yyyy;@"/>
    <numFmt numFmtId="167" formatCode="[$-C09]dd\-mmmm\-yyyy;@"/>
    <numFmt numFmtId="168" formatCode="#,##0.000000"/>
    <numFmt numFmtId="169" formatCode="0.0000"/>
  </numFmts>
  <fonts count="56"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b/>
      <sz val="11"/>
      <color theme="1"/>
      <name val="Times New Roman"/>
      <family val="1"/>
      <scheme val="minor"/>
    </font>
    <font>
      <b/>
      <sz val="14"/>
      <color theme="1"/>
      <name val="Times New Roman"/>
      <family val="1"/>
      <scheme val="minor"/>
    </font>
    <font>
      <sz val="12"/>
      <color theme="0" tint="-4.9989318521683403E-2"/>
      <name val="Times New Roman"/>
      <family val="1"/>
    </font>
    <font>
      <sz val="10"/>
      <color theme="1" tint="0.34998626667073579"/>
      <name val="Times New Roman"/>
      <family val="1"/>
    </font>
    <font>
      <sz val="10"/>
      <name val="Arial"/>
      <family val="2"/>
    </font>
    <font>
      <sz val="9"/>
      <name val="Times New Roman"/>
      <family val="1"/>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i/>
      <sz val="12"/>
      <color theme="1" tint="0.14999847407452621"/>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sz val="14"/>
      <color theme="1" tint="0.34998626667073579"/>
      <name val="Times New Roman"/>
      <family val="1"/>
    </font>
    <font>
      <b/>
      <sz val="12"/>
      <color rgb="FFCC6600"/>
      <name val="Times New Roman"/>
      <family val="1"/>
    </font>
    <font>
      <i/>
      <sz val="10"/>
      <color theme="6" tint="-0.499984740745262"/>
      <name val="Times New Roman"/>
      <family val="1"/>
    </font>
    <font>
      <i/>
      <sz val="10"/>
      <color theme="5" tint="-0.499984740745262"/>
      <name val="Times New Roman"/>
      <family val="1"/>
    </font>
    <font>
      <u/>
      <sz val="10"/>
      <color theme="1" tint="0.34998626667073579"/>
      <name val="Times New Roman"/>
      <family val="1"/>
    </font>
    <font>
      <i/>
      <sz val="10"/>
      <color theme="1" tint="0.14999847407452621"/>
      <name val="Times New Roman"/>
      <family val="1"/>
      <scheme val="minor"/>
    </font>
    <font>
      <b/>
      <sz val="20"/>
      <color theme="3" tint="9.9978637043366805E-2"/>
      <name val="Times New Roman"/>
      <family val="1"/>
    </font>
    <font>
      <sz val="16"/>
      <color theme="1" tint="0.24994659260841701"/>
      <name val="Times New Roman"/>
      <family val="1"/>
    </font>
    <font>
      <b/>
      <sz val="16"/>
      <color theme="1" tint="0.24994659260841701"/>
      <name val="Times New Roman"/>
      <family val="1"/>
    </font>
    <font>
      <b/>
      <vertAlign val="subscript"/>
      <sz val="16"/>
      <color theme="1" tint="0.24994659260841701"/>
      <name val="Times New Roman"/>
      <family val="1"/>
    </font>
    <font>
      <i/>
      <sz val="16"/>
      <color theme="1" tint="0.34998626667073579"/>
      <name val="Times New Roman"/>
      <family val="1"/>
    </font>
    <font>
      <b/>
      <sz val="11"/>
      <color theme="1"/>
      <name val="Times New Roman"/>
      <family val="2"/>
      <scheme val="minor"/>
    </font>
    <font>
      <b/>
      <vertAlign val="subscript"/>
      <sz val="11"/>
      <color rgb="FF183C1B"/>
      <name val="Times New Roman"/>
      <family val="1"/>
    </font>
    <font>
      <b/>
      <sz val="11"/>
      <color theme="1"/>
      <name val="Times New Roman"/>
      <family val="2"/>
    </font>
    <font>
      <b/>
      <vertAlign val="subscript"/>
      <sz val="11"/>
      <color rgb="FF533001"/>
      <name val="Times New Roman"/>
      <family val="1"/>
    </font>
  </fonts>
  <fills count="16">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theme="9" tint="0.59999389629810485"/>
        <bgColor indexed="64"/>
      </patternFill>
    </fill>
    <fill>
      <patternFill patternType="solid">
        <fgColor rgb="FFDCECD0"/>
        <bgColor indexed="64"/>
      </patternFill>
    </fill>
  </fills>
  <borders count="17">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s>
  <cellStyleXfs count="67">
    <xf numFmtId="0" fontId="0" fillId="0" borderId="0"/>
    <xf numFmtId="0" fontId="5" fillId="2" borderId="0">
      <alignment horizontal="left" vertical="center" indent="1"/>
      <protection locked="0"/>
    </xf>
    <xf numFmtId="0" fontId="4" fillId="0" borderId="0"/>
    <xf numFmtId="0" fontId="1" fillId="0" borderId="0">
      <alignment vertical="center"/>
    </xf>
    <xf numFmtId="0" fontId="16" fillId="3" borderId="0">
      <alignment vertical="center"/>
    </xf>
    <xf numFmtId="0" fontId="29" fillId="4" borderId="0">
      <alignment horizontal="left" vertical="center"/>
    </xf>
    <xf numFmtId="0" fontId="34" fillId="4" borderId="0">
      <alignment vertical="center"/>
    </xf>
    <xf numFmtId="0" fontId="3" fillId="4" borderId="0">
      <alignment horizontal="left" vertical="center"/>
    </xf>
    <xf numFmtId="0" fontId="31"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3" fillId="0" borderId="2">
      <alignment horizontal="center" vertical="center"/>
    </xf>
    <xf numFmtId="0" fontId="14" fillId="0" borderId="2">
      <alignment horizontal="center" vertical="center"/>
    </xf>
    <xf numFmtId="9" fontId="13" fillId="0" borderId="2">
      <alignment horizontal="center" vertical="center"/>
    </xf>
    <xf numFmtId="165" fontId="13" fillId="0" borderId="2">
      <alignment horizontal="center" vertical="center"/>
    </xf>
    <xf numFmtId="3" fontId="13" fillId="0" borderId="2">
      <alignment horizontal="center" vertical="center"/>
    </xf>
    <xf numFmtId="0" fontId="15" fillId="4" borderId="0">
      <alignment horizontal="left" vertical="center"/>
    </xf>
    <xf numFmtId="0" fontId="6" fillId="4" borderId="3">
      <alignment horizontal="left" vertical="center" indent="1"/>
    </xf>
    <xf numFmtId="164" fontId="8" fillId="4" borderId="3">
      <alignment horizontal="center" vertical="center"/>
    </xf>
    <xf numFmtId="0" fontId="3" fillId="4" borderId="3">
      <alignment horizontal="left" vertical="center"/>
    </xf>
    <xf numFmtId="0" fontId="12" fillId="6" borderId="0">
      <alignment horizontal="left" vertical="center" indent="1"/>
    </xf>
    <xf numFmtId="0" fontId="12" fillId="6" borderId="0">
      <alignment horizontal="center" vertical="center"/>
      <protection locked="0"/>
    </xf>
    <xf numFmtId="0" fontId="11" fillId="4" borderId="0">
      <alignment vertical="center"/>
    </xf>
    <xf numFmtId="0" fontId="16" fillId="7" borderId="0">
      <alignment vertical="center"/>
    </xf>
    <xf numFmtId="0" fontId="10" fillId="0" borderId="0"/>
    <xf numFmtId="0" fontId="2" fillId="0" borderId="0">
      <alignment horizontal="left" vertical="center" indent="1"/>
    </xf>
    <xf numFmtId="0" fontId="17" fillId="9" borderId="4">
      <alignment horizontal="left" vertical="center" indent="1"/>
    </xf>
    <xf numFmtId="0" fontId="20" fillId="10" borderId="0">
      <alignment horizontal="left" vertical="center" indent="1"/>
    </xf>
    <xf numFmtId="0" fontId="20" fillId="5" borderId="0">
      <alignment horizontal="left" vertical="center" indent="1"/>
    </xf>
    <xf numFmtId="0" fontId="20" fillId="8" borderId="0">
      <alignment horizontal="left" vertical="center" indent="1"/>
    </xf>
    <xf numFmtId="0" fontId="22" fillId="0" borderId="0">
      <alignment horizontal="left" vertical="center" indent="2"/>
    </xf>
    <xf numFmtId="0" fontId="36" fillId="13" borderId="7">
      <alignment horizontal="left" vertical="center"/>
    </xf>
    <xf numFmtId="3" fontId="26" fillId="4" borderId="2">
      <alignment horizontal="center" vertical="center"/>
    </xf>
    <xf numFmtId="167" fontId="2" fillId="0" borderId="2">
      <alignment horizontal="center" vertical="center"/>
    </xf>
    <xf numFmtId="0" fontId="27" fillId="0" borderId="0"/>
    <xf numFmtId="0" fontId="9" fillId="0" borderId="0"/>
    <xf numFmtId="0" fontId="27" fillId="0" borderId="0"/>
    <xf numFmtId="166" fontId="26" fillId="4" borderId="2">
      <alignment horizontal="center" vertical="center"/>
    </xf>
    <xf numFmtId="4" fontId="26" fillId="4" borderId="2">
      <alignment horizontal="center" vertical="center"/>
    </xf>
    <xf numFmtId="0" fontId="41" fillId="4" borderId="0">
      <alignment horizontal="left" vertical="center"/>
    </xf>
    <xf numFmtId="0" fontId="30" fillId="4" borderId="0" applyNumberFormat="0">
      <alignment horizontal="center" vertical="center"/>
    </xf>
    <xf numFmtId="165" fontId="26" fillId="4" borderId="2">
      <alignment horizontal="center" vertical="center"/>
    </xf>
    <xf numFmtId="0" fontId="25" fillId="4" borderId="0">
      <alignment horizontal="left" vertical="center"/>
    </xf>
    <xf numFmtId="168" fontId="26" fillId="4" borderId="2">
      <alignment horizontal="center" vertical="center"/>
    </xf>
    <xf numFmtId="0" fontId="26" fillId="4" borderId="2">
      <alignment horizontal="center" vertical="center"/>
    </xf>
    <xf numFmtId="0" fontId="6" fillId="4" borderId="0">
      <alignment horizontal="left" vertical="center"/>
    </xf>
    <xf numFmtId="0" fontId="33" fillId="4" borderId="0">
      <alignment horizontal="left" vertical="center"/>
    </xf>
    <xf numFmtId="0" fontId="9" fillId="0" borderId="0"/>
    <xf numFmtId="0" fontId="2" fillId="0" borderId="2">
      <alignment horizontal="center" vertical="center"/>
    </xf>
    <xf numFmtId="0" fontId="39" fillId="4" borderId="0">
      <alignment horizontal="left" vertical="center"/>
    </xf>
    <xf numFmtId="0" fontId="40" fillId="4" borderId="0">
      <alignment horizontal="left" vertical="center"/>
    </xf>
    <xf numFmtId="0" fontId="42" fillId="4" borderId="0">
      <alignment horizontal="left" vertical="center"/>
    </xf>
    <xf numFmtId="0" fontId="38" fillId="11" borderId="0">
      <alignment horizontal="center" vertical="center"/>
    </xf>
    <xf numFmtId="0" fontId="20" fillId="11" borderId="0">
      <alignment horizontal="left" vertical="center" indent="1"/>
    </xf>
    <xf numFmtId="0" fontId="44" fillId="14" borderId="2">
      <alignment horizontal="center" vertical="center"/>
    </xf>
    <xf numFmtId="0" fontId="43" fillId="15" borderId="2">
      <alignment horizontal="center" vertical="center"/>
    </xf>
    <xf numFmtId="0" fontId="45" fillId="4" borderId="2">
      <alignment horizontal="left" vertical="center"/>
    </xf>
    <xf numFmtId="0" fontId="26" fillId="4" borderId="2">
      <alignment horizontal="left" vertical="center"/>
    </xf>
    <xf numFmtId="0" fontId="46" fillId="0" borderId="0"/>
  </cellStyleXfs>
  <cellXfs count="80">
    <xf numFmtId="0" fontId="0" fillId="0" borderId="0" xfId="0"/>
    <xf numFmtId="0" fontId="31" fillId="4" borderId="0" xfId="8">
      <alignment horizontal="left" vertical="center"/>
    </xf>
    <xf numFmtId="0" fontId="3" fillId="4" borderId="0" xfId="7">
      <alignment horizontal="left" vertical="center"/>
    </xf>
    <xf numFmtId="0" fontId="16" fillId="3" borderId="0" xfId="4">
      <alignment vertical="center"/>
    </xf>
    <xf numFmtId="0" fontId="34" fillId="4" borderId="0" xfId="6">
      <alignment vertical="center"/>
    </xf>
    <xf numFmtId="0" fontId="29"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16" fillId="0" borderId="0" xfId="4" applyFill="1">
      <alignment vertical="center"/>
    </xf>
    <xf numFmtId="0" fontId="15" fillId="4" borderId="0" xfId="24">
      <alignment horizontal="left" vertical="center"/>
    </xf>
    <xf numFmtId="0" fontId="16" fillId="7" borderId="0" xfId="31">
      <alignment vertical="center"/>
    </xf>
    <xf numFmtId="0" fontId="2" fillId="9" borderId="0" xfId="7" applyFont="1" applyFill="1" applyAlignment="1">
      <alignment horizontal="left" vertical="center" indent="1"/>
    </xf>
    <xf numFmtId="0" fontId="2" fillId="0" borderId="0" xfId="33">
      <alignment horizontal="left" vertical="center" indent="1"/>
    </xf>
    <xf numFmtId="0" fontId="17" fillId="9" borderId="4" xfId="34">
      <alignment horizontal="left" vertical="center" indent="1"/>
    </xf>
    <xf numFmtId="0" fontId="18" fillId="9" borderId="4" xfId="34" applyFont="1">
      <alignment horizontal="left" vertical="center" indent="1"/>
    </xf>
    <xf numFmtId="0" fontId="19" fillId="9" borderId="4" xfId="34" applyFont="1">
      <alignment horizontal="left" vertical="center" indent="1"/>
    </xf>
    <xf numFmtId="0" fontId="36" fillId="13" borderId="7" xfId="39">
      <alignment horizontal="left" vertical="center"/>
    </xf>
    <xf numFmtId="0" fontId="0" fillId="4" borderId="0" xfId="0" applyFill="1"/>
    <xf numFmtId="2" fontId="0" fillId="4" borderId="0" xfId="0" applyNumberFormat="1" applyFill="1" applyAlignment="1">
      <alignment vertical="center"/>
    </xf>
    <xf numFmtId="0" fontId="16" fillId="4" borderId="0" xfId="4" applyFill="1">
      <alignment vertical="center"/>
    </xf>
    <xf numFmtId="0" fontId="23" fillId="4" borderId="0" xfId="0" applyFont="1" applyFill="1"/>
    <xf numFmtId="2" fontId="24" fillId="4" borderId="0" xfId="0" applyNumberFormat="1" applyFont="1" applyFill="1"/>
    <xf numFmtId="0" fontId="6" fillId="4" borderId="0" xfId="12" applyAlignment="1">
      <alignment horizontal="left" indent="1"/>
    </xf>
    <xf numFmtId="0" fontId="31" fillId="4" borderId="0" xfId="8" applyAlignment="1">
      <alignment horizontal="right" vertical="center"/>
    </xf>
    <xf numFmtId="0" fontId="0" fillId="0" borderId="0" xfId="7" applyFont="1" applyFill="1">
      <alignment horizontal="left" vertical="center"/>
    </xf>
    <xf numFmtId="0" fontId="0" fillId="0" borderId="0" xfId="8" applyFont="1" applyFill="1">
      <alignment horizontal="left" vertical="center"/>
    </xf>
    <xf numFmtId="0" fontId="3" fillId="12" borderId="2" xfId="15">
      <alignment horizontal="center" vertical="center"/>
    </xf>
    <xf numFmtId="0" fontId="26" fillId="4" borderId="2" xfId="52">
      <alignment horizontal="center" vertical="center"/>
    </xf>
    <xf numFmtId="0" fontId="32" fillId="4" borderId="0" xfId="8" applyFont="1">
      <alignment horizontal="left" vertical="center"/>
    </xf>
    <xf numFmtId="0" fontId="6" fillId="4" borderId="0" xfId="53">
      <alignment horizontal="left" vertical="center"/>
    </xf>
    <xf numFmtId="0" fontId="33" fillId="4" borderId="0" xfId="54">
      <alignment horizontal="left" vertical="center"/>
    </xf>
    <xf numFmtId="0" fontId="35" fillId="0" borderId="0" xfId="33" applyFont="1">
      <alignment horizontal="left" vertical="center" indent="1"/>
    </xf>
    <xf numFmtId="0" fontId="10" fillId="0" borderId="0" xfId="32"/>
    <xf numFmtId="0" fontId="36" fillId="13" borderId="9" xfId="39" applyBorder="1">
      <alignment horizontal="left" vertical="center"/>
    </xf>
    <xf numFmtId="0" fontId="36" fillId="13" borderId="11" xfId="39" applyBorder="1">
      <alignment horizontal="left" vertical="center"/>
    </xf>
    <xf numFmtId="0" fontId="36" fillId="13" borderId="12" xfId="39" applyBorder="1">
      <alignment horizontal="left" vertical="center"/>
    </xf>
    <xf numFmtId="0" fontId="36" fillId="13" borderId="13" xfId="39" applyBorder="1">
      <alignment horizontal="left" vertical="center"/>
    </xf>
    <xf numFmtId="0" fontId="42" fillId="4" borderId="0" xfId="59">
      <alignment horizontal="left" vertical="center"/>
    </xf>
    <xf numFmtId="0" fontId="38" fillId="11" borderId="0" xfId="60">
      <alignment horizontal="center" vertical="center"/>
    </xf>
    <xf numFmtId="0" fontId="31" fillId="4" borderId="0" xfId="8" applyAlignment="1">
      <alignment horizontal="center" vertical="center"/>
    </xf>
    <xf numFmtId="0" fontId="36" fillId="13" borderId="8" xfId="39" applyBorder="1">
      <alignment horizontal="left" vertical="center"/>
    </xf>
    <xf numFmtId="0" fontId="20" fillId="5" borderId="0" xfId="36">
      <alignment horizontal="left" vertical="center" indent="1"/>
    </xf>
    <xf numFmtId="0" fontId="20" fillId="11" borderId="0" xfId="61">
      <alignment horizontal="left" vertical="center" indent="1"/>
    </xf>
    <xf numFmtId="0" fontId="43" fillId="15" borderId="2" xfId="63">
      <alignment horizontal="center" vertical="center"/>
    </xf>
    <xf numFmtId="0" fontId="44" fillId="14" borderId="2" xfId="62">
      <alignment horizontal="center" vertical="center"/>
    </xf>
    <xf numFmtId="0" fontId="31" fillId="4" borderId="0" xfId="8" applyAlignment="1">
      <alignment horizontal="left" vertical="center" wrapText="1"/>
    </xf>
    <xf numFmtId="0" fontId="0" fillId="0" borderId="0" xfId="0" applyAlignment="1">
      <alignment wrapText="1"/>
    </xf>
    <xf numFmtId="0" fontId="28" fillId="0" borderId="0" xfId="0" applyFont="1" applyAlignment="1">
      <alignment wrapText="1"/>
    </xf>
    <xf numFmtId="0" fontId="26" fillId="4" borderId="2" xfId="65">
      <alignment horizontal="left" vertical="center"/>
    </xf>
    <xf numFmtId="0" fontId="26" fillId="4" borderId="5" xfId="65" applyBorder="1">
      <alignment horizontal="left" vertical="center"/>
    </xf>
    <xf numFmtId="0" fontId="26" fillId="4" borderId="6" xfId="65" applyBorder="1">
      <alignment horizontal="left" vertical="center"/>
    </xf>
    <xf numFmtId="0" fontId="46" fillId="0" borderId="0" xfId="66"/>
    <xf numFmtId="169" fontId="8" fillId="4" borderId="0" xfId="10" applyNumberFormat="1">
      <alignment horizontal="center" vertical="center"/>
    </xf>
    <xf numFmtId="0" fontId="47" fillId="9" borderId="0" xfId="32" applyFont="1" applyFill="1"/>
    <xf numFmtId="0" fontId="31" fillId="9" borderId="0" xfId="8" applyFill="1">
      <alignment horizontal="left" vertical="center"/>
    </xf>
    <xf numFmtId="0" fontId="0" fillId="9" borderId="0" xfId="0" applyFill="1"/>
    <xf numFmtId="0" fontId="16" fillId="11" borderId="0" xfId="31" applyFill="1">
      <alignment vertical="center"/>
    </xf>
    <xf numFmtId="0" fontId="37" fillId="13" borderId="10" xfId="39" applyFont="1" applyBorder="1">
      <alignment horizontal="left" vertical="center"/>
    </xf>
    <xf numFmtId="0" fontId="20" fillId="10" borderId="0" xfId="35">
      <alignment horizontal="left" vertical="center" indent="1"/>
    </xf>
    <xf numFmtId="0" fontId="36" fillId="13" borderId="14" xfId="39" applyBorder="1">
      <alignment horizontal="left" vertical="center"/>
    </xf>
    <xf numFmtId="0" fontId="36" fillId="13" borderId="15" xfId="39" applyBorder="1">
      <alignment horizontal="left" vertical="center"/>
    </xf>
    <xf numFmtId="0" fontId="49" fillId="4" borderId="1" xfId="8" applyFont="1" applyBorder="1">
      <alignment horizontal="left" vertical="center"/>
    </xf>
    <xf numFmtId="0" fontId="31" fillId="4" borderId="1" xfId="8" applyBorder="1">
      <alignment horizontal="left" vertical="center"/>
    </xf>
    <xf numFmtId="0" fontId="48" fillId="4" borderId="1" xfId="8" applyFont="1" applyBorder="1">
      <alignment horizontal="left" vertical="center"/>
    </xf>
    <xf numFmtId="0" fontId="26" fillId="4" borderId="16" xfId="65" applyBorder="1">
      <alignment horizontal="left" vertical="center"/>
    </xf>
    <xf numFmtId="43" fontId="31" fillId="4" borderId="0" xfId="8" applyNumberFormat="1">
      <alignment horizontal="left" vertical="center"/>
    </xf>
    <xf numFmtId="0" fontId="12" fillId="6" borderId="0" xfId="29">
      <alignment horizontal="center" vertical="center"/>
      <protection locked="0"/>
    </xf>
    <xf numFmtId="0" fontId="20" fillId="8" borderId="0" xfId="37">
      <alignment horizontal="left" vertical="center" indent="1"/>
    </xf>
    <xf numFmtId="0" fontId="51" fillId="4" borderId="1" xfId="53" applyFont="1" applyBorder="1">
      <alignment horizontal="left" vertical="center"/>
    </xf>
    <xf numFmtId="0" fontId="39" fillId="4" borderId="0" xfId="57">
      <alignment horizontal="left" vertical="center"/>
    </xf>
    <xf numFmtId="0" fontId="40" fillId="4" borderId="0" xfId="58">
      <alignment horizontal="left" vertical="center"/>
    </xf>
    <xf numFmtId="0" fontId="5" fillId="2" borderId="0" xfId="9">
      <alignment horizontal="center" vertical="center"/>
    </xf>
    <xf numFmtId="0" fontId="26" fillId="4" borderId="5" xfId="52" applyBorder="1">
      <alignment horizontal="center" vertical="center"/>
    </xf>
    <xf numFmtId="0" fontId="52" fillId="2" borderId="0" xfId="8" applyFont="1" applyFill="1">
      <alignment horizontal="left" vertical="center"/>
    </xf>
    <xf numFmtId="0" fontId="2" fillId="0" borderId="2" xfId="56">
      <alignment horizontal="center" vertical="center"/>
    </xf>
    <xf numFmtId="0" fontId="45" fillId="4" borderId="2" xfId="64">
      <alignment horizontal="left" vertical="center"/>
    </xf>
    <xf numFmtId="0" fontId="2" fillId="0" borderId="2" xfId="56" applyFill="1">
      <alignment horizontal="center" vertical="center"/>
    </xf>
    <xf numFmtId="0" fontId="54" fillId="0" borderId="0" xfId="8" applyFont="1" applyFill="1">
      <alignment horizontal="left" vertical="center"/>
    </xf>
    <xf numFmtId="0" fontId="31" fillId="4" borderId="0" xfId="8" applyNumberFormat="1" applyFont="1" applyFill="1" applyBorder="1" applyAlignment="1">
      <alignment horizontal="left" vertical="center"/>
    </xf>
  </cellXfs>
  <cellStyles count="67">
    <cellStyle name="Alert" xfId="59" xr:uid="{34EFE908-8095-4010-8F93-8CFE88055637}"/>
    <cellStyle name="Arguments" xfId="65" xr:uid="{E3322BF6-A528-4CDC-9946-1481D9CFA254}"/>
    <cellStyle name="Arguments hyperlink" xfId="64" xr:uid="{D7E69B6D-2E15-48E8-BF41-EE6FEA2FBEBE}"/>
    <cellStyle name="Back to top link" xfId="66" xr:uid="{13501F59-E048-49F8-88C6-8AF5C4ACD194}"/>
    <cellStyle name="Block heading" xfId="5" xr:uid="{74527274-3B4A-494A-B37C-EA50686E114C}"/>
    <cellStyle name="Block subheading" xfId="47" xr:uid="{34E62905-A3E0-4883-B81A-BDB58FC88DA7}"/>
    <cellStyle name="Code" xfId="24" xr:uid="{99B3520F-01DD-4F8E-A8D0-24EAA04E90EB}"/>
    <cellStyle name="Content bold" xfId="7" xr:uid="{468A1381-682E-4BF1-945B-DF2E2BCA4419}"/>
    <cellStyle name="Content bold total" xfId="27" xr:uid="{17159E75-EF9F-42B8-8195-E83583796F67}"/>
    <cellStyle name="Content hidden" xfId="50"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Information tip" xfId="39" xr:uid="{7D200D09-32E3-4546-9822-1B93AD118A74}"/>
    <cellStyle name="Information variation" xfId="54" xr:uid="{205494A3-14DD-4E6A-BDD3-5C5A864D6FA7}"/>
    <cellStyle name="Input block subheading" xfId="30" xr:uid="{A9FEBDB0-0992-4E30-96E5-9F9CAE92E3FB}"/>
    <cellStyle name="Input date" xfId="41" xr:uid="{A1D72D5E-DCF3-445F-8FC0-A147E105D774}"/>
    <cellStyle name="Input date calculated" xfId="45" xr:uid="{5A42AD0E-F665-46A9-9757-6B6A4BE7013E}"/>
    <cellStyle name="Input number 2 decimal places" xfId="17" xr:uid="{F9671E40-5700-4055-A6D2-272CF9DB620E}"/>
    <cellStyle name="Input number 2 decimal places calculated" xfId="46" xr:uid="{C04BA53C-14E1-48A5-99A3-C9FD44741A2A}"/>
    <cellStyle name="Input number 3 decimal places calculated" xfId="49" xr:uid="{637E6039-0A01-48EF-8C15-C29A497EF449}"/>
    <cellStyle name="Input number 3 decimal places disabled" xfId="22" xr:uid="{6B1B6177-B1C0-4190-858F-6E4C823402C3}"/>
    <cellStyle name="Input number 6 decimal places calculated" xfId="51" xr:uid="{CE70A7A2-3CEE-4689-8FF6-8EB6FCE0A94C}"/>
    <cellStyle name="Input number general" xfId="56" xr:uid="{D8583F7D-F13A-4EA8-BAA6-B42739FDBDDB}"/>
    <cellStyle name="Input number general calculated" xfId="52" xr:uid="{34755FEB-6E4E-4BD7-A478-DF7299A7A914}"/>
    <cellStyle name="Input number no decimals" xfId="18" xr:uid="{B33B4FB5-F3F4-4036-B2DD-663B694E2A90}"/>
    <cellStyle name="Input number no decimals calculated" xfId="40" xr:uid="{5A48F48F-03B2-410E-887B-2A9297006BAF}"/>
    <cellStyle name="Input number no decimals disabled" xfId="23" xr:uid="{7ABDCB2D-7703-4392-9553-5620789B1E19}"/>
    <cellStyle name="Input number percent disabled" xfId="21" xr:uid="{D0E8B42E-13A8-477C-99CB-5FF73C5BBAA4}"/>
    <cellStyle name="Input page heading" xfId="32" xr:uid="{74FB9B3B-4B5B-4B7F-A54C-22E0724783C8}"/>
    <cellStyle name="Input page section heading" xfId="31" xr:uid="{1A05B367-BE5D-4E2B-9831-A28D5CFAC8EC}"/>
    <cellStyle name="Input percent" xfId="16" xr:uid="{923E56A7-7902-46CD-9AA8-0D69F2E1ECA1}"/>
    <cellStyle name="Input select" xfId="15" xr:uid="{3CF2E653-7F22-4996-ABB9-95CA16698B1F}"/>
    <cellStyle name="Input select disabled" xfId="20" xr:uid="{5CE680CC-504C-444D-8337-CF97D9BB5A78}"/>
    <cellStyle name="Input table column header" xfId="29" xr:uid="{EF98B018-1246-451D-91C2-97FCD443EDC9}"/>
    <cellStyle name="Input table header" xfId="28" xr:uid="{04872377-9FDD-4D5A-91FC-B9D8DA1E8E91}"/>
    <cellStyle name="Input text" xfId="14" xr:uid="{4C71A4C5-ADD8-4A09-A7FE-940DA96821F6}"/>
    <cellStyle name="Input text calculated" xfId="48" xr:uid="{43DCF082-1F0D-4E07-9785-CAF41B37CFCC}"/>
    <cellStyle name="Input text disabled" xfId="19" xr:uid="{79E76B35-E5FF-43A1-B0D0-016F346F8B97}"/>
    <cellStyle name="Menu link child" xfId="38" xr:uid="{609090D3-DE1E-48FE-A8AA-233CE9B146E0}"/>
    <cellStyle name="Menu link default" xfId="33" xr:uid="{11B84453-1DD4-492A-B241-FE6AD4CB25FA}"/>
    <cellStyle name="Menu link selected" xfId="35" xr:uid="{B16EBA6F-62C4-483F-8E15-B20D06ABF61F}"/>
    <cellStyle name="Menu link selected equations" xfId="37" xr:uid="{7AFCC545-C221-4BAC-933E-19109D0FB654}"/>
    <cellStyle name="Menu link selected input" xfId="36" xr:uid="{17D327F4-9149-4DAC-85BB-811698090830}"/>
    <cellStyle name="Menu link selected results" xfId="61" xr:uid="{0DC56464-F1A3-42A3-BF89-514E2163E7F0}"/>
    <cellStyle name="Menu section title" xfId="34" xr:uid="{E2117B15-AE58-4F76-B13B-671D455A4107}"/>
    <cellStyle name="Normal" xfId="0" builtinId="0"/>
    <cellStyle name="Normal 2" xfId="55" xr:uid="{FE64FEFB-54C6-42B4-AA7F-D49670F5ED19}"/>
    <cellStyle name="Normal 2 2" xfId="44" xr:uid="{B8803ACE-513D-4EEF-BBE0-0BB76AE7D7F4}"/>
    <cellStyle name="Normal 4" xfId="42" xr:uid="{99CD1B63-5040-4067-BBD7-470030C57E5D}"/>
    <cellStyle name="Normal 5" xfId="43" xr:uid="{C95BEC9B-545D-4D75-A129-77179ED2BD99}"/>
    <cellStyle name="Number diplsay percent" xfId="11" xr:uid="{2A2547EE-93B6-4F82-A56A-1A45D8712142}"/>
    <cellStyle name="Number display decimal" xfId="10" xr:uid="{D6C655C7-D21F-4B70-8143-4C163C43FE08}"/>
    <cellStyle name="Number display decimal total" xfId="26" xr:uid="{A9378C0C-CCAE-43D1-BC2C-BD4A9766DA0D}"/>
    <cellStyle name="Page heading" xfId="2" xr:uid="{255E304E-A5AB-40F0-8E3A-91C132147F10}"/>
    <cellStyle name="Page section heading" xfId="4" xr:uid="{B654AFF3-28A2-43B8-AE91-E7D2C159A294}"/>
    <cellStyle name="Page source" xfId="3" xr:uid="{35DF92BD-4909-4EA7-B1E6-C0EDAAEB1713}"/>
    <cellStyle name="Results table column header" xfId="60" xr:uid="{A846043F-10AE-4BED-BAA6-90407C977915}"/>
    <cellStyle name="Table description" xfId="58" xr:uid="{8BD2F353-2E3C-42FF-89E9-616E85DC18C5}"/>
    <cellStyle name="Table name" xfId="57" xr:uid="{D56F17A4-9740-44B6-BDDB-150E2C950B8B}"/>
    <cellStyle name="Unit" xfId="12" xr:uid="{90B9E191-F5E0-43AB-A245-D6CA23D4ADFC}"/>
    <cellStyle name="Unit no indent" xfId="53" xr:uid="{2829D020-DAD8-4B7D-9262-450720E27D2B}"/>
    <cellStyle name="Unit total" xfId="25" xr:uid="{65428923-3DAD-47B6-8DDF-0EBD05E7C55B}"/>
    <cellStyle name="Variable type input" xfId="62" xr:uid="{83ED2376-8555-47B3-98E3-2416CC880284}"/>
    <cellStyle name="Variable type other" xfId="63" xr:uid="{6646F6F7-E4F9-4165-8015-E25083532B5B}"/>
  </cellStyles>
  <dxfs count="74">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2"/>
        <color theme="1" tint="0.24994659260841701"/>
        <name val="Times New Roman"/>
        <family val="1"/>
        <scheme val="none"/>
      </font>
      <numFmt numFmtId="0" formatCode="General"/>
      <fill>
        <patternFill patternType="solid">
          <fgColor indexed="64"/>
          <bgColor theme="0" tint="-4.9989318521683403E-2"/>
        </patternFill>
      </fill>
      <alignment horizontal="left"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2"/>
        <color theme="1" tint="0.24994659260841701"/>
        <name val="Times New Roman"/>
        <family val="1"/>
        <scheme val="none"/>
      </font>
      <numFmt numFmtId="0" formatCode="General"/>
      <fill>
        <patternFill patternType="solid">
          <fgColor indexed="64"/>
          <bgColor theme="0" tint="-4.9989318521683403E-2"/>
        </patternFill>
      </fill>
      <alignment horizontal="left" vertical="center" textRotation="0" wrapText="0" indent="0" justifyLastLine="0" shrinkToFit="0" readingOrder="0"/>
      <border diagonalUp="0" diagonalDown="0" outline="0">
        <left/>
        <right/>
        <top/>
        <bottom/>
      </border>
      <protection locked="1" hidden="0"/>
    </dxf>
    <dxf>
      <font>
        <b/>
        <sz val="11"/>
        <color theme="1"/>
        <family val="2"/>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i val="0"/>
        <strike val="0"/>
        <condense val="0"/>
        <extend val="0"/>
        <outline val="0"/>
        <shadow val="0"/>
        <u val="none"/>
        <vertAlign val="baseline"/>
        <sz val="11"/>
        <color theme="1"/>
        <name val="Times New Roman"/>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i val="0"/>
        <strike val="0"/>
        <condense val="0"/>
        <extend val="0"/>
        <outline val="0"/>
        <shadow val="0"/>
        <u val="none"/>
        <vertAlign val="baseline"/>
        <sz val="11"/>
        <color theme="1"/>
        <name val="Times New Roman"/>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i val="0"/>
        <strike val="0"/>
        <condense val="0"/>
        <extend val="0"/>
        <outline val="0"/>
        <shadow val="0"/>
        <u val="none"/>
        <vertAlign val="baseline"/>
        <sz val="11"/>
        <color theme="1"/>
        <name val="Times New Roman"/>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73"/>
      <tableStyleElement type="headerRow" dxfId="72"/>
      <tableStyleElement type="totalRow" dxfId="71"/>
      <tableStyleElement type="firstColumn" dxfId="70"/>
      <tableStyleElement type="firstRowStripe" dxfId="69"/>
      <tableStyleElement type="secondRowStripe" dxfId="68"/>
    </tableStyle>
    <tableStyle name="Equation table" pivot="0" count="6" xr9:uid="{B247698E-E41D-4CCD-AA0A-C14817E9DE65}">
      <tableStyleElement type="wholeTable" dxfId="67"/>
      <tableStyleElement type="headerRow" dxfId="66"/>
      <tableStyleElement type="totalRow" dxfId="65"/>
      <tableStyleElement type="firstColumn" dxfId="64"/>
      <tableStyleElement type="firstRowStripe" dxfId="63"/>
      <tableStyleElement type="secondRowStripe" dxfId="62"/>
    </tableStyle>
    <tableStyle name="Table Style 1" pivot="0" count="0" xr9:uid="{97B370DB-5463-4A31-9160-5A96BD6A559D}"/>
  </tableStyles>
  <colors>
    <mruColors>
      <color rgb="FF0C769E"/>
      <color rgb="FF008000"/>
      <color rgb="FFFFCCCC"/>
      <color rgb="FFCC6600"/>
      <color rgb="FFC44340"/>
      <color rgb="FF183C1B"/>
      <color rgb="FFDCECD0"/>
      <color rgb="FFB2D498"/>
      <color rgb="FFC4433F"/>
      <color rgb="FFE9F2F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microsoft.com/office/2017/06/relationships/rdRichValue" Target="richData/rdrichvalue.xml"/><Relationship Id="rId1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22/10/relationships/richValueRel" Target="richData/richValueRel.xml"/><Relationship Id="rId17"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calcChain" Target="calcChain.xml"/><Relationship Id="rId20"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5" Type="http://schemas.microsoft.com/office/2017/06/relationships/rdRichValueTypes" Target="richData/rdRichValueTypes.xml"/><Relationship Id="rId10" Type="http://schemas.openxmlformats.org/officeDocument/2006/relationships/sharedStrings" Target="sharedStrings.xml"/><Relationship Id="rId19"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styles" Target="styles.xml"/><Relationship Id="rId14" Type="http://schemas.microsoft.com/office/2017/06/relationships/rdRichValueStructure" Target="richData/rdrichvaluestructure.xml"/></Relationships>
</file>

<file path=xl/drawings/_rels/drawing1.xml.rels><?xml version="1.0" encoding="UTF-8" standalone="yes"?>
<Relationships xmlns="http://schemas.openxmlformats.org/package/2006/relationships"><Relationship Id="rId2" Type="http://schemas.openxmlformats.org/officeDocument/2006/relationships/hyperlink" Target="#'10.1.1-2 Solid waste treatment'!D68"/><Relationship Id="rId1" Type="http://schemas.openxmlformats.org/officeDocument/2006/relationships/hyperlink" Target="#'10.1.1-2 Solid waste treatment'!D5"/></Relationships>
</file>

<file path=xl/drawings/drawing1.xml><?xml version="1.0" encoding="utf-8"?>
<xdr:wsDr xmlns:xdr="http://schemas.openxmlformats.org/drawingml/2006/spreadsheetDrawing" xmlns:a="http://schemas.openxmlformats.org/drawingml/2006/main">
  <xdr:oneCellAnchor>
    <xdr:from>
      <xdr:col>2</xdr:col>
      <xdr:colOff>291247</xdr:colOff>
      <xdr:row>7</xdr:row>
      <xdr:rowOff>3136</xdr:rowOff>
    </xdr:from>
    <xdr:ext cx="2099527" cy="505267"/>
    <xdr:sp macro="" textlink="">
      <xdr:nvSpPr>
        <xdr:cNvPr id="4" name="TextBox 3">
          <a:extLst>
            <a:ext uri="{FF2B5EF4-FFF2-40B4-BE49-F238E27FC236}">
              <a16:creationId xmlns:a16="http://schemas.microsoft.com/office/drawing/2014/main" id="{C2B4545C-C2B3-47A1-9BAB-0C30C265F201}"/>
            </a:ext>
          </a:extLst>
        </xdr:cNvPr>
        <xdr:cNvSpPr txBox="1"/>
      </xdr:nvSpPr>
      <xdr:spPr>
        <a:xfrm>
          <a:off x="2653447" y="1870036"/>
          <a:ext cx="2099527"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10.1.1 Solid waste treatment</a:t>
          </a:r>
        </a:p>
      </xdr:txBody>
    </xdr:sp>
    <xdr:clientData/>
  </xdr:oneCellAnchor>
  <xdr:twoCellAnchor>
    <xdr:from>
      <xdr:col>3</xdr:col>
      <xdr:colOff>282285</xdr:colOff>
      <xdr:row>9</xdr:row>
      <xdr:rowOff>132483</xdr:rowOff>
    </xdr:from>
    <xdr:to>
      <xdr:col>5</xdr:col>
      <xdr:colOff>575085</xdr:colOff>
      <xdr:row>12</xdr:row>
      <xdr:rowOff>109533</xdr:rowOff>
    </xdr:to>
    <xdr:sp macro="" textlink="'10.1.1-2 Solid waste treatment'!D5">
      <xdr:nvSpPr>
        <xdr:cNvPr id="5" name="TextBox 4">
          <a:hlinkClick xmlns:r="http://schemas.openxmlformats.org/officeDocument/2006/relationships" r:id="rId1"/>
          <a:extLst>
            <a:ext uri="{FF2B5EF4-FFF2-40B4-BE49-F238E27FC236}">
              <a16:creationId xmlns:a16="http://schemas.microsoft.com/office/drawing/2014/main" id="{83645639-1493-478F-B936-8E8F041FF424}"/>
            </a:ext>
          </a:extLst>
        </xdr:cNvPr>
        <xdr:cNvSpPr txBox="1"/>
      </xdr:nvSpPr>
      <xdr:spPr>
        <a:xfrm>
          <a:off x="2958810" y="2494683"/>
          <a:ext cx="1512000"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377A225-5B38-4F4F-8E60-34C9F7D0C552}" type="TxLink">
            <a:rPr lang="en-US" sz="1000" b="0" i="0" u="none" strike="noStrike">
              <a:solidFill>
                <a:srgbClr val="0C769E"/>
              </a:solidFill>
              <a:latin typeface="Times New Roman"/>
              <a:cs typeface="Times New Roman"/>
            </a:rPr>
            <a:pPr algn="ctr"/>
            <a:t>Mass of waste from waste volume</a:t>
          </a:fld>
          <a:endParaRPr lang="en-AU" sz="1000">
            <a:solidFill>
              <a:srgbClr val="0C769E"/>
            </a:solidFill>
          </a:endParaRPr>
        </a:p>
      </xdr:txBody>
    </xdr:sp>
    <xdr:clientData/>
  </xdr:twoCellAnchor>
  <xdr:twoCellAnchor>
    <xdr:from>
      <xdr:col>3</xdr:col>
      <xdr:colOff>282285</xdr:colOff>
      <xdr:row>14</xdr:row>
      <xdr:rowOff>142008</xdr:rowOff>
    </xdr:from>
    <xdr:to>
      <xdr:col>5</xdr:col>
      <xdr:colOff>575085</xdr:colOff>
      <xdr:row>17</xdr:row>
      <xdr:rowOff>119058</xdr:rowOff>
    </xdr:to>
    <xdr:sp macro="" textlink="'10.1.1-2 Solid waste treatment'!D96">
      <xdr:nvSpPr>
        <xdr:cNvPr id="2" name="TextBox 1">
          <a:hlinkClick xmlns:r="http://schemas.openxmlformats.org/officeDocument/2006/relationships" r:id="rId2"/>
          <a:extLst>
            <a:ext uri="{FF2B5EF4-FFF2-40B4-BE49-F238E27FC236}">
              <a16:creationId xmlns:a16="http://schemas.microsoft.com/office/drawing/2014/main" id="{047A14AE-B267-4AD5-A886-4CB106B0A775}"/>
            </a:ext>
          </a:extLst>
        </xdr:cNvPr>
        <xdr:cNvSpPr txBox="1"/>
      </xdr:nvSpPr>
      <xdr:spPr>
        <a:xfrm>
          <a:off x="2958810" y="3742458"/>
          <a:ext cx="1512000"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E6DD785-2BD4-4778-B848-1DE745244E64}" type="TxLink">
            <a:rPr lang="en-US" sz="1000" b="1" i="0" u="none" strike="noStrike">
              <a:solidFill>
                <a:srgbClr val="0C769E"/>
              </a:solidFill>
              <a:latin typeface="Times New Roman"/>
              <a:cs typeface="Times New Roman"/>
            </a:rPr>
            <a:pPr algn="ctr"/>
            <a:t>Emissions from waste management by greenhouse gas</a:t>
          </a:fld>
          <a:endParaRPr lang="en-AU" sz="1000" b="1">
            <a:solidFill>
              <a:srgbClr val="0C769E"/>
            </a:solidFill>
          </a:endParaRPr>
        </a:p>
      </xdr:txBody>
    </xdr:sp>
    <xdr:clientData/>
  </xdr:twoCellAnchor>
  <xdr:twoCellAnchor>
    <xdr:from>
      <xdr:col>4</xdr:col>
      <xdr:colOff>422336</xdr:colOff>
      <xdr:row>12</xdr:row>
      <xdr:rowOff>115882</xdr:rowOff>
    </xdr:from>
    <xdr:to>
      <xdr:col>4</xdr:col>
      <xdr:colOff>435036</xdr:colOff>
      <xdr:row>14</xdr:row>
      <xdr:rowOff>148357</xdr:rowOff>
    </xdr:to>
    <xdr:cxnSp macro="">
      <xdr:nvCxnSpPr>
        <xdr:cNvPr id="6" name="Connector: Curved 5">
          <a:extLst>
            <a:ext uri="{FF2B5EF4-FFF2-40B4-BE49-F238E27FC236}">
              <a16:creationId xmlns:a16="http://schemas.microsoft.com/office/drawing/2014/main" id="{0CA296AD-F39E-7853-57E4-65BAF4DD327C}"/>
            </a:ext>
          </a:extLst>
        </xdr:cNvPr>
        <xdr:cNvCxnSpPr>
          <a:stCxn id="5" idx="2"/>
          <a:endCxn id="2" idx="0"/>
        </xdr:cNvCxnSpPr>
      </xdr:nvCxnSpPr>
      <xdr:spPr>
        <a:xfrm rot="5400000">
          <a:off x="3450923" y="3478570"/>
          <a:ext cx="527775" cy="1270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oneCellAnchor>
    <xdr:from>
      <xdr:col>3</xdr:col>
      <xdr:colOff>13447</xdr:colOff>
      <xdr:row>7</xdr:row>
      <xdr:rowOff>109818</xdr:rowOff>
    </xdr:from>
    <xdr:ext cx="1199046" cy="16536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20C22E6D-79A2-B016-31F0-138F8E439D29}"/>
                </a:ext>
              </a:extLst>
            </xdr:cNvPr>
            <xdr:cNvSpPr txBox="1"/>
          </xdr:nvSpPr>
          <xdr:spPr>
            <a:xfrm>
              <a:off x="2689972" y="1976718"/>
              <a:ext cx="119904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𝑤𝑡</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𝑉</m:t>
                        </m:r>
                      </m:e>
                      <m:sub>
                        <m:r>
                          <a:rPr lang="en-AU" sz="1100" i="1">
                            <a:latin typeface="Cambria Math" panose="02040503050406030204" pitchFamily="18" charset="0"/>
                          </a:rPr>
                          <m:t>𝑤𝑡</m:t>
                        </m:r>
                      </m:sub>
                    </m:sSub>
                    <m:r>
                      <a:rPr lang="en-AU" sz="1100" i="1">
                        <a:latin typeface="Cambria Math" panose="02040503050406030204" pitchFamily="18" charset="0"/>
                      </a:rPr>
                      <m:t>×</m:t>
                    </m:r>
                    <m:r>
                      <a:rPr lang="en-AU" sz="1100" i="1">
                        <a:latin typeface="Cambria Math" panose="02040503050406030204" pitchFamily="18" charset="0"/>
                      </a:rPr>
                      <m:t>𝑉𝑇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𝑤</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20C22E6D-79A2-B016-31F0-138F8E439D29}"/>
                </a:ext>
              </a:extLst>
            </xdr:cNvPr>
            <xdr:cNvSpPr txBox="1"/>
          </xdr:nvSpPr>
          <xdr:spPr>
            <a:xfrm>
              <a:off x="2689972" y="1976718"/>
              <a:ext cx="119904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𝑄_𝑤𝑡=𝑉_𝑤𝑡×𝑉𝑇𝑀_𝑤</a:t>
              </a:r>
              <a:endParaRPr lang="en-AU" sz="1100"/>
            </a:p>
          </xdr:txBody>
        </xdr:sp>
      </mc:Fallback>
    </mc:AlternateContent>
    <xdr:clientData/>
  </xdr:oneCellAnchor>
  <xdr:oneCellAnchor>
    <xdr:from>
      <xdr:col>3</xdr:col>
      <xdr:colOff>4762</xdr:colOff>
      <xdr:row>99</xdr:row>
      <xdr:rowOff>114300</xdr:rowOff>
    </xdr:from>
    <xdr:ext cx="1790426" cy="312906"/>
    <mc:AlternateContent xmlns:mc="http://schemas.openxmlformats.org/markup-compatibility/2006">
      <mc:Choice xmlns:a14="http://schemas.microsoft.com/office/drawing/2010/main" Requires="a14">
        <xdr:sp macro="" textlink="">
          <xdr:nvSpPr>
            <xdr:cNvPr id="6" name="TextBox 5">
              <a:extLst>
                <a:ext uri="{FF2B5EF4-FFF2-40B4-BE49-F238E27FC236}">
                  <a16:creationId xmlns:a16="http://schemas.microsoft.com/office/drawing/2014/main" id="{28974089-6B94-669F-C797-A6A5F098A9A4}"/>
                </a:ext>
              </a:extLst>
            </xdr:cNvPr>
            <xdr:cNvSpPr txBox="1"/>
          </xdr:nvSpPr>
          <xdr:spPr>
            <a:xfrm>
              <a:off x="2681287" y="17583150"/>
              <a:ext cx="179042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𝑔</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𝑡</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𝑤</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𝑤𝑡</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𝑤𝑡𝑔</m:t>
                                    </m:r>
                                  </m:sub>
                                </m:sSub>
                              </m:e>
                            </m:d>
                          </m:e>
                        </m:nary>
                      </m:e>
                    </m:nary>
                  </m:oMath>
                </m:oMathPara>
              </a14:m>
              <a:endParaRPr lang="en-AU" sz="1100"/>
            </a:p>
          </xdr:txBody>
        </xdr:sp>
      </mc:Choice>
      <mc:Fallback>
        <xdr:sp macro="" textlink="">
          <xdr:nvSpPr>
            <xdr:cNvPr id="6" name="TextBox 5">
              <a:extLst>
                <a:ext uri="{FF2B5EF4-FFF2-40B4-BE49-F238E27FC236}">
                  <a16:creationId xmlns:a16="http://schemas.microsoft.com/office/drawing/2014/main" id="{28974089-6B94-669F-C797-A6A5F098A9A4}"/>
                </a:ext>
              </a:extLst>
            </xdr:cNvPr>
            <xdr:cNvSpPr txBox="1"/>
          </xdr:nvSpPr>
          <xdr:spPr>
            <a:xfrm>
              <a:off x="2681287" y="17583150"/>
              <a:ext cx="179042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𝐸_𝑔=∑2_𝑡▒∑2_𝑤▒(𝑄_𝑤𝑡×𝐸𝐹_𝑤𝑡𝑔 ) </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B3DA401-69B9-4F52-A3AF-08FA63C556A0}" name="Table_Input_SolidWaste" displayName="Table_Input_SolidWaste" ref="D9:I32" totalsRowShown="0" headerRowCellStyle="Input table column header">
  <autoFilter ref="D9:I32" xr:uid="{AB3DA401-69B9-4F52-A3AF-08FA63C556A0}">
    <filterColumn colId="0" hiddenButton="1"/>
    <filterColumn colId="1" hiddenButton="1"/>
    <filterColumn colId="2" hiddenButton="1"/>
    <filterColumn colId="3" hiddenButton="1"/>
    <filterColumn colId="4" hiddenButton="1"/>
    <filterColumn colId="5" hiddenButton="1"/>
  </autoFilter>
  <tableColumns count="6">
    <tableColumn id="1" xr3:uid="{2BCE26E1-091A-4FC3-A841-86049FBC81A8}" name="Description"/>
    <tableColumn id="5" xr3:uid="{1AAE9410-2D75-4183-B028-D0225DD96FD9}" name="Treatment type (select)" dataCellStyle="Input select"/>
    <tableColumn id="2" xr3:uid="{E939A00A-2AD7-4027-AA19-0891463C586E}" name="Waste type (select)" dataCellStyle="Input select"/>
    <tableColumn id="3" xr3:uid="{A780C41E-A9D0-483D-B649-703E68E6813A}" name="Treatment location (select)" dataCellStyle="Input select"/>
    <tableColumn id="4" xr3:uid="{968E99D1-9586-4756-958A-AC8369FD4A59}" name="Amount" dataCellStyle="Input number general"/>
    <tableColumn id="7" xr3:uid="{6513162E-7AC6-46C4-9C43-97A9CB5546FD}" name="Amount unit (select)" dataCellStyle="Input select"/>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F52C87-665B-4565-984D-010681CEE8B6}" name="Table_SourceData_WasteSolid_WasteTreatmentEFs" displayName="Table_SourceData_WasteSolid_WasteTreatmentEFs" ref="D16:G50" totalsRowShown="0">
  <autoFilter ref="D16:G50" xr:uid="{4AF52C87-665B-4565-984D-010681CEE8B6}">
    <filterColumn colId="0" hiddenButton="1"/>
    <filterColumn colId="1" hiddenButton="1"/>
    <filterColumn colId="2" hiddenButton="1"/>
    <filterColumn colId="3" hiddenButton="1"/>
  </autoFilter>
  <tableColumns count="4">
    <tableColumn id="1" xr3:uid="{27ECD0A0-9936-4A60-BCC5-02F0C62FDA6C}" name="Treatment type t">
      <calculatedColumnFormula array="1">Common_InputFunctions.Utility_DisplayArrayInTable(WasteSolid_SourceData.Waste_EmissionFactorsForWasteTreatment_Data(), Table_SourceData_WasteSolid_WasteTreatmentEFs[[#Headers],[Treatment type t]], 0)</calculatedColumnFormula>
    </tableColumn>
    <tableColumn id="2" xr3:uid="{B7AF1F5E-7BAC-4FF7-B59E-F905655514F2}" name="Waste type w" dataDxfId="21"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 id="3" xr3:uid="{EEC6B364-DA50-41AA-A530-330FAEE98233}" name="EFwt" dataDxfId="20"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 id="4" xr3:uid="{01FD94D2-85D3-4478-AB5E-04E4027C2978}" name="EF source" dataDxfId="19"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7322750E-D63A-47D8-AB88-7693F1AFBB78}" name="Table_SourceData_WasteSolid_VolumeToMassConversion" displayName="Table_SourceData_WasteSolid_VolumeToMassConversion" ref="D57:E68" totalsRowShown="0">
  <autoFilter ref="D57:E68" xr:uid="{7322750E-D63A-47D8-AB88-7693F1AFBB78}">
    <filterColumn colId="0" hiddenButton="1"/>
    <filterColumn colId="1" hiddenButton="1"/>
  </autoFilter>
  <tableColumns count="2">
    <tableColumn id="1" xr3:uid="{E899A810-DA34-4DD3-9420-7017118A50BC}" name="Waste type w">
      <calculatedColumnFormula array="1">Common_InputFunctions.Utility_DisplayArrayInTable(WasteSolid_SourceData.Waste_WasteVolumeToMassConversion_Data(), Table_SourceData_WasteSolid_VolumeToMassConversion[[#Headers],[Waste type w]], 0)</calculatedColumnFormula>
    </tableColumn>
    <tableColumn id="2" xr3:uid="{EC8E9200-43B6-459C-B7A6-907C4A1A3CDE}" name="VTMw" dataDxfId="25" dataCellStyle="Content normal">
      <calculatedColumnFormula array="1">Common_InputFunctions.Utility_DisplayArrayInTable(WasteSolid_SourceData.Waste_WasteVolumeToMassConversion_Data(), Table_SourceData_WasteSolid_VolumeToMassConversion[[#Headers],[Waste type w]], 0)</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99B942E3-1D24-4166-921C-DCC10960718D}" name="Table_WasteTypes_Landfill" displayName="Table_WasteTypes_Landfill" ref="I16:I27" totalsRowShown="0">
  <autoFilter ref="I16:I27" xr:uid="{99B942E3-1D24-4166-921C-DCC10960718D}">
    <filterColumn colId="0" hiddenButton="1"/>
  </autoFilter>
  <tableColumns count="1">
    <tableColumn id="1" xr3:uid="{74859A6A-085F-4CA9-9229-C28E9BE3FDB3}" name="Waste type w">
      <calculatedColumnFormula>Table_SourceData_WasteSolid_WasteTreatmentEFs[[#This Row],[Waste type w]]</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A900595-7035-4239-9059-ACC16835BF72}" name="Table_WasteTypes_Incineration" displayName="Table_WasteTypes_Incineration" ref="K16:K26" totalsRowShown="0" headerRowDxfId="24" headerRowCellStyle="Content normal" dataCellStyle="Content normal">
  <autoFilter ref="K16:K26" xr:uid="{9A900595-7035-4239-9059-ACC16835BF72}">
    <filterColumn colId="0" hiddenButton="1"/>
  </autoFilter>
  <tableColumns count="1">
    <tableColumn id="1" xr3:uid="{CF8EAE7E-F7CA-426B-9112-705975B5522A}" name="Waste type w" dataCellStyle="Content normal">
      <calculatedColumnFormula>E29</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5C8D39D3-1330-49EB-B431-1B2B8C8238DC}" name="Table_WasteTypes_Composting" displayName="Table_WasteTypes_Composting" ref="M16:M21" totalsRowShown="0" headerRowDxfId="23" headerRowCellStyle="Content normal" dataCellStyle="Content normal">
  <autoFilter ref="M16:M21" xr:uid="{5C8D39D3-1330-49EB-B431-1B2B8C8238DC}">
    <filterColumn colId="0" hiddenButton="1"/>
  </autoFilter>
  <tableColumns count="1">
    <tableColumn id="1" xr3:uid="{5B9ABACD-52AE-4D64-BCA6-1DA86A1A3FC3}" name="Waste type w" totalsRowDxfId="18" dataCellStyle="Content normal">
      <calculatedColumnFormula>E40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331EC43E-DF68-429F-A2A4-58BFE6216EC3}" name="Table_WasteTypes_Anaerobicdigestion" displayName="Table_WasteTypes_Anaerobicdigestion" ref="O16:O21" totalsRowShown="0" headerRowDxfId="22" headerRowCellStyle="Content normal" dataCellStyle="Content normal">
  <autoFilter ref="O16:O21" xr:uid="{331EC43E-DF68-429F-A2A4-58BFE6216EC3}">
    <filterColumn colId="0" hiddenButton="1"/>
  </autoFilter>
  <tableColumns count="1">
    <tableColumn id="1" xr3:uid="{2D7DB5DA-05BB-4621-B5A8-576415999BBC}" name="Waste type w" totalsRowDxfId="17" dataCellStyle="Content normal">
      <calculatedColumnFormula>E46</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062C89A-EEF3-4557-BA4C-0BDCB416F42F}"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6D4B6DB4-481A-4FEF-868C-8FE4DDDC79FB}" name="State/Territory">
      <calculatedColumnFormula array="1">Common_InputFunctions.Utility_DisplayArrayInTable(Common_SourceData.Common_SourceData_AustralianStatesTerritories_Data(),Table_AustralianStates[[#Headers],[State/Territory]],0)</calculatedColumnFormula>
    </tableColumn>
    <tableColumn id="2" xr3:uid="{1DB9F4BB-866E-402A-8E72-F9AA1AAC977A}" name="Common Name">
      <calculatedColumnFormula array="1">Common_InputFunctions.Utility_DisplayArrayInTable(Common_SourceData.Common_SourceData_AustralianStatesTerritories_Data(),Table_AustralianStates[[#Headers],[State/Territory]],0)</calculatedColumnFormula>
    </tableColumn>
    <tableColumn id="3" xr3:uid="{CD22F0CE-24A4-4449-938F-AD8FC9554D84}"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CB9580B-B024-498E-BE40-18B3F2A5F8DC}" name="Table_WASA4Areas" displayName="Table_WASA4Areas" ref="D20:D30" totalsRowShown="0">
  <autoFilter ref="D20:D30" xr:uid="{5FA81339-C6C8-4D36-BEEA-6C4AEDD9E676}">
    <filterColumn colId="0" hiddenButton="1"/>
  </autoFilter>
  <tableColumns count="1">
    <tableColumn id="1" xr3:uid="{72ECD94F-7340-4F39-B20E-61C2CBB82AB4}"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65B0C5E1-D46A-45D8-BED7-1CB1FE90EFE0}" name="Table_GWPData" displayName="Table_GWPData" ref="D36:E43" totalsRowShown="0">
  <autoFilter ref="D36:E43" xr:uid="{B8E87A66-3E41-4AD3-925D-01EE21B43D7A}">
    <filterColumn colId="0" hiddenButton="1"/>
    <filterColumn colId="1" hiddenButton="1"/>
  </autoFilter>
  <tableColumns count="2">
    <tableColumn id="1" xr3:uid="{3907B388-A89F-4C49-A00D-52C6520483B6}" name="Gas">
      <calculatedColumnFormula array="1">Common_InputFunctions.Utility_DisplayArrayInTable(Common_SourceData.Common_SourceData_GWP_Data(), Table_GWPData[[#Headers],[Gas]], 0)</calculatedColumnFormula>
    </tableColumn>
    <tableColumn id="2" xr3:uid="{7ABD4373-289A-47C0-AB6E-DAF0AE0FC6B9}"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F2231A79-E9DA-447C-87D4-2315CA0093A7}"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5FD95996-691A-4A36-B2EF-412C3F1230B6}" name="Gas">
      <calculatedColumnFormula array="1">Common_InputFunctions.Utility_DisplayArrayInTable(Common_SourceData.Common_SourceData_ConvertGasElementalToMolecular_Data(),Table_GasToMolecularConversionFactor[[#Headers],[Gas]], 0)</calculatedColumnFormula>
    </tableColumn>
    <tableColumn id="5" xr3:uid="{6355F30E-601A-4138-9E7E-51DDA36EDCA2}" name="Conversion factor">
      <calculatedColumnFormula array="1">Common_InputFunctions.Utility_DisplayArrayInTable(Common_SourceData.Common_SourceData_ConvertGasElementalToMolecular_Data(),Table_GasToMolecularConversionFactor[[#Headers],[Gas]], 0)</calculatedColumnFormula>
    </tableColumn>
    <tableColumn id="2" xr3:uid="{186FBAF4-EDB1-474E-A037-5CCF28A1D4CA}" name="Conversion factor 1">
      <calculatedColumnFormula array="1">Common_InputFunctions.Utility_DisplayArrayInTable(Common_SourceData.Common_SourceData_ConvertGasElementalToMolecular_Data(),Table_GasToMolecularConversionFactor[[#Headers],[Gas]], 0)</calculatedColumnFormula>
    </tableColumn>
    <tableColumn id="3" xr3:uid="{43847081-F467-4FAC-A371-F5EFFD2888A6}" name="Conversion factor 2">
      <calculatedColumnFormula array="1">Common_InputFunctions.Utility_DisplayArrayInTable(Common_SourceData.Common_SourceData_ConvertGasElementalToMolecular_Data(),Table_GasToMolecularConversionFactor[[#Headers],[Gas]], 0)</calculatedColumnFormula>
    </tableColumn>
    <tableColumn id="4" xr3:uid="{0EF3B602-6607-43FB-B705-49E6F2C659AF}"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D6633ABF-6ACC-4B83-B388-F4D4B99A1438}"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A2B430F3-D1CF-4DBE-B788-FF3C20E22F28}"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C3CDDB25-5D60-4029-A9DA-FCDF6DED306F}" name="MAT" totalsRowDxfId="61" totalsRowCellStyle="Content bold">
      <calculatedColumnFormula array="1">Common_InputFunctions.Utility_DisplayArrayInTable(Common_SourceData.Common_SourceData_ClimateZones_Data(), Table_SourceData_ClimateZones[[#Headers],[Climate zone]], 0)</calculatedColumnFormula>
    </tableColumn>
    <tableColumn id="3" xr3:uid="{9679764B-2260-453C-903D-6DDFD533890A}" name="MAP" totalsRowDxfId="60" totalsRowCellStyle="Content bold">
      <calculatedColumnFormula array="1">Common_InputFunctions.Utility_DisplayArrayInTable(Common_SourceData.Common_SourceData_ClimateZones_Data(), Table_SourceData_ClimateZones[[#Headers],[Climate zone]], 0)</calculatedColumnFormula>
    </tableColumn>
    <tableColumn id="4" xr3:uid="{E0B96EC6-4CC7-4E17-A726-BE318859D69B}" name="Frost days per year" totalsRowDxfId="59" totalsRowCellStyle="Content bold">
      <calculatedColumnFormula array="1">Common_InputFunctions.Utility_DisplayArrayInTable(Common_SourceData.Common_SourceData_ClimateZones_Data(), Table_SourceData_ClimateZones[[#Headers],[Climate zone]], 0)</calculatedColumnFormula>
    </tableColumn>
    <tableColumn id="5" xr3:uid="{99D9532F-D633-43D8-9E09-E4CDFE2DA99A}" name="Elevation" totalsRowDxfId="58" totalsRowCellStyle="Content bold">
      <calculatedColumnFormula array="1">Common_InputFunctions.Utility_DisplayArrayInTable(Common_SourceData.Common_SourceData_ClimateZones_Data(), Table_SourceData_ClimateZones[[#Headers],[Climate zone]], 0)</calculatedColumnFormula>
    </tableColumn>
    <tableColumn id="6" xr3:uid="{8EE4536F-60D5-4869-942F-180544702200}" name="MAP:PET" totalsRowDxfId="57" totalsRowCellStyle="Content bold">
      <calculatedColumnFormula array="1">Common_InputFunctions.Utility_DisplayArrayInTable(Common_SourceData.Common_SourceData_ClimateZones_Data(), Table_SourceData_ClimateZones[[#Headers],[Climate zone]], 0)</calculatedColumnFormula>
    </tableColumn>
    <tableColumn id="7" xr3:uid="{0FBAF10F-60EE-41D9-8B7E-87B685FD0BCF}" name="Min temp" totalsRowDxfId="56" totalsRowCellStyle="Content bold">
      <calculatedColumnFormula array="1">Common_InputFunctions.Utility_DisplayArrayInTable(Common_SourceData.Common_SourceData_ClimateZones_Data(), Table_SourceData_ClimateZones[[#Headers],[Climate zone]], 0)</calculatedColumnFormula>
    </tableColumn>
    <tableColumn id="8" xr3:uid="{AAFC57CF-79ED-4BE2-8E90-4DD13CE49372}" name="Max temp" totalsRowDxfId="55" totalsRowCellStyle="Content bold">
      <calculatedColumnFormula array="1">Common_InputFunctions.Utility_DisplayArrayInTable(Common_SourceData.Common_SourceData_ClimateZones_Data(), Table_SourceData_ClimateZones[[#Headers],[Climate zone]], 0)</calculatedColumnFormula>
    </tableColumn>
    <tableColumn id="9" xr3:uid="{957B0523-D24F-4CDC-962F-4D2B1660898D}" name="Min rainfall" totalsRowDxfId="54" totalsRowCellStyle="Content bold">
      <calculatedColumnFormula array="1">Common_InputFunctions.Utility_DisplayArrayInTable(Common_SourceData.Common_SourceData_ClimateZones_Data(), Table_SourceData_ClimateZones[[#Headers],[Climate zone]], 0)</calculatedColumnFormula>
    </tableColumn>
    <tableColumn id="10" xr3:uid="{9E77BCDD-0E8C-4CF0-A1C5-85B308D8C052}" name="Max rainfall" totalsRowDxfId="53" totalsRowCellStyle="Content bold">
      <calculatedColumnFormula array="1">Common_InputFunctions.Utility_DisplayArrayInTable(Common_SourceData.Common_SourceData_ClimateZones_Data(), Table_SourceData_ClimateZones[[#Headers],[Climate zone]], 0)</calculatedColumnFormula>
    </tableColumn>
    <tableColumn id="11" xr3:uid="{153CE395-CEED-4627-A2F5-BCEAC4C343B6}" name="Min frost days" totalsRowDxfId="52" totalsRowCellStyle="Content bold">
      <calculatedColumnFormula array="1">Common_InputFunctions.Utility_DisplayArrayInTable(Common_SourceData.Common_SourceData_ClimateZones_Data(), Table_SourceData_ClimateZones[[#Headers],[Climate zone]], 0)</calculatedColumnFormula>
    </tableColumn>
    <tableColumn id="15" xr3:uid="{AF3247BE-0748-4077-A088-B88274EDB78C}" name="Max frost days" totalsRowDxfId="51" totalsRowCellStyle="Content bold">
      <calculatedColumnFormula array="1">Common_InputFunctions.Utility_DisplayArrayInTable(Common_SourceData.Common_SourceData_ClimateZones_Data(), Table_SourceData_ClimateZones[[#Headers],[Climate zone]], 0)</calculatedColumnFormula>
    </tableColumn>
    <tableColumn id="12" xr3:uid="{CA08E02B-2B67-4F32-A544-1CD765406C64}" name="Min elevation" totalsRowDxfId="50" totalsRowCellStyle="Content bold">
      <calculatedColumnFormula array="1">Common_InputFunctions.Utility_DisplayArrayInTable(Common_SourceData.Common_SourceData_ClimateZones_Data(), Table_SourceData_ClimateZones[[#Headers],[Climate zone]], 0)</calculatedColumnFormula>
    </tableColumn>
    <tableColumn id="16" xr3:uid="{C508455B-0B90-439D-B21C-483306D70F51}" name="Max elevation" totalsRowDxfId="49" totalsRowCellStyle="Content bold">
      <calculatedColumnFormula array="1">Common_InputFunctions.Utility_DisplayArrayInTable(Common_SourceData.Common_SourceData_ClimateZones_Data(), Table_SourceData_ClimateZones[[#Headers],[Climate zone]], 0)</calculatedColumnFormula>
    </tableColumn>
    <tableColumn id="13" xr3:uid="{0F2F2640-788C-4191-ACF6-E8907F671213}" name="Min MAP:PET" totalsRowDxfId="48" totalsRowCellStyle="Content bold">
      <calculatedColumnFormula array="1">Common_InputFunctions.Utility_DisplayArrayInTable(Common_SourceData.Common_SourceData_ClimateZones_Data(), Table_SourceData_ClimateZones[[#Headers],[Climate zone]], 0)</calculatedColumnFormula>
    </tableColumn>
    <tableColumn id="17" xr3:uid="{3886FF95-FFB6-4E58-8C4E-685D6C6DD1F1}" name="Max MAP:PET" totalsRowDxfId="47"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7131D092-6791-4628-B313-820B767FA1E2}"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82668848-C846-4A8E-BEB5-6A099515513D}"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F02B3268-15E1-4043-8BFA-C290D5EDE873}" name="Wet or Dry Zone" totalsRowDxfId="46"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21B0C15-9385-4455-A368-122B3513FD74}"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4140A241-9DC0-4978-AB67-A9BB3EADAD79}" name="Temperature Zone">
      <calculatedColumnFormula array="1">Common_InputFunctions.Utility_DisplayArrayInTable(Common_SourceData.Common_SourceData_TemperatureZones_Data(),Table_SourceData_TemperatureZones[[#Headers],[Temperature Zone]],0)</calculatedColumnFormula>
    </tableColumn>
    <tableColumn id="2" xr3:uid="{659A82A0-B467-4F90-B3D1-FF36E808AC00}" name="MAT">
      <calculatedColumnFormula array="1">Common_InputFunctions.Utility_DisplayArrayInTable(Common_SourceData.Common_SourceData_TemperatureZones_Data(),Table_SourceData_TemperatureZones[[#Headers],[Temperature Zone]],0)</calculatedColumnFormula>
    </tableColumn>
    <tableColumn id="3" xr3:uid="{EEEDF603-F8F9-4B3D-BB24-58F7CC3D6D09}" name="Min MAT">
      <calculatedColumnFormula array="1">Common_InputFunctions.Utility_DisplayArrayInTable(Common_SourceData.Common_SourceData_TemperatureZones_Data(),Table_SourceData_TemperatureZones[[#Headers],[Temperature Zone]],0)</calculatedColumnFormula>
    </tableColumn>
    <tableColumn id="4" xr3:uid="{17B93F0A-0356-41EE-AE8E-1DCCC8A1D16A}"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87D69BCB-2187-4456-838F-A72858BD363C}"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B15094D7-0644-4721-A752-A739BCA90BE4}" name="Rainfall Zone">
      <calculatedColumnFormula array="1">Common_InputFunctions.Utility_DisplayArrayInTable(Common_SourceData.Common_SourceData_RainfallZones_Data(),Table_SourceData_RainfallZones[[#Headers],[Rainfall Zone]],0)</calculatedColumnFormula>
    </tableColumn>
    <tableColumn id="2" xr3:uid="{F4BC5612-F203-409C-93B7-6C3F9F5379B8}" name="Annual rainfall">
      <calculatedColumnFormula array="1">Common_InputFunctions.Utility_DisplayArrayInTable(Common_SourceData.Common_SourceData_RainfallZones_Data(),Table_SourceData_RainfallZones[[#Headers],[Rainfall Zone]],0)</calculatedColumnFormula>
    </tableColumn>
    <tableColumn id="3" xr3:uid="{BDC9CD07-0AFF-4F9C-9801-2326AEF5C824}" name="Min rainfall">
      <calculatedColumnFormula array="1">Common_InputFunctions.Utility_DisplayArrayInTable(Common_SourceData.Common_SourceData_RainfallZones_Data(),Table_SourceData_RainfallZones[[#Headers],[Rainfall Zone]],0)</calculatedColumnFormula>
    </tableColumn>
    <tableColumn id="4" xr3:uid="{D0F652DA-AFF8-4B04-8D06-1D159FFDD31D}"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D5217865-95C3-40E1-AA89-56CB3B85D5D9}"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1C628AE4-74F8-40E7-A17D-67CDF7905DDB}" name="Leaching Zone">
      <calculatedColumnFormula array="1">Common_InputFunctions.Utility_DisplayArrayInTable(Common_SourceData.Common_SourceData_LeachingZones_Data(), Table_SourceData_LeachingZones[[#Headers],[Leaching Zone]], 0)</calculatedColumnFormula>
    </tableColumn>
    <tableColumn id="2" xr3:uid="{16F1E50B-E11A-4101-AC47-557A6CCDE40D}"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B6D8D80C-DC2C-4D39-8B80-9C99993C5EED}"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009E72D7-5CDD-434D-94EA-23F2C9B35DDC}" name="Data source">
      <calculatedColumnFormula array="1">Common_InputFunctions.Utility_DisplayArrayInTable(Common_SourceData.Common_SourceData_DataScores_Scope3_Data(), Table_SourceData_DataScores_Scope3[[#Headers],[Data source]], 0)</calculatedColumnFormula>
    </tableColumn>
    <tableColumn id="2" xr3:uid="{7ED12F1F-E783-47D4-B77A-057805442CA1}"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2F6231B4-3BBC-49B3-811D-D50AE62D4042}" name="Table_SourceData_FracWET" displayName="Table_SourceData_FracWET" ref="D134:E136" totalsRowShown="0">
  <autoFilter ref="D134:E136" xr:uid="{308E99BE-FE1F-47A4-B2CA-97217277C4E9}">
    <filterColumn colId="0" hiddenButton="1"/>
    <filterColumn colId="1" hiddenButton="1"/>
  </autoFilter>
  <tableColumns count="2">
    <tableColumn id="1" xr3:uid="{A87C906C-828A-4DE3-9EB3-2FCA8EE8054D}" name="Is in leaching zone">
      <calculatedColumnFormula array="1">Common_InputFunctions.Utility_DisplayArrayInTable(Common_SourceData.Common_SourceData_FracWET_Data(),Table_SourceData_FracWET[[#Headers],[Is in leaching zone]],0)</calculatedColumnFormula>
    </tableColumn>
    <tableColumn id="2" xr3:uid="{D7930F92-DBDF-4FD8-BF44-B4D67BB114A7}" name="FracWET" dataDxfId="45">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13434731-85EF-4619-82A7-BFED79CB9497}"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4BD056F0-A1CC-4A9C-B94B-F8E5AA03E7EA}" name="Production system j">
      <calculatedColumnFormula array="1">Common_InputFunctions.Utility_DisplayArrayInTable(Common_SourceData.Common_SourceData_EFN2O_Data(), Table_SourceData_Common_EFN2O[[#Headers],[Production system j]], 0)</calculatedColumnFormula>
    </tableColumn>
    <tableColumn id="2" xr3:uid="{F5F3835B-5BDD-4D93-8E74-BE19BF70454B}" name="EFN2O">
      <calculatedColumnFormula array="1">Common_InputFunctions.Utility_DisplayArrayInTable(Common_SourceData.Common_SourceData_EFN2O_Data(), Table_SourceData_Common_EFN2O[[#Headers],[Production system j]], 0)</calculatedColumnFormula>
    </tableColumn>
    <tableColumn id="3" xr3:uid="{8A59CACB-35E9-4470-AE06-195E43690545}" name="Production system only">
      <calculatedColumnFormula array="1">Common_InputFunctions.Utility_DisplayArrayInTable(Common_SourceData.Common_SourceData_EFN2O_Data(), Table_SourceData_Common_EFN2O[[#Headers],[Production system j]], 0)</calculatedColumnFormula>
    </tableColumn>
    <tableColumn id="4" xr3:uid="{6ED28D0B-B715-44F2-8387-D29DAA981F2E}" name="Irrigation method">
      <calculatedColumnFormula array="1">Common_InputFunctions.Utility_DisplayArrayInTable(Common_SourceData.Common_SourceData_EFN2O_Data(), Table_SourceData_Common_EFN2O[[#Headers],[Production system j]], 0)</calculatedColumnFormula>
    </tableColumn>
    <tableColumn id="5" xr3:uid="{EA6DCE58-4C54-48B7-8FBC-4C308A6B085B}"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4A15A194-61C1-4500-ABA0-74793469560C}"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A399DD2C-2C8F-4921-AE90-4A605954450F}" name="Irrigation type i">
      <calculatedColumnFormula array="1">Common_InputFunctions.Utility_DisplayArrayInTable(Common_SourceData.Common_SourceData_FracWETIrrigation_Data(), Table_SourceData_FracWETIrrigation[[#Headers],[Irrigation type i]], 0)</calculatedColumnFormula>
    </tableColumn>
    <tableColumn id="2" xr3:uid="{4E1AF06C-CDE4-4181-A993-5B0147FA6DF4}" name="FracWET" dataDxfId="44"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85A22928-E920-409B-A0A8-7D229D3CCE6D}"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34C2D9DB-EED2-456F-BEA2-E59493B21593}"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D0EDC8DD-395C-467A-B621-EFC3308C0D3A}" name="EFPRP" dataDxfId="43"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9E413DC2-3522-43D9-B1E2-E3DD5CDAB443}"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4295FB4A-FD24-4CF1-93B7-91D96C60BA18}" name="Month">
      <calculatedColumnFormula array="1">Common_InputFunctions.Utility_DisplayArrayInTable(Common_SourceData.Common_SourceData_MonthsToSeasons_Data(), Table_SourceData_Common_MonthToSeason[[#Headers],[Month]], 0)</calculatedColumnFormula>
    </tableColumn>
    <tableColumn id="2" xr3:uid="{8C39FACA-411D-4F92-BE74-1F43448F529F}" name="Season" dataDxfId="42"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00082D66-F0D0-4E45-A0D8-E36E9B74E28E}"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4888068E-C9B5-43FD-A916-9B7704914745}"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B0FC6643-2FC3-4D44-9372-A36B5CC73DD7}" name="MAT (ºC)" dataDxfId="4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0E51BB47-0324-4B13-8E89-7C9A5A09EC52}" name="Anaerobic lagoon" dataDxfId="4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2312BF22-4881-442C-A8FD-F976FFCB79B7}" name="Digester / covered lagoons" dataDxfId="3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1B70D6DD-C0F4-4284-8B69-FAEF867F1C6E}" name="Liquid systems" dataDxfId="3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2D0359C8-B312-4F0D-95CC-9F27DD9711CE}" name="Daily spread" dataDxfId="3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5A63BD27-4E04-4451-82B2-4721FC78703D}" name="Composting (passive windrow)" dataDxfId="3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9E6852C8-02EF-45CF-AE8F-A903AAB60C57}" name="Solid storage" dataDxfId="3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74FF0616-5C4C-44A7-B4AB-CD29BC2285D1}" name="Pit storage" dataDxfId="3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DC8F4831-78E1-4196-A054-44C26274DAB4}" name="Deep litter" dataDxfId="3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F4FFBAFB-4252-464A-913F-2B9A9D6C2256}" name="Poultry manure with bedding" dataDxfId="3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9563BB03-86A6-4D44-AA7D-D448DA9F57D7}" name="Poultry manure without bedding" dataDxfId="3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E7174980-0D39-4A0A-8B4A-73861E176A7D}" name="Direct processing" dataDxfId="3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DD03C9E8-98A5-4484-920C-D6CF9FB7836F}" name="Direct application" dataDxfId="2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AFBD0566-0721-4CC3-A56B-684599A1581B}" name="Pasture range and paddock" dataDxfId="2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25C1DBBE-A111-4ED1-ABEE-B8DF2C7A1776}" name="MAT raw" dataDxfId="27"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441E9C97-ACC7-4EAD-94B5-DD5294FCAEED}"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E51F1B45-76B8-41BA-A4E8-39E28B5D22D8}"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1C4AE05B-BAAC-4518-B0E9-FA3DAFBD52CD}" name="EFNi &amp; EFN2Oi" dataDxfId="26"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803"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3" Type="http://schemas.openxmlformats.org/officeDocument/2006/relationships/table" Target="../tables/table3.xml"/><Relationship Id="rId7" Type="http://schemas.openxmlformats.org/officeDocument/2006/relationships/table" Target="../tables/table7.xml"/><Relationship Id="rId2" Type="http://schemas.openxmlformats.org/officeDocument/2006/relationships/table" Target="../tables/table2.xml"/><Relationship Id="rId1" Type="http://schemas.openxmlformats.org/officeDocument/2006/relationships/printerSettings" Target="../printerSettings/printerSettings3.bin"/><Relationship Id="rId6" Type="http://schemas.openxmlformats.org/officeDocument/2006/relationships/table" Target="../tables/table6.xml"/><Relationship Id="rId5" Type="http://schemas.openxmlformats.org/officeDocument/2006/relationships/table" Target="../tables/table5.xml"/><Relationship Id="rId4" Type="http://schemas.openxmlformats.org/officeDocument/2006/relationships/table" Target="../tables/table4.xml"/></Relationships>
</file>

<file path=xl/worksheets/_rels/sheet7.xml.rels><?xml version="1.0" encoding="UTF-8" standalone="yes"?>
<Relationships xmlns="http://schemas.openxmlformats.org/package/2006/relationships"><Relationship Id="rId8" Type="http://schemas.openxmlformats.org/officeDocument/2006/relationships/table" Target="../tables/table14.xml"/><Relationship Id="rId13" Type="http://schemas.openxmlformats.org/officeDocument/2006/relationships/table" Target="../tables/table19.xml"/><Relationship Id="rId18" Type="http://schemas.openxmlformats.org/officeDocument/2006/relationships/table" Target="../tables/table24.xml"/><Relationship Id="rId3" Type="http://schemas.openxmlformats.org/officeDocument/2006/relationships/table" Target="../tables/table9.xml"/><Relationship Id="rId7" Type="http://schemas.openxmlformats.org/officeDocument/2006/relationships/table" Target="../tables/table13.xml"/><Relationship Id="rId12" Type="http://schemas.openxmlformats.org/officeDocument/2006/relationships/table" Target="../tables/table18.xml"/><Relationship Id="rId17" Type="http://schemas.openxmlformats.org/officeDocument/2006/relationships/table" Target="../tables/table23.xml"/><Relationship Id="rId2" Type="http://schemas.openxmlformats.org/officeDocument/2006/relationships/table" Target="../tables/table8.xml"/><Relationship Id="rId16" Type="http://schemas.openxmlformats.org/officeDocument/2006/relationships/table" Target="../tables/table22.xml"/><Relationship Id="rId1" Type="http://schemas.openxmlformats.org/officeDocument/2006/relationships/printerSettings" Target="../printerSettings/printerSettings4.bin"/><Relationship Id="rId6" Type="http://schemas.openxmlformats.org/officeDocument/2006/relationships/table" Target="../tables/table12.xml"/><Relationship Id="rId11" Type="http://schemas.openxmlformats.org/officeDocument/2006/relationships/table" Target="../tables/table17.xml"/><Relationship Id="rId5" Type="http://schemas.openxmlformats.org/officeDocument/2006/relationships/table" Target="../tables/table11.xml"/><Relationship Id="rId15" Type="http://schemas.openxmlformats.org/officeDocument/2006/relationships/table" Target="../tables/table21.xml"/><Relationship Id="rId10" Type="http://schemas.openxmlformats.org/officeDocument/2006/relationships/table" Target="../tables/table16.xml"/><Relationship Id="rId4" Type="http://schemas.openxmlformats.org/officeDocument/2006/relationships/table" Target="../tables/table10.xml"/><Relationship Id="rId9" Type="http://schemas.openxmlformats.org/officeDocument/2006/relationships/table" Target="../tables/table15.xml"/><Relationship Id="rId14" Type="http://schemas.openxmlformats.org/officeDocument/2006/relationships/table" Target="../tables/table2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
  <sheetViews>
    <sheetView workbookViewId="0"/>
  </sheetViews>
  <sheetFormatPr defaultRowHeight="15" x14ac:dyDescent="0.25"/>
  <sheetData>
    <row r="1" spans="1:1" x14ac:dyDescent="0.25">
      <c r="A1" t="s">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7CA77B-B50B-428D-99FC-773BB70E61A6}">
  <dimension ref="A1:W45"/>
  <sheetViews>
    <sheetView showGridLines="0" zoomScaleNormal="100" workbookViewId="0"/>
  </sheetViews>
  <sheetFormatPr defaultRowHeight="15.75" x14ac:dyDescent="0.25"/>
  <cols>
    <col min="1" max="1" width="30.7109375" customWidth="1"/>
    <col min="2" max="2" width="4.7109375" customWidth="1"/>
    <col min="3" max="3" width="4.7109375" style="1" customWidth="1"/>
    <col min="4" max="15" width="9.140625" style="1"/>
    <col min="16" max="16" width="4.7109375" style="1" customWidth="1"/>
  </cols>
  <sheetData>
    <row r="1" spans="1:17" ht="30" customHeight="1" x14ac:dyDescent="0.35">
      <c r="A1" s="33" t="e" vm="1">
        <v>#VALUE!</v>
      </c>
      <c r="C1" s="54" t="s">
        <v>130</v>
      </c>
      <c r="D1" s="55"/>
      <c r="E1" s="55"/>
      <c r="F1" s="55"/>
      <c r="G1" s="55"/>
      <c r="H1" s="55"/>
      <c r="I1" s="55"/>
      <c r="J1" s="55"/>
      <c r="K1" s="55"/>
      <c r="L1" s="55"/>
      <c r="M1" s="55"/>
      <c r="N1" s="55"/>
      <c r="O1" s="55"/>
      <c r="P1" s="55"/>
    </row>
    <row r="2" spans="1:17" ht="20.100000000000001" customHeight="1" x14ac:dyDescent="0.25">
      <c r="A2" s="8"/>
      <c r="C2" s="55"/>
      <c r="D2" s="55"/>
      <c r="E2" s="55"/>
      <c r="F2" s="55"/>
      <c r="G2" s="55"/>
      <c r="H2" s="55"/>
      <c r="I2" s="55"/>
      <c r="J2" s="55"/>
      <c r="K2" s="55"/>
      <c r="L2" s="55"/>
      <c r="M2" s="55"/>
      <c r="N2" s="55"/>
      <c r="O2" s="55"/>
      <c r="P2" s="55"/>
      <c r="Q2" s="56"/>
    </row>
    <row r="3" spans="1:17" ht="20.100000000000001" customHeight="1" x14ac:dyDescent="0.25">
      <c r="A3" s="13" t="str">
        <f>HYPERLINK("#'Home'!A1", "Home")</f>
        <v>Home</v>
      </c>
      <c r="C3" s="57"/>
      <c r="D3" s="57"/>
      <c r="E3" s="57"/>
      <c r="F3" s="57"/>
      <c r="G3" s="57"/>
      <c r="H3" s="57"/>
      <c r="I3" s="57"/>
      <c r="J3" s="57"/>
      <c r="K3" s="57"/>
      <c r="L3" s="57"/>
      <c r="M3" s="57"/>
      <c r="N3" s="57"/>
      <c r="O3" s="57"/>
      <c r="P3" s="57"/>
    </row>
    <row r="4" spans="1:17" ht="20.100000000000001" customHeight="1" x14ac:dyDescent="0.25">
      <c r="A4" s="43" t="str">
        <f>HYPERLINK("#'Overview'!A1", "Overview")</f>
        <v>Overview</v>
      </c>
    </row>
    <row r="5" spans="1:17" ht="20.100000000000001" customHeight="1" x14ac:dyDescent="0.25">
      <c r="A5" s="13" t="str">
        <f>HYPERLINK("#'Results'!A1", "Results")</f>
        <v>Results</v>
      </c>
      <c r="D5" s="41" t="s">
        <v>83</v>
      </c>
      <c r="E5" s="37"/>
      <c r="F5" s="37"/>
      <c r="G5" s="37"/>
      <c r="H5" s="37"/>
      <c r="I5" s="37"/>
      <c r="J5" s="37"/>
      <c r="K5" s="37"/>
      <c r="L5" s="37"/>
      <c r="M5" s="37"/>
      <c r="N5" s="37"/>
      <c r="O5" s="34"/>
    </row>
    <row r="6" spans="1:17" ht="20.100000000000001" customHeight="1" x14ac:dyDescent="0.25">
      <c r="A6" s="12"/>
      <c r="D6" s="58" t="s">
        <v>84</v>
      </c>
      <c r="E6" s="36"/>
      <c r="F6" s="36"/>
      <c r="G6" s="36"/>
      <c r="H6" s="36"/>
      <c r="I6" s="36"/>
      <c r="J6" s="36"/>
      <c r="K6" s="36"/>
      <c r="L6" s="36"/>
      <c r="M6" s="36"/>
      <c r="N6" s="36"/>
      <c r="O6" s="35"/>
    </row>
    <row r="7" spans="1:17" ht="20.100000000000001" customHeight="1" x14ac:dyDescent="0.25">
      <c r="A7" s="16" t="s">
        <v>1</v>
      </c>
    </row>
    <row r="8" spans="1:17" ht="20.100000000000001" customHeight="1" x14ac:dyDescent="0.25">
      <c r="A8" s="13" t="str">
        <f>HYPERLINK("#'Input - Solid waste'!A1", "Solid waste")</f>
        <v>Solid waste</v>
      </c>
    </row>
    <row r="9" spans="1:17" ht="20.100000000000001" customHeight="1" x14ac:dyDescent="0.25">
      <c r="A9" s="13"/>
    </row>
    <row r="10" spans="1:17" ht="20.100000000000001" customHeight="1" x14ac:dyDescent="0.25">
      <c r="A10" s="15" t="s">
        <v>45</v>
      </c>
    </row>
    <row r="11" spans="1:17" ht="20.100000000000001" customHeight="1" x14ac:dyDescent="0.25">
      <c r="A11" s="13" t="str">
        <f>HYPERLINK("#'10.1.1-2 Solid waste treatment'!A1", "10.1.1-2 Solid waste treatment")</f>
        <v>10.1.1-2 Solid waste treatment</v>
      </c>
    </row>
    <row r="12" spans="1:17" ht="20.100000000000001" customHeight="1" x14ac:dyDescent="0.25">
      <c r="A12" s="13"/>
    </row>
    <row r="13" spans="1:17" ht="20.100000000000001" customHeight="1" x14ac:dyDescent="0.25">
      <c r="A13" s="14" t="s">
        <v>2</v>
      </c>
    </row>
    <row r="14" spans="1:17" ht="20.100000000000001" customHeight="1" x14ac:dyDescent="0.25">
      <c r="A14" s="13" t="str">
        <f>HYPERLINK("#'Constants - Solid waste'!A1", "Constants - Solid waste")</f>
        <v>Constants - Solid waste</v>
      </c>
      <c r="O14" s="1" t="s">
        <v>85</v>
      </c>
    </row>
    <row r="15" spans="1:17" ht="20.100000000000001" customHeight="1" x14ac:dyDescent="0.25">
      <c r="A15" s="13" t="str">
        <f>HYPERLINK("#'Constants - Common'!A1", "Constants - Common")</f>
        <v>Constants - Common</v>
      </c>
    </row>
    <row r="16" spans="1:17" ht="20.100000000000001" customHeight="1" x14ac:dyDescent="0.25"/>
    <row r="17" spans="1:1" ht="20.100000000000001" customHeight="1" x14ac:dyDescent="0.25"/>
    <row r="18" spans="1:1" ht="20.100000000000001" customHeight="1" x14ac:dyDescent="0.25"/>
    <row r="19" spans="1:1" ht="20.100000000000001" customHeight="1" x14ac:dyDescent="0.25"/>
    <row r="20" spans="1:1" ht="20.100000000000001" customHeight="1" x14ac:dyDescent="0.25"/>
    <row r="21" spans="1:1" ht="20.100000000000001" customHeight="1" x14ac:dyDescent="0.25"/>
    <row r="22" spans="1:1" ht="20.100000000000001" customHeight="1" x14ac:dyDescent="0.25"/>
    <row r="23" spans="1:1" ht="20.100000000000001" customHeight="1" x14ac:dyDescent="0.25">
      <c r="A23" s="13"/>
    </row>
    <row r="24" spans="1:1" ht="20.100000000000001" customHeight="1" x14ac:dyDescent="0.25"/>
    <row r="25" spans="1:1" ht="20.100000000000001" customHeight="1" x14ac:dyDescent="0.25"/>
    <row r="26" spans="1:1" ht="20.100000000000001" customHeight="1" x14ac:dyDescent="0.25"/>
    <row r="27" spans="1:1" ht="20.100000000000001" customHeight="1" x14ac:dyDescent="0.25"/>
    <row r="28" spans="1:1" ht="20.100000000000001" customHeight="1" x14ac:dyDescent="0.25"/>
    <row r="29" spans="1:1" ht="20.100000000000001" customHeight="1" x14ac:dyDescent="0.25"/>
    <row r="30" spans="1:1" ht="20.100000000000001" customHeight="1" x14ac:dyDescent="0.25"/>
    <row r="31" spans="1:1" ht="20.100000000000001" customHeight="1" x14ac:dyDescent="0.25"/>
    <row r="32" spans="1:1" ht="20.100000000000001" customHeight="1" x14ac:dyDescent="0.25"/>
    <row r="33" spans="12:23" ht="20.100000000000001" customHeight="1" x14ac:dyDescent="0.25"/>
    <row r="34" spans="12:23" ht="20.100000000000001" customHeight="1" x14ac:dyDescent="0.25"/>
    <row r="35" spans="12:23" ht="20.100000000000001" customHeight="1" x14ac:dyDescent="0.25"/>
    <row r="36" spans="12:23" ht="20.100000000000001" customHeight="1" x14ac:dyDescent="0.25"/>
    <row r="37" spans="12:23" ht="20.100000000000001" customHeight="1" x14ac:dyDescent="0.25">
      <c r="L37" s="1" t="s">
        <v>81</v>
      </c>
    </row>
    <row r="38" spans="12:23" ht="20.100000000000001" customHeight="1" x14ac:dyDescent="0.25"/>
    <row r="39" spans="12:23" ht="20.100000000000001" customHeight="1" x14ac:dyDescent="0.25"/>
    <row r="40" spans="12:23" ht="20.100000000000001" customHeight="1" x14ac:dyDescent="0.25"/>
    <row r="41" spans="12:23" ht="20.100000000000001" customHeight="1" x14ac:dyDescent="0.25"/>
    <row r="42" spans="12:23" ht="20.100000000000001" customHeight="1" x14ac:dyDescent="0.25"/>
    <row r="45" spans="12:23" x14ac:dyDescent="0.25">
      <c r="W45" t="s">
        <v>82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H87"/>
  <sheetViews>
    <sheetView showGridLines="0" zoomScaleNormal="100" workbookViewId="0">
      <selection activeCell="D22" sqref="D22"/>
    </sheetView>
  </sheetViews>
  <sheetFormatPr defaultRowHeight="15" x14ac:dyDescent="0.25"/>
  <cols>
    <col min="1" max="1" width="30.7109375" customWidth="1"/>
    <col min="2" max="3" width="2.7109375" customWidth="1"/>
    <col min="4" max="4" width="97.140625" customWidth="1"/>
    <col min="5" max="7" width="30.7109375" customWidth="1"/>
    <col min="8" max="8" width="7.42578125" customWidth="1"/>
    <col min="9" max="23" width="28.7109375" customWidth="1"/>
  </cols>
  <sheetData>
    <row r="1" spans="1:8" ht="30" customHeight="1" x14ac:dyDescent="0.35">
      <c r="A1" s="33" t="e" vm="1">
        <v>#VALUE!</v>
      </c>
      <c r="C1" s="54" t="s">
        <v>131</v>
      </c>
    </row>
    <row r="2" spans="1:8" ht="20.100000000000001" customHeight="1" x14ac:dyDescent="0.25">
      <c r="A2" s="8"/>
      <c r="C2" s="8"/>
    </row>
    <row r="3" spans="1:8" ht="20.100000000000001" customHeight="1" x14ac:dyDescent="0.25">
      <c r="A3" s="13" t="str">
        <f>HYPERLINK("#'Home'!A1", "Home")</f>
        <v>Home</v>
      </c>
      <c r="C3" s="18"/>
      <c r="D3" s="18"/>
      <c r="E3" s="18"/>
      <c r="F3" s="18"/>
      <c r="G3" s="18"/>
      <c r="H3" s="18"/>
    </row>
    <row r="4" spans="1:8" ht="20.100000000000001" customHeight="1" x14ac:dyDescent="0.25">
      <c r="A4" s="13" t="str">
        <f>HYPERLINK("#'Overview'!A1", "Overview")</f>
        <v>Overview</v>
      </c>
      <c r="C4" s="18"/>
      <c r="D4" s="5" t="s">
        <v>3</v>
      </c>
      <c r="E4" s="19"/>
      <c r="F4" s="19"/>
      <c r="G4" s="19"/>
      <c r="H4" s="20"/>
    </row>
    <row r="5" spans="1:8" ht="20.100000000000001" customHeight="1" x14ac:dyDescent="0.3">
      <c r="A5" s="43" t="str">
        <f>HYPERLINK("#'Results'!A1", "Results")</f>
        <v>Results</v>
      </c>
      <c r="C5" s="18"/>
      <c r="D5" s="21"/>
      <c r="E5" s="22"/>
      <c r="F5" s="22"/>
      <c r="G5" s="22"/>
      <c r="H5" s="18"/>
    </row>
    <row r="6" spans="1:8" ht="20.100000000000001" customHeight="1" x14ac:dyDescent="0.25">
      <c r="A6" s="12"/>
      <c r="C6" s="18"/>
      <c r="D6" s="17" t="s">
        <v>80</v>
      </c>
      <c r="E6" s="18"/>
      <c r="F6" s="18"/>
      <c r="G6" s="18"/>
      <c r="H6" s="18"/>
    </row>
    <row r="7" spans="1:8" ht="20.100000000000001" customHeight="1" x14ac:dyDescent="0.25">
      <c r="A7" s="16" t="s">
        <v>1</v>
      </c>
      <c r="C7" s="18"/>
      <c r="D7" s="18"/>
      <c r="E7" s="18"/>
      <c r="F7" s="18"/>
      <c r="G7" s="18"/>
      <c r="H7" s="18"/>
    </row>
    <row r="8" spans="1:8" ht="20.100000000000001" customHeight="1" x14ac:dyDescent="0.25">
      <c r="A8" s="13" t="str">
        <f>HYPERLINK("#'Input - Solid waste'!A1", "Solid waste")</f>
        <v>Solid waste</v>
      </c>
      <c r="C8" s="18"/>
      <c r="D8" s="39" t="s">
        <v>50</v>
      </c>
      <c r="E8" s="39" t="s">
        <v>60</v>
      </c>
      <c r="F8" s="39" t="s">
        <v>61</v>
      </c>
      <c r="G8" s="39" t="s">
        <v>55</v>
      </c>
      <c r="H8" s="18"/>
    </row>
    <row r="9" spans="1:8" ht="20.100000000000001" customHeight="1" x14ac:dyDescent="0.25">
      <c r="A9" s="13"/>
      <c r="C9" s="18"/>
      <c r="D9" s="1" t="s">
        <v>123</v>
      </c>
      <c r="E9" s="53">
        <f>'10.1.1-2 Solid waste treatment'!E151</f>
        <v>438.82805000000002</v>
      </c>
      <c r="F9" s="53">
        <f>E9</f>
        <v>438.82805000000002</v>
      </c>
      <c r="G9" s="30" t="s">
        <v>58</v>
      </c>
      <c r="H9" s="18"/>
    </row>
    <row r="10" spans="1:8" ht="20.100000000000001" customHeight="1" x14ac:dyDescent="0.25">
      <c r="A10" s="15" t="s">
        <v>45</v>
      </c>
      <c r="C10" s="18"/>
      <c r="D10" s="1"/>
      <c r="E10" s="53"/>
      <c r="F10" s="53"/>
      <c r="G10" s="30"/>
      <c r="H10" s="18"/>
    </row>
    <row r="11" spans="1:8" ht="20.100000000000001" customHeight="1" x14ac:dyDescent="0.25">
      <c r="A11" s="13" t="str">
        <f>HYPERLINK("#'10.1.1-2 Solid waste treatment'!A1", "10.1.1-2 Solid waste treatment")</f>
        <v>10.1.1-2 Solid waste treatment</v>
      </c>
      <c r="C11" s="18"/>
      <c r="D11" s="1"/>
      <c r="E11" s="1"/>
      <c r="F11" s="1"/>
      <c r="G11" s="1"/>
      <c r="H11" s="18"/>
    </row>
    <row r="12" spans="1:8" ht="20.100000000000001" customHeight="1" x14ac:dyDescent="0.25">
      <c r="A12" s="13"/>
      <c r="C12" s="18"/>
      <c r="D12" s="39" t="s">
        <v>124</v>
      </c>
      <c r="E12" s="39" t="s">
        <v>60</v>
      </c>
      <c r="F12" s="39" t="s">
        <v>61</v>
      </c>
      <c r="G12" s="39" t="s">
        <v>55</v>
      </c>
      <c r="H12" s="18"/>
    </row>
    <row r="13" spans="1:8" ht="20.100000000000001" customHeight="1" x14ac:dyDescent="0.25">
      <c r="A13" s="14" t="s">
        <v>2</v>
      </c>
      <c r="C13" s="18"/>
      <c r="D13" s="1" t="s">
        <v>123</v>
      </c>
      <c r="E13" s="53">
        <f>'10.1.1-2 Solid waste treatment'!E192</f>
        <v>441.15000000000003</v>
      </c>
      <c r="F13" s="53">
        <f>E13</f>
        <v>441.15000000000003</v>
      </c>
      <c r="G13" s="30" t="s">
        <v>58</v>
      </c>
      <c r="H13" s="18"/>
    </row>
    <row r="14" spans="1:8" ht="20.100000000000001" customHeight="1" x14ac:dyDescent="0.25">
      <c r="A14" s="13" t="str">
        <f>HYPERLINK("#'Constants - Solid waste'!A1", "Constants - Solid waste")</f>
        <v>Constants - Solid waste</v>
      </c>
      <c r="C14" s="18"/>
      <c r="D14" s="1"/>
      <c r="E14" s="40"/>
      <c r="F14" s="30"/>
      <c r="G14" s="1"/>
      <c r="H14" s="18"/>
    </row>
    <row r="15" spans="1:8" ht="20.100000000000001" customHeight="1" x14ac:dyDescent="0.25">
      <c r="A15" s="13" t="str">
        <f>HYPERLINK("#'Constants - Common'!A1", "Constants - Common")</f>
        <v>Constants - Common</v>
      </c>
      <c r="C15" s="18"/>
      <c r="D15" s="1"/>
      <c r="E15" s="40"/>
      <c r="F15" s="30"/>
      <c r="G15" s="1"/>
      <c r="H15" s="18"/>
    </row>
    <row r="16" spans="1:8" ht="20.100000000000001" customHeight="1" x14ac:dyDescent="0.25">
      <c r="C16" s="18"/>
      <c r="D16" s="1"/>
      <c r="E16" s="1"/>
      <c r="F16" s="1"/>
      <c r="G16" s="1"/>
      <c r="H16" s="18"/>
    </row>
    <row r="17" spans="1:8" ht="20.100000000000001" customHeight="1" x14ac:dyDescent="0.25">
      <c r="C17" s="18"/>
      <c r="D17" s="1"/>
      <c r="E17" s="1"/>
      <c r="F17" s="1"/>
      <c r="G17" s="1"/>
      <c r="H17" s="18"/>
    </row>
    <row r="18" spans="1:8" ht="20.100000000000001" customHeight="1" x14ac:dyDescent="0.25">
      <c r="C18" s="18"/>
      <c r="D18" s="1"/>
      <c r="E18" s="1"/>
      <c r="F18" s="1"/>
      <c r="G18" s="1"/>
      <c r="H18" s="18"/>
    </row>
    <row r="19" spans="1:8" ht="20.100000000000001" customHeight="1" x14ac:dyDescent="0.25">
      <c r="C19" s="18"/>
      <c r="D19" s="1"/>
      <c r="E19" s="1"/>
      <c r="F19" s="1"/>
      <c r="G19" s="1"/>
      <c r="H19" s="18"/>
    </row>
    <row r="20" spans="1:8" ht="20.100000000000001" customHeight="1" x14ac:dyDescent="0.25">
      <c r="A20" s="13"/>
      <c r="C20" s="18"/>
      <c r="D20" s="1"/>
      <c r="E20" s="1"/>
      <c r="F20" s="1"/>
      <c r="G20" s="1"/>
      <c r="H20" s="18"/>
    </row>
    <row r="21" spans="1:8" ht="20.100000000000001" customHeight="1" x14ac:dyDescent="0.25">
      <c r="A21" s="13"/>
      <c r="C21" s="18"/>
      <c r="D21" s="1"/>
      <c r="E21" s="1"/>
      <c r="F21" s="1"/>
      <c r="G21" s="1"/>
      <c r="H21" s="18"/>
    </row>
    <row r="22" spans="1:8" ht="20.100000000000001" customHeight="1" x14ac:dyDescent="0.25">
      <c r="C22" s="18"/>
      <c r="D22" s="1"/>
      <c r="E22" s="1"/>
      <c r="F22" s="1"/>
      <c r="G22" s="1"/>
      <c r="H22" s="18"/>
    </row>
    <row r="23" spans="1:8" ht="20.100000000000001" customHeight="1" x14ac:dyDescent="0.25">
      <c r="A23" s="13"/>
      <c r="C23" s="18"/>
      <c r="D23" s="1"/>
      <c r="E23" s="1"/>
      <c r="F23" s="1"/>
      <c r="G23" s="1"/>
      <c r="H23" s="18"/>
    </row>
    <row r="24" spans="1:8" ht="20.100000000000001" customHeight="1" x14ac:dyDescent="0.25">
      <c r="C24" s="18"/>
      <c r="D24" s="1"/>
      <c r="E24" s="1"/>
      <c r="F24" s="1"/>
      <c r="G24" s="1"/>
      <c r="H24" s="18"/>
    </row>
    <row r="25" spans="1:8" ht="20.100000000000001" customHeight="1" x14ac:dyDescent="0.25">
      <c r="C25" s="18"/>
      <c r="D25" s="1"/>
      <c r="E25" s="1"/>
      <c r="F25" s="1"/>
      <c r="G25" s="1"/>
      <c r="H25" s="18"/>
    </row>
    <row r="26" spans="1:8" ht="20.100000000000001" customHeight="1" x14ac:dyDescent="0.25">
      <c r="C26" s="18"/>
      <c r="D26" s="1"/>
      <c r="E26" s="1"/>
      <c r="F26" s="1"/>
      <c r="G26" s="1"/>
      <c r="H26" s="18"/>
    </row>
    <row r="27" spans="1:8" ht="20.100000000000001" customHeight="1" x14ac:dyDescent="0.25">
      <c r="C27" s="18"/>
      <c r="D27" s="1"/>
      <c r="E27" s="1"/>
      <c r="F27" s="1"/>
      <c r="G27" s="1"/>
      <c r="H27" s="18"/>
    </row>
    <row r="28" spans="1:8" ht="20.100000000000001" customHeight="1" x14ac:dyDescent="0.25">
      <c r="C28" s="18"/>
      <c r="D28" s="1"/>
      <c r="E28" s="1"/>
      <c r="F28" s="1"/>
      <c r="G28" s="1"/>
      <c r="H28" s="18"/>
    </row>
    <row r="29" spans="1:8" ht="20.100000000000001" customHeight="1" x14ac:dyDescent="0.25">
      <c r="C29" s="18"/>
      <c r="D29" s="1"/>
      <c r="E29" s="1"/>
      <c r="F29" s="1"/>
      <c r="G29" s="1"/>
      <c r="H29" s="18"/>
    </row>
    <row r="30" spans="1:8" ht="20.100000000000001" customHeight="1" x14ac:dyDescent="0.25">
      <c r="C30" s="18"/>
      <c r="D30" s="1"/>
      <c r="E30" s="1"/>
      <c r="F30" s="1"/>
      <c r="G30" s="1"/>
      <c r="H30" s="18"/>
    </row>
    <row r="31" spans="1:8" ht="20.100000000000001" customHeight="1" x14ac:dyDescent="0.25">
      <c r="C31" s="18"/>
      <c r="D31" s="1"/>
      <c r="E31" s="1"/>
      <c r="F31" s="1"/>
      <c r="G31" s="1"/>
      <c r="H31" s="18"/>
    </row>
    <row r="32" spans="1:8" ht="20.100000000000001" customHeight="1" x14ac:dyDescent="0.25">
      <c r="C32" s="18"/>
      <c r="D32" s="1"/>
      <c r="E32" s="1"/>
      <c r="F32" s="1"/>
      <c r="G32" s="1"/>
      <c r="H32" s="18"/>
    </row>
    <row r="33" spans="3:8" ht="20.100000000000001" customHeight="1" x14ac:dyDescent="0.25">
      <c r="C33" s="18"/>
      <c r="D33" s="1"/>
      <c r="E33" s="1"/>
      <c r="F33" s="1"/>
      <c r="G33" s="1"/>
      <c r="H33" s="18"/>
    </row>
    <row r="34" spans="3:8" ht="20.100000000000001" customHeight="1" x14ac:dyDescent="0.25">
      <c r="C34" s="18"/>
      <c r="D34" s="1"/>
      <c r="E34" s="1"/>
      <c r="F34" s="1"/>
      <c r="G34" s="1"/>
      <c r="H34" s="18"/>
    </row>
    <row r="35" spans="3:8" ht="20.100000000000001" customHeight="1" x14ac:dyDescent="0.25">
      <c r="C35" s="18"/>
      <c r="D35" s="1"/>
      <c r="E35" s="1"/>
      <c r="F35" s="1"/>
      <c r="G35" s="1"/>
      <c r="H35" s="18"/>
    </row>
    <row r="36" spans="3:8" ht="20.100000000000001" customHeight="1" x14ac:dyDescent="0.25">
      <c r="C36" s="18"/>
      <c r="D36" s="1"/>
      <c r="E36" s="1"/>
      <c r="F36" s="1"/>
      <c r="G36" s="1"/>
      <c r="H36" s="18"/>
    </row>
    <row r="37" spans="3:8" ht="20.100000000000001" customHeight="1" x14ac:dyDescent="0.25">
      <c r="C37" s="18"/>
      <c r="D37" s="1"/>
      <c r="E37" s="1"/>
      <c r="F37" s="1"/>
      <c r="G37" s="1"/>
      <c r="H37" s="18"/>
    </row>
    <row r="38" spans="3:8" ht="20.100000000000001" customHeight="1" x14ac:dyDescent="0.25">
      <c r="C38" s="18"/>
      <c r="D38" s="1"/>
      <c r="E38" s="1"/>
      <c r="F38" s="1"/>
      <c r="G38" s="1"/>
      <c r="H38" s="18"/>
    </row>
    <row r="39" spans="3:8" ht="20.100000000000001" customHeight="1" x14ac:dyDescent="0.25">
      <c r="C39" s="18"/>
      <c r="D39" s="1"/>
      <c r="E39" s="1"/>
      <c r="F39" s="1"/>
      <c r="G39" s="1"/>
      <c r="H39" s="18"/>
    </row>
    <row r="40" spans="3:8" ht="20.100000000000001" customHeight="1" x14ac:dyDescent="0.25">
      <c r="C40" s="18"/>
      <c r="D40" s="1"/>
      <c r="E40" s="1"/>
      <c r="F40" s="1"/>
      <c r="G40" s="1"/>
      <c r="H40" s="18"/>
    </row>
    <row r="41" spans="3:8" ht="20.100000000000001" customHeight="1" x14ac:dyDescent="0.25">
      <c r="C41" s="18"/>
      <c r="D41" s="1"/>
      <c r="E41" s="1"/>
      <c r="F41" s="1"/>
      <c r="G41" s="1"/>
      <c r="H41" s="18"/>
    </row>
    <row r="42" spans="3:8" ht="20.100000000000001" customHeight="1" x14ac:dyDescent="0.25">
      <c r="C42" s="18"/>
      <c r="D42" s="1"/>
      <c r="E42" s="1"/>
      <c r="F42" s="1"/>
      <c r="G42" s="1"/>
      <c r="H42" s="18"/>
    </row>
    <row r="43" spans="3:8" ht="20.100000000000001" customHeight="1" x14ac:dyDescent="0.25">
      <c r="C43" s="18"/>
      <c r="D43" s="1"/>
      <c r="E43" s="1"/>
      <c r="F43" s="1"/>
      <c r="G43" s="1"/>
      <c r="H43" s="18"/>
    </row>
    <row r="44" spans="3:8" ht="20.100000000000001" customHeight="1" x14ac:dyDescent="0.25">
      <c r="C44" s="18"/>
      <c r="D44" s="1"/>
      <c r="E44" s="1"/>
      <c r="F44" s="1"/>
      <c r="G44" s="1"/>
      <c r="H44" s="18"/>
    </row>
    <row r="45" spans="3:8" ht="20.100000000000001" customHeight="1" x14ac:dyDescent="0.25">
      <c r="C45" s="18"/>
      <c r="D45" s="1"/>
      <c r="E45" s="1"/>
      <c r="F45" s="1"/>
      <c r="G45" s="1"/>
      <c r="H45" s="18"/>
    </row>
    <row r="46" spans="3:8" ht="20.100000000000001" customHeight="1" x14ac:dyDescent="0.25">
      <c r="C46" s="18"/>
      <c r="D46" s="1"/>
      <c r="E46" s="1"/>
      <c r="F46" s="1"/>
      <c r="G46" s="1"/>
      <c r="H46" s="18"/>
    </row>
    <row r="47" spans="3:8" ht="20.100000000000001" customHeight="1" x14ac:dyDescent="0.25">
      <c r="C47" s="18"/>
      <c r="D47" s="1"/>
      <c r="E47" s="1"/>
      <c r="F47" s="1"/>
      <c r="G47" s="1"/>
      <c r="H47" s="18"/>
    </row>
    <row r="48" spans="3:8" ht="20.100000000000001" customHeight="1" x14ac:dyDescent="0.25">
      <c r="C48" s="18"/>
      <c r="D48" s="1"/>
      <c r="E48" s="1"/>
      <c r="F48" s="1"/>
      <c r="G48" s="1"/>
      <c r="H48" s="18"/>
    </row>
    <row r="49" spans="3:8" ht="20.100000000000001" customHeight="1" x14ac:dyDescent="0.25">
      <c r="C49" s="18"/>
      <c r="D49" s="1"/>
      <c r="E49" s="1"/>
      <c r="F49" s="1"/>
      <c r="G49" s="1"/>
      <c r="H49" s="18"/>
    </row>
    <row r="50" spans="3:8" ht="20.100000000000001" customHeight="1" x14ac:dyDescent="0.25">
      <c r="C50" s="18"/>
      <c r="D50" s="1"/>
      <c r="E50" s="1"/>
      <c r="F50" s="1"/>
      <c r="G50" s="1"/>
      <c r="H50" s="18"/>
    </row>
    <row r="51" spans="3:8" ht="20.100000000000001" customHeight="1" x14ac:dyDescent="0.25">
      <c r="C51" s="18"/>
      <c r="D51" s="1"/>
      <c r="E51" s="1"/>
      <c r="F51" s="1"/>
      <c r="G51" s="1"/>
      <c r="H51" s="18"/>
    </row>
    <row r="52" spans="3:8" ht="20.100000000000001" customHeight="1" x14ac:dyDescent="0.25">
      <c r="C52" s="18"/>
      <c r="D52" s="1"/>
      <c r="E52" s="1"/>
      <c r="F52" s="1"/>
      <c r="G52" s="1"/>
      <c r="H52" s="18"/>
    </row>
    <row r="53" spans="3:8" ht="20.100000000000001" customHeight="1" x14ac:dyDescent="0.25">
      <c r="C53" s="18"/>
      <c r="D53" s="1"/>
      <c r="E53" s="1"/>
      <c r="F53" s="1"/>
      <c r="G53" s="1"/>
      <c r="H53" s="18"/>
    </row>
    <row r="54" spans="3:8" ht="20.100000000000001" customHeight="1" x14ac:dyDescent="0.25">
      <c r="C54" s="18"/>
      <c r="D54" s="1"/>
      <c r="E54" s="1"/>
      <c r="F54" s="1"/>
      <c r="G54" s="1"/>
      <c r="H54" s="18"/>
    </row>
    <row r="55" spans="3:8" ht="20.100000000000001" customHeight="1" x14ac:dyDescent="0.25">
      <c r="C55" s="18"/>
      <c r="D55" s="1"/>
      <c r="E55" s="1"/>
      <c r="F55" s="1"/>
      <c r="G55" s="1"/>
      <c r="H55" s="18"/>
    </row>
    <row r="56" spans="3:8" ht="20.100000000000001" customHeight="1" x14ac:dyDescent="0.25">
      <c r="C56" s="18"/>
      <c r="D56" s="1"/>
      <c r="E56" s="1"/>
      <c r="F56" s="1"/>
      <c r="G56" s="1"/>
      <c r="H56" s="18"/>
    </row>
    <row r="57" spans="3:8" ht="20.100000000000001" customHeight="1" x14ac:dyDescent="0.25">
      <c r="C57" s="18"/>
      <c r="D57" s="1"/>
      <c r="E57" s="1"/>
      <c r="F57" s="1"/>
      <c r="G57" s="1"/>
      <c r="H57" s="18"/>
    </row>
    <row r="58" spans="3:8" ht="20.100000000000001" customHeight="1" x14ac:dyDescent="0.25">
      <c r="C58" s="18"/>
      <c r="D58" s="1"/>
      <c r="E58" s="24"/>
      <c r="F58" s="23"/>
      <c r="G58" s="18"/>
      <c r="H58" s="18"/>
    </row>
    <row r="59" spans="3:8" ht="20.100000000000001" customHeight="1" x14ac:dyDescent="0.25">
      <c r="C59" s="18"/>
      <c r="D59" s="1"/>
      <c r="E59" s="1"/>
      <c r="F59" s="1"/>
      <c r="G59" s="1"/>
      <c r="H59" s="18"/>
    </row>
    <row r="60" spans="3:8" ht="20.100000000000001" customHeight="1" x14ac:dyDescent="0.25">
      <c r="C60" s="18"/>
      <c r="D60" s="1"/>
      <c r="E60" s="1"/>
      <c r="F60" s="1"/>
      <c r="G60" s="1"/>
      <c r="H60" s="18"/>
    </row>
    <row r="61" spans="3:8" ht="20.100000000000001" customHeight="1" x14ac:dyDescent="0.25">
      <c r="C61" s="18"/>
      <c r="D61" s="1"/>
      <c r="E61" s="1"/>
      <c r="F61" s="1"/>
      <c r="G61" s="1"/>
      <c r="H61" s="18"/>
    </row>
    <row r="62" spans="3:8" ht="20.100000000000001" customHeight="1" x14ac:dyDescent="0.25">
      <c r="C62" s="18"/>
      <c r="D62" s="1"/>
      <c r="E62" s="1"/>
      <c r="F62" s="1"/>
      <c r="G62" s="1"/>
      <c r="H62" s="18"/>
    </row>
    <row r="63" spans="3:8" ht="20.100000000000001" customHeight="1" x14ac:dyDescent="0.25">
      <c r="C63" s="18"/>
      <c r="D63" s="1"/>
      <c r="E63" s="1"/>
      <c r="F63" s="1"/>
      <c r="G63" s="1"/>
      <c r="H63" s="18"/>
    </row>
    <row r="64" spans="3:8" ht="20.100000000000001" customHeight="1" x14ac:dyDescent="0.25">
      <c r="C64" s="18"/>
      <c r="D64" s="1"/>
      <c r="E64" s="1"/>
      <c r="F64" s="1"/>
      <c r="G64" s="1"/>
      <c r="H64" s="18"/>
    </row>
    <row r="65" spans="3:8" ht="20.100000000000001" customHeight="1" x14ac:dyDescent="0.25">
      <c r="C65" s="18"/>
      <c r="D65" s="1"/>
      <c r="E65" s="1"/>
      <c r="F65" s="1"/>
      <c r="G65" s="1"/>
      <c r="H65" s="18"/>
    </row>
    <row r="66" spans="3:8" ht="20.100000000000001" customHeight="1" x14ac:dyDescent="0.25">
      <c r="C66" s="18"/>
      <c r="D66" s="1"/>
      <c r="E66" s="1"/>
      <c r="F66" s="1"/>
      <c r="G66" s="1"/>
      <c r="H66" s="18"/>
    </row>
    <row r="67" spans="3:8" ht="20.100000000000001" customHeight="1" x14ac:dyDescent="0.25">
      <c r="C67" s="18"/>
      <c r="D67" s="1"/>
      <c r="E67" s="1"/>
      <c r="F67" s="1"/>
      <c r="G67" s="1"/>
      <c r="H67" s="18"/>
    </row>
    <row r="68" spans="3:8" ht="20.100000000000001" customHeight="1" x14ac:dyDescent="0.25">
      <c r="C68" s="18"/>
      <c r="D68" s="1"/>
      <c r="E68" s="1"/>
      <c r="F68" s="1"/>
      <c r="G68" s="1"/>
      <c r="H68" s="18"/>
    </row>
    <row r="69" spans="3:8" ht="20.100000000000001" customHeight="1" x14ac:dyDescent="0.25">
      <c r="C69" s="18"/>
      <c r="D69" s="1"/>
      <c r="E69" s="1"/>
      <c r="F69" s="1"/>
      <c r="G69" s="1"/>
      <c r="H69" s="18"/>
    </row>
    <row r="70" spans="3:8" ht="20.100000000000001" customHeight="1" x14ac:dyDescent="0.25">
      <c r="C70" s="18"/>
      <c r="D70" s="1"/>
      <c r="E70" s="1"/>
      <c r="F70" s="1"/>
      <c r="G70" s="1"/>
      <c r="H70" s="18"/>
    </row>
    <row r="71" spans="3:8" ht="20.100000000000001" customHeight="1" x14ac:dyDescent="0.25">
      <c r="C71" s="18"/>
      <c r="D71" s="1"/>
      <c r="E71" s="1"/>
      <c r="F71" s="1"/>
      <c r="G71" s="1"/>
      <c r="H71" s="18"/>
    </row>
    <row r="72" spans="3:8" ht="20.100000000000001" customHeight="1" x14ac:dyDescent="0.25">
      <c r="C72" s="18"/>
      <c r="D72" s="1"/>
      <c r="E72" s="1"/>
      <c r="F72" s="1"/>
      <c r="G72" s="1"/>
      <c r="H72" s="18"/>
    </row>
    <row r="73" spans="3:8" ht="20.100000000000001" customHeight="1" x14ac:dyDescent="0.25">
      <c r="C73" s="18"/>
      <c r="D73" s="1"/>
      <c r="E73" s="1"/>
      <c r="F73" s="1"/>
      <c r="G73" s="1"/>
      <c r="H73" s="18"/>
    </row>
    <row r="74" spans="3:8" ht="20.100000000000001" customHeight="1" x14ac:dyDescent="0.25">
      <c r="C74" s="18"/>
      <c r="D74" s="1"/>
      <c r="E74" s="1"/>
      <c r="F74" s="1"/>
      <c r="G74" s="1"/>
      <c r="H74" s="18"/>
    </row>
    <row r="75" spans="3:8" ht="20.100000000000001" customHeight="1" x14ac:dyDescent="0.25">
      <c r="C75" s="18"/>
      <c r="D75" s="1"/>
      <c r="E75" s="1"/>
      <c r="F75" s="1"/>
      <c r="G75" s="1"/>
      <c r="H75" s="18"/>
    </row>
    <row r="76" spans="3:8" ht="15.75" x14ac:dyDescent="0.25">
      <c r="C76" s="18"/>
      <c r="D76" s="1"/>
      <c r="E76" s="1"/>
      <c r="F76" s="1"/>
      <c r="G76" s="1"/>
      <c r="H76" s="18"/>
    </row>
    <row r="77" spans="3:8" ht="15.75" x14ac:dyDescent="0.25">
      <c r="C77" s="18"/>
      <c r="D77" s="1"/>
      <c r="E77" s="1"/>
      <c r="F77" s="1"/>
      <c r="G77" s="1"/>
      <c r="H77" s="18"/>
    </row>
    <row r="78" spans="3:8" ht="15.75" x14ac:dyDescent="0.25">
      <c r="C78" s="18"/>
      <c r="D78" s="1"/>
      <c r="E78" s="1"/>
      <c r="F78" s="1"/>
      <c r="G78" s="1"/>
      <c r="H78" s="18"/>
    </row>
    <row r="79" spans="3:8" ht="15.75" x14ac:dyDescent="0.25">
      <c r="C79" s="18"/>
      <c r="D79" s="1"/>
      <c r="E79" s="1"/>
      <c r="F79" s="1"/>
      <c r="G79" s="1"/>
      <c r="H79" s="18"/>
    </row>
    <row r="80" spans="3:8" ht="15.75" x14ac:dyDescent="0.25">
      <c r="C80" s="18"/>
      <c r="D80" s="1"/>
      <c r="E80" s="1"/>
      <c r="F80" s="1"/>
      <c r="G80" s="1"/>
      <c r="H80" s="18"/>
    </row>
    <row r="81" spans="3:8" ht="15.75" x14ac:dyDescent="0.25">
      <c r="C81" s="18"/>
      <c r="D81" s="1"/>
      <c r="E81" s="1"/>
      <c r="F81" s="1"/>
      <c r="G81" s="1"/>
      <c r="H81" s="18"/>
    </row>
    <row r="82" spans="3:8" ht="15.75" x14ac:dyDescent="0.25">
      <c r="C82" s="18"/>
      <c r="D82" s="1"/>
      <c r="E82" s="1"/>
      <c r="F82" s="1"/>
      <c r="G82" s="1"/>
      <c r="H82" s="18"/>
    </row>
    <row r="83" spans="3:8" ht="15.75" x14ac:dyDescent="0.25">
      <c r="C83" s="18"/>
      <c r="D83" s="1"/>
      <c r="E83" s="1"/>
      <c r="F83" s="1"/>
      <c r="G83" s="1"/>
      <c r="H83" s="18"/>
    </row>
    <row r="84" spans="3:8" ht="15.75" x14ac:dyDescent="0.25">
      <c r="C84" s="18"/>
      <c r="D84" s="1"/>
      <c r="E84" s="1"/>
      <c r="F84" s="1"/>
      <c r="G84" s="1"/>
      <c r="H84" s="18"/>
    </row>
    <row r="85" spans="3:8" ht="15.75" x14ac:dyDescent="0.25">
      <c r="C85" s="18"/>
      <c r="D85" s="1"/>
      <c r="E85" s="1"/>
      <c r="F85" s="1"/>
      <c r="G85" s="1"/>
      <c r="H85" s="18"/>
    </row>
    <row r="86" spans="3:8" x14ac:dyDescent="0.25">
      <c r="C86" s="18"/>
      <c r="D86" s="18"/>
      <c r="E86" s="18"/>
      <c r="F86" s="18"/>
      <c r="G86" s="18"/>
      <c r="H86" s="18"/>
    </row>
    <row r="87" spans="3:8" x14ac:dyDescent="0.25">
      <c r="C87" s="18"/>
      <c r="D87" s="18"/>
      <c r="E87" s="18"/>
      <c r="F87" s="18"/>
      <c r="G87" s="18"/>
      <c r="H87" s="18"/>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L385"/>
  <sheetViews>
    <sheetView showGridLines="0" topLeftCell="A2" zoomScaleNormal="100" workbookViewId="0">
      <selection activeCell="D11" sqref="D11:I32"/>
    </sheetView>
  </sheetViews>
  <sheetFormatPr defaultRowHeight="15.75" x14ac:dyDescent="0.25"/>
  <cols>
    <col min="1" max="1" width="30.7109375" customWidth="1"/>
    <col min="2" max="2" width="4.7109375" customWidth="1"/>
    <col min="3" max="3" width="4.7109375" style="1" customWidth="1"/>
    <col min="4" max="4" width="66.7109375" style="1" customWidth="1"/>
    <col min="5" max="5" width="47" style="1" customWidth="1"/>
    <col min="6" max="6" width="67.7109375" style="1" customWidth="1"/>
    <col min="7" max="7" width="30.85546875" style="1" customWidth="1"/>
    <col min="8" max="8" width="24.85546875" style="1" customWidth="1"/>
    <col min="9" max="9" width="29.7109375" style="1" customWidth="1"/>
    <col min="10" max="10" width="4.7109375" style="1" customWidth="1"/>
    <col min="11" max="11" width="4.7109375" customWidth="1"/>
  </cols>
  <sheetData>
    <row r="1" spans="1:10" s="33" customFormat="1" ht="30" customHeight="1" x14ac:dyDescent="0.35">
      <c r="A1" s="33" t="e" vm="1">
        <v>#VALUE!</v>
      </c>
      <c r="C1" s="33" t="s">
        <v>99</v>
      </c>
    </row>
    <row r="2" spans="1:10" s="8" customFormat="1" ht="20.100000000000001" customHeight="1" x14ac:dyDescent="0.25"/>
    <row r="3" spans="1:10" ht="20.100000000000001" customHeight="1" x14ac:dyDescent="0.25">
      <c r="A3" s="13" t="str">
        <f>HYPERLINK("#'Home'!A1", "Home")</f>
        <v>Home</v>
      </c>
      <c r="C3" s="11"/>
      <c r="D3" s="11"/>
      <c r="E3" s="11"/>
      <c r="F3" s="11"/>
      <c r="G3" s="11"/>
      <c r="H3" s="11"/>
      <c r="I3" s="11"/>
      <c r="J3" s="11"/>
    </row>
    <row r="4" spans="1:10" ht="20.100000000000001" customHeight="1" x14ac:dyDescent="0.25">
      <c r="A4" s="13" t="str">
        <f>HYPERLINK("#'Overview'!A1", "Overview")</f>
        <v>Overview</v>
      </c>
    </row>
    <row r="5" spans="1:10" ht="20.100000000000001" customHeight="1" x14ac:dyDescent="0.25">
      <c r="A5" s="13" t="str">
        <f>HYPERLINK("#'Results'!A1", "Results")</f>
        <v>Results</v>
      </c>
      <c r="D5" s="5" t="s">
        <v>113</v>
      </c>
    </row>
    <row r="6" spans="1:10" ht="20.100000000000001" customHeight="1" x14ac:dyDescent="0.25">
      <c r="A6" s="12"/>
    </row>
    <row r="7" spans="1:10" ht="20.100000000000001" customHeight="1" x14ac:dyDescent="0.25">
      <c r="A7" s="16" t="s">
        <v>1</v>
      </c>
      <c r="D7" s="60" t="s">
        <v>87</v>
      </c>
      <c r="E7" s="61"/>
    </row>
    <row r="8" spans="1:10" ht="20.100000000000001" customHeight="1" x14ac:dyDescent="0.25">
      <c r="A8" s="42" t="str">
        <f>HYPERLINK("#'Input - Solid waste'!A1", "Solid waste")</f>
        <v>Solid waste</v>
      </c>
    </row>
    <row r="9" spans="1:10" ht="20.100000000000001" customHeight="1" x14ac:dyDescent="0.25">
      <c r="A9" s="13"/>
      <c r="D9" s="67" t="s">
        <v>86</v>
      </c>
      <c r="E9" s="67" t="s">
        <v>104</v>
      </c>
      <c r="F9" s="67" t="s">
        <v>103</v>
      </c>
      <c r="G9" s="67" t="s">
        <v>102</v>
      </c>
      <c r="H9" s="67" t="s">
        <v>105</v>
      </c>
      <c r="I9" s="67" t="s">
        <v>101</v>
      </c>
    </row>
    <row r="10" spans="1:10" ht="20.100000000000001" customHeight="1" x14ac:dyDescent="0.25">
      <c r="A10" s="15" t="s">
        <v>45</v>
      </c>
      <c r="D10" s="26" t="s">
        <v>148</v>
      </c>
      <c r="E10" s="27" t="s">
        <v>132</v>
      </c>
      <c r="F10" s="27" t="s">
        <v>116</v>
      </c>
      <c r="G10" s="27" t="s">
        <v>111</v>
      </c>
      <c r="H10" s="75">
        <v>50</v>
      </c>
      <c r="I10" s="27" t="s">
        <v>100</v>
      </c>
    </row>
    <row r="11" spans="1:10" ht="20.100000000000001" customHeight="1" x14ac:dyDescent="0.25">
      <c r="A11" s="13" t="str">
        <f>HYPERLINK("#'10.1.1-2 Solid waste treatment'!A1", "10.1.1-2 Solid waste treatment")</f>
        <v>10.1.1-2 Solid waste treatment</v>
      </c>
      <c r="D11" s="26" t="s">
        <v>149</v>
      </c>
      <c r="E11" s="27" t="s">
        <v>132</v>
      </c>
      <c r="F11" s="27" t="s">
        <v>116</v>
      </c>
      <c r="G11" s="27" t="s">
        <v>114</v>
      </c>
      <c r="H11" s="75">
        <v>50</v>
      </c>
      <c r="I11" s="27" t="s">
        <v>112</v>
      </c>
    </row>
    <row r="12" spans="1:10" ht="20.100000000000001" customHeight="1" x14ac:dyDescent="0.25">
      <c r="A12" s="13"/>
      <c r="D12" s="26" t="s">
        <v>147</v>
      </c>
      <c r="E12" s="27" t="s">
        <v>132</v>
      </c>
      <c r="F12" s="27" t="s">
        <v>122</v>
      </c>
      <c r="G12" s="27" t="s">
        <v>111</v>
      </c>
      <c r="H12" s="75">
        <v>50</v>
      </c>
      <c r="I12" s="27" t="s">
        <v>100</v>
      </c>
    </row>
    <row r="13" spans="1:10" ht="20.100000000000001" customHeight="1" x14ac:dyDescent="0.25">
      <c r="A13" s="14" t="s">
        <v>2</v>
      </c>
      <c r="D13" s="26" t="s">
        <v>146</v>
      </c>
      <c r="E13" s="27" t="s">
        <v>132</v>
      </c>
      <c r="F13" s="27" t="s">
        <v>122</v>
      </c>
      <c r="G13" s="27" t="s">
        <v>114</v>
      </c>
      <c r="H13" s="75">
        <v>50</v>
      </c>
      <c r="I13" s="27" t="s">
        <v>112</v>
      </c>
    </row>
    <row r="14" spans="1:10" ht="20.100000000000001" customHeight="1" x14ac:dyDescent="0.25">
      <c r="A14" s="13" t="str">
        <f>HYPERLINK("#'Constants - Solid waste'!A1", "Constants - Solid waste")</f>
        <v>Constants - Solid waste</v>
      </c>
      <c r="D14" s="26" t="s">
        <v>135</v>
      </c>
      <c r="E14" s="27" t="s">
        <v>106</v>
      </c>
      <c r="F14" s="27" t="s">
        <v>122</v>
      </c>
      <c r="G14" s="27" t="s">
        <v>111</v>
      </c>
      <c r="H14" s="75">
        <v>50</v>
      </c>
      <c r="I14" s="27" t="s">
        <v>100</v>
      </c>
    </row>
    <row r="15" spans="1:10" ht="20.100000000000001" customHeight="1" x14ac:dyDescent="0.25">
      <c r="A15" s="13" t="str">
        <f>HYPERLINK("#'Constants - Common'!A1", "Constants - Common")</f>
        <v>Constants - Common</v>
      </c>
      <c r="D15" s="26" t="s">
        <v>136</v>
      </c>
      <c r="E15" s="27" t="s">
        <v>106</v>
      </c>
      <c r="F15" s="27" t="s">
        <v>122</v>
      </c>
      <c r="G15" s="27" t="s">
        <v>111</v>
      </c>
      <c r="H15" s="75">
        <v>50</v>
      </c>
      <c r="I15" s="27" t="s">
        <v>112</v>
      </c>
    </row>
    <row r="16" spans="1:10" ht="20.100000000000001" customHeight="1" x14ac:dyDescent="0.25">
      <c r="D16" s="26" t="s">
        <v>133</v>
      </c>
      <c r="E16" s="27" t="s">
        <v>106</v>
      </c>
      <c r="F16" s="27" t="s">
        <v>122</v>
      </c>
      <c r="G16" s="27" t="s">
        <v>114</v>
      </c>
      <c r="H16" s="75">
        <v>50</v>
      </c>
      <c r="I16" s="27" t="s">
        <v>100</v>
      </c>
    </row>
    <row r="17" spans="1:11" ht="20.100000000000001" customHeight="1" x14ac:dyDescent="0.25">
      <c r="D17" s="26" t="s">
        <v>134</v>
      </c>
      <c r="E17" s="27" t="s">
        <v>106</v>
      </c>
      <c r="F17" s="27" t="s">
        <v>122</v>
      </c>
      <c r="G17" s="27" t="s">
        <v>114</v>
      </c>
      <c r="H17" s="75">
        <v>50</v>
      </c>
      <c r="I17" s="27" t="s">
        <v>112</v>
      </c>
    </row>
    <row r="18" spans="1:11" ht="20.100000000000001" customHeight="1" x14ac:dyDescent="0.25">
      <c r="D18" s="26" t="s">
        <v>137</v>
      </c>
      <c r="E18" s="27" t="s">
        <v>106</v>
      </c>
      <c r="F18" s="27" t="s">
        <v>116</v>
      </c>
      <c r="G18" s="27" t="s">
        <v>111</v>
      </c>
      <c r="H18" s="75">
        <v>50</v>
      </c>
      <c r="I18" s="27" t="s">
        <v>100</v>
      </c>
    </row>
    <row r="19" spans="1:11" ht="20.100000000000001" customHeight="1" x14ac:dyDescent="0.25">
      <c r="D19" s="26" t="s">
        <v>138</v>
      </c>
      <c r="E19" s="27" t="s">
        <v>106</v>
      </c>
      <c r="F19" s="27" t="s">
        <v>116</v>
      </c>
      <c r="G19" s="27" t="s">
        <v>111</v>
      </c>
      <c r="H19" s="75">
        <v>50</v>
      </c>
      <c r="I19" s="27" t="s">
        <v>112</v>
      </c>
    </row>
    <row r="20" spans="1:11" ht="20.100000000000001" customHeight="1" x14ac:dyDescent="0.25">
      <c r="A20" s="13"/>
      <c r="D20" s="26" t="s">
        <v>139</v>
      </c>
      <c r="E20" s="27" t="s">
        <v>106</v>
      </c>
      <c r="F20" s="27" t="s">
        <v>116</v>
      </c>
      <c r="G20" s="27" t="s">
        <v>114</v>
      </c>
      <c r="H20" s="75">
        <v>50</v>
      </c>
      <c r="I20" s="27" t="s">
        <v>100</v>
      </c>
    </row>
    <row r="21" spans="1:11" ht="20.100000000000001" customHeight="1" x14ac:dyDescent="0.25">
      <c r="A21" s="13"/>
      <c r="D21" s="26" t="s">
        <v>140</v>
      </c>
      <c r="E21" s="27" t="s">
        <v>106</v>
      </c>
      <c r="F21" s="27" t="s">
        <v>116</v>
      </c>
      <c r="G21" s="27" t="s">
        <v>114</v>
      </c>
      <c r="H21" s="75">
        <v>50</v>
      </c>
      <c r="I21" s="27" t="s">
        <v>112</v>
      </c>
    </row>
    <row r="22" spans="1:11" ht="20.100000000000001" customHeight="1" x14ac:dyDescent="0.25">
      <c r="D22" s="26" t="s">
        <v>141</v>
      </c>
      <c r="E22" s="27" t="s">
        <v>106</v>
      </c>
      <c r="F22" s="27" t="s">
        <v>145</v>
      </c>
      <c r="G22" s="27" t="s">
        <v>111</v>
      </c>
      <c r="H22" s="75">
        <v>50</v>
      </c>
      <c r="I22" s="27" t="s">
        <v>100</v>
      </c>
    </row>
    <row r="23" spans="1:11" ht="20.100000000000001" customHeight="1" x14ac:dyDescent="0.25">
      <c r="A23" s="13"/>
      <c r="D23" s="26" t="s">
        <v>142</v>
      </c>
      <c r="E23" s="27" t="s">
        <v>106</v>
      </c>
      <c r="F23" s="27" t="s">
        <v>145</v>
      </c>
      <c r="G23" s="27" t="s">
        <v>111</v>
      </c>
      <c r="H23" s="75">
        <v>50</v>
      </c>
      <c r="I23" s="27" t="s">
        <v>112</v>
      </c>
    </row>
    <row r="24" spans="1:11" ht="20.100000000000001" customHeight="1" x14ac:dyDescent="0.25">
      <c r="D24" s="26" t="s">
        <v>143</v>
      </c>
      <c r="E24" s="27" t="s">
        <v>106</v>
      </c>
      <c r="F24" s="27" t="s">
        <v>145</v>
      </c>
      <c r="G24" s="27" t="s">
        <v>114</v>
      </c>
      <c r="H24" s="75">
        <v>50</v>
      </c>
      <c r="I24" s="27" t="s">
        <v>100</v>
      </c>
    </row>
    <row r="25" spans="1:11" ht="20.100000000000001" customHeight="1" x14ac:dyDescent="0.25">
      <c r="D25" s="26" t="s">
        <v>144</v>
      </c>
      <c r="E25" s="27" t="s">
        <v>106</v>
      </c>
      <c r="F25" s="27" t="s">
        <v>145</v>
      </c>
      <c r="G25" s="27" t="s">
        <v>114</v>
      </c>
      <c r="H25" s="75">
        <v>50</v>
      </c>
      <c r="I25" s="27" t="s">
        <v>112</v>
      </c>
    </row>
    <row r="26" spans="1:11" ht="20.100000000000001" customHeight="1" x14ac:dyDescent="0.25">
      <c r="D26" s="26" t="s">
        <v>156</v>
      </c>
      <c r="E26" s="27" t="s">
        <v>115</v>
      </c>
      <c r="F26" s="27" t="s">
        <v>116</v>
      </c>
      <c r="G26" s="27" t="s">
        <v>114</v>
      </c>
      <c r="H26" s="77">
        <v>50</v>
      </c>
      <c r="I26" s="27" t="s">
        <v>100</v>
      </c>
    </row>
    <row r="27" spans="1:11" ht="20.100000000000001" customHeight="1" x14ac:dyDescent="0.25">
      <c r="D27" s="26" t="s">
        <v>157</v>
      </c>
      <c r="E27" s="27" t="s">
        <v>115</v>
      </c>
      <c r="F27" s="27" t="s">
        <v>116</v>
      </c>
      <c r="G27" s="27" t="s">
        <v>114</v>
      </c>
      <c r="H27" s="77">
        <v>50</v>
      </c>
      <c r="I27" s="27" t="s">
        <v>112</v>
      </c>
    </row>
    <row r="28" spans="1:11" ht="20.100000000000001" customHeight="1" x14ac:dyDescent="0.25">
      <c r="D28" s="26" t="s">
        <v>158</v>
      </c>
      <c r="E28" s="27" t="s">
        <v>115</v>
      </c>
      <c r="F28" s="27" t="s">
        <v>145</v>
      </c>
      <c r="G28" s="27" t="s">
        <v>114</v>
      </c>
      <c r="H28" s="77">
        <v>50</v>
      </c>
      <c r="I28" s="27" t="s">
        <v>100</v>
      </c>
    </row>
    <row r="29" spans="1:11" ht="20.100000000000001" customHeight="1" x14ac:dyDescent="0.25">
      <c r="A29" s="13"/>
      <c r="D29" s="26" t="s">
        <v>159</v>
      </c>
      <c r="E29" s="27" t="s">
        <v>115</v>
      </c>
      <c r="F29" s="27" t="s">
        <v>145</v>
      </c>
      <c r="G29" s="27" t="s">
        <v>114</v>
      </c>
      <c r="H29" s="77">
        <v>50</v>
      </c>
      <c r="I29" s="27" t="s">
        <v>112</v>
      </c>
      <c r="K29" s="47"/>
    </row>
    <row r="30" spans="1:11" ht="20.100000000000001" customHeight="1" x14ac:dyDescent="0.25">
      <c r="A30" s="13"/>
      <c r="D30" s="26" t="s">
        <v>160</v>
      </c>
      <c r="E30" s="27" t="s">
        <v>115</v>
      </c>
      <c r="F30" s="27" t="s">
        <v>145</v>
      </c>
      <c r="G30" s="27" t="s">
        <v>111</v>
      </c>
      <c r="H30" s="77">
        <v>50</v>
      </c>
      <c r="I30" s="27" t="s">
        <v>100</v>
      </c>
      <c r="K30" s="47"/>
    </row>
    <row r="31" spans="1:11" ht="20.100000000000001" customHeight="1" x14ac:dyDescent="0.25">
      <c r="A31" s="32"/>
      <c r="D31" s="26" t="s">
        <v>161</v>
      </c>
      <c r="E31" s="27" t="s">
        <v>115</v>
      </c>
      <c r="F31" s="27" t="s">
        <v>145</v>
      </c>
      <c r="G31" s="27" t="s">
        <v>111</v>
      </c>
      <c r="H31" s="77">
        <v>50</v>
      </c>
      <c r="I31" s="27" t="s">
        <v>112</v>
      </c>
      <c r="K31" s="47"/>
    </row>
    <row r="32" spans="1:11" ht="20.100000000000001" customHeight="1" x14ac:dyDescent="0.25">
      <c r="A32" s="32"/>
      <c r="D32" s="26" t="s">
        <v>159</v>
      </c>
      <c r="E32" s="27" t="s">
        <v>115</v>
      </c>
      <c r="F32" s="27" t="s">
        <v>145</v>
      </c>
      <c r="G32" s="27" t="s">
        <v>114</v>
      </c>
      <c r="H32" s="77">
        <v>50</v>
      </c>
      <c r="I32" s="27" t="s">
        <v>112</v>
      </c>
      <c r="K32" s="47"/>
    </row>
    <row r="33" spans="1:12" ht="20.100000000000001" customHeight="1" x14ac:dyDescent="0.25">
      <c r="A33" s="13"/>
      <c r="K33" s="47"/>
    </row>
    <row r="34" spans="1:12" ht="20.100000000000001" customHeight="1" x14ac:dyDescent="0.25">
      <c r="K34" s="47"/>
    </row>
    <row r="35" spans="1:12" ht="20.100000000000001" customHeight="1" x14ac:dyDescent="0.25"/>
    <row r="36" spans="1:12" ht="20.100000000000001" customHeight="1" x14ac:dyDescent="0.25">
      <c r="L36" s="47"/>
    </row>
    <row r="37" spans="1:12" ht="20.100000000000001" customHeight="1" x14ac:dyDescent="0.25">
      <c r="L37" s="47"/>
    </row>
    <row r="38" spans="1:12" ht="20.100000000000001" customHeight="1" x14ac:dyDescent="0.25">
      <c r="C38" s="46"/>
    </row>
    <row r="39" spans="1:12" ht="20.100000000000001" customHeight="1" x14ac:dyDescent="0.25">
      <c r="A39" s="13"/>
      <c r="C39" s="46"/>
      <c r="J39" s="46"/>
    </row>
    <row r="40" spans="1:12" s="47" customFormat="1" ht="20.100000000000001" customHeight="1" x14ac:dyDescent="0.25">
      <c r="C40" s="1"/>
      <c r="D40" s="1"/>
      <c r="E40" s="1"/>
      <c r="F40" s="1"/>
      <c r="G40" s="1"/>
      <c r="H40" s="1"/>
      <c r="I40" s="1"/>
      <c r="J40" s="1"/>
    </row>
    <row r="41" spans="1:12" s="47" customFormat="1" ht="20.100000000000001" customHeight="1" x14ac:dyDescent="0.25">
      <c r="A41" s="48"/>
      <c r="C41" s="1"/>
      <c r="D41" s="1"/>
      <c r="E41" s="1"/>
      <c r="F41" s="1"/>
      <c r="G41" s="1"/>
      <c r="H41" s="1"/>
      <c r="I41" s="1"/>
      <c r="J41" s="1"/>
      <c r="L41" s="47" t="s">
        <v>85</v>
      </c>
    </row>
    <row r="42" spans="1:12" ht="20.100000000000001" customHeight="1" x14ac:dyDescent="0.25"/>
    <row r="43" spans="1:12" ht="20.100000000000001" customHeight="1" x14ac:dyDescent="0.25"/>
    <row r="44" spans="1:12" ht="20.100000000000001" customHeight="1" x14ac:dyDescent="0.25">
      <c r="A44" s="52"/>
    </row>
    <row r="45" spans="1:12" ht="20.100000000000001" customHeight="1" x14ac:dyDescent="0.25"/>
    <row r="46" spans="1:12" ht="20.100000000000001" customHeight="1" x14ac:dyDescent="0.25"/>
    <row r="47" spans="1:12" ht="20.100000000000001" customHeight="1" x14ac:dyDescent="0.25"/>
    <row r="48" spans="1:12"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spans="4:4" ht="20.100000000000001" customHeight="1" x14ac:dyDescent="0.25"/>
    <row r="66" spans="4:4" ht="20.100000000000001" customHeight="1" x14ac:dyDescent="0.25"/>
    <row r="67" spans="4:4" ht="20.100000000000001" customHeight="1" x14ac:dyDescent="0.25"/>
    <row r="68" spans="4:4" ht="20.100000000000001" customHeight="1" x14ac:dyDescent="0.25"/>
    <row r="69" spans="4:4" ht="20.100000000000001" customHeight="1" x14ac:dyDescent="0.25"/>
    <row r="70" spans="4:4" ht="20.100000000000001" customHeight="1" x14ac:dyDescent="0.25"/>
    <row r="71" spans="4:4" ht="20.100000000000001" customHeight="1" x14ac:dyDescent="0.25"/>
    <row r="72" spans="4:4" ht="20.100000000000001" customHeight="1" x14ac:dyDescent="0.25"/>
    <row r="73" spans="4:4" ht="20.100000000000001" customHeight="1" x14ac:dyDescent="0.25">
      <c r="D73" s="66"/>
    </row>
    <row r="74" spans="4:4" ht="20.100000000000001" customHeight="1" x14ac:dyDescent="0.25"/>
    <row r="75" spans="4:4" ht="20.100000000000001" customHeight="1" x14ac:dyDescent="0.25">
      <c r="D75" s="66"/>
    </row>
    <row r="76" spans="4:4" ht="20.100000000000001" customHeight="1" x14ac:dyDescent="0.25">
      <c r="D76" s="66"/>
    </row>
    <row r="77" spans="4:4" ht="20.100000000000001" customHeight="1" x14ac:dyDescent="0.25"/>
    <row r="78" spans="4:4" ht="20.100000000000001" customHeight="1" x14ac:dyDescent="0.25"/>
    <row r="79" spans="4:4" ht="20.100000000000001" customHeight="1" x14ac:dyDescent="0.25"/>
    <row r="80" spans="4:4"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85" spans="4:4" x14ac:dyDescent="0.25">
      <c r="D385" s="38"/>
    </row>
  </sheetData>
  <conditionalFormatting sqref="F162:F163">
    <cfRule type="cellIs" dxfId="16" priority="20" operator="lessThan">
      <formula>0</formula>
    </cfRule>
  </conditionalFormatting>
  <conditionalFormatting sqref="F174:F175">
    <cfRule type="cellIs" dxfId="15" priority="19" operator="lessThan">
      <formula>0</formula>
    </cfRule>
  </conditionalFormatting>
  <conditionalFormatting sqref="F186:F187">
    <cfRule type="cellIs" dxfId="14" priority="18" operator="lessThan">
      <formula>0</formula>
    </cfRule>
  </conditionalFormatting>
  <conditionalFormatting sqref="F274:F275">
    <cfRule type="cellIs" dxfId="13" priority="93" operator="lessThan">
      <formula>0</formula>
    </cfRule>
  </conditionalFormatting>
  <conditionalFormatting sqref="F279:F280">
    <cfRule type="cellIs" dxfId="12" priority="92" operator="lessThan">
      <formula>0</formula>
    </cfRule>
  </conditionalFormatting>
  <conditionalFormatting sqref="F284:F285">
    <cfRule type="cellIs" dxfId="11" priority="91" operator="lessThan">
      <formula>0</formula>
    </cfRule>
  </conditionalFormatting>
  <conditionalFormatting sqref="F308:F309">
    <cfRule type="cellIs" dxfId="10" priority="85" operator="lessThan">
      <formula>0</formula>
    </cfRule>
  </conditionalFormatting>
  <conditionalFormatting sqref="F313:F314">
    <cfRule type="cellIs" dxfId="9" priority="84" operator="lessThan">
      <formula>0</formula>
    </cfRule>
  </conditionalFormatting>
  <conditionalFormatting sqref="F318:F319">
    <cfRule type="cellIs" dxfId="8" priority="83" operator="lessThan">
      <formula>0</formula>
    </cfRule>
  </conditionalFormatting>
  <conditionalFormatting sqref="I33 F71">
    <cfRule type="cellIs" dxfId="7" priority="62" operator="lessThan">
      <formula>0</formula>
    </cfRule>
  </conditionalFormatting>
  <conditionalFormatting sqref="I79:I83">
    <cfRule type="cellIs" dxfId="6" priority="5" operator="lessThan">
      <formula>0</formula>
    </cfRule>
  </conditionalFormatting>
  <conditionalFormatting sqref="I87 I146">
    <cfRule type="cellIs" dxfId="5" priority="74" operator="lessThan">
      <formula>0</formula>
    </cfRule>
  </conditionalFormatting>
  <conditionalFormatting sqref="I98:I100">
    <cfRule type="cellIs" dxfId="4" priority="4" operator="lessThan">
      <formula>0</formula>
    </cfRule>
  </conditionalFormatting>
  <conditionalFormatting sqref="I104:I107">
    <cfRule type="cellIs" dxfId="3" priority="3" operator="lessThan">
      <formula>0</formula>
    </cfRule>
  </conditionalFormatting>
  <conditionalFormatting sqref="I111:I115">
    <cfRule type="cellIs" dxfId="2" priority="1" operator="lessThan">
      <formula>0</formula>
    </cfRule>
  </conditionalFormatting>
  <conditionalFormatting sqref="J8 I65:I66 H67:H69 I68 I70:I72 I74:I75 I226 I232 E234:G234">
    <cfRule type="cellIs" dxfId="1" priority="79" operator="lessThan">
      <formula>0</formula>
    </cfRule>
  </conditionalFormatting>
  <conditionalFormatting sqref="J37 I59 F150:F151">
    <cfRule type="cellIs" dxfId="0" priority="21" operator="lessThan">
      <formula>0</formula>
    </cfRule>
  </conditionalFormatting>
  <dataValidations count="9">
    <dataValidation type="list" allowBlank="1" showInputMessage="1" showErrorMessage="1" sqref="D301" xr:uid="{4E913AB3-F90B-4C35-BCE1-5DBB8FC05107}">
      <formula1>INDIRECT("Table_SourceData_PoultryMMSStage1[MMS]")</formula1>
    </dataValidation>
    <dataValidation type="list" allowBlank="1" showInputMessage="1" showErrorMessage="1" sqref="E249" xr:uid="{9FB53635-991F-44AA-A123-E8ABEF9EE0A6}">
      <formula1>INDIRECT("Table_SourceData_Dairy_ProductionSystemTemplates[Area]")</formula1>
    </dataValidation>
    <dataValidation type="list" allowBlank="1" showInputMessage="1" showErrorMessage="1" sqref="E273 E278 E283 E317 E312 E307 E185 E173 E149 E161" xr:uid="{00A4EA4C-90D3-4150-979D-4D71C7F37A31}">
      <formula1>"Yes, No"</formula1>
    </dataValidation>
    <dataValidation type="list" allowBlank="1" showInputMessage="1" showErrorMessage="1" sqref="E89" xr:uid="{DBA884B0-B52E-420E-8FD2-21B082EB75E2}">
      <formula1>INDIRECT("Table_SourceData_Swine_IrrigationMethods[Irrigation method]")</formula1>
    </dataValidation>
    <dataValidation type="list" allowBlank="1" showInputMessage="1" showErrorMessage="1" sqref="E35" xr:uid="{48A1E533-1334-4AAC-A5F5-B295A34573CB}">
      <formula1>INDIRECT("Table_SourceData_ElectricityEFs[State, Territory or grid description]")</formula1>
    </dataValidation>
    <dataValidation type="list" allowBlank="1" showInputMessage="1" showErrorMessage="1" sqref="E10:E32" xr:uid="{BE2CA0F8-93F9-493C-B304-DCA372760E4E}">
      <formula1>INDIRECT(_xlfn.UNIQUE("Table_SourceData_WasteSolid_WasteTreatmentEFs[Treatment type t]"))</formula1>
    </dataValidation>
    <dataValidation type="list" allowBlank="1" showInputMessage="1" showErrorMessage="1" sqref="G10:G32" xr:uid="{EB782CB2-069D-4346-96A4-9C640517727F}">
      <formula1>"Treated on-site, Removed and treated off-site"</formula1>
    </dataValidation>
    <dataValidation type="list" allowBlank="1" showInputMessage="1" showErrorMessage="1" sqref="I10:I32" xr:uid="{5637D9FB-43C0-46B6-8C23-E9E5D77EE5AE}">
      <formula1>"tonnes, cubic metres m3"</formula1>
    </dataValidation>
    <dataValidation type="list" allowBlank="1" showInputMessage="1" showErrorMessage="1" sqref="F10:F32" xr:uid="{502FA925-EB70-4F2C-8CD1-14FB9D0D2E6F}">
      <formula1>INDIRECT("Table_WasteTypes_" &amp; SUBSTITUTE(E10, " ", "") &amp; "[Waste type w]")</formula1>
    </dataValidation>
  </dataValidations>
  <pageMargins left="0.7" right="0.7" top="0.75" bottom="0.75" header="0.3" footer="0.3"/>
  <pageSetup paperSize="9"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L342"/>
  <sheetViews>
    <sheetView showGridLines="0" tabSelected="1" zoomScaleNormal="100" workbookViewId="0">
      <selection activeCell="G154" sqref="G154"/>
    </sheetView>
  </sheetViews>
  <sheetFormatPr defaultRowHeight="15.75" x14ac:dyDescent="0.25"/>
  <cols>
    <col min="1" max="1" width="30.7109375" customWidth="1"/>
    <col min="2" max="2" width="4.7109375" customWidth="1"/>
    <col min="3" max="3" width="4.7109375" style="1" customWidth="1"/>
    <col min="4" max="4" width="46.28515625" style="1" customWidth="1"/>
    <col min="5" max="11" width="30.7109375" style="1" customWidth="1"/>
    <col min="12" max="12" width="4.7109375" style="1" customWidth="1"/>
  </cols>
  <sheetData>
    <row r="1" spans="1:12" s="7" customFormat="1" ht="30" customHeight="1" x14ac:dyDescent="0.35">
      <c r="A1" s="33" t="e" vm="1">
        <v>#VALUE!</v>
      </c>
      <c r="C1" s="7" t="s">
        <v>93</v>
      </c>
    </row>
    <row r="2" spans="1:12" s="8" customFormat="1" ht="20.100000000000001" customHeight="1" x14ac:dyDescent="0.25"/>
    <row r="3" spans="1:12" ht="20.100000000000001" customHeight="1" x14ac:dyDescent="0.25">
      <c r="A3" s="13" t="str">
        <f>HYPERLINK("#'Home'!A1", "Home")</f>
        <v>Home</v>
      </c>
      <c r="C3" s="3"/>
      <c r="D3" s="3" t="s">
        <v>49</v>
      </c>
      <c r="E3" s="3"/>
      <c r="F3" s="3"/>
      <c r="G3" s="3"/>
      <c r="H3" s="3"/>
      <c r="I3" s="3"/>
      <c r="J3" s="3"/>
      <c r="K3" s="3"/>
      <c r="L3" s="3"/>
    </row>
    <row r="4" spans="1:12" ht="20.100000000000001" customHeight="1" x14ac:dyDescent="0.25">
      <c r="A4" s="13" t="str">
        <f>HYPERLINK("#'Overview'!A1", "Overview")</f>
        <v>Overview</v>
      </c>
    </row>
    <row r="5" spans="1:12" ht="20.100000000000001" customHeight="1" x14ac:dyDescent="0.25">
      <c r="A5" s="13" t="str">
        <f>HYPERLINK("#'Results'!A1", "Results")</f>
        <v>Results</v>
      </c>
      <c r="D5" s="5" t="str" cm="1">
        <f t="array" ref="D5">WasteSolid_Equations.VEERG_10_1_1_1__2_MassOfWasteFromVolume_Title()</f>
        <v>Mass of waste from waste volume</v>
      </c>
    </row>
    <row r="6" spans="1:12" ht="20.100000000000001" customHeight="1" x14ac:dyDescent="0.25">
      <c r="A6" s="12"/>
      <c r="D6" s="4" t="str" cm="1">
        <f t="array" ref="D6">WasteSolid_Equations.VEERG_10_1_1_1__2_MassOfWasteFromVolume_Source()</f>
        <v>VEERG 2026: 10.1.1.1, Equation (2)</v>
      </c>
    </row>
    <row r="7" spans="1:12" ht="20.100000000000001" customHeight="1" x14ac:dyDescent="0.25">
      <c r="A7" s="16" t="s">
        <v>1</v>
      </c>
      <c r="D7" s="10" t="s">
        <v>10</v>
      </c>
      <c r="E7" s="10" t="str" cm="1">
        <f t="array" aca="1" ref="E7" ca="1">Common_InputFunctions.Utility_DisplayFunctionName(I21)</f>
        <v>=WasteSolid_Equations.VEERG_10_1_1_1__2_MassOfWasteFromVolume</v>
      </c>
    </row>
    <row r="8" spans="1:12" ht="20.100000000000001" customHeight="1" x14ac:dyDescent="0.25">
      <c r="A8" s="13" t="str">
        <f>HYPERLINK("#'Input - Solid waste'!A1", "Solid waste")</f>
        <v>Solid waste</v>
      </c>
    </row>
    <row r="9" spans="1:12" ht="20.100000000000001" customHeight="1" x14ac:dyDescent="0.25">
      <c r="A9" s="13"/>
    </row>
    <row r="10" spans="1:12" ht="20.100000000000001" customHeight="1" x14ac:dyDescent="0.25">
      <c r="A10" s="15" t="s">
        <v>45</v>
      </c>
      <c r="D10" s="29" t="s">
        <v>13</v>
      </c>
      <c r="E10" s="1" t="str" cm="1">
        <f t="array" ref="E10">WasteSolid_Equations.VEERG_10_1_1_1__2_MassOfWasteFromVolume_Variable()</f>
        <v>Q_wt</v>
      </c>
    </row>
    <row r="11" spans="1:12" ht="20.100000000000001" customHeight="1" x14ac:dyDescent="0.25">
      <c r="A11" s="68" t="str">
        <f>HYPERLINK("#'10.1.1-2 Solid waste treatment'!A1", "10.1.1-2 Solid waste treatment")</f>
        <v>10.1.1-2 Solid waste treatment</v>
      </c>
      <c r="D11" s="29" t="s">
        <v>5</v>
      </c>
      <c r="E11" s="30" t="str" cm="1">
        <f t="array" ref="E11">WasteSolid_Equations.VEERG_10_1_1_1__2_MassOfWasteFromVolume_Unit()</f>
        <v>t</v>
      </c>
    </row>
    <row r="12" spans="1:12" ht="20.100000000000001" customHeight="1" x14ac:dyDescent="0.25">
      <c r="A12" s="13"/>
    </row>
    <row r="13" spans="1:12" ht="20.100000000000001" customHeight="1" x14ac:dyDescent="0.25">
      <c r="A13" s="14" t="s">
        <v>2</v>
      </c>
      <c r="D13" s="49" t="str" cm="1">
        <f t="array" ref="D13:E16">_xlfn.CHOOSECOLS(WasteSolid_Equations.VEERG_10_1_1_1__2_MassOfWasteFromVolume_Arguments(),1,2)</f>
        <v>V_wt</v>
      </c>
      <c r="E13" s="51" t="str">
        <v>volume of solid waste type w being sent to treatment facility t</v>
      </c>
      <c r="F13" s="50"/>
      <c r="G13" s="49" t="str" cm="1">
        <f t="array" ref="G13:H16">_xlfn.CHOOSECOLS(WasteSolid_Equations.VEERG_10_1_1_1__2_MassOfWasteFromVolume_Arguments(),3,4)</f>
        <v>m3</v>
      </c>
      <c r="H13" s="45" t="str">
        <v>Input</v>
      </c>
      <c r="I13" s="76" t="str" cm="1">
        <f t="array" aca="1" ref="I13" ca="1">HYPERLINK(Common_InputFunctions.Utility_SourceHyperlink($D$18),$D$18)</f>
        <v>Table_V_w_t_onsite</v>
      </c>
      <c r="J13" s="76" t="str" cm="1">
        <f t="array" aca="1" ref="J13" ca="1">HYPERLINK(Common_InputFunctions.Utility_SourceHyperlink($D$56),$D$56)</f>
        <v>Table_V_w_t_offsite</v>
      </c>
    </row>
    <row r="14" spans="1:12" ht="20.100000000000001" customHeight="1" x14ac:dyDescent="0.25">
      <c r="A14" s="13" t="str">
        <f>HYPERLINK("#'Constants - Solid waste'!A1", "Constants - Solid waste")</f>
        <v>Constants - Solid waste</v>
      </c>
      <c r="D14" s="49" t="str">
        <v>VTM_w</v>
      </c>
      <c r="E14" s="51" t="str">
        <v>conversion factor of volume to mass for waste type w</v>
      </c>
      <c r="F14" s="50"/>
      <c r="G14" s="49" t="str">
        <v>t/m3</v>
      </c>
      <c r="H14" s="44" t="str">
        <v>Constant</v>
      </c>
      <c r="I14" s="76" t="str" cm="1">
        <f t="array" aca="1" ref="I14" ca="1">HYPERLINK(Common_InputFunctions.Utility_SourceHyperlink($D$18),$D$18)</f>
        <v>Table_V_w_t_onsite</v>
      </c>
      <c r="J14" s="76" t="str" cm="1">
        <f t="array" aca="1" ref="J14" ca="1">HYPERLINK(Common_InputFunctions.Utility_SourceHyperlink($D$56),$D$56)</f>
        <v>Table_V_w_t_offsite</v>
      </c>
    </row>
    <row r="15" spans="1:12" ht="20.100000000000001" customHeight="1" x14ac:dyDescent="0.25">
      <c r="A15" s="13" t="str">
        <f>HYPERLINK("#'Constants - Common'!A1", "Constants - Common")</f>
        <v>Constants - Common</v>
      </c>
      <c r="D15" s="49" t="str">
        <v>w</v>
      </c>
      <c r="E15" s="51" t="str">
        <v>waste type</v>
      </c>
      <c r="F15" s="50"/>
      <c r="G15" s="49" t="str">
        <v/>
      </c>
      <c r="H15" s="45" t="str">
        <v>Input</v>
      </c>
      <c r="I15" s="76" t="str" cm="1">
        <f t="array" aca="1" ref="I15" ca="1">HYPERLINK(Common_InputFunctions.Utility_SourceHyperlink($D$18),$D$18)</f>
        <v>Table_V_w_t_onsite</v>
      </c>
      <c r="J15" s="76" t="str" cm="1">
        <f t="array" aca="1" ref="J15" ca="1">HYPERLINK(Common_InputFunctions.Utility_SourceHyperlink($D$56),$D$56)</f>
        <v>Table_V_w_t_offsite</v>
      </c>
    </row>
    <row r="16" spans="1:12" ht="20.100000000000001" customHeight="1" x14ac:dyDescent="0.25">
      <c r="D16" s="49" t="str">
        <v>t</v>
      </c>
      <c r="E16" s="51" t="str">
        <v>treatment facility</v>
      </c>
      <c r="F16" s="50"/>
      <c r="G16" s="49" t="str">
        <v/>
      </c>
      <c r="H16" s="45" t="str">
        <v>Input</v>
      </c>
      <c r="I16" s="76" t="str" cm="1">
        <f t="array" aca="1" ref="I16" ca="1">HYPERLINK(Common_InputFunctions.Utility_SourceHyperlink($D$18),$D$18)</f>
        <v>Table_V_w_t_onsite</v>
      </c>
      <c r="J16" s="76" t="str" cm="1">
        <f t="array" aca="1" ref="J16" ca="1">HYPERLINK(Common_InputFunctions.Utility_SourceHyperlink($D$56),$D$56)</f>
        <v>Table_V_w_t_offsite</v>
      </c>
    </row>
    <row r="17" spans="1:9" ht="20.100000000000001" customHeight="1" x14ac:dyDescent="0.25"/>
    <row r="18" spans="1:9" ht="20.100000000000001" customHeight="1" x14ac:dyDescent="0.25">
      <c r="D18" s="70" t="s">
        <v>117</v>
      </c>
    </row>
    <row r="19" spans="1:9" ht="20.100000000000001" customHeight="1" x14ac:dyDescent="0.25">
      <c r="D19" s="71" t="s">
        <v>120</v>
      </c>
    </row>
    <row r="20" spans="1:9" ht="20.100000000000001" customHeight="1" x14ac:dyDescent="0.25">
      <c r="A20" s="13"/>
      <c r="D20" s="67" t="s">
        <v>94</v>
      </c>
      <c r="E20" s="67" t="s">
        <v>95</v>
      </c>
      <c r="F20" s="67"/>
      <c r="G20" s="67" t="s">
        <v>96</v>
      </c>
      <c r="H20" s="72" t="s">
        <v>98</v>
      </c>
      <c r="I20" s="72" t="s">
        <v>97</v>
      </c>
    </row>
    <row r="21" spans="1:9" ht="20.100000000000001" customHeight="1" x14ac:dyDescent="0.25">
      <c r="A21" s="13"/>
      <c r="D21" s="49" t="str" cm="1">
        <f t="array" ref="D21:D54">Table_SourceData_WasteSolid_WasteTreatmentEFs[Treatment type t]</f>
        <v>Landfill</v>
      </c>
      <c r="E21" s="51" t="str" cm="1">
        <f t="array" ref="E21:E54">Table_SourceData_WasteSolid_WasteTreatmentEFs[Waste type w]</f>
        <v>Food waste (including animal carcasses, spoiled animal feed or crop)</v>
      </c>
      <c r="F21" s="73"/>
      <c r="G21" s="28" cm="1">
        <f t="array" ref="G21">WasteSolid_InputFunctions.WasteSolid_InputFunctions_SumWasteTreatment(Table_Input_SolidWaste[Treatment type (select)],Table_Input_SolidWaste[Waste type (select)],Table_Input_SolidWaste[Treatment location (select)],Table_Input_SolidWaste[Amount unit (select)],Table_Input_SolidWaste[Amount],D21,E21, "Treated on-site", "cubic metres m3")</f>
        <v>50</v>
      </c>
      <c r="H21" s="28" cm="1">
        <f t="array" ref="H21">Common_InputFunctions.Utility_LookupValueInTableNumber(E21,Table_SourceData_WasteSolid_VolumeToMassConversion[Waste type w],Table_SourceData_WasteSolid_VolumeToMassConversion[VTMw])</f>
        <v>0.5</v>
      </c>
      <c r="I21" s="28" cm="1">
        <f t="array" ref="I21">WasteSolid_Equations.VEERG_10_1_1_1__2_MassOfWasteFromVolume(G21,H21)</f>
        <v>25</v>
      </c>
    </row>
    <row r="22" spans="1:9" ht="20.100000000000001" customHeight="1" x14ac:dyDescent="0.25">
      <c r="D22" s="49" t="str">
        <v>Landfill</v>
      </c>
      <c r="E22" s="51" t="str">
        <v>Paper and cardboard</v>
      </c>
      <c r="F22" s="73"/>
      <c r="G22" s="28" cm="1">
        <f t="array" ref="G22">WasteSolid_InputFunctions.WasteSolid_InputFunctions_SumWasteTreatment(Table_Input_SolidWaste[Treatment type (select)],Table_Input_SolidWaste[Waste type (select)],Table_Input_SolidWaste[Treatment location (select)],Table_Input_SolidWaste[Amount unit (select)],Table_Input_SolidWaste[Amount],D22,E22, "Treated on-site", "cubic metres m3")</f>
        <v>50</v>
      </c>
      <c r="H22" s="28" cm="1">
        <f t="array" ref="H22">Common_InputFunctions.Utility_LookupValueInTableNumber(E22,Table_SourceData_WasteSolid_VolumeToMassConversion[Waste type w],Table_SourceData_WasteSolid_VolumeToMassConversion[VTMw])</f>
        <v>0.09</v>
      </c>
      <c r="I22" s="28" cm="1">
        <f t="array" ref="I22">WasteSolid_Equations.VEERG_10_1_1_1__2_MassOfWasteFromVolume(G22,H22)</f>
        <v>4.5</v>
      </c>
    </row>
    <row r="23" spans="1:9" ht="20.100000000000001" customHeight="1" x14ac:dyDescent="0.25">
      <c r="A23" s="13"/>
      <c r="D23" s="49" t="str">
        <v>Landfill</v>
      </c>
      <c r="E23" s="51" t="str">
        <v>Green waste (including crop residues or prunings)</v>
      </c>
      <c r="F23" s="73"/>
      <c r="G23" s="28" cm="1">
        <f t="array" ref="G23">WasteSolid_InputFunctions.WasteSolid_InputFunctions_SumWasteTreatment(Table_Input_SolidWaste[Treatment type (select)],Table_Input_SolidWaste[Waste type (select)],Table_Input_SolidWaste[Treatment location (select)],Table_Input_SolidWaste[Amount unit (select)],Table_Input_SolidWaste[Amount],D23,E23, "Treated on-site", "cubic metres m3")</f>
        <v>50</v>
      </c>
      <c r="H23" s="28" cm="1">
        <f t="array" ref="H23">Common_InputFunctions.Utility_LookupValueInTableNumber(E23,Table_SourceData_WasteSolid_VolumeToMassConversion[Waste type w],Table_SourceData_WasteSolid_VolumeToMassConversion[VTMw])</f>
        <v>0.24</v>
      </c>
      <c r="I23" s="28" cm="1">
        <f t="array" ref="I23">WasteSolid_Equations.VEERG_10_1_1_1__2_MassOfWasteFromVolume(G23,H23)</f>
        <v>12</v>
      </c>
    </row>
    <row r="24" spans="1:9" ht="20.100000000000001" customHeight="1" x14ac:dyDescent="0.25">
      <c r="D24" s="49" t="str">
        <v>Landfill</v>
      </c>
      <c r="E24" s="51" t="str">
        <v>Wood</v>
      </c>
      <c r="F24" s="73"/>
      <c r="G24" s="28" cm="1">
        <f t="array" ref="G24">WasteSolid_InputFunctions.WasteSolid_InputFunctions_SumWasteTreatment(Table_Input_SolidWaste[Treatment type (select)],Table_Input_SolidWaste[Waste type (select)],Table_Input_SolidWaste[Treatment location (select)],Table_Input_SolidWaste[Amount unit (select)],Table_Input_SolidWaste[Amount],D24,E24, "Treated on-site", "cubic metres m3")</f>
        <v>0</v>
      </c>
      <c r="H24" s="28" cm="1">
        <f t="array" ref="H24">Common_InputFunctions.Utility_LookupValueInTableNumber(E24,Table_SourceData_WasteSolid_VolumeToMassConversion[Waste type w],Table_SourceData_WasteSolid_VolumeToMassConversion[VTMw])</f>
        <v>0.15</v>
      </c>
      <c r="I24" s="28" cm="1">
        <f t="array" ref="I24">WasteSolid_Equations.VEERG_10_1_1_1__2_MassOfWasteFromVolume(G24,H24)</f>
        <v>0</v>
      </c>
    </row>
    <row r="25" spans="1:9" ht="20.100000000000001" customHeight="1" x14ac:dyDescent="0.25">
      <c r="D25" s="49" t="str">
        <v>Landfill</v>
      </c>
      <c r="E25" s="51" t="str">
        <v>Textiles</v>
      </c>
      <c r="F25" s="73"/>
      <c r="G25" s="28" cm="1">
        <f t="array" ref="G25">WasteSolid_InputFunctions.WasteSolid_InputFunctions_SumWasteTreatment(Table_Input_SolidWaste[Treatment type (select)],Table_Input_SolidWaste[Waste type (select)],Table_Input_SolidWaste[Treatment location (select)],Table_Input_SolidWaste[Amount unit (select)],Table_Input_SolidWaste[Amount],D25,E25, "Treated on-site", "cubic metres m3")</f>
        <v>0</v>
      </c>
      <c r="H25" s="28" cm="1">
        <f t="array" ref="H25">Common_InputFunctions.Utility_LookupValueInTableNumber(E25,Table_SourceData_WasteSolid_VolumeToMassConversion[Waste type w],Table_SourceData_WasteSolid_VolumeToMassConversion[VTMw])</f>
        <v>0.14000000000000001</v>
      </c>
      <c r="I25" s="28" cm="1">
        <f t="array" ref="I25">WasteSolid_Equations.VEERG_10_1_1_1__2_MassOfWasteFromVolume(G25,H25)</f>
        <v>0</v>
      </c>
    </row>
    <row r="26" spans="1:9" ht="20.100000000000001" customHeight="1" x14ac:dyDescent="0.25">
      <c r="D26" s="49" t="str">
        <v>Landfill</v>
      </c>
      <c r="E26" s="51" t="str">
        <v>Sludge</v>
      </c>
      <c r="F26" s="73"/>
      <c r="G26" s="28" cm="1">
        <f t="array" ref="G26">WasteSolid_InputFunctions.WasteSolid_InputFunctions_SumWasteTreatment(Table_Input_SolidWaste[Treatment type (select)],Table_Input_SolidWaste[Waste type (select)],Table_Input_SolidWaste[Treatment location (select)],Table_Input_SolidWaste[Amount unit (select)],Table_Input_SolidWaste[Amount],D26,E26, "Treated on-site", "cubic metres m3")</f>
        <v>0</v>
      </c>
      <c r="H26" s="28" cm="1">
        <f t="array" ref="H26">Common_InputFunctions.Utility_LookupValueInTableNumber(E26,Table_SourceData_WasteSolid_VolumeToMassConversion[Waste type w],Table_SourceData_WasteSolid_VolumeToMassConversion[VTMw])</f>
        <v>0.72</v>
      </c>
      <c r="I26" s="28" cm="1">
        <f t="array" ref="I26">WasteSolid_Equations.VEERG_10_1_1_1__2_MassOfWasteFromVolume(G26,H26)</f>
        <v>0</v>
      </c>
    </row>
    <row r="27" spans="1:9" ht="20.100000000000001" customHeight="1" x14ac:dyDescent="0.25">
      <c r="D27" s="49" t="str">
        <v>Landfill</v>
      </c>
      <c r="E27" s="51" t="str">
        <v>Rubber and leather</v>
      </c>
      <c r="F27" s="73"/>
      <c r="G27" s="28" cm="1">
        <f t="array" ref="G27">WasteSolid_InputFunctions.WasteSolid_InputFunctions_SumWasteTreatment(Table_Input_SolidWaste[Treatment type (select)],Table_Input_SolidWaste[Waste type (select)],Table_Input_SolidWaste[Treatment location (select)],Table_Input_SolidWaste[Amount unit (select)],Table_Input_SolidWaste[Amount],D27,E27, "Treated on-site", "cubic metres m3")</f>
        <v>0</v>
      </c>
      <c r="H27" s="28" cm="1">
        <f t="array" ref="H27">Common_InputFunctions.Utility_LookupValueInTableNumber(E27,Table_SourceData_WasteSolid_VolumeToMassConversion[Waste type w],Table_SourceData_WasteSolid_VolumeToMassConversion[VTMw])</f>
        <v>0.14000000000000001</v>
      </c>
      <c r="I27" s="28" cm="1">
        <f t="array" ref="I27">WasteSolid_Equations.VEERG_10_1_1_1__2_MassOfWasteFromVolume(G27,H27)</f>
        <v>0</v>
      </c>
    </row>
    <row r="28" spans="1:9" ht="20.100000000000001" customHeight="1" x14ac:dyDescent="0.25">
      <c r="D28" s="49" t="str">
        <v>Landfill</v>
      </c>
      <c r="E28" s="51" t="str">
        <v>Inert waste (including concrete, metal, plastic or glass)</v>
      </c>
      <c r="F28" s="73"/>
      <c r="G28" s="28" cm="1">
        <f t="array" ref="G28">WasteSolid_InputFunctions.WasteSolid_InputFunctions_SumWasteTreatment(Table_Input_SolidWaste[Treatment type (select)],Table_Input_SolidWaste[Waste type (select)],Table_Input_SolidWaste[Treatment location (select)],Table_Input_SolidWaste[Amount unit (select)],Table_Input_SolidWaste[Amount],D28,E28, "Treated on-site", "cubic metres m3")</f>
        <v>0</v>
      </c>
      <c r="H28" s="28" cm="1">
        <f t="array" ref="H28">Common_InputFunctions.Utility_LookupValueInTableNumber(E28,Table_SourceData_WasteSolid_VolumeToMassConversion[Waste type w],Table_SourceData_WasteSolid_VolumeToMassConversion[VTMw])</f>
        <v>0.42</v>
      </c>
      <c r="I28" s="28" cm="1">
        <f t="array" ref="I28">WasteSolid_Equations.VEERG_10_1_1_1__2_MassOfWasteFromVolume(G28,H28)</f>
        <v>0</v>
      </c>
    </row>
    <row r="29" spans="1:9" ht="20.100000000000001" customHeight="1" x14ac:dyDescent="0.25">
      <c r="D29" s="49" t="str">
        <v>Landfill</v>
      </c>
      <c r="E29" s="51" t="str">
        <v>Municipal solid waste</v>
      </c>
      <c r="F29" s="73"/>
      <c r="G29" s="28" cm="1">
        <f t="array" ref="G29">WasteSolid_InputFunctions.WasteSolid_InputFunctions_SumWasteTreatment(Table_Input_SolidWaste[Treatment type (select)],Table_Input_SolidWaste[Waste type (select)],Table_Input_SolidWaste[Treatment location (select)],Table_Input_SolidWaste[Amount unit (select)],Table_Input_SolidWaste[Amount],D29,E29, "Treated on-site", "cubic metres m3")</f>
        <v>0</v>
      </c>
      <c r="H29" s="28" cm="1">
        <f t="array" ref="H29">Common_InputFunctions.Utility_LookupValueInTableNumber(E29,Table_SourceData_WasteSolid_VolumeToMassConversion[Waste type w],Table_SourceData_WasteSolid_VolumeToMassConversion[VTMw])</f>
        <v>0.36</v>
      </c>
      <c r="I29" s="28" cm="1">
        <f t="array" ref="I29">WasteSolid_Equations.VEERG_10_1_1_1__2_MassOfWasteFromVolume(G29,H29)</f>
        <v>0</v>
      </c>
    </row>
    <row r="30" spans="1:9" ht="20.100000000000001" customHeight="1" x14ac:dyDescent="0.25">
      <c r="D30" s="49" t="str">
        <v>Landfill</v>
      </c>
      <c r="E30" s="51" t="str">
        <v>Commercial and industrial waste</v>
      </c>
      <c r="F30" s="73"/>
      <c r="G30" s="28" cm="1">
        <f t="array" ref="G30">WasteSolid_InputFunctions.WasteSolid_InputFunctions_SumWasteTreatment(Table_Input_SolidWaste[Treatment type (select)],Table_Input_SolidWaste[Waste type (select)],Table_Input_SolidWaste[Treatment location (select)],Table_Input_SolidWaste[Amount unit (select)],Table_Input_SolidWaste[Amount],D30,E30, "Treated on-site", "cubic metres m3")</f>
        <v>0</v>
      </c>
      <c r="H30" s="28" cm="1">
        <f t="array" ref="H30">Common_InputFunctions.Utility_LookupValueInTableNumber(E30,Table_SourceData_WasteSolid_VolumeToMassConversion[Waste type w],Table_SourceData_WasteSolid_VolumeToMassConversion[VTMw])</f>
        <v>0.33</v>
      </c>
      <c r="I30" s="28" cm="1">
        <f t="array" ref="I30">WasteSolid_Equations.VEERG_10_1_1_1__2_MassOfWasteFromVolume(G30,H30)</f>
        <v>0</v>
      </c>
    </row>
    <row r="31" spans="1:9" ht="20.100000000000001" customHeight="1" x14ac:dyDescent="0.25">
      <c r="D31" s="49" t="str">
        <v>Landfill</v>
      </c>
      <c r="E31" s="51" t="str">
        <v>Construction and demolition waste</v>
      </c>
      <c r="F31" s="73"/>
      <c r="G31" s="28" cm="1">
        <f t="array" ref="G31">WasteSolid_InputFunctions.WasteSolid_InputFunctions_SumWasteTreatment(Table_Input_SolidWaste[Treatment type (select)],Table_Input_SolidWaste[Waste type (select)],Table_Input_SolidWaste[Treatment location (select)],Table_Input_SolidWaste[Amount unit (select)],Table_Input_SolidWaste[Amount],D31,E31, "Treated on-site", "cubic metres m3")</f>
        <v>0</v>
      </c>
      <c r="H31" s="28" cm="1">
        <f t="array" ref="H31">Common_InputFunctions.Utility_LookupValueInTableNumber(E31,Table_SourceData_WasteSolid_VolumeToMassConversion[Waste type w],Table_SourceData_WasteSolid_VolumeToMassConversion[VTMw])</f>
        <v>0.39</v>
      </c>
      <c r="I31" s="28" cm="1">
        <f t="array" ref="I31">WasteSolid_Equations.VEERG_10_1_1_1__2_MassOfWasteFromVolume(G31,H31)</f>
        <v>0</v>
      </c>
    </row>
    <row r="32" spans="1:9" ht="20.100000000000001" customHeight="1" x14ac:dyDescent="0.25">
      <c r="D32" s="49" t="str">
        <v>Incineration</v>
      </c>
      <c r="E32" s="51" t="str">
        <v>Food waste, green waste, wood, sludge</v>
      </c>
      <c r="F32" s="73"/>
      <c r="G32" s="28" t="s">
        <v>150</v>
      </c>
      <c r="H32" s="28" t="s">
        <v>150</v>
      </c>
      <c r="I32" s="28" t="s">
        <v>150</v>
      </c>
    </row>
    <row r="33" spans="4:9" ht="20.100000000000001" customHeight="1" x14ac:dyDescent="0.25">
      <c r="D33" s="49" t="str">
        <v>Incineration</v>
      </c>
      <c r="E33" s="51" t="str">
        <v>Food waste (including animal carcasses, spoiled animal feed or crop)</v>
      </c>
      <c r="F33" s="73"/>
      <c r="G33" s="28" cm="1">
        <f t="array" ref="G33">WasteSolid_InputFunctions.WasteSolid_InputFunctions_SumWasteTreatment(Table_Input_SolidWaste[Treatment type (select)],Table_Input_SolidWaste[Waste type (select)],Table_Input_SolidWaste[Treatment location (select)],Table_Input_SolidWaste[Amount unit (select)],Table_Input_SolidWaste[Amount],D33,E33, "Treated on-site", "cubic metres m3")</f>
        <v>0</v>
      </c>
      <c r="H33" s="28" cm="1">
        <f t="array" ref="H33">Common_InputFunctions.Utility_LookupValueInTableNumber(E33,Table_SourceData_WasteSolid_VolumeToMassConversion[Waste type w],Table_SourceData_WasteSolid_VolumeToMassConversion[VTMw])</f>
        <v>0.5</v>
      </c>
      <c r="I33" s="28" cm="1">
        <f t="array" ref="I33">WasteSolid_Equations.VEERG_10_1_1_1__2_MassOfWasteFromVolume(G33,H33)</f>
        <v>0</v>
      </c>
    </row>
    <row r="34" spans="4:9" ht="20.100000000000001" customHeight="1" x14ac:dyDescent="0.25">
      <c r="D34" s="49" t="str">
        <v>Incineration</v>
      </c>
      <c r="E34" s="51" t="str">
        <v>Green waste (including crop residues or prunings)</v>
      </c>
      <c r="F34" s="73"/>
      <c r="G34" s="28" cm="1">
        <f t="array" ref="G34">WasteSolid_InputFunctions.WasteSolid_InputFunctions_SumWasteTreatment(Table_Input_SolidWaste[Treatment type (select)],Table_Input_SolidWaste[Waste type (select)],Table_Input_SolidWaste[Treatment location (select)],Table_Input_SolidWaste[Amount unit (select)],Table_Input_SolidWaste[Amount],D34,E34, "Treated on-site", "cubic metres m3")</f>
        <v>100</v>
      </c>
      <c r="H34" s="28" cm="1">
        <f t="array" ref="H34">Common_InputFunctions.Utility_LookupValueInTableNumber(E34,Table_SourceData_WasteSolid_VolumeToMassConversion[Waste type w],Table_SourceData_WasteSolid_VolumeToMassConversion[VTMw])</f>
        <v>0.24</v>
      </c>
      <c r="I34" s="28" cm="1">
        <f t="array" ref="I34">WasteSolid_Equations.VEERG_10_1_1_1__2_MassOfWasteFromVolume(G34,H34)</f>
        <v>24</v>
      </c>
    </row>
    <row r="35" spans="4:9" ht="20.100000000000001" customHeight="1" x14ac:dyDescent="0.25">
      <c r="D35" s="49" t="str">
        <v>Incineration</v>
      </c>
      <c r="E35" s="51" t="str">
        <v>Wood</v>
      </c>
      <c r="F35" s="73"/>
      <c r="G35" s="28" cm="1">
        <f t="array" ref="G35">WasteSolid_InputFunctions.WasteSolid_InputFunctions_SumWasteTreatment(Table_Input_SolidWaste[Treatment type (select)],Table_Input_SolidWaste[Waste type (select)],Table_Input_SolidWaste[Treatment location (select)],Table_Input_SolidWaste[Amount unit (select)],Table_Input_SolidWaste[Amount],D35,E35, "Treated on-site", "cubic metres m3")</f>
        <v>0</v>
      </c>
      <c r="H35" s="28" cm="1">
        <f t="array" ref="H35">Common_InputFunctions.Utility_LookupValueInTableNumber(E35,Table_SourceData_WasteSolid_VolumeToMassConversion[Waste type w],Table_SourceData_WasteSolid_VolumeToMassConversion[VTMw])</f>
        <v>0.15</v>
      </c>
      <c r="I35" s="28" cm="1">
        <f t="array" ref="I35">WasteSolid_Equations.VEERG_10_1_1_1__2_MassOfWasteFromVolume(G35,H35)</f>
        <v>0</v>
      </c>
    </row>
    <row r="36" spans="4:9" ht="20.100000000000001" customHeight="1" x14ac:dyDescent="0.25">
      <c r="D36" s="49" t="str">
        <v>Incineration</v>
      </c>
      <c r="E36" s="51" t="str">
        <v>Sludge</v>
      </c>
      <c r="F36" s="73"/>
      <c r="G36" s="28" cm="1">
        <f t="array" ref="G36">WasteSolid_InputFunctions.WasteSolid_InputFunctions_SumWasteTreatment(Table_Input_SolidWaste[Treatment type (select)],Table_Input_SolidWaste[Waste type (select)],Table_Input_SolidWaste[Treatment location (select)],Table_Input_SolidWaste[Amount unit (select)],Table_Input_SolidWaste[Amount],D36,E36, "Treated on-site", "cubic metres m3")</f>
        <v>0</v>
      </c>
      <c r="H36" s="28" cm="1">
        <f t="array" ref="H36">Common_InputFunctions.Utility_LookupValueInTableNumber(E36,Table_SourceData_WasteSolid_VolumeToMassConversion[Waste type w],Table_SourceData_WasteSolid_VolumeToMassConversion[VTMw])</f>
        <v>0.72</v>
      </c>
      <c r="I36" s="28" cm="1">
        <f t="array" ref="I36">WasteSolid_Equations.VEERG_10_1_1_1__2_MassOfWasteFromVolume(G36,H36)</f>
        <v>0</v>
      </c>
    </row>
    <row r="37" spans="4:9" ht="20.100000000000001" customHeight="1" x14ac:dyDescent="0.25">
      <c r="D37" s="49" t="str">
        <v>Incineration</v>
      </c>
      <c r="E37" s="51" t="str">
        <v>Paper and cardboard</v>
      </c>
      <c r="F37" s="73"/>
      <c r="G37" s="28" cm="1">
        <f t="array" ref="G37">WasteSolid_InputFunctions.WasteSolid_InputFunctions_SumWasteTreatment(Table_Input_SolidWaste[Treatment type (select)],Table_Input_SolidWaste[Waste type (select)],Table_Input_SolidWaste[Treatment location (select)],Table_Input_SolidWaste[Amount unit (select)],Table_Input_SolidWaste[Amount],D37,E37, "Treated on-site", "cubic metres m3")</f>
        <v>50</v>
      </c>
      <c r="H37" s="28" cm="1">
        <f t="array" ref="H37">Common_InputFunctions.Utility_LookupValueInTableNumber(E37,Table_SourceData_WasteSolid_VolumeToMassConversion[Waste type w],Table_SourceData_WasteSolid_VolumeToMassConversion[VTMw])</f>
        <v>0.09</v>
      </c>
      <c r="I37" s="28" cm="1">
        <f t="array" ref="I37">WasteSolid_Equations.VEERG_10_1_1_1__2_MassOfWasteFromVolume(G37,H37)</f>
        <v>4.5</v>
      </c>
    </row>
    <row r="38" spans="4:9" ht="20.100000000000001" customHeight="1" x14ac:dyDescent="0.25">
      <c r="D38" s="49" t="str">
        <v>Incineration</v>
      </c>
      <c r="E38" s="51" t="str">
        <v>Textiles</v>
      </c>
      <c r="F38" s="73"/>
      <c r="G38" s="28" cm="1">
        <f t="array" ref="G38">WasteSolid_InputFunctions.WasteSolid_InputFunctions_SumWasteTreatment(Table_Input_SolidWaste[Treatment type (select)],Table_Input_SolidWaste[Waste type (select)],Table_Input_SolidWaste[Treatment location (select)],Table_Input_SolidWaste[Amount unit (select)],Table_Input_SolidWaste[Amount],D38,E38, "Treated on-site", "cubic metres m3")</f>
        <v>0</v>
      </c>
      <c r="H38" s="28" cm="1">
        <f t="array" ref="H38">Common_InputFunctions.Utility_LookupValueInTableNumber(E38,Table_SourceData_WasteSolid_VolumeToMassConversion[Waste type w],Table_SourceData_WasteSolid_VolumeToMassConversion[VTMw])</f>
        <v>0.14000000000000001</v>
      </c>
      <c r="I38" s="28" cm="1">
        <f t="array" ref="I38">WasteSolid_Equations.VEERG_10_1_1_1__2_MassOfWasteFromVolume(G38,H38)</f>
        <v>0</v>
      </c>
    </row>
    <row r="39" spans="4:9" ht="20.100000000000001" customHeight="1" x14ac:dyDescent="0.25">
      <c r="D39" s="49" t="str">
        <v>Incineration</v>
      </c>
      <c r="E39" s="51" t="str">
        <v>Rubber and leather</v>
      </c>
      <c r="F39" s="73"/>
      <c r="G39" s="28" cm="1">
        <f t="array" ref="G39">WasteSolid_InputFunctions.WasteSolid_InputFunctions_SumWasteTreatment(Table_Input_SolidWaste[Treatment type (select)],Table_Input_SolidWaste[Waste type (select)],Table_Input_SolidWaste[Treatment location (select)],Table_Input_SolidWaste[Amount unit (select)],Table_Input_SolidWaste[Amount],D39,E39, "Treated on-site", "cubic metres m3")</f>
        <v>0</v>
      </c>
      <c r="H39" s="28" cm="1">
        <f t="array" ref="H39">Common_InputFunctions.Utility_LookupValueInTableNumber(E39,Table_SourceData_WasteSolid_VolumeToMassConversion[Waste type w],Table_SourceData_WasteSolid_VolumeToMassConversion[VTMw])</f>
        <v>0.14000000000000001</v>
      </c>
      <c r="I39" s="28" cm="1">
        <f t="array" ref="I39">WasteSolid_Equations.VEERG_10_1_1_1__2_MassOfWasteFromVolume(G39,H39)</f>
        <v>0</v>
      </c>
    </row>
    <row r="40" spans="4:9" ht="20.100000000000001" customHeight="1" x14ac:dyDescent="0.25">
      <c r="D40" s="49" t="str">
        <v>Incineration</v>
      </c>
      <c r="E40" s="49" t="str">
        <v>Inert waste (including concrete, metal, plastic or glass)</v>
      </c>
      <c r="F40" s="49"/>
      <c r="G40" s="28" cm="1">
        <f t="array" ref="G40">WasteSolid_InputFunctions.WasteSolid_InputFunctions_SumWasteTreatment(Table_Input_SolidWaste[Treatment type (select)],Table_Input_SolidWaste[Waste type (select)],Table_Input_SolidWaste[Treatment location (select)],Table_Input_SolidWaste[Amount unit (select)],Table_Input_SolidWaste[Amount],D40,E40, "Treated on-site", "cubic metres m3")</f>
        <v>0</v>
      </c>
      <c r="H40" s="28" cm="1">
        <f t="array" ref="H40">Common_InputFunctions.Utility_LookupValueInTableNumber(E40,Table_SourceData_WasteSolid_VolumeToMassConversion[Waste type w],Table_SourceData_WasteSolid_VolumeToMassConversion[VTMw])</f>
        <v>0.42</v>
      </c>
      <c r="I40" s="28" cm="1">
        <f t="array" ref="I40">WasteSolid_Equations.VEERG_10_1_1_1__2_MassOfWasteFromVolume(G40,H40)</f>
        <v>0</v>
      </c>
    </row>
    <row r="41" spans="4:9" ht="20.100000000000001" customHeight="1" x14ac:dyDescent="0.25">
      <c r="D41" s="49" t="str">
        <v>Incineration</v>
      </c>
      <c r="E41" s="51" t="str">
        <v>Municipal solid waste</v>
      </c>
      <c r="F41" s="50"/>
      <c r="G41" s="28" cm="1">
        <f t="array" ref="G41">WasteSolid_InputFunctions.WasteSolid_InputFunctions_SumWasteTreatment(Table_Input_SolidWaste[Treatment type (select)],Table_Input_SolidWaste[Waste type (select)],Table_Input_SolidWaste[Treatment location (select)],Table_Input_SolidWaste[Amount unit (select)],Table_Input_SolidWaste[Amount],D41,E41, "Treated on-site", "cubic metres m3")</f>
        <v>0</v>
      </c>
      <c r="H41" s="28" cm="1">
        <f t="array" ref="H41">Common_InputFunctions.Utility_LookupValueInTableNumber(E41,Table_SourceData_WasteSolid_VolumeToMassConversion[Waste type w],Table_SourceData_WasteSolid_VolumeToMassConversion[VTMw])</f>
        <v>0.36</v>
      </c>
      <c r="I41" s="28" cm="1">
        <f t="array" ref="I41">WasteSolid_Equations.VEERG_10_1_1_1__2_MassOfWasteFromVolume(G41,H41)</f>
        <v>0</v>
      </c>
    </row>
    <row r="42" spans="4:9" ht="20.100000000000001" customHeight="1" x14ac:dyDescent="0.25">
      <c r="D42" s="49" t="str">
        <v>Incineration</v>
      </c>
      <c r="E42" s="51" t="str">
        <v>Commercial and industrial waste</v>
      </c>
      <c r="F42" s="50"/>
      <c r="G42" s="28" cm="1">
        <f t="array" ref="G42">WasteSolid_InputFunctions.WasteSolid_InputFunctions_SumWasteTreatment(Table_Input_SolidWaste[Treatment type (select)],Table_Input_SolidWaste[Waste type (select)],Table_Input_SolidWaste[Treatment location (select)],Table_Input_SolidWaste[Amount unit (select)],Table_Input_SolidWaste[Amount],D42,E42, "Treated on-site", "cubic metres m3")</f>
        <v>0</v>
      </c>
      <c r="H42" s="28" cm="1">
        <f t="array" ref="H42">Common_InputFunctions.Utility_LookupValueInTableNumber(E42,Table_SourceData_WasteSolid_VolumeToMassConversion[Waste type w],Table_SourceData_WasteSolid_VolumeToMassConversion[VTMw])</f>
        <v>0.33</v>
      </c>
      <c r="I42" s="28" cm="1">
        <f t="array" ref="I42">WasteSolid_Equations.VEERG_10_1_1_1__2_MassOfWasteFromVolume(G42,H42)</f>
        <v>0</v>
      </c>
    </row>
    <row r="43" spans="4:9" ht="20.100000000000001" customHeight="1" x14ac:dyDescent="0.25">
      <c r="D43" s="49" t="str">
        <v>Composting</v>
      </c>
      <c r="E43" s="51" t="str">
        <v>All organic waste</v>
      </c>
      <c r="F43" s="50"/>
      <c r="G43" s="28" t="s">
        <v>150</v>
      </c>
      <c r="H43" s="28" t="s">
        <v>150</v>
      </c>
      <c r="I43" s="28" t="s">
        <v>150</v>
      </c>
    </row>
    <row r="44" spans="4:9" ht="20.100000000000001" customHeight="1" x14ac:dyDescent="0.25">
      <c r="D44" s="49" t="str">
        <v>Composting</v>
      </c>
      <c r="E44" s="51" t="str">
        <v>Food waste (including animal carcasses, spoiled animal feed or crop)</v>
      </c>
      <c r="F44" s="50"/>
      <c r="G44" s="28" cm="1">
        <f t="array" ref="G44">WasteSolid_InputFunctions.WasteSolid_InputFunctions_SumWasteTreatment(Table_Input_SolidWaste[Treatment type (select)],Table_Input_SolidWaste[Waste type (select)],Table_Input_SolidWaste[Treatment location (select)],Table_Input_SolidWaste[Amount unit (select)],Table_Input_SolidWaste[Amount],D44,E44, "Treated on-site", "cubic metres m3")</f>
        <v>50</v>
      </c>
      <c r="H44" s="28" cm="1">
        <f t="array" ref="H44">Common_InputFunctions.Utility_LookupValueInTableNumber(E44,Table_SourceData_WasteSolid_VolumeToMassConversion[Waste type w],Table_SourceData_WasteSolid_VolumeToMassConversion[VTMw])</f>
        <v>0.5</v>
      </c>
      <c r="I44" s="28" cm="1">
        <f t="array" ref="I44">WasteSolid_Equations.VEERG_10_1_1_1__2_MassOfWasteFromVolume(G44,H44)</f>
        <v>25</v>
      </c>
    </row>
    <row r="45" spans="4:9" ht="20.100000000000001" customHeight="1" x14ac:dyDescent="0.25">
      <c r="D45" s="49" t="str">
        <v>Composting</v>
      </c>
      <c r="E45" s="51" t="str">
        <v>Green waste (including crop residues or prunings)</v>
      </c>
      <c r="F45" s="50"/>
      <c r="G45" s="28" cm="1">
        <f t="array" ref="G45">WasteSolid_InputFunctions.WasteSolid_InputFunctions_SumWasteTreatment(Table_Input_SolidWaste[Treatment type (select)],Table_Input_SolidWaste[Waste type (select)],Table_Input_SolidWaste[Treatment location (select)],Table_Input_SolidWaste[Amount unit (select)],Table_Input_SolidWaste[Amount],D45,E45, "Treated on-site", "cubic metres m3")</f>
        <v>0</v>
      </c>
      <c r="H45" s="28" cm="1">
        <f t="array" ref="H45">Common_InputFunctions.Utility_LookupValueInTableNumber(E45,Table_SourceData_WasteSolid_VolumeToMassConversion[Waste type w],Table_SourceData_WasteSolid_VolumeToMassConversion[VTMw])</f>
        <v>0.24</v>
      </c>
      <c r="I45" s="28" cm="1">
        <f t="array" ref="I45">WasteSolid_Equations.VEERG_10_1_1_1__2_MassOfWasteFromVolume(G45,H45)</f>
        <v>0</v>
      </c>
    </row>
    <row r="46" spans="4:9" ht="20.100000000000001" customHeight="1" x14ac:dyDescent="0.25">
      <c r="D46" s="49" t="str">
        <v>Composting</v>
      </c>
      <c r="E46" s="51" t="str">
        <v>Wood</v>
      </c>
      <c r="F46" s="50"/>
      <c r="G46" s="28" cm="1">
        <f t="array" ref="G46">WasteSolid_InputFunctions.WasteSolid_InputFunctions_SumWasteTreatment(Table_Input_SolidWaste[Treatment type (select)],Table_Input_SolidWaste[Waste type (select)],Table_Input_SolidWaste[Treatment location (select)],Table_Input_SolidWaste[Amount unit (select)],Table_Input_SolidWaste[Amount],D46,E46, "Treated on-site", "cubic metres m3")</f>
        <v>0</v>
      </c>
      <c r="H46" s="28" cm="1">
        <f t="array" ref="H46">Common_InputFunctions.Utility_LookupValueInTableNumber(E46,Table_SourceData_WasteSolid_VolumeToMassConversion[Waste type w],Table_SourceData_WasteSolid_VolumeToMassConversion[VTMw])</f>
        <v>0.15</v>
      </c>
      <c r="I46" s="28" cm="1">
        <f t="array" ref="I46">WasteSolid_Equations.VEERG_10_1_1_1__2_MassOfWasteFromVolume(G46,H46)</f>
        <v>0</v>
      </c>
    </row>
    <row r="47" spans="4:9" ht="20.100000000000001" customHeight="1" x14ac:dyDescent="0.25">
      <c r="D47" s="49" t="str">
        <v>Composting</v>
      </c>
      <c r="E47" s="51" t="str">
        <v>Sludge</v>
      </c>
      <c r="F47" s="50"/>
      <c r="G47" s="28" cm="1">
        <f t="array" ref="G47">WasteSolid_InputFunctions.WasteSolid_InputFunctions_SumWasteTreatment(Table_Input_SolidWaste[Treatment type (select)],Table_Input_SolidWaste[Waste type (select)],Table_Input_SolidWaste[Treatment location (select)],Table_Input_SolidWaste[Amount unit (select)],Table_Input_SolidWaste[Amount],D47,E47, "Treated on-site", "cubic metres m3")</f>
        <v>0</v>
      </c>
      <c r="H47" s="28" cm="1">
        <f t="array" ref="H47">Common_InputFunctions.Utility_LookupValueInTableNumber(E47,Table_SourceData_WasteSolid_VolumeToMassConversion[Waste type w],Table_SourceData_WasteSolid_VolumeToMassConversion[VTMw])</f>
        <v>0.72</v>
      </c>
      <c r="I47" s="28" cm="1">
        <f t="array" ref="I47">WasteSolid_Equations.VEERG_10_1_1_1__2_MassOfWasteFromVolume(G47,H47)</f>
        <v>0</v>
      </c>
    </row>
    <row r="48" spans="4:9" ht="20.100000000000001" customHeight="1" x14ac:dyDescent="0.25">
      <c r="D48" s="49" t="str">
        <v>Composting</v>
      </c>
      <c r="E48" s="51" t="str">
        <v>Paper and cardboard</v>
      </c>
      <c r="F48" s="50"/>
      <c r="G48" s="28" cm="1">
        <f t="array" ref="G48">WasteSolid_InputFunctions.WasteSolid_InputFunctions_SumWasteTreatment(Table_Input_SolidWaste[Treatment type (select)],Table_Input_SolidWaste[Waste type (select)],Table_Input_SolidWaste[Treatment location (select)],Table_Input_SolidWaste[Amount unit (select)],Table_Input_SolidWaste[Amount],D48,E48, "Treated on-site", "cubic metres m3")</f>
        <v>50</v>
      </c>
      <c r="H48" s="28" cm="1">
        <f t="array" ref="H48">Common_InputFunctions.Utility_LookupValueInTableNumber(E48,Table_SourceData_WasteSolid_VolumeToMassConversion[Waste type w],Table_SourceData_WasteSolid_VolumeToMassConversion[VTMw])</f>
        <v>0.09</v>
      </c>
      <c r="I48" s="28" cm="1">
        <f t="array" ref="I48">WasteSolid_Equations.VEERG_10_1_1_1__2_MassOfWasteFromVolume(G48,H48)</f>
        <v>4.5</v>
      </c>
    </row>
    <row r="49" spans="4:9" ht="20.100000000000001" customHeight="1" x14ac:dyDescent="0.25">
      <c r="D49" s="49" t="str">
        <v>Anaerobic digestion</v>
      </c>
      <c r="E49" s="51" t="str">
        <v>All organic waste</v>
      </c>
      <c r="F49" s="50"/>
      <c r="G49" s="28" t="s">
        <v>150</v>
      </c>
      <c r="H49" s="28" t="s">
        <v>150</v>
      </c>
      <c r="I49" s="28" t="s">
        <v>150</v>
      </c>
    </row>
    <row r="50" spans="4:9" ht="20.100000000000001" customHeight="1" x14ac:dyDescent="0.25">
      <c r="D50" s="49" t="str">
        <v>Anaerobic digestion</v>
      </c>
      <c r="E50" s="51" t="str">
        <v>Food waste (including animal carcasses, spoiled animal feed or crop)</v>
      </c>
      <c r="F50" s="50"/>
      <c r="G50" s="28" cm="1">
        <f t="array" ref="G50">WasteSolid_InputFunctions.WasteSolid_InputFunctions_SumWasteTreatment(Table_Input_SolidWaste[Treatment type (select)],Table_Input_SolidWaste[Waste type (select)],Table_Input_SolidWaste[Treatment location (select)],Table_Input_SolidWaste[Amount unit (select)],Table_Input_SolidWaste[Amount],D50,E50, "Treated on-site", "cubic metres m3")</f>
        <v>0</v>
      </c>
      <c r="H50" s="28" cm="1">
        <f t="array" ref="H50">Common_InputFunctions.Utility_LookupValueInTableNumber(E50,Table_SourceData_WasteSolid_VolumeToMassConversion[Waste type w],Table_SourceData_WasteSolid_VolumeToMassConversion[VTMw])</f>
        <v>0.5</v>
      </c>
      <c r="I50" s="28" cm="1">
        <f t="array" ref="I50">WasteSolid_Equations.VEERG_10_1_1_1__2_MassOfWasteFromVolume(G50,H50)</f>
        <v>0</v>
      </c>
    </row>
    <row r="51" spans="4:9" ht="20.100000000000001" customHeight="1" x14ac:dyDescent="0.25">
      <c r="D51" s="49" t="str">
        <v>Anaerobic digestion</v>
      </c>
      <c r="E51" s="51" t="str">
        <v>Green waste (including crop residues or prunings)</v>
      </c>
      <c r="F51" s="50"/>
      <c r="G51" s="28" cm="1">
        <f t="array" ref="G51">WasteSolid_InputFunctions.WasteSolid_InputFunctions_SumWasteTreatment(Table_Input_SolidWaste[Treatment type (select)],Table_Input_SolidWaste[Waste type (select)],Table_Input_SolidWaste[Treatment location (select)],Table_Input_SolidWaste[Amount unit (select)],Table_Input_SolidWaste[Amount],D51,E51, "Treated on-site", "cubic metres m3")</f>
        <v>0</v>
      </c>
      <c r="H51" s="28" cm="1">
        <f t="array" ref="H51">Common_InputFunctions.Utility_LookupValueInTableNumber(E51,Table_SourceData_WasteSolid_VolumeToMassConversion[Waste type w],Table_SourceData_WasteSolid_VolumeToMassConversion[VTMw])</f>
        <v>0.24</v>
      </c>
      <c r="I51" s="28" cm="1">
        <f t="array" ref="I51">WasteSolid_Equations.VEERG_10_1_1_1__2_MassOfWasteFromVolume(G51,H51)</f>
        <v>0</v>
      </c>
    </row>
    <row r="52" spans="4:9" ht="20.100000000000001" customHeight="1" x14ac:dyDescent="0.25">
      <c r="D52" s="49" t="str">
        <v>Anaerobic digestion</v>
      </c>
      <c r="E52" s="51" t="str">
        <v>Wood</v>
      </c>
      <c r="F52" s="50"/>
      <c r="G52" s="28" cm="1">
        <f t="array" ref="G52">WasteSolid_InputFunctions.WasteSolid_InputFunctions_SumWasteTreatment(Table_Input_SolidWaste[Treatment type (select)],Table_Input_SolidWaste[Waste type (select)],Table_Input_SolidWaste[Treatment location (select)],Table_Input_SolidWaste[Amount unit (select)],Table_Input_SolidWaste[Amount],D52,E52, "Treated on-site", "cubic metres m3")</f>
        <v>0</v>
      </c>
      <c r="H52" s="28" cm="1">
        <f t="array" ref="H52">Common_InputFunctions.Utility_LookupValueInTableNumber(E52,Table_SourceData_WasteSolid_VolumeToMassConversion[Waste type w],Table_SourceData_WasteSolid_VolumeToMassConversion[VTMw])</f>
        <v>0.15</v>
      </c>
      <c r="I52" s="28" cm="1">
        <f t="array" ref="I52">WasteSolid_Equations.VEERG_10_1_1_1__2_MassOfWasteFromVolume(G52,H52)</f>
        <v>0</v>
      </c>
    </row>
    <row r="53" spans="4:9" ht="20.100000000000001" customHeight="1" x14ac:dyDescent="0.25">
      <c r="D53" s="49" t="str">
        <v>Anaerobic digestion</v>
      </c>
      <c r="E53" s="51" t="str">
        <v>Sludge</v>
      </c>
      <c r="F53" s="50"/>
      <c r="G53" s="28" cm="1">
        <f t="array" ref="G53">WasteSolid_InputFunctions.WasteSolid_InputFunctions_SumWasteTreatment(Table_Input_SolidWaste[Treatment type (select)],Table_Input_SolidWaste[Waste type (select)],Table_Input_SolidWaste[Treatment location (select)],Table_Input_SolidWaste[Amount unit (select)],Table_Input_SolidWaste[Amount],D53,E53, "Treated on-site", "cubic metres m3")</f>
        <v>0</v>
      </c>
      <c r="H53" s="28" cm="1">
        <f t="array" ref="H53">Common_InputFunctions.Utility_LookupValueInTableNumber(E53,Table_SourceData_WasteSolid_VolumeToMassConversion[Waste type w],Table_SourceData_WasteSolid_VolumeToMassConversion[VTMw])</f>
        <v>0.72</v>
      </c>
      <c r="I53" s="28" cm="1">
        <f t="array" ref="I53">WasteSolid_Equations.VEERG_10_1_1_1__2_MassOfWasteFromVolume(G53,H53)</f>
        <v>0</v>
      </c>
    </row>
    <row r="54" spans="4:9" ht="20.100000000000001" customHeight="1" x14ac:dyDescent="0.25">
      <c r="D54" s="49" t="str">
        <v>Anaerobic digestion</v>
      </c>
      <c r="E54" s="51" t="str">
        <v>Paper and cardboard</v>
      </c>
      <c r="F54" s="50"/>
      <c r="G54" s="28" cm="1">
        <f t="array" ref="G54">WasteSolid_InputFunctions.WasteSolid_InputFunctions_SumWasteTreatment(Table_Input_SolidWaste[Treatment type (select)],Table_Input_SolidWaste[Waste type (select)],Table_Input_SolidWaste[Treatment location (select)],Table_Input_SolidWaste[Amount unit (select)],Table_Input_SolidWaste[Amount],D54,E54, "Treated on-site", "cubic metres m3")</f>
        <v>0</v>
      </c>
      <c r="H54" s="28" cm="1">
        <f t="array" ref="H54">Common_InputFunctions.Utility_LookupValueInTableNumber(E54,Table_SourceData_WasteSolid_VolumeToMassConversion[Waste type w],Table_SourceData_WasteSolid_VolumeToMassConversion[VTMw])</f>
        <v>0.09</v>
      </c>
      <c r="I54" s="28" cm="1">
        <f t="array" ref="I54">WasteSolid_Equations.VEERG_10_1_1_1__2_MassOfWasteFromVolume(G54,H54)</f>
        <v>0</v>
      </c>
    </row>
    <row r="55" spans="4:9" ht="20.100000000000001" customHeight="1" x14ac:dyDescent="0.25"/>
    <row r="56" spans="4:9" ht="20.100000000000001" customHeight="1" x14ac:dyDescent="0.25">
      <c r="D56" s="70" t="s">
        <v>118</v>
      </c>
    </row>
    <row r="57" spans="4:9" ht="20.100000000000001" customHeight="1" x14ac:dyDescent="0.25">
      <c r="D57" s="71" t="s">
        <v>121</v>
      </c>
    </row>
    <row r="58" spans="4:9" ht="20.100000000000001" customHeight="1" x14ac:dyDescent="0.25">
      <c r="D58" s="67" t="s">
        <v>94</v>
      </c>
      <c r="E58" s="67" t="s">
        <v>95</v>
      </c>
      <c r="F58" s="67"/>
      <c r="G58" s="67" t="s">
        <v>96</v>
      </c>
      <c r="H58" s="72" t="s">
        <v>98</v>
      </c>
      <c r="I58" s="72" t="s">
        <v>97</v>
      </c>
    </row>
    <row r="59" spans="4:9" ht="20.100000000000001" customHeight="1" x14ac:dyDescent="0.25">
      <c r="D59" s="49" t="str" cm="1">
        <f t="array" ref="D59:D92">Table_SourceData_WasteSolid_WasteTreatmentEFs[Treatment type t]</f>
        <v>Landfill</v>
      </c>
      <c r="E59" s="51" t="str" cm="1">
        <f t="array" ref="E59:E92">Table_SourceData_WasteSolid_WasteTreatmentEFs[Waste type w]</f>
        <v>Food waste (including animal carcasses, spoiled animal feed or crop)</v>
      </c>
      <c r="F59" s="73"/>
      <c r="G59" s="28" cm="1">
        <f t="array" ref="G59">WasteSolid_InputFunctions.WasteSolid_InputFunctions_SumWasteTreatment(Table_Input_SolidWaste[Treatment type (select)],Table_Input_SolidWaste[Waste type (select)],Table_Input_SolidWaste[Treatment location (select)],Table_Input_SolidWaste[Amount unit (select)],Table_Input_SolidWaste[Amount],D59,E59, "Removed and treated off-site", "cubic metres m3")</f>
        <v>50</v>
      </c>
      <c r="H59" s="28" cm="1">
        <f t="array" ref="H59">Common_InputFunctions.Utility_LookupValueInTableNumber(E59,Table_SourceData_WasteSolid_VolumeToMassConversion[Waste type w],Table_SourceData_WasteSolid_VolumeToMassConversion[VTMw])</f>
        <v>0.5</v>
      </c>
      <c r="I59" s="28" cm="1">
        <f t="array" ref="I59">WasteSolid_Equations.VEERG_10_1_1_1__2_MassOfWasteFromVolume(G59,H59)</f>
        <v>25</v>
      </c>
    </row>
    <row r="60" spans="4:9" ht="20.100000000000001" customHeight="1" x14ac:dyDescent="0.25">
      <c r="D60" s="49" t="str">
        <v>Landfill</v>
      </c>
      <c r="E60" s="51" t="str">
        <v>Paper and cardboard</v>
      </c>
      <c r="F60" s="73"/>
      <c r="G60" s="28" cm="1">
        <f t="array" ref="G60">WasteSolid_InputFunctions.WasteSolid_InputFunctions_SumWasteTreatment(Table_Input_SolidWaste[Treatment type (select)],Table_Input_SolidWaste[Waste type (select)],Table_Input_SolidWaste[Treatment location (select)],Table_Input_SolidWaste[Amount unit (select)],Table_Input_SolidWaste[Amount],D60,E60, "Removed and treated off-site", "cubic metres m3")</f>
        <v>50</v>
      </c>
      <c r="H60" s="28" cm="1">
        <f t="array" ref="H60">Common_InputFunctions.Utility_LookupValueInTableNumber(E60,Table_SourceData_WasteSolid_VolumeToMassConversion[Waste type w],Table_SourceData_WasteSolid_VolumeToMassConversion[VTMw])</f>
        <v>0.09</v>
      </c>
      <c r="I60" s="28" cm="1">
        <f t="array" ref="I60">WasteSolid_Equations.VEERG_10_1_1_1__2_MassOfWasteFromVolume(G60,H60)</f>
        <v>4.5</v>
      </c>
    </row>
    <row r="61" spans="4:9" ht="20.100000000000001" customHeight="1" x14ac:dyDescent="0.25">
      <c r="D61" s="49" t="str">
        <v>Landfill</v>
      </c>
      <c r="E61" s="51" t="str">
        <v>Green waste (including crop residues or prunings)</v>
      </c>
      <c r="F61" s="73"/>
      <c r="G61" s="28" cm="1">
        <f t="array" ref="G61">WasteSolid_InputFunctions.WasteSolid_InputFunctions_SumWasteTreatment(Table_Input_SolidWaste[Treatment type (select)],Table_Input_SolidWaste[Waste type (select)],Table_Input_SolidWaste[Treatment location (select)],Table_Input_SolidWaste[Amount unit (select)],Table_Input_SolidWaste[Amount],D61,E61, "Removed and treated off-site", "cubic metres m3")</f>
        <v>50</v>
      </c>
      <c r="H61" s="28" cm="1">
        <f t="array" ref="H61">Common_InputFunctions.Utility_LookupValueInTableNumber(E61,Table_SourceData_WasteSolid_VolumeToMassConversion[Waste type w],Table_SourceData_WasteSolid_VolumeToMassConversion[VTMw])</f>
        <v>0.24</v>
      </c>
      <c r="I61" s="28" cm="1">
        <f t="array" ref="I61">WasteSolid_Equations.VEERG_10_1_1_1__2_MassOfWasteFromVolume(G61,H61)</f>
        <v>12</v>
      </c>
    </row>
    <row r="62" spans="4:9" ht="20.100000000000001" customHeight="1" x14ac:dyDescent="0.25">
      <c r="D62" s="49" t="str">
        <v>Landfill</v>
      </c>
      <c r="E62" s="51" t="str">
        <v>Wood</v>
      </c>
      <c r="F62" s="73"/>
      <c r="G62" s="28" cm="1">
        <f t="array" ref="G62">WasteSolid_InputFunctions.WasteSolid_InputFunctions_SumWasteTreatment(Table_Input_SolidWaste[Treatment type (select)],Table_Input_SolidWaste[Waste type (select)],Table_Input_SolidWaste[Treatment location (select)],Table_Input_SolidWaste[Amount unit (select)],Table_Input_SolidWaste[Amount],D62,E62, "Removed and treated off-site", "cubic metres m3")</f>
        <v>0</v>
      </c>
      <c r="H62" s="28" cm="1">
        <f t="array" ref="H62">Common_InputFunctions.Utility_LookupValueInTableNumber(E62,Table_SourceData_WasteSolid_VolumeToMassConversion[Waste type w],Table_SourceData_WasteSolid_VolumeToMassConversion[VTMw])</f>
        <v>0.15</v>
      </c>
      <c r="I62" s="28" cm="1">
        <f t="array" ref="I62">WasteSolid_Equations.VEERG_10_1_1_1__2_MassOfWasteFromVolume(G62,H62)</f>
        <v>0</v>
      </c>
    </row>
    <row r="63" spans="4:9" ht="20.100000000000001" customHeight="1" x14ac:dyDescent="0.25">
      <c r="D63" s="49" t="str">
        <v>Landfill</v>
      </c>
      <c r="E63" s="51" t="str">
        <v>Textiles</v>
      </c>
      <c r="F63" s="73"/>
      <c r="G63" s="28" cm="1">
        <f t="array" ref="G63">WasteSolid_InputFunctions.WasteSolid_InputFunctions_SumWasteTreatment(Table_Input_SolidWaste[Treatment type (select)],Table_Input_SolidWaste[Waste type (select)],Table_Input_SolidWaste[Treatment location (select)],Table_Input_SolidWaste[Amount unit (select)],Table_Input_SolidWaste[Amount],D63,E63, "Removed and treated off-site", "cubic metres m3")</f>
        <v>0</v>
      </c>
      <c r="H63" s="28" cm="1">
        <f t="array" ref="H63">Common_InputFunctions.Utility_LookupValueInTableNumber(E63,Table_SourceData_WasteSolid_VolumeToMassConversion[Waste type w],Table_SourceData_WasteSolid_VolumeToMassConversion[VTMw])</f>
        <v>0.14000000000000001</v>
      </c>
      <c r="I63" s="28" cm="1">
        <f t="array" ref="I63">WasteSolid_Equations.VEERG_10_1_1_1__2_MassOfWasteFromVolume(G63,H63)</f>
        <v>0</v>
      </c>
    </row>
    <row r="64" spans="4:9" ht="20.100000000000001" customHeight="1" x14ac:dyDescent="0.25">
      <c r="D64" s="49" t="str">
        <v>Landfill</v>
      </c>
      <c r="E64" s="51" t="str">
        <v>Sludge</v>
      </c>
      <c r="F64" s="73"/>
      <c r="G64" s="28" cm="1">
        <f t="array" ref="G64">WasteSolid_InputFunctions.WasteSolid_InputFunctions_SumWasteTreatment(Table_Input_SolidWaste[Treatment type (select)],Table_Input_SolidWaste[Waste type (select)],Table_Input_SolidWaste[Treatment location (select)],Table_Input_SolidWaste[Amount unit (select)],Table_Input_SolidWaste[Amount],D64,E64, "Removed and treated off-site", "cubic metres m3")</f>
        <v>0</v>
      </c>
      <c r="H64" s="28" cm="1">
        <f t="array" ref="H64">Common_InputFunctions.Utility_LookupValueInTableNumber(E64,Table_SourceData_WasteSolid_VolumeToMassConversion[Waste type w],Table_SourceData_WasteSolid_VolumeToMassConversion[VTMw])</f>
        <v>0.72</v>
      </c>
      <c r="I64" s="28" cm="1">
        <f t="array" ref="I64">WasteSolid_Equations.VEERG_10_1_1_1__2_MassOfWasteFromVolume(G64,H64)</f>
        <v>0</v>
      </c>
    </row>
    <row r="65" spans="1:9" ht="20.100000000000001" customHeight="1" x14ac:dyDescent="0.25">
      <c r="D65" s="49" t="str">
        <v>Landfill</v>
      </c>
      <c r="E65" s="51" t="str">
        <v>Rubber and leather</v>
      </c>
      <c r="F65" s="73"/>
      <c r="G65" s="28" cm="1">
        <f t="array" ref="G65">WasteSolid_InputFunctions.WasteSolid_InputFunctions_SumWasteTreatment(Table_Input_SolidWaste[Treatment type (select)],Table_Input_SolidWaste[Waste type (select)],Table_Input_SolidWaste[Treatment location (select)],Table_Input_SolidWaste[Amount unit (select)],Table_Input_SolidWaste[Amount],D65,E65, "Removed and treated off-site", "cubic metres m3")</f>
        <v>0</v>
      </c>
      <c r="H65" s="28" cm="1">
        <f t="array" ref="H65">Common_InputFunctions.Utility_LookupValueInTableNumber(E65,Table_SourceData_WasteSolid_VolumeToMassConversion[Waste type w],Table_SourceData_WasteSolid_VolumeToMassConversion[VTMw])</f>
        <v>0.14000000000000001</v>
      </c>
      <c r="I65" s="28" cm="1">
        <f t="array" ref="I65">WasteSolid_Equations.VEERG_10_1_1_1__2_MassOfWasteFromVolume(G65,H65)</f>
        <v>0</v>
      </c>
    </row>
    <row r="66" spans="1:9" ht="20.100000000000001" customHeight="1" x14ac:dyDescent="0.25">
      <c r="A66" s="52" t="str">
        <f>HYPERLINK("#A1", "▲ Back to top")</f>
        <v>▲ Back to top</v>
      </c>
      <c r="D66" s="49" t="str">
        <v>Landfill</v>
      </c>
      <c r="E66" s="51" t="str">
        <v>Inert waste (including concrete, metal, plastic or glass)</v>
      </c>
      <c r="F66" s="73"/>
      <c r="G66" s="28" cm="1">
        <f t="array" ref="G66">WasteSolid_InputFunctions.WasteSolid_InputFunctions_SumWasteTreatment(Table_Input_SolidWaste[Treatment type (select)],Table_Input_SolidWaste[Waste type (select)],Table_Input_SolidWaste[Treatment location (select)],Table_Input_SolidWaste[Amount unit (select)],Table_Input_SolidWaste[Amount],D66,E66, "Removed and treated off-site", "cubic metres m3")</f>
        <v>0</v>
      </c>
      <c r="H66" s="28" cm="1">
        <f t="array" ref="H66">Common_InputFunctions.Utility_LookupValueInTableNumber(E66,Table_SourceData_WasteSolid_VolumeToMassConversion[Waste type w],Table_SourceData_WasteSolid_VolumeToMassConversion[VTMw])</f>
        <v>0.42</v>
      </c>
      <c r="I66" s="28" cm="1">
        <f t="array" ref="I66">WasteSolid_Equations.VEERG_10_1_1_1__2_MassOfWasteFromVolume(G66,H66)</f>
        <v>0</v>
      </c>
    </row>
    <row r="67" spans="1:9" ht="20.100000000000001" customHeight="1" x14ac:dyDescent="0.25">
      <c r="D67" s="49" t="str">
        <v>Landfill</v>
      </c>
      <c r="E67" s="51" t="str">
        <v>Municipal solid waste</v>
      </c>
      <c r="F67" s="73"/>
      <c r="G67" s="28" cm="1">
        <f t="array" ref="G67">WasteSolid_InputFunctions.WasteSolid_InputFunctions_SumWasteTreatment(Table_Input_SolidWaste[Treatment type (select)],Table_Input_SolidWaste[Waste type (select)],Table_Input_SolidWaste[Treatment location (select)],Table_Input_SolidWaste[Amount unit (select)],Table_Input_SolidWaste[Amount],D67,E67, "Removed and treated off-site", "cubic metres m3")</f>
        <v>0</v>
      </c>
      <c r="H67" s="28" cm="1">
        <f t="array" ref="H67">Common_InputFunctions.Utility_LookupValueInTableNumber(E67,Table_SourceData_WasteSolid_VolumeToMassConversion[Waste type w],Table_SourceData_WasteSolid_VolumeToMassConversion[VTMw])</f>
        <v>0.36</v>
      </c>
      <c r="I67" s="28" cm="1">
        <f t="array" ref="I67">WasteSolid_Equations.VEERG_10_1_1_1__2_MassOfWasteFromVolume(G67,H67)</f>
        <v>0</v>
      </c>
    </row>
    <row r="68" spans="1:9" ht="20.100000000000001" customHeight="1" x14ac:dyDescent="0.25">
      <c r="D68" s="49" t="str">
        <v>Landfill</v>
      </c>
      <c r="E68" s="51" t="str">
        <v>Commercial and industrial waste</v>
      </c>
      <c r="F68" s="73"/>
      <c r="G68" s="28" cm="1">
        <f t="array" ref="G68">WasteSolid_InputFunctions.WasteSolid_InputFunctions_SumWasteTreatment(Table_Input_SolidWaste[Treatment type (select)],Table_Input_SolidWaste[Waste type (select)],Table_Input_SolidWaste[Treatment location (select)],Table_Input_SolidWaste[Amount unit (select)],Table_Input_SolidWaste[Amount],D68,E68, "Removed and treated off-site", "cubic metres m3")</f>
        <v>0</v>
      </c>
      <c r="H68" s="28" cm="1">
        <f t="array" ref="H68">Common_InputFunctions.Utility_LookupValueInTableNumber(E68,Table_SourceData_WasteSolid_VolumeToMassConversion[Waste type w],Table_SourceData_WasteSolid_VolumeToMassConversion[VTMw])</f>
        <v>0.33</v>
      </c>
      <c r="I68" s="28" cm="1">
        <f t="array" ref="I68">WasteSolid_Equations.VEERG_10_1_1_1__2_MassOfWasteFromVolume(G68,H68)</f>
        <v>0</v>
      </c>
    </row>
    <row r="69" spans="1:9" ht="20.100000000000001" customHeight="1" x14ac:dyDescent="0.25">
      <c r="D69" s="49" t="str">
        <v>Landfill</v>
      </c>
      <c r="E69" s="51" t="str">
        <v>Construction and demolition waste</v>
      </c>
      <c r="F69" s="73"/>
      <c r="G69" s="28" cm="1">
        <f t="array" ref="G69">WasteSolid_InputFunctions.WasteSolid_InputFunctions_SumWasteTreatment(Table_Input_SolidWaste[Treatment type (select)],Table_Input_SolidWaste[Waste type (select)],Table_Input_SolidWaste[Treatment location (select)],Table_Input_SolidWaste[Amount unit (select)],Table_Input_SolidWaste[Amount],D69,E69, "Removed and treated off-site", "cubic metres m3")</f>
        <v>0</v>
      </c>
      <c r="H69" s="28" cm="1">
        <f t="array" ref="H69">Common_InputFunctions.Utility_LookupValueInTableNumber(E69,Table_SourceData_WasteSolid_VolumeToMassConversion[Waste type w],Table_SourceData_WasteSolid_VolumeToMassConversion[VTMw])</f>
        <v>0.39</v>
      </c>
      <c r="I69" s="28" cm="1">
        <f t="array" ref="I69">WasteSolid_Equations.VEERG_10_1_1_1__2_MassOfWasteFromVolume(G69,H69)</f>
        <v>0</v>
      </c>
    </row>
    <row r="70" spans="1:9" ht="20.100000000000001" customHeight="1" x14ac:dyDescent="0.25">
      <c r="D70" s="49" t="str">
        <v>Incineration</v>
      </c>
      <c r="E70" s="51" t="str">
        <v>Food waste, green waste, wood, sludge</v>
      </c>
      <c r="F70" s="73"/>
      <c r="G70" s="28" t="s">
        <v>150</v>
      </c>
      <c r="H70" s="28" t="s">
        <v>150</v>
      </c>
      <c r="I70" s="28" t="s">
        <v>150</v>
      </c>
    </row>
    <row r="71" spans="1:9" ht="20.100000000000001" customHeight="1" x14ac:dyDescent="0.25">
      <c r="D71" s="49" t="str">
        <v>Incineration</v>
      </c>
      <c r="E71" s="51" t="str">
        <v>Food waste (including animal carcasses, spoiled animal feed or crop)</v>
      </c>
      <c r="F71" s="73"/>
      <c r="G71" s="28" cm="1">
        <f t="array" ref="G71">WasteSolid_InputFunctions.WasteSolid_InputFunctions_SumWasteTreatment(Table_Input_SolidWaste[Treatment type (select)],Table_Input_SolidWaste[Waste type (select)],Table_Input_SolidWaste[Treatment location (select)],Table_Input_SolidWaste[Amount unit (select)],Table_Input_SolidWaste[Amount],D71,E71, "Removed and treated off-site", "cubic metres m3")</f>
        <v>0</v>
      </c>
      <c r="H71" s="28" cm="1">
        <f t="array" ref="H71">Common_InputFunctions.Utility_LookupValueInTableNumber(E71,Table_SourceData_WasteSolid_VolumeToMassConversion[Waste type w],Table_SourceData_WasteSolid_VolumeToMassConversion[VTMw])</f>
        <v>0.5</v>
      </c>
      <c r="I71" s="28" cm="1">
        <f t="array" ref="I71">WasteSolid_Equations.VEERG_10_1_1_1__2_MassOfWasteFromVolume(G71,H71)</f>
        <v>0</v>
      </c>
    </row>
    <row r="72" spans="1:9" ht="20.100000000000001" customHeight="1" x14ac:dyDescent="0.25">
      <c r="D72" s="49" t="str">
        <v>Incineration</v>
      </c>
      <c r="E72" s="51" t="str">
        <v>Green waste (including crop residues or prunings)</v>
      </c>
      <c r="F72" s="73"/>
      <c r="G72" s="28" cm="1">
        <f t="array" ref="G72">WasteSolid_InputFunctions.WasteSolid_InputFunctions_SumWasteTreatment(Table_Input_SolidWaste[Treatment type (select)],Table_Input_SolidWaste[Waste type (select)],Table_Input_SolidWaste[Treatment location (select)],Table_Input_SolidWaste[Amount unit (select)],Table_Input_SolidWaste[Amount],D72,E72, "Removed and treated off-site", "cubic metres m3")</f>
        <v>50</v>
      </c>
      <c r="H72" s="28" cm="1">
        <f t="array" ref="H72">Common_InputFunctions.Utility_LookupValueInTableNumber(E72,Table_SourceData_WasteSolid_VolumeToMassConversion[Waste type w],Table_SourceData_WasteSolid_VolumeToMassConversion[VTMw])</f>
        <v>0.24</v>
      </c>
      <c r="I72" s="28" cm="1">
        <f t="array" ref="I72">WasteSolid_Equations.VEERG_10_1_1_1__2_MassOfWasteFromVolume(G72,H72)</f>
        <v>12</v>
      </c>
    </row>
    <row r="73" spans="1:9" ht="20.100000000000001" customHeight="1" x14ac:dyDescent="0.25">
      <c r="D73" s="49" t="str">
        <v>Incineration</v>
      </c>
      <c r="E73" s="51" t="str">
        <v>Wood</v>
      </c>
      <c r="F73" s="73"/>
      <c r="G73" s="28" cm="1">
        <f t="array" ref="G73">WasteSolid_InputFunctions.WasteSolid_InputFunctions_SumWasteTreatment(Table_Input_SolidWaste[Treatment type (select)],Table_Input_SolidWaste[Waste type (select)],Table_Input_SolidWaste[Treatment location (select)],Table_Input_SolidWaste[Amount unit (select)],Table_Input_SolidWaste[Amount],D73,E73, "Removed and treated off-site", "cubic metres m3")</f>
        <v>0</v>
      </c>
      <c r="H73" s="28" cm="1">
        <f t="array" ref="H73">Common_InputFunctions.Utility_LookupValueInTableNumber(E73,Table_SourceData_WasteSolid_VolumeToMassConversion[Waste type w],Table_SourceData_WasteSolid_VolumeToMassConversion[VTMw])</f>
        <v>0.15</v>
      </c>
      <c r="I73" s="28" cm="1">
        <f t="array" ref="I73">WasteSolid_Equations.VEERG_10_1_1_1__2_MassOfWasteFromVolume(G73,H73)</f>
        <v>0</v>
      </c>
    </row>
    <row r="74" spans="1:9" ht="20.100000000000001" customHeight="1" x14ac:dyDescent="0.25">
      <c r="D74" s="49" t="str">
        <v>Incineration</v>
      </c>
      <c r="E74" s="51" t="str">
        <v>Sludge</v>
      </c>
      <c r="F74" s="73"/>
      <c r="G74" s="28" cm="1">
        <f t="array" ref="G74">WasteSolid_InputFunctions.WasteSolid_InputFunctions_SumWasteTreatment(Table_Input_SolidWaste[Treatment type (select)],Table_Input_SolidWaste[Waste type (select)],Table_Input_SolidWaste[Treatment location (select)],Table_Input_SolidWaste[Amount unit (select)],Table_Input_SolidWaste[Amount],D74,E74, "Removed and treated off-site", "cubic metres m3")</f>
        <v>0</v>
      </c>
      <c r="H74" s="28" cm="1">
        <f t="array" ref="H74">Common_InputFunctions.Utility_LookupValueInTableNumber(E74,Table_SourceData_WasteSolid_VolumeToMassConversion[Waste type w],Table_SourceData_WasteSolid_VolumeToMassConversion[VTMw])</f>
        <v>0.72</v>
      </c>
      <c r="I74" s="28" cm="1">
        <f t="array" ref="I74">WasteSolid_Equations.VEERG_10_1_1_1__2_MassOfWasteFromVolume(G74,H74)</f>
        <v>0</v>
      </c>
    </row>
    <row r="75" spans="1:9" ht="20.100000000000001" customHeight="1" x14ac:dyDescent="0.25">
      <c r="D75" s="49" t="str">
        <v>Incineration</v>
      </c>
      <c r="E75" s="51" t="str">
        <v>Paper and cardboard</v>
      </c>
      <c r="F75" s="73"/>
      <c r="G75" s="28" cm="1">
        <f t="array" ref="G75">WasteSolid_InputFunctions.WasteSolid_InputFunctions_SumWasteTreatment(Table_Input_SolidWaste[Treatment type (select)],Table_Input_SolidWaste[Waste type (select)],Table_Input_SolidWaste[Treatment location (select)],Table_Input_SolidWaste[Amount unit (select)],Table_Input_SolidWaste[Amount],D75,E75, "Removed and treated off-site", "cubic metres m3")</f>
        <v>0</v>
      </c>
      <c r="H75" s="28" cm="1">
        <f t="array" ref="H75">Common_InputFunctions.Utility_LookupValueInTableNumber(E75,Table_SourceData_WasteSolid_VolumeToMassConversion[Waste type w],Table_SourceData_WasteSolid_VolumeToMassConversion[VTMw])</f>
        <v>0.09</v>
      </c>
      <c r="I75" s="28" cm="1">
        <f t="array" ref="I75">WasteSolid_Equations.VEERG_10_1_1_1__2_MassOfWasteFromVolume(G75,H75)</f>
        <v>0</v>
      </c>
    </row>
    <row r="76" spans="1:9" ht="20.100000000000001" customHeight="1" x14ac:dyDescent="0.25">
      <c r="D76" s="49" t="str">
        <v>Incineration</v>
      </c>
      <c r="E76" s="51" t="str">
        <v>Textiles</v>
      </c>
      <c r="F76" s="73"/>
      <c r="G76" s="28" cm="1">
        <f t="array" ref="G76">WasteSolid_InputFunctions.WasteSolid_InputFunctions_SumWasteTreatment(Table_Input_SolidWaste[Treatment type (select)],Table_Input_SolidWaste[Waste type (select)],Table_Input_SolidWaste[Treatment location (select)],Table_Input_SolidWaste[Amount unit (select)],Table_Input_SolidWaste[Amount],D76,E76, "Removed and treated off-site", "cubic metres m3")</f>
        <v>0</v>
      </c>
      <c r="H76" s="28" cm="1">
        <f t="array" ref="H76">Common_InputFunctions.Utility_LookupValueInTableNumber(E76,Table_SourceData_WasteSolid_VolumeToMassConversion[Waste type w],Table_SourceData_WasteSolid_VolumeToMassConversion[VTMw])</f>
        <v>0.14000000000000001</v>
      </c>
      <c r="I76" s="28" cm="1">
        <f t="array" ref="I76">WasteSolid_Equations.VEERG_10_1_1_1__2_MassOfWasteFromVolume(G76,H76)</f>
        <v>0</v>
      </c>
    </row>
    <row r="77" spans="1:9" ht="20.100000000000001" customHeight="1" x14ac:dyDescent="0.25">
      <c r="D77" s="49" t="str">
        <v>Incineration</v>
      </c>
      <c r="E77" s="51" t="str">
        <v>Rubber and leather</v>
      </c>
      <c r="F77" s="73"/>
      <c r="G77" s="28" cm="1">
        <f t="array" ref="G77">WasteSolid_InputFunctions.WasteSolid_InputFunctions_SumWasteTreatment(Table_Input_SolidWaste[Treatment type (select)],Table_Input_SolidWaste[Waste type (select)],Table_Input_SolidWaste[Treatment location (select)],Table_Input_SolidWaste[Amount unit (select)],Table_Input_SolidWaste[Amount],D77,E77, "Removed and treated off-site", "cubic metres m3")</f>
        <v>0</v>
      </c>
      <c r="H77" s="28" cm="1">
        <f t="array" ref="H77">Common_InputFunctions.Utility_LookupValueInTableNumber(E77,Table_SourceData_WasteSolid_VolumeToMassConversion[Waste type w],Table_SourceData_WasteSolid_VolumeToMassConversion[VTMw])</f>
        <v>0.14000000000000001</v>
      </c>
      <c r="I77" s="28" cm="1">
        <f t="array" ref="I77">WasteSolid_Equations.VEERG_10_1_1_1__2_MassOfWasteFromVolume(G77,H77)</f>
        <v>0</v>
      </c>
    </row>
    <row r="78" spans="1:9" ht="20.100000000000001" customHeight="1" x14ac:dyDescent="0.25">
      <c r="D78" s="49" t="str">
        <v>Incineration</v>
      </c>
      <c r="E78" s="51" t="str">
        <v>Inert waste (including concrete, metal, plastic or glass)</v>
      </c>
      <c r="F78" s="73"/>
      <c r="G78" s="28" cm="1">
        <f t="array" ref="G78">WasteSolid_InputFunctions.WasteSolid_InputFunctions_SumWasteTreatment(Table_Input_SolidWaste[Treatment type (select)],Table_Input_SolidWaste[Waste type (select)],Table_Input_SolidWaste[Treatment location (select)],Table_Input_SolidWaste[Amount unit (select)],Table_Input_SolidWaste[Amount],D78,E78, "Removed and treated off-site", "cubic metres m3")</f>
        <v>0</v>
      </c>
      <c r="H78" s="28" cm="1">
        <f t="array" ref="H78">Common_InputFunctions.Utility_LookupValueInTableNumber(E78,Table_SourceData_WasteSolid_VolumeToMassConversion[Waste type w],Table_SourceData_WasteSolid_VolumeToMassConversion[VTMw])</f>
        <v>0.42</v>
      </c>
      <c r="I78" s="28" cm="1">
        <f t="array" ref="I78">WasteSolid_Equations.VEERG_10_1_1_1__2_MassOfWasteFromVolume(G78,H78)</f>
        <v>0</v>
      </c>
    </row>
    <row r="79" spans="1:9" ht="20.100000000000001" customHeight="1" x14ac:dyDescent="0.25">
      <c r="D79" s="49" t="str">
        <v>Incineration</v>
      </c>
      <c r="E79" s="51" t="str">
        <v>Municipal solid waste</v>
      </c>
      <c r="F79" s="50"/>
      <c r="G79" s="28" cm="1">
        <f t="array" ref="G79">WasteSolid_InputFunctions.WasteSolid_InputFunctions_SumWasteTreatment(Table_Input_SolidWaste[Treatment type (select)],Table_Input_SolidWaste[Waste type (select)],Table_Input_SolidWaste[Treatment location (select)],Table_Input_SolidWaste[Amount unit (select)],Table_Input_SolidWaste[Amount],D79,E79, "Removed and treated off-site", "cubic metres m3")</f>
        <v>0</v>
      </c>
      <c r="H79" s="28" cm="1">
        <f t="array" ref="H79">Common_InputFunctions.Utility_LookupValueInTableNumber(E79,Table_SourceData_WasteSolid_VolumeToMassConversion[Waste type w],Table_SourceData_WasteSolid_VolumeToMassConversion[VTMw])</f>
        <v>0.36</v>
      </c>
      <c r="I79" s="28" cm="1">
        <f t="array" ref="I79">WasteSolid_Equations.VEERG_10_1_1_1__2_MassOfWasteFromVolume(G79,H79)</f>
        <v>0</v>
      </c>
    </row>
    <row r="80" spans="1:9" ht="20.100000000000001" customHeight="1" x14ac:dyDescent="0.25">
      <c r="D80" s="49" t="str">
        <v>Incineration</v>
      </c>
      <c r="E80" s="51" t="str">
        <v>Commercial and industrial waste</v>
      </c>
      <c r="F80" s="50"/>
      <c r="G80" s="28" cm="1">
        <f t="array" ref="G80">WasteSolid_InputFunctions.WasteSolid_InputFunctions_SumWasteTreatment(Table_Input_SolidWaste[Treatment type (select)],Table_Input_SolidWaste[Waste type (select)],Table_Input_SolidWaste[Treatment location (select)],Table_Input_SolidWaste[Amount unit (select)],Table_Input_SolidWaste[Amount],D80,E80, "Removed and treated off-site", "cubic metres m3")</f>
        <v>0</v>
      </c>
      <c r="H80" s="28" cm="1">
        <f t="array" ref="H80">Common_InputFunctions.Utility_LookupValueInTableNumber(E80,Table_SourceData_WasteSolid_VolumeToMassConversion[Waste type w],Table_SourceData_WasteSolid_VolumeToMassConversion[VTMw])</f>
        <v>0.33</v>
      </c>
      <c r="I80" s="28" cm="1">
        <f t="array" ref="I80">WasteSolid_Equations.VEERG_10_1_1_1__2_MassOfWasteFromVolume(G80,H80)</f>
        <v>0</v>
      </c>
    </row>
    <row r="81" spans="3:12" ht="20.100000000000001" customHeight="1" x14ac:dyDescent="0.25">
      <c r="D81" s="49" t="str">
        <v>Composting</v>
      </c>
      <c r="E81" s="51" t="str">
        <v>All organic waste</v>
      </c>
      <c r="F81" s="50"/>
      <c r="G81" s="28" t="s">
        <v>150</v>
      </c>
      <c r="H81" s="28" t="s">
        <v>150</v>
      </c>
      <c r="I81" s="28" t="s">
        <v>150</v>
      </c>
    </row>
    <row r="82" spans="3:12" ht="20.100000000000001" customHeight="1" x14ac:dyDescent="0.25">
      <c r="D82" s="49" t="str">
        <v>Composting</v>
      </c>
      <c r="E82" s="51" t="str">
        <v>Food waste (including animal carcasses, spoiled animal feed or crop)</v>
      </c>
      <c r="F82" s="50"/>
      <c r="G82" s="28" cm="1">
        <f t="array" ref="G82">WasteSolid_InputFunctions.WasteSolid_InputFunctions_SumWasteTreatment(Table_Input_SolidWaste[Treatment type (select)],Table_Input_SolidWaste[Waste type (select)],Table_Input_SolidWaste[Treatment location (select)],Table_Input_SolidWaste[Amount unit (select)],Table_Input_SolidWaste[Amount],D82,E82, "Removed and treated off-site", "cubic metres m3")</f>
        <v>0</v>
      </c>
      <c r="H82" s="28" cm="1">
        <f t="array" ref="H82">Common_InputFunctions.Utility_LookupValueInTableNumber(E82,Table_SourceData_WasteSolid_VolumeToMassConversion[Waste type w],Table_SourceData_WasteSolid_VolumeToMassConversion[VTMw])</f>
        <v>0.5</v>
      </c>
      <c r="I82" s="28" cm="1">
        <f t="array" ref="I82">WasteSolid_Equations.VEERG_10_1_1_1__2_MassOfWasteFromVolume(G82,H82)</f>
        <v>0</v>
      </c>
    </row>
    <row r="83" spans="3:12" ht="20.100000000000001" customHeight="1" x14ac:dyDescent="0.25">
      <c r="D83" s="49" t="str">
        <v>Composting</v>
      </c>
      <c r="E83" s="51" t="str">
        <v>Green waste (including crop residues or prunings)</v>
      </c>
      <c r="F83" s="50"/>
      <c r="G83" s="28" cm="1">
        <f t="array" ref="G83">WasteSolid_InputFunctions.WasteSolid_InputFunctions_SumWasteTreatment(Table_Input_SolidWaste[Treatment type (select)],Table_Input_SolidWaste[Waste type (select)],Table_Input_SolidWaste[Treatment location (select)],Table_Input_SolidWaste[Amount unit (select)],Table_Input_SolidWaste[Amount],D83,E83, "Removed and treated off-site", "cubic metres m3")</f>
        <v>0</v>
      </c>
      <c r="H83" s="28" cm="1">
        <f t="array" ref="H83">Common_InputFunctions.Utility_LookupValueInTableNumber(E83,Table_SourceData_WasteSolid_VolumeToMassConversion[Waste type w],Table_SourceData_WasteSolid_VolumeToMassConversion[VTMw])</f>
        <v>0.24</v>
      </c>
      <c r="I83" s="28" cm="1">
        <f t="array" ref="I83">WasteSolid_Equations.VEERG_10_1_1_1__2_MassOfWasteFromVolume(G83,H83)</f>
        <v>0</v>
      </c>
    </row>
    <row r="84" spans="3:12" ht="20.100000000000001" customHeight="1" x14ac:dyDescent="0.25">
      <c r="D84" s="49" t="str">
        <v>Composting</v>
      </c>
      <c r="E84" s="51" t="str">
        <v>Wood</v>
      </c>
      <c r="F84" s="50"/>
      <c r="G84" s="28" cm="1">
        <f t="array" ref="G84">WasteSolid_InputFunctions.WasteSolid_InputFunctions_SumWasteTreatment(Table_Input_SolidWaste[Treatment type (select)],Table_Input_SolidWaste[Waste type (select)],Table_Input_SolidWaste[Treatment location (select)],Table_Input_SolidWaste[Amount unit (select)],Table_Input_SolidWaste[Amount],D84,E84, "Removed and treated off-site", "cubic metres m3")</f>
        <v>0</v>
      </c>
      <c r="H84" s="28" cm="1">
        <f t="array" ref="H84">Common_InputFunctions.Utility_LookupValueInTableNumber(E84,Table_SourceData_WasteSolid_VolumeToMassConversion[Waste type w],Table_SourceData_WasteSolid_VolumeToMassConversion[VTMw])</f>
        <v>0.15</v>
      </c>
      <c r="I84" s="28" cm="1">
        <f t="array" ref="I84">WasteSolid_Equations.VEERG_10_1_1_1__2_MassOfWasteFromVolume(G84,H84)</f>
        <v>0</v>
      </c>
    </row>
    <row r="85" spans="3:12" ht="20.100000000000001" customHeight="1" x14ac:dyDescent="0.25">
      <c r="D85" s="49" t="str">
        <v>Composting</v>
      </c>
      <c r="E85" s="51" t="str">
        <v>Sludge</v>
      </c>
      <c r="F85" s="50"/>
      <c r="G85" s="28" cm="1">
        <f t="array" ref="G85">WasteSolid_InputFunctions.WasteSolid_InputFunctions_SumWasteTreatment(Table_Input_SolidWaste[Treatment type (select)],Table_Input_SolidWaste[Waste type (select)],Table_Input_SolidWaste[Treatment location (select)],Table_Input_SolidWaste[Amount unit (select)],Table_Input_SolidWaste[Amount],D85,E85, "Removed and treated off-site", "cubic metres m3")</f>
        <v>0</v>
      </c>
      <c r="H85" s="28" cm="1">
        <f t="array" ref="H85">Common_InputFunctions.Utility_LookupValueInTableNumber(E85,Table_SourceData_WasteSolid_VolumeToMassConversion[Waste type w],Table_SourceData_WasteSolid_VolumeToMassConversion[VTMw])</f>
        <v>0.72</v>
      </c>
      <c r="I85" s="28" cm="1">
        <f t="array" ref="I85">WasteSolid_Equations.VEERG_10_1_1_1__2_MassOfWasteFromVolume(G85,H85)</f>
        <v>0</v>
      </c>
    </row>
    <row r="86" spans="3:12" ht="20.100000000000001" customHeight="1" x14ac:dyDescent="0.25">
      <c r="D86" s="49" t="str">
        <v>Composting</v>
      </c>
      <c r="E86" s="51" t="str">
        <v>Paper and cardboard</v>
      </c>
      <c r="F86" s="50"/>
      <c r="G86" s="28" cm="1">
        <f t="array" ref="G86">WasteSolid_InputFunctions.WasteSolid_InputFunctions_SumWasteTreatment(Table_Input_SolidWaste[Treatment type (select)],Table_Input_SolidWaste[Waste type (select)],Table_Input_SolidWaste[Treatment location (select)],Table_Input_SolidWaste[Amount unit (select)],Table_Input_SolidWaste[Amount],D86,E86, "Removed and treated off-site", "cubic metres m3")</f>
        <v>0</v>
      </c>
      <c r="H86" s="28" cm="1">
        <f t="array" ref="H86">Common_InputFunctions.Utility_LookupValueInTableNumber(E86,Table_SourceData_WasteSolid_VolumeToMassConversion[Waste type w],Table_SourceData_WasteSolid_VolumeToMassConversion[VTMw])</f>
        <v>0.09</v>
      </c>
      <c r="I86" s="28" cm="1">
        <f t="array" ref="I86">WasteSolid_Equations.VEERG_10_1_1_1__2_MassOfWasteFromVolume(G86,H86)</f>
        <v>0</v>
      </c>
    </row>
    <row r="87" spans="3:12" ht="20.100000000000001" customHeight="1" x14ac:dyDescent="0.25">
      <c r="D87" s="49" t="str">
        <v>Anaerobic digestion</v>
      </c>
      <c r="E87" s="51" t="str">
        <v>All organic waste</v>
      </c>
      <c r="F87" s="50"/>
      <c r="G87" s="28" t="s">
        <v>150</v>
      </c>
      <c r="H87" s="28" t="s">
        <v>150</v>
      </c>
      <c r="I87" s="28" t="s">
        <v>150</v>
      </c>
    </row>
    <row r="88" spans="3:12" ht="20.100000000000001" customHeight="1" x14ac:dyDescent="0.25">
      <c r="D88" s="49" t="str">
        <v>Anaerobic digestion</v>
      </c>
      <c r="E88" s="51" t="str">
        <v>Food waste (including animal carcasses, spoiled animal feed or crop)</v>
      </c>
      <c r="F88" s="50"/>
      <c r="G88" s="28" cm="1">
        <f t="array" ref="G88">WasteSolid_InputFunctions.WasteSolid_InputFunctions_SumWasteTreatment(Table_Input_SolidWaste[Treatment type (select)],Table_Input_SolidWaste[Waste type (select)],Table_Input_SolidWaste[Treatment location (select)],Table_Input_SolidWaste[Amount unit (select)],Table_Input_SolidWaste[Amount],D88,E88, "Removed and treated off-site", "cubic metres m3")</f>
        <v>0</v>
      </c>
      <c r="H88" s="28" cm="1">
        <f t="array" ref="H88">Common_InputFunctions.Utility_LookupValueInTableNumber(E88,Table_SourceData_WasteSolid_VolumeToMassConversion[Waste type w],Table_SourceData_WasteSolid_VolumeToMassConversion[VTMw])</f>
        <v>0.5</v>
      </c>
      <c r="I88" s="28" cm="1">
        <f t="array" ref="I88">WasteSolid_Equations.VEERG_10_1_1_1__2_MassOfWasteFromVolume(G88,H88)</f>
        <v>0</v>
      </c>
    </row>
    <row r="89" spans="3:12" ht="20.100000000000001" customHeight="1" x14ac:dyDescent="0.25">
      <c r="D89" s="49" t="str">
        <v>Anaerobic digestion</v>
      </c>
      <c r="E89" s="51" t="str">
        <v>Green waste (including crop residues or prunings)</v>
      </c>
      <c r="F89" s="50"/>
      <c r="G89" s="28" cm="1">
        <f t="array" ref="G89">WasteSolid_InputFunctions.WasteSolid_InputFunctions_SumWasteTreatment(Table_Input_SolidWaste[Treatment type (select)],Table_Input_SolidWaste[Waste type (select)],Table_Input_SolidWaste[Treatment location (select)],Table_Input_SolidWaste[Amount unit (select)],Table_Input_SolidWaste[Amount],D89,E89, "Removed and treated off-site", "cubic metres m3")</f>
        <v>0</v>
      </c>
      <c r="H89" s="28" cm="1">
        <f t="array" ref="H89">Common_InputFunctions.Utility_LookupValueInTableNumber(E89,Table_SourceData_WasteSolid_VolumeToMassConversion[Waste type w],Table_SourceData_WasteSolid_VolumeToMassConversion[VTMw])</f>
        <v>0.24</v>
      </c>
      <c r="I89" s="28" cm="1">
        <f t="array" ref="I89">WasteSolid_Equations.VEERG_10_1_1_1__2_MassOfWasteFromVolume(G89,H89)</f>
        <v>0</v>
      </c>
    </row>
    <row r="90" spans="3:12" ht="20.100000000000001" customHeight="1" x14ac:dyDescent="0.25">
      <c r="D90" s="49" t="str">
        <v>Anaerobic digestion</v>
      </c>
      <c r="E90" s="51" t="str">
        <v>Wood</v>
      </c>
      <c r="F90" s="50"/>
      <c r="G90" s="28" cm="1">
        <f t="array" ref="G90">WasteSolid_InputFunctions.WasteSolid_InputFunctions_SumWasteTreatment(Table_Input_SolidWaste[Treatment type (select)],Table_Input_SolidWaste[Waste type (select)],Table_Input_SolidWaste[Treatment location (select)],Table_Input_SolidWaste[Amount unit (select)],Table_Input_SolidWaste[Amount],D90,E90, "Removed and treated off-site", "cubic metres m3")</f>
        <v>0</v>
      </c>
      <c r="H90" s="28" cm="1">
        <f t="array" ref="H90">Common_InputFunctions.Utility_LookupValueInTableNumber(E90,Table_SourceData_WasteSolid_VolumeToMassConversion[Waste type w],Table_SourceData_WasteSolid_VolumeToMassConversion[VTMw])</f>
        <v>0.15</v>
      </c>
      <c r="I90" s="28" cm="1">
        <f t="array" ref="I90">WasteSolid_Equations.VEERG_10_1_1_1__2_MassOfWasteFromVolume(G90,H90)</f>
        <v>0</v>
      </c>
    </row>
    <row r="91" spans="3:12" ht="20.100000000000001" customHeight="1" x14ac:dyDescent="0.25">
      <c r="D91" s="49" t="str">
        <v>Anaerobic digestion</v>
      </c>
      <c r="E91" s="51" t="str">
        <v>Sludge</v>
      </c>
      <c r="F91" s="50"/>
      <c r="G91" s="28" cm="1">
        <f t="array" ref="G91">WasteSolid_InputFunctions.WasteSolid_InputFunctions_SumWasteTreatment(Table_Input_SolidWaste[Treatment type (select)],Table_Input_SolidWaste[Waste type (select)],Table_Input_SolidWaste[Treatment location (select)],Table_Input_SolidWaste[Amount unit (select)],Table_Input_SolidWaste[Amount],D91,E91, "Removed and treated off-site", "cubic metres m3")</f>
        <v>0</v>
      </c>
      <c r="H91" s="28" cm="1">
        <f t="array" ref="H91">Common_InputFunctions.Utility_LookupValueInTableNumber(E91,Table_SourceData_WasteSolid_VolumeToMassConversion[Waste type w],Table_SourceData_WasteSolid_VolumeToMassConversion[VTMw])</f>
        <v>0.72</v>
      </c>
      <c r="I91" s="28" cm="1">
        <f t="array" ref="I91">WasteSolid_Equations.VEERG_10_1_1_1__2_MassOfWasteFromVolume(G91,H91)</f>
        <v>0</v>
      </c>
    </row>
    <row r="92" spans="3:12" ht="20.100000000000001" customHeight="1" x14ac:dyDescent="0.25">
      <c r="D92" s="49" t="str">
        <v>Anaerobic digestion</v>
      </c>
      <c r="E92" s="51" t="str">
        <v>Paper and cardboard</v>
      </c>
      <c r="F92" s="50"/>
      <c r="G92" s="28" cm="1">
        <f t="array" ref="G92">WasteSolid_InputFunctions.WasteSolid_InputFunctions_SumWasteTreatment(Table_Input_SolidWaste[Treatment type (select)],Table_Input_SolidWaste[Waste type (select)],Table_Input_SolidWaste[Treatment location (select)],Table_Input_SolidWaste[Amount unit (select)],Table_Input_SolidWaste[Amount],D92,E92, "Removed and treated off-site", "cubic metres m3")</f>
        <v>0</v>
      </c>
      <c r="H92" s="28" cm="1">
        <f t="array" ref="H92">Common_InputFunctions.Utility_LookupValueInTableNumber(E92,Table_SourceData_WasteSolid_VolumeToMassConversion[Waste type w],Table_SourceData_WasteSolid_VolumeToMassConversion[VTMw])</f>
        <v>0.09</v>
      </c>
      <c r="I92" s="28" cm="1">
        <f t="array" ref="I92">WasteSolid_Equations.VEERG_10_1_1_1__2_MassOfWasteFromVolume(G92,H92)</f>
        <v>0</v>
      </c>
    </row>
    <row r="93" spans="3:12" ht="20.100000000000001" customHeight="1" x14ac:dyDescent="0.25"/>
    <row r="94" spans="3:12" ht="20.100000000000001" customHeight="1" x14ac:dyDescent="0.25"/>
    <row r="95" spans="3:12" ht="20.100000000000001" customHeight="1" x14ac:dyDescent="0.25">
      <c r="C95" s="63"/>
      <c r="D95" s="63"/>
      <c r="E95" s="63"/>
      <c r="F95" s="63"/>
      <c r="G95" s="63"/>
      <c r="H95" s="63"/>
      <c r="I95" s="63"/>
      <c r="J95" s="63"/>
      <c r="K95" s="63"/>
      <c r="L95" s="63"/>
    </row>
    <row r="96" spans="3:12" ht="20.100000000000001" customHeight="1" x14ac:dyDescent="0.25">
      <c r="D96" s="5" t="str" cm="1">
        <f t="array" ref="D96">WasteSolid_Equations.VEERG_10_1_1_1__1_EmissionsFromWasteManagement_Title()</f>
        <v>Emissions from waste management by greenhouse gas</v>
      </c>
    </row>
    <row r="97" spans="1:9" ht="20.100000000000001" customHeight="1" x14ac:dyDescent="0.25">
      <c r="D97" s="4" t="str" cm="1">
        <f t="array" ref="D97">WasteSolid_Equations.VEERG_10_1_1_1__1_EmissionsFromWasteManagement_Source()</f>
        <v>VEERG 2026: 10.1.1.1, Equation (1)</v>
      </c>
    </row>
    <row r="98" spans="1:9" ht="20.100000000000001" customHeight="1" x14ac:dyDescent="0.25">
      <c r="D98" s="31" t="str" cm="1">
        <f t="array" ref="D98">WasteSolid_Equations.VEERG_10_1_1_1__1_EmissionsFromWasteManagement_Variation()</f>
        <v>VARIATION ON SOURCE: Added Q_volwt and Q_masswt variables to clearly track input or calculated Q values</v>
      </c>
    </row>
    <row r="99" spans="1:9" ht="20.100000000000001" customHeight="1" x14ac:dyDescent="0.25">
      <c r="D99" s="10" t="s">
        <v>10</v>
      </c>
      <c r="E99" s="10" t="str" cm="1">
        <f t="array" aca="1" ref="E99" ca="1">Common_InputFunctions.Utility_DisplayFunctionName(K116)</f>
        <v>=WasteSolid_Equations.VEERG_10_1_1_1__1_EmissionsFromWasteManagement</v>
      </c>
    </row>
    <row r="100" spans="1:9" ht="20.100000000000001" customHeight="1" x14ac:dyDescent="0.25"/>
    <row r="101" spans="1:9" ht="20.100000000000001" customHeight="1" x14ac:dyDescent="0.25"/>
    <row r="102" spans="1:9" ht="20.100000000000001" customHeight="1" x14ac:dyDescent="0.25">
      <c r="D102" s="29" t="s">
        <v>13</v>
      </c>
      <c r="E102" s="1" t="str" cm="1">
        <f t="array" ref="E102">WasteSolid_Equations.VEERG_10_1_1_1__1_EmissionsFromWasteManagement_Variable()</f>
        <v>E_g</v>
      </c>
    </row>
    <row r="103" spans="1:9" ht="20.100000000000001" customHeight="1" x14ac:dyDescent="0.25">
      <c r="D103" s="29" t="s">
        <v>5</v>
      </c>
      <c r="E103" s="30" t="str" cm="1">
        <f t="array" ref="E103">WasteSolid_Equations.VEERG_10_1_1_1__1_EmissionsFromWasteManagement_Unit()</f>
        <v>t CO2e</v>
      </c>
    </row>
    <row r="104" spans="1:9" ht="20.100000000000001" customHeight="1" x14ac:dyDescent="0.25"/>
    <row r="105" spans="1:9" ht="20.100000000000001" customHeight="1" x14ac:dyDescent="0.25">
      <c r="D105" s="49" t="str" cm="1">
        <f t="array" ref="D105:E111">_xlfn.CHOOSECOLS(WasteSolid_Equations.VEERG_10_1_1_1__1_EmissionsFromWasteManagement_Arguments(),1,2)</f>
        <v>Q_wt</v>
      </c>
      <c r="E105" s="51" t="str">
        <v>quantity of solid waste of type w being sent to treatment facility t, on a wet weight basis</v>
      </c>
      <c r="F105" s="65"/>
      <c r="G105" s="50"/>
      <c r="H105" s="49" t="str" cm="1">
        <f t="array" ref="H105:I111">_xlfn.CHOOSECOLS(WasteSolid_Equations.VEERG_10_1_1_1__1_EmissionsFromWasteManagement_Arguments(),3,4)</f>
        <v>t</v>
      </c>
      <c r="I105" s="44" t="str">
        <v>Sum of Q_volwt and Q_masswt</v>
      </c>
    </row>
    <row r="106" spans="1:9" ht="20.100000000000001" customHeight="1" x14ac:dyDescent="0.25">
      <c r="D106" s="49" t="str">
        <v>EF_wtg</v>
      </c>
      <c r="E106" s="51" t="str">
        <v>emission factor for greenhouse gas g for the management of waste at treatment facility t</v>
      </c>
      <c r="F106" s="65"/>
      <c r="G106" s="50"/>
      <c r="H106" s="49" t="str">
        <v>t CO2e/t</v>
      </c>
      <c r="I106" s="44" t="str">
        <v>Constant</v>
      </c>
    </row>
    <row r="107" spans="1:9" ht="20.100000000000001" customHeight="1" x14ac:dyDescent="0.25">
      <c r="D107" s="49" t="str">
        <v>w</v>
      </c>
      <c r="E107" s="51" t="str">
        <v>waste type</v>
      </c>
      <c r="F107" s="65"/>
      <c r="G107" s="50"/>
      <c r="H107" s="49" t="str">
        <v/>
      </c>
      <c r="I107" s="45" t="str">
        <v>Input</v>
      </c>
    </row>
    <row r="108" spans="1:9" ht="20.100000000000001" customHeight="1" x14ac:dyDescent="0.25">
      <c r="D108" s="49" t="str">
        <v>t</v>
      </c>
      <c r="E108" s="51" t="str">
        <v>treatment facility</v>
      </c>
      <c r="F108" s="65"/>
      <c r="G108" s="50"/>
      <c r="H108" s="49" t="str">
        <v/>
      </c>
      <c r="I108" s="45" t="str">
        <v>Input</v>
      </c>
    </row>
    <row r="109" spans="1:9" ht="20.100000000000001" customHeight="1" x14ac:dyDescent="0.25">
      <c r="A109" s="52" t="str">
        <f>HYPERLINK("#A1", "▲ Back to top")</f>
        <v>▲ Back to top</v>
      </c>
      <c r="D109" s="49" t="str">
        <v>g</v>
      </c>
      <c r="E109" s="51" t="str">
        <v>greenhouse gas</v>
      </c>
      <c r="F109" s="65"/>
      <c r="G109" s="50"/>
      <c r="H109" s="49" t="str">
        <v/>
      </c>
      <c r="I109" s="45" t="str">
        <v>Input</v>
      </c>
    </row>
    <row r="110" spans="1:9" ht="20.100000000000001" customHeight="1" x14ac:dyDescent="0.25">
      <c r="D110" s="49" t="str">
        <v>Q_volwt</v>
      </c>
      <c r="E110" s="51" t="str">
        <v>quantity of sold waste input as volume and converted to tonnes</v>
      </c>
      <c r="F110" s="65"/>
      <c r="G110" s="50"/>
      <c r="H110" s="49" t="str">
        <v>tonnes</v>
      </c>
      <c r="I110" s="44" t="str">
        <v>Calculated from 10.1.1.1 (2)</v>
      </c>
    </row>
    <row r="111" spans="1:9" ht="20.100000000000001" customHeight="1" x14ac:dyDescent="0.25">
      <c r="D111" s="49" t="str">
        <v>Q_masswt</v>
      </c>
      <c r="E111" s="51" t="str">
        <v>quantity of solid waste input as mass</v>
      </c>
      <c r="F111" s="65"/>
      <c r="G111" s="50"/>
      <c r="H111" s="49" t="str">
        <v>tonnes</v>
      </c>
      <c r="I111" s="45" t="str">
        <v>Input</v>
      </c>
    </row>
    <row r="112" spans="1:9" ht="20.100000000000001" customHeight="1" x14ac:dyDescent="0.25"/>
    <row r="113" spans="4:11" ht="20.100000000000001" customHeight="1" x14ac:dyDescent="0.25">
      <c r="D113" s="70" t="s">
        <v>127</v>
      </c>
    </row>
    <row r="114" spans="4:11" ht="20.100000000000001" customHeight="1" x14ac:dyDescent="0.25">
      <c r="D114" s="71" t="s">
        <v>128</v>
      </c>
    </row>
    <row r="115" spans="4:11" ht="20.100000000000001" customHeight="1" x14ac:dyDescent="0.25">
      <c r="D115" s="67" t="s">
        <v>94</v>
      </c>
      <c r="E115" s="67" t="s">
        <v>95</v>
      </c>
      <c r="F115" s="67"/>
      <c r="G115" s="67" t="s">
        <v>154</v>
      </c>
      <c r="H115" s="72" t="s">
        <v>153</v>
      </c>
      <c r="I115" s="72" t="s">
        <v>97</v>
      </c>
      <c r="J115" s="72" t="s">
        <v>152</v>
      </c>
      <c r="K115" s="72" t="s">
        <v>151</v>
      </c>
    </row>
    <row r="116" spans="4:11" ht="20.100000000000001" customHeight="1" x14ac:dyDescent="0.25">
      <c r="D116" s="49" t="str" cm="1">
        <f t="array" ref="D116:D149">Table_SourceData_WasteSolid_WasteTreatmentEFs[Treatment type t]</f>
        <v>Landfill</v>
      </c>
      <c r="E116" s="51" t="str" cm="1">
        <f t="array" ref="E116:E149">Table_SourceData_WasteSolid_WasteTreatmentEFs[Waste type w]</f>
        <v>Food waste (including animal carcasses, spoiled animal feed or crop)</v>
      </c>
      <c r="F116" s="73"/>
      <c r="G116" s="28" cm="1">
        <f t="array" ref="G116">WasteSolid_InputFunctions.WasteSolid_InputFunctions_SumWasteTreatment(Table_Input_SolidWaste[Treatment type (select)],Table_Input_SolidWaste[Waste type (select)],Table_Input_SolidWaste[Treatment location (select)],Table_Input_SolidWaste[Amount unit (select)],Table_Input_SolidWaste[Amount],D21,E21, "Treated on-site", "tonnes")</f>
        <v>50</v>
      </c>
      <c r="H116" s="28">
        <f>I21</f>
        <v>25</v>
      </c>
      <c r="I116" s="28">
        <f>G116+H116</f>
        <v>75</v>
      </c>
      <c r="J116" s="28" cm="1">
        <f t="array" ref="J116">Common_InputFunctions.Utility_LookupValueInTableTwoColumns(D116,E116,Table_SourceData_WasteSolid_WasteTreatmentEFs[Treatment type t],Table_SourceData_WasteSolid_WasteTreatmentEFs[Waste type w],Table_SourceData_WasteSolid_WasteTreatmentEFs[EFwt])</f>
        <v>2.1</v>
      </c>
      <c r="K116" s="28" cm="1">
        <f t="array" ref="K116">WasteSolid_Equations.VEERG_10_1_1_1__1_EmissionsFromWasteManagement(I116, J116)</f>
        <v>157.5</v>
      </c>
    </row>
    <row r="117" spans="4:11" ht="20.100000000000001" customHeight="1" x14ac:dyDescent="0.25">
      <c r="D117" s="49" t="str">
        <v>Landfill</v>
      </c>
      <c r="E117" s="51" t="str">
        <v>Paper and cardboard</v>
      </c>
      <c r="F117" s="73"/>
      <c r="G117" s="28" cm="1">
        <f t="array" ref="G117">WasteSolid_InputFunctions.WasteSolid_InputFunctions_SumWasteTreatment(Table_Input_SolidWaste[Treatment type (select)],Table_Input_SolidWaste[Waste type (select)],Table_Input_SolidWaste[Treatment location (select)],Table_Input_SolidWaste[Amount unit (select)],Table_Input_SolidWaste[Amount],D22,E22, "Treated on-site", "tonnes")</f>
        <v>50</v>
      </c>
      <c r="H117" s="28">
        <f>I22</f>
        <v>4.5</v>
      </c>
      <c r="I117" s="28">
        <f t="shared" ref="I117:I135" si="0">G117+H117</f>
        <v>54.5</v>
      </c>
      <c r="J117" s="28" cm="1">
        <f t="array" ref="J117">Common_InputFunctions.Utility_LookupValueInTableTwoColumns(D117,E117,Table_SourceData_WasteSolid_WasteTreatmentEFs[Treatment type t],Table_SourceData_WasteSolid_WasteTreatmentEFs[Waste type w],Table_SourceData_WasteSolid_WasteTreatmentEFs[EFwt])</f>
        <v>3.3</v>
      </c>
      <c r="K117" s="28" cm="1">
        <f t="array" ref="K117">WasteSolid_Equations.VEERG_10_1_1_1__1_EmissionsFromWasteManagement(I117, J117)</f>
        <v>179.85</v>
      </c>
    </row>
    <row r="118" spans="4:11" ht="20.100000000000001" customHeight="1" x14ac:dyDescent="0.25">
      <c r="D118" s="49" t="str">
        <v>Landfill</v>
      </c>
      <c r="E118" s="51" t="str">
        <v>Green waste (including crop residues or prunings)</v>
      </c>
      <c r="F118" s="73"/>
      <c r="G118" s="28" cm="1">
        <f t="array" ref="G118">WasteSolid_InputFunctions.WasteSolid_InputFunctions_SumWasteTreatment(Table_Input_SolidWaste[Treatment type (select)],Table_Input_SolidWaste[Waste type (select)],Table_Input_SolidWaste[Treatment location (select)],Table_Input_SolidWaste[Amount unit (select)],Table_Input_SolidWaste[Amount],D23,E23, "Treated on-site", "tonnes")</f>
        <v>50</v>
      </c>
      <c r="H118" s="28">
        <f>I23</f>
        <v>12</v>
      </c>
      <c r="I118" s="28">
        <f t="shared" si="0"/>
        <v>62</v>
      </c>
      <c r="J118" s="28" cm="1">
        <f t="array" ref="J118">Common_InputFunctions.Utility_LookupValueInTableTwoColumns(D118,E118,Table_SourceData_WasteSolid_WasteTreatmentEFs[Treatment type t],Table_SourceData_WasteSolid_WasteTreatmentEFs[Waste type w],Table_SourceData_WasteSolid_WasteTreatmentEFs[EFwt])</f>
        <v>1.6</v>
      </c>
      <c r="K118" s="28" cm="1">
        <f t="array" ref="K118">WasteSolid_Equations.VEERG_10_1_1_1__1_EmissionsFromWasteManagement(I118, J118)</f>
        <v>99.2</v>
      </c>
    </row>
    <row r="119" spans="4:11" ht="20.100000000000001" customHeight="1" x14ac:dyDescent="0.25">
      <c r="D119" s="49" t="str">
        <v>Landfill</v>
      </c>
      <c r="E119" s="51" t="str">
        <v>Wood</v>
      </c>
      <c r="F119" s="73"/>
      <c r="G119" s="28" cm="1">
        <f t="array" ref="G119">WasteSolid_InputFunctions.WasteSolid_InputFunctions_SumWasteTreatment(Table_Input_SolidWaste[Treatment type (select)],Table_Input_SolidWaste[Waste type (select)],Table_Input_SolidWaste[Treatment location (select)],Table_Input_SolidWaste[Amount unit (select)],Table_Input_SolidWaste[Amount],D24,E24, "Treated on-site", "tonnes")</f>
        <v>0</v>
      </c>
      <c r="H119" s="28">
        <f>I24</f>
        <v>0</v>
      </c>
      <c r="I119" s="28">
        <f t="shared" si="0"/>
        <v>0</v>
      </c>
      <c r="J119" s="28" cm="1">
        <f t="array" ref="J119">Common_InputFunctions.Utility_LookupValueInTableTwoColumns(D119,E119,Table_SourceData_WasteSolid_WasteTreatmentEFs[Treatment type t],Table_SourceData_WasteSolid_WasteTreatmentEFs[Waste type w],Table_SourceData_WasteSolid_WasteTreatmentEFs[EFwt])</f>
        <v>0.7</v>
      </c>
      <c r="K119" s="28" cm="1">
        <f t="array" ref="K119">WasteSolid_Equations.VEERG_10_1_1_1__1_EmissionsFromWasteManagement(I119, J119)</f>
        <v>0</v>
      </c>
    </row>
    <row r="120" spans="4:11" ht="20.100000000000001" customHeight="1" x14ac:dyDescent="0.25">
      <c r="D120" s="49" t="str">
        <v>Landfill</v>
      </c>
      <c r="E120" s="51" t="str">
        <v>Textiles</v>
      </c>
      <c r="F120" s="73"/>
      <c r="G120" s="28" cm="1">
        <f t="array" ref="G120">WasteSolid_InputFunctions.WasteSolid_InputFunctions_SumWasteTreatment(Table_Input_SolidWaste[Treatment type (select)],Table_Input_SolidWaste[Waste type (select)],Table_Input_SolidWaste[Treatment location (select)],Table_Input_SolidWaste[Amount unit (select)],Table_Input_SolidWaste[Amount],D25,E25, "Treated on-site", "tonnes")</f>
        <v>0</v>
      </c>
      <c r="H120" s="28">
        <f>I25</f>
        <v>0</v>
      </c>
      <c r="I120" s="28">
        <f t="shared" si="0"/>
        <v>0</v>
      </c>
      <c r="J120" s="28" cm="1">
        <f t="array" ref="J120">Common_InputFunctions.Utility_LookupValueInTableTwoColumns(D120,E120,Table_SourceData_WasteSolid_WasteTreatmentEFs[Treatment type t],Table_SourceData_WasteSolid_WasteTreatmentEFs[Waste type w],Table_SourceData_WasteSolid_WasteTreatmentEFs[EFwt])</f>
        <v>2</v>
      </c>
      <c r="K120" s="28" cm="1">
        <f t="array" ref="K120">WasteSolid_Equations.VEERG_10_1_1_1__1_EmissionsFromWasteManagement(I120, J120)</f>
        <v>0</v>
      </c>
    </row>
    <row r="121" spans="4:11" ht="20.100000000000001" customHeight="1" x14ac:dyDescent="0.25">
      <c r="D121" s="49" t="str">
        <v>Landfill</v>
      </c>
      <c r="E121" s="51" t="str">
        <v>Sludge</v>
      </c>
      <c r="F121" s="73"/>
      <c r="G121" s="28" cm="1">
        <f t="array" ref="G121">WasteSolid_InputFunctions.WasteSolid_InputFunctions_SumWasteTreatment(Table_Input_SolidWaste[Treatment type (select)],Table_Input_SolidWaste[Waste type (select)],Table_Input_SolidWaste[Treatment location (select)],Table_Input_SolidWaste[Amount unit (select)],Table_Input_SolidWaste[Amount],D26,E26, "Treated on-site", "tonnes")</f>
        <v>0</v>
      </c>
      <c r="H121" s="28">
        <f>I26</f>
        <v>0</v>
      </c>
      <c r="I121" s="28">
        <f t="shared" si="0"/>
        <v>0</v>
      </c>
      <c r="J121" s="28" cm="1">
        <f t="array" ref="J121">Common_InputFunctions.Utility_LookupValueInTableTwoColumns(D121,E121,Table_SourceData_WasteSolid_WasteTreatmentEFs[Treatment type t],Table_SourceData_WasteSolid_WasteTreatmentEFs[Waste type w],Table_SourceData_WasteSolid_WasteTreatmentEFs[EFwt])</f>
        <v>0.4</v>
      </c>
      <c r="K121" s="28" cm="1">
        <f t="array" ref="K121">WasteSolid_Equations.VEERG_10_1_1_1__1_EmissionsFromWasteManagement(I121, J121)</f>
        <v>0</v>
      </c>
    </row>
    <row r="122" spans="4:11" ht="20.100000000000001" customHeight="1" x14ac:dyDescent="0.25">
      <c r="D122" s="49" t="str">
        <v>Landfill</v>
      </c>
      <c r="E122" s="51" t="str">
        <v>Rubber and leather</v>
      </c>
      <c r="F122" s="73"/>
      <c r="G122" s="28" cm="1">
        <f t="array" ref="G122">WasteSolid_InputFunctions.WasteSolid_InputFunctions_SumWasteTreatment(Table_Input_SolidWaste[Treatment type (select)],Table_Input_SolidWaste[Waste type (select)],Table_Input_SolidWaste[Treatment location (select)],Table_Input_SolidWaste[Amount unit (select)],Table_Input_SolidWaste[Amount],D27,E27, "Treated on-site", "tonnes")</f>
        <v>0</v>
      </c>
      <c r="H122" s="28">
        <f>I27</f>
        <v>0</v>
      </c>
      <c r="I122" s="28">
        <f t="shared" si="0"/>
        <v>0</v>
      </c>
      <c r="J122" s="28" cm="1">
        <f t="array" ref="J122">Common_InputFunctions.Utility_LookupValueInTableTwoColumns(D122,E122,Table_SourceData_WasteSolid_WasteTreatmentEFs[Treatment type t],Table_SourceData_WasteSolid_WasteTreatmentEFs[Waste type w],Table_SourceData_WasteSolid_WasteTreatmentEFs[EFwt])</f>
        <v>3.3</v>
      </c>
      <c r="K122" s="28" cm="1">
        <f t="array" ref="K122">WasteSolid_Equations.VEERG_10_1_1_1__1_EmissionsFromWasteManagement(I122, J122)</f>
        <v>0</v>
      </c>
    </row>
    <row r="123" spans="4:11" ht="20.100000000000001" customHeight="1" x14ac:dyDescent="0.25">
      <c r="D123" s="49" t="str">
        <v>Landfill</v>
      </c>
      <c r="E123" s="51" t="str">
        <v>Inert waste (including concrete, metal, plastic or glass)</v>
      </c>
      <c r="F123" s="73"/>
      <c r="G123" s="28" cm="1">
        <f t="array" ref="G123">WasteSolid_InputFunctions.WasteSolid_InputFunctions_SumWasteTreatment(Table_Input_SolidWaste[Treatment type (select)],Table_Input_SolidWaste[Waste type (select)],Table_Input_SolidWaste[Treatment location (select)],Table_Input_SolidWaste[Amount unit (select)],Table_Input_SolidWaste[Amount],D28,E28, "Treated on-site", "tonnes")</f>
        <v>0</v>
      </c>
      <c r="H123" s="28">
        <f>I28</f>
        <v>0</v>
      </c>
      <c r="I123" s="28">
        <f t="shared" si="0"/>
        <v>0</v>
      </c>
      <c r="J123" s="28" cm="1">
        <f t="array" ref="J123">Common_InputFunctions.Utility_LookupValueInTableTwoColumns(D123,E123,Table_SourceData_WasteSolid_WasteTreatmentEFs[Treatment type t],Table_SourceData_WasteSolid_WasteTreatmentEFs[Waste type w],Table_SourceData_WasteSolid_WasteTreatmentEFs[EFwt])</f>
        <v>0</v>
      </c>
      <c r="K123" s="28" cm="1">
        <f t="array" ref="K123">WasteSolid_Equations.VEERG_10_1_1_1__1_EmissionsFromWasteManagement(I123, J123)</f>
        <v>0</v>
      </c>
    </row>
    <row r="124" spans="4:11" ht="20.100000000000001" customHeight="1" x14ac:dyDescent="0.25">
      <c r="D124" s="49" t="str">
        <v>Landfill</v>
      </c>
      <c r="E124" s="51" t="str">
        <v>Municipal solid waste</v>
      </c>
      <c r="F124" s="73"/>
      <c r="G124" s="28" cm="1">
        <f t="array" ref="G124">WasteSolid_InputFunctions.WasteSolid_InputFunctions_SumWasteTreatment(Table_Input_SolidWaste[Treatment type (select)],Table_Input_SolidWaste[Waste type (select)],Table_Input_SolidWaste[Treatment location (select)],Table_Input_SolidWaste[Amount unit (select)],Table_Input_SolidWaste[Amount],D29,E29, "Treated on-site", "tonnes")</f>
        <v>0</v>
      </c>
      <c r="H124" s="28">
        <f>I29</f>
        <v>0</v>
      </c>
      <c r="I124" s="28">
        <f t="shared" si="0"/>
        <v>0</v>
      </c>
      <c r="J124" s="28" cm="1">
        <f t="array" ref="J124">Common_InputFunctions.Utility_LookupValueInTableTwoColumns(D124,E124,Table_SourceData_WasteSolid_WasteTreatmentEFs[Treatment type t],Table_SourceData_WasteSolid_WasteTreatmentEFs[Waste type w],Table_SourceData_WasteSolid_WasteTreatmentEFs[EFwt])</f>
        <v>1.6</v>
      </c>
      <c r="K124" s="28" cm="1">
        <f t="array" ref="K124">WasteSolid_Equations.VEERG_10_1_1_1__1_EmissionsFromWasteManagement(I124, J124)</f>
        <v>0</v>
      </c>
    </row>
    <row r="125" spans="4:11" ht="20.100000000000001" customHeight="1" x14ac:dyDescent="0.25">
      <c r="D125" s="49" t="str">
        <v>Landfill</v>
      </c>
      <c r="E125" s="51" t="str">
        <v>Commercial and industrial waste</v>
      </c>
      <c r="F125" s="73"/>
      <c r="G125" s="28" cm="1">
        <f t="array" ref="G125">WasteSolid_InputFunctions.WasteSolid_InputFunctions_SumWasteTreatment(Table_Input_SolidWaste[Treatment type (select)],Table_Input_SolidWaste[Waste type (select)],Table_Input_SolidWaste[Treatment location (select)],Table_Input_SolidWaste[Amount unit (select)],Table_Input_SolidWaste[Amount],D30,E30, "Treated on-site", "tonnes")</f>
        <v>0</v>
      </c>
      <c r="H125" s="28">
        <f>I30</f>
        <v>0</v>
      </c>
      <c r="I125" s="28">
        <f t="shared" si="0"/>
        <v>0</v>
      </c>
      <c r="J125" s="28" cm="1">
        <f t="array" ref="J125">Common_InputFunctions.Utility_LookupValueInTableTwoColumns(D125,E125,Table_SourceData_WasteSolid_WasteTreatmentEFs[Treatment type t],Table_SourceData_WasteSolid_WasteTreatmentEFs[Waste type w],Table_SourceData_WasteSolid_WasteTreatmentEFs[EFwt])</f>
        <v>1.3</v>
      </c>
      <c r="K125" s="28" cm="1">
        <f t="array" ref="K125">WasteSolid_Equations.VEERG_10_1_1_1__1_EmissionsFromWasteManagement(I125, J125)</f>
        <v>0</v>
      </c>
    </row>
    <row r="126" spans="4:11" ht="20.100000000000001" customHeight="1" x14ac:dyDescent="0.25">
      <c r="D126" s="49" t="str">
        <v>Landfill</v>
      </c>
      <c r="E126" s="51" t="str">
        <v>Construction and demolition waste</v>
      </c>
      <c r="F126" s="73"/>
      <c r="G126" s="28" cm="1">
        <f t="array" ref="G126">WasteSolid_InputFunctions.WasteSolid_InputFunctions_SumWasteTreatment(Table_Input_SolidWaste[Treatment type (select)],Table_Input_SolidWaste[Waste type (select)],Table_Input_SolidWaste[Treatment location (select)],Table_Input_SolidWaste[Amount unit (select)],Table_Input_SolidWaste[Amount],D31,E31, "Treated on-site", "tonnes")</f>
        <v>0</v>
      </c>
      <c r="H126" s="28">
        <f>I31</f>
        <v>0</v>
      </c>
      <c r="I126" s="28">
        <f t="shared" si="0"/>
        <v>0</v>
      </c>
      <c r="J126" s="28" cm="1">
        <f t="array" ref="J126">Common_InputFunctions.Utility_LookupValueInTableTwoColumns(D126,E126,Table_SourceData_WasteSolid_WasteTreatmentEFs[Treatment type t],Table_SourceData_WasteSolid_WasteTreatmentEFs[Waste type w],Table_SourceData_WasteSolid_WasteTreatmentEFs[EFwt])</f>
        <v>0.2</v>
      </c>
      <c r="K126" s="28" cm="1">
        <f t="array" ref="K126">WasteSolid_Equations.VEERG_10_1_1_1__1_EmissionsFromWasteManagement(I126, J126)</f>
        <v>0</v>
      </c>
    </row>
    <row r="127" spans="4:11" ht="20.100000000000001" customHeight="1" x14ac:dyDescent="0.25">
      <c r="D127" s="49" t="str">
        <v>Incineration</v>
      </c>
      <c r="E127" s="51" t="str">
        <v>Food waste, green waste, wood, sludge</v>
      </c>
      <c r="F127" s="73"/>
      <c r="G127" s="28" t="s">
        <v>150</v>
      </c>
      <c r="H127" s="28" t="str">
        <f>I32</f>
        <v>Not used</v>
      </c>
      <c r="I127" s="28">
        <f>SUM(G128:G131)+SUM(H128:H131)</f>
        <v>74</v>
      </c>
      <c r="J127" s="28" cm="1">
        <f t="array" ref="J127">Common_InputFunctions.Utility_LookupValueInTableTwoColumns(D127,E127,Table_SourceData_WasteSolid_WasteTreatmentEFs[Treatment type t],Table_SourceData_WasteSolid_WasteTreatmentEFs[Waste type w],Table_SourceData_WasteSolid_WasteTreatmentEFs[EFwt])</f>
        <v>0</v>
      </c>
      <c r="K127" s="28" cm="1">
        <f t="array" ref="K127">WasteSolid_Equations.VEERG_10_1_1_1__1_EmissionsFromWasteManagement(I127, J127)</f>
        <v>0</v>
      </c>
    </row>
    <row r="128" spans="4:11" ht="20.100000000000001" customHeight="1" x14ac:dyDescent="0.25">
      <c r="D128" s="49" t="str">
        <v>Incineration</v>
      </c>
      <c r="E128" s="51" t="str">
        <v>Food waste (including animal carcasses, spoiled animal feed or crop)</v>
      </c>
      <c r="F128" s="73"/>
      <c r="G128" s="28" cm="1">
        <f t="array" ref="G128">WasteSolid_InputFunctions.WasteSolid_InputFunctions_SumWasteTreatment(Table_Input_SolidWaste[Treatment type (select)],Table_Input_SolidWaste[Waste type (select)],Table_Input_SolidWaste[Treatment location (select)],Table_Input_SolidWaste[Amount unit (select)],Table_Input_SolidWaste[Amount],D33,E33, "Treated on-site", "tonnes")</f>
        <v>0</v>
      </c>
      <c r="H128" s="28">
        <f>I33</f>
        <v>0</v>
      </c>
      <c r="I128" s="28" t="s">
        <v>155</v>
      </c>
      <c r="J128" s="28" t="s">
        <v>150</v>
      </c>
      <c r="K128" s="28" t="s">
        <v>150</v>
      </c>
    </row>
    <row r="129" spans="1:11" ht="20.100000000000001" customHeight="1" x14ac:dyDescent="0.25">
      <c r="D129" s="49" t="str">
        <v>Incineration</v>
      </c>
      <c r="E129" s="51" t="str">
        <v>Green waste (including crop residues or prunings)</v>
      </c>
      <c r="F129" s="73"/>
      <c r="G129" s="28" cm="1">
        <f t="array" ref="G129">WasteSolid_InputFunctions.WasteSolid_InputFunctions_SumWasteTreatment(Table_Input_SolidWaste[Treatment type (select)],Table_Input_SolidWaste[Waste type (select)],Table_Input_SolidWaste[Treatment location (select)],Table_Input_SolidWaste[Amount unit (select)],Table_Input_SolidWaste[Amount],D34,E34, "Treated on-site", "tonnes")</f>
        <v>50</v>
      </c>
      <c r="H129" s="28">
        <f>I34</f>
        <v>24</v>
      </c>
      <c r="I129" s="28" t="s">
        <v>155</v>
      </c>
      <c r="J129" s="28" t="s">
        <v>150</v>
      </c>
      <c r="K129" s="28" t="s">
        <v>150</v>
      </c>
    </row>
    <row r="130" spans="1:11" ht="20.100000000000001" customHeight="1" x14ac:dyDescent="0.25">
      <c r="D130" s="49" t="str">
        <v>Incineration</v>
      </c>
      <c r="E130" s="51" t="str">
        <v>Wood</v>
      </c>
      <c r="F130" s="73"/>
      <c r="G130" s="28" cm="1">
        <f t="array" ref="G130">WasteSolid_InputFunctions.WasteSolid_InputFunctions_SumWasteTreatment(Table_Input_SolidWaste[Treatment type (select)],Table_Input_SolidWaste[Waste type (select)],Table_Input_SolidWaste[Treatment location (select)],Table_Input_SolidWaste[Amount unit (select)],Table_Input_SolidWaste[Amount],D35,E35, "Treated on-site", "tonnes")</f>
        <v>0</v>
      </c>
      <c r="H130" s="28">
        <f>I35</f>
        <v>0</v>
      </c>
      <c r="I130" s="28" t="s">
        <v>155</v>
      </c>
      <c r="J130" s="28" t="s">
        <v>150</v>
      </c>
      <c r="K130" s="28" t="s">
        <v>150</v>
      </c>
    </row>
    <row r="131" spans="1:11" ht="20.100000000000001" customHeight="1" x14ac:dyDescent="0.25">
      <c r="D131" s="49" t="str">
        <v>Incineration</v>
      </c>
      <c r="E131" s="51" t="str">
        <v>Sludge</v>
      </c>
      <c r="F131" s="73"/>
      <c r="G131" s="28" cm="1">
        <f t="array" ref="G131">WasteSolid_InputFunctions.WasteSolid_InputFunctions_SumWasteTreatment(Table_Input_SolidWaste[Treatment type (select)],Table_Input_SolidWaste[Waste type (select)],Table_Input_SolidWaste[Treatment location (select)],Table_Input_SolidWaste[Amount unit (select)],Table_Input_SolidWaste[Amount],D36,E36, "Treated on-site", "tonnes")</f>
        <v>0</v>
      </c>
      <c r="H131" s="28">
        <f>I36</f>
        <v>0</v>
      </c>
      <c r="I131" s="28" t="s">
        <v>155</v>
      </c>
      <c r="J131" s="28" t="s">
        <v>150</v>
      </c>
      <c r="K131" s="28" t="s">
        <v>150</v>
      </c>
    </row>
    <row r="132" spans="1:11" ht="20.100000000000001" customHeight="1" x14ac:dyDescent="0.25">
      <c r="D132" s="49" t="str">
        <v>Incineration</v>
      </c>
      <c r="E132" s="51" t="str">
        <v>Paper and cardboard</v>
      </c>
      <c r="F132" s="73"/>
      <c r="G132" s="28" cm="1">
        <f t="array" ref="G132">WasteSolid_InputFunctions.WasteSolid_InputFunctions_SumWasteTreatment(Table_Input_SolidWaste[Treatment type (select)],Table_Input_SolidWaste[Waste type (select)],Table_Input_SolidWaste[Treatment location (select)],Table_Input_SolidWaste[Amount unit (select)],Table_Input_SolidWaste[Amount],D37,E37, "Treated on-site", "tonnes")</f>
        <v>50</v>
      </c>
      <c r="H132" s="28">
        <f>I37</f>
        <v>4.5</v>
      </c>
      <c r="I132" s="28">
        <f t="shared" si="0"/>
        <v>54.5</v>
      </c>
      <c r="J132" s="28" cm="1">
        <f t="array" ref="J132">Common_InputFunctions.Utility_LookupValueInTableTwoColumns(D132,E132,Table_SourceData_WasteSolid_WasteTreatmentEFs[Treatment type t],Table_SourceData_WasteSolid_WasteTreatmentEFs[Waste type w],Table_SourceData_WasteSolid_WasteTreatmentEFs[EFwt])</f>
        <v>1.6899999999999998E-2</v>
      </c>
      <c r="K132" s="28" cm="1">
        <f t="array" ref="K132">WasteSolid_Equations.VEERG_10_1_1_1__1_EmissionsFromWasteManagement(I132, J132)</f>
        <v>0.92104999999999992</v>
      </c>
    </row>
    <row r="133" spans="1:11" ht="20.100000000000001" customHeight="1" x14ac:dyDescent="0.25">
      <c r="D133" s="49" t="str">
        <v>Incineration</v>
      </c>
      <c r="E133" s="51" t="str">
        <v>Textiles</v>
      </c>
      <c r="F133" s="73"/>
      <c r="G133" s="28" cm="1">
        <f t="array" ref="G133">WasteSolid_InputFunctions.WasteSolid_InputFunctions_SumWasteTreatment(Table_Input_SolidWaste[Treatment type (select)],Table_Input_SolidWaste[Waste type (select)],Table_Input_SolidWaste[Treatment location (select)],Table_Input_SolidWaste[Amount unit (select)],Table_Input_SolidWaste[Amount],D38,E38, "Treated on-site", "tonnes")</f>
        <v>0</v>
      </c>
      <c r="H133" s="28">
        <f>I38</f>
        <v>0</v>
      </c>
      <c r="I133" s="28">
        <f t="shared" si="0"/>
        <v>0</v>
      </c>
      <c r="J133" s="28" cm="1">
        <f t="array" ref="J133">Common_InputFunctions.Utility_LookupValueInTableTwoColumns(D133,E133,Table_SourceData_WasteSolid_WasteTreatmentEFs[Treatment type t],Table_SourceData_WasteSolid_WasteTreatmentEFs[Waste type w],Table_SourceData_WasteSolid_WasteTreatmentEFs[EFwt])</f>
        <v>0.36670000000000003</v>
      </c>
      <c r="K133" s="28" cm="1">
        <f t="array" ref="K133">WasteSolid_Equations.VEERG_10_1_1_1__1_EmissionsFromWasteManagement(I133, J133)</f>
        <v>0</v>
      </c>
    </row>
    <row r="134" spans="1:11" ht="20.100000000000001" customHeight="1" x14ac:dyDescent="0.25">
      <c r="D134" s="49" t="str">
        <v>Incineration</v>
      </c>
      <c r="E134" s="51" t="str">
        <v>Rubber and leather</v>
      </c>
      <c r="F134" s="73"/>
      <c r="G134" s="28" cm="1">
        <f t="array" ref="G134">WasteSolid_InputFunctions.WasteSolid_InputFunctions_SumWasteTreatment(Table_Input_SolidWaste[Treatment type (select)],Table_Input_SolidWaste[Waste type (select)],Table_Input_SolidWaste[Treatment location (select)],Table_Input_SolidWaste[Amount unit (select)],Table_Input_SolidWaste[Amount],D39,E39, "Treated on-site", "tonnes")</f>
        <v>0</v>
      </c>
      <c r="H134" s="28">
        <f>I39</f>
        <v>0</v>
      </c>
      <c r="I134" s="28">
        <f t="shared" si="0"/>
        <v>0</v>
      </c>
      <c r="J134" s="28" cm="1">
        <f t="array" ref="J134">Common_InputFunctions.Utility_LookupValueInTableTwoColumns(D134,E134,Table_SourceData_WasteSolid_WasteTreatmentEFs[Treatment type t],Table_SourceData_WasteSolid_WasteTreatmentEFs[Waste type w],Table_SourceData_WasteSolid_WasteTreatmentEFs[EFwt])</f>
        <v>0.4919</v>
      </c>
      <c r="K134" s="28" cm="1">
        <f t="array" ref="K134">WasteSolid_Equations.VEERG_10_1_1_1__1_EmissionsFromWasteManagement(I134, J134)</f>
        <v>0</v>
      </c>
    </row>
    <row r="135" spans="1:11" ht="20.100000000000001" customHeight="1" x14ac:dyDescent="0.25">
      <c r="D135" s="49" t="str">
        <v>Incineration</v>
      </c>
      <c r="E135" s="51" t="str">
        <v>Inert waste (including concrete, metal, plastic or glass)</v>
      </c>
      <c r="F135" s="73"/>
      <c r="G135" s="28" cm="1">
        <f t="array" ref="G135">WasteSolid_InputFunctions.WasteSolid_InputFunctions_SumWasteTreatment(Table_Input_SolidWaste[Treatment type (select)],Table_Input_SolidWaste[Waste type (select)],Table_Input_SolidWaste[Treatment location (select)],Table_Input_SolidWaste[Amount unit (select)],Table_Input_SolidWaste[Amount],D40,E40, "Treated on-site", "tonnes")</f>
        <v>0</v>
      </c>
      <c r="H135" s="28">
        <f>I40</f>
        <v>0</v>
      </c>
      <c r="I135" s="28">
        <f t="shared" si="0"/>
        <v>0</v>
      </c>
      <c r="J135" s="28" cm="1">
        <f t="array" ref="J135">Common_InputFunctions.Utility_LookupValueInTableTwoColumns(D135,E135,Table_SourceData_WasteSolid_WasteTreatmentEFs[Treatment type t],Table_SourceData_WasteSolid_WasteTreatmentEFs[Waste type w],Table_SourceData_WasteSolid_WasteTreatmentEFs[EFwt])</f>
        <v>0.11</v>
      </c>
      <c r="K135" s="28" cm="1">
        <f t="array" ref="K135">WasteSolid_Equations.VEERG_10_1_1_1__1_EmissionsFromWasteManagement(I135, J135)</f>
        <v>0</v>
      </c>
    </row>
    <row r="136" spans="1:11" ht="20.100000000000001" customHeight="1" x14ac:dyDescent="0.25">
      <c r="A136" s="52" t="str">
        <f>HYPERLINK("#A1", "▲ Back to top")</f>
        <v>▲ Back to top</v>
      </c>
      <c r="D136" s="49" t="str">
        <v>Incineration</v>
      </c>
      <c r="E136" s="51" t="str">
        <v>Municipal solid waste</v>
      </c>
      <c r="F136" s="50"/>
      <c r="G136" s="28" cm="1">
        <f t="array" ref="G136">WasteSolid_InputFunctions.WasteSolid_InputFunctions_SumWasteTreatment(Table_Input_SolidWaste[Treatment type (select)],Table_Input_SolidWaste[Waste type (select)],Table_Input_SolidWaste[Treatment location (select)],Table_Input_SolidWaste[Amount unit (select)],Table_Input_SolidWaste[Amount],D41,E41, "Treated on-site", "tonnes")</f>
        <v>0</v>
      </c>
      <c r="H136" s="28">
        <f t="shared" ref="G136:I149" si="1">I41</f>
        <v>0</v>
      </c>
      <c r="I136" s="28">
        <f t="shared" ref="I136:I149" si="2">G136+H136</f>
        <v>0</v>
      </c>
      <c r="J136" s="28" cm="1">
        <f t="array" ref="J136">Common_InputFunctions.Utility_LookupValueInTableTwoColumns(D136,E136,Table_SourceData_WasteSolid_WasteTreatmentEFs[Treatment type t],Table_SourceData_WasteSolid_WasteTreatmentEFs[Waste type w],Table_SourceData_WasteSolid_WasteTreatmentEFs[EFwt])</f>
        <v>5.3699999999999998E-2</v>
      </c>
      <c r="K136" s="28" cm="1">
        <f t="array" ref="K136">WasteSolid_Equations.VEERG_10_1_1_1__1_EmissionsFromWasteManagement(I136, J136)</f>
        <v>0</v>
      </c>
    </row>
    <row r="137" spans="1:11" ht="20.100000000000001" customHeight="1" x14ac:dyDescent="0.25">
      <c r="D137" s="49" t="str">
        <v>Incineration</v>
      </c>
      <c r="E137" s="51" t="str">
        <v>Commercial and industrial waste</v>
      </c>
      <c r="F137" s="50"/>
      <c r="G137" s="28" cm="1">
        <f t="array" ref="G137">WasteSolid_InputFunctions.WasteSolid_InputFunctions_SumWasteTreatment(Table_Input_SolidWaste[Treatment type (select)],Table_Input_SolidWaste[Waste type (select)],Table_Input_SolidWaste[Treatment location (select)],Table_Input_SolidWaste[Amount unit (select)],Table_Input_SolidWaste[Amount],D42,E42, "Treated on-site", "tonnes")</f>
        <v>0</v>
      </c>
      <c r="H137" s="28">
        <f t="shared" si="1"/>
        <v>0</v>
      </c>
      <c r="I137" s="28">
        <f t="shared" si="2"/>
        <v>0</v>
      </c>
      <c r="J137" s="28" cm="1">
        <f t="array" ref="J137">Common_InputFunctions.Utility_LookupValueInTableTwoColumns(D137,E137,Table_SourceData_WasteSolid_WasteTreatmentEFs[Treatment type t],Table_SourceData_WasteSolid_WasteTreatmentEFs[Waste type w],Table_SourceData_WasteSolid_WasteTreatmentEFs[EFwt])</f>
        <v>1.649</v>
      </c>
      <c r="K137" s="28" cm="1">
        <f t="array" ref="K137">WasteSolid_Equations.VEERG_10_1_1_1__1_EmissionsFromWasteManagement(I137, J137)</f>
        <v>0</v>
      </c>
    </row>
    <row r="138" spans="1:11" ht="20.100000000000001" customHeight="1" x14ac:dyDescent="0.25">
      <c r="D138" s="49" t="str">
        <v>Composting</v>
      </c>
      <c r="E138" s="51" t="str">
        <v>All organic waste</v>
      </c>
      <c r="F138" s="50"/>
      <c r="G138" s="28" t="s">
        <v>150</v>
      </c>
      <c r="H138" s="28" t="str">
        <f t="shared" si="1"/>
        <v>Not used</v>
      </c>
      <c r="I138" s="28">
        <f>SUM(G139:G143)+SUM(H139:H143)</f>
        <v>29.5</v>
      </c>
      <c r="J138" s="28" cm="1">
        <f t="array" ref="J138">Common_InputFunctions.Utility_LookupValueInTableTwoColumns(D138,E138,Table_SourceData_WasteSolid_WasteTreatmentEFs[Treatment type t],Table_SourceData_WasteSolid_WasteTreatmentEFs[Waste type w],Table_SourceData_WasteSolid_WasteTreatmentEFs[EFwt])</f>
        <v>4.5999999999999999E-2</v>
      </c>
      <c r="K138" s="28" cm="1">
        <f t="array" ref="K138">WasteSolid_Equations.VEERG_10_1_1_1__1_EmissionsFromWasteManagement(I138, J138)</f>
        <v>1.357</v>
      </c>
    </row>
    <row r="139" spans="1:11" ht="20.100000000000001" customHeight="1" x14ac:dyDescent="0.25">
      <c r="D139" s="49" t="str">
        <v>Composting</v>
      </c>
      <c r="E139" s="51" t="str">
        <v>Food waste (including animal carcasses, spoiled animal feed or crop)</v>
      </c>
      <c r="F139" s="50"/>
      <c r="G139" s="28" cm="1">
        <f t="array" ref="G139">WasteSolid_InputFunctions.WasteSolid_InputFunctions_SumWasteTreatment(Table_Input_SolidWaste[Treatment type (select)],Table_Input_SolidWaste[Waste type (select)],Table_Input_SolidWaste[Treatment location (select)],Table_Input_SolidWaste[Amount unit (select)],Table_Input_SolidWaste[Amount],D44,E44, "Treated on-site", "tonnes")</f>
        <v>0</v>
      </c>
      <c r="H139" s="28">
        <f t="shared" si="1"/>
        <v>25</v>
      </c>
      <c r="I139" s="28" t="s">
        <v>155</v>
      </c>
      <c r="J139" s="28" t="s">
        <v>150</v>
      </c>
      <c r="K139" s="28" t="s">
        <v>150</v>
      </c>
    </row>
    <row r="140" spans="1:11" ht="20.100000000000001" customHeight="1" x14ac:dyDescent="0.25">
      <c r="D140" s="49" t="str">
        <v>Composting</v>
      </c>
      <c r="E140" s="51" t="str">
        <v>Green waste (including crop residues or prunings)</v>
      </c>
      <c r="F140" s="50"/>
      <c r="G140" s="28" cm="1">
        <f t="array" ref="G140">WasteSolid_InputFunctions.WasteSolid_InputFunctions_SumWasteTreatment(Table_Input_SolidWaste[Treatment type (select)],Table_Input_SolidWaste[Waste type (select)],Table_Input_SolidWaste[Treatment location (select)],Table_Input_SolidWaste[Amount unit (select)],Table_Input_SolidWaste[Amount],D45,E45, "Treated on-site", "tonnes")</f>
        <v>0</v>
      </c>
      <c r="H140" s="28">
        <f t="shared" si="1"/>
        <v>0</v>
      </c>
      <c r="I140" s="28" t="s">
        <v>155</v>
      </c>
      <c r="J140" s="28" t="s">
        <v>150</v>
      </c>
      <c r="K140" s="28" t="s">
        <v>150</v>
      </c>
    </row>
    <row r="141" spans="1:11" ht="20.100000000000001" customHeight="1" x14ac:dyDescent="0.25">
      <c r="D141" s="49" t="str">
        <v>Composting</v>
      </c>
      <c r="E141" s="51" t="str">
        <v>Wood</v>
      </c>
      <c r="F141" s="50"/>
      <c r="G141" s="28" cm="1">
        <f t="array" ref="G141">WasteSolid_InputFunctions.WasteSolid_InputFunctions_SumWasteTreatment(Table_Input_SolidWaste[Treatment type (select)],Table_Input_SolidWaste[Waste type (select)],Table_Input_SolidWaste[Treatment location (select)],Table_Input_SolidWaste[Amount unit (select)],Table_Input_SolidWaste[Amount],D46,E46, "Treated on-site", "tonnes")</f>
        <v>0</v>
      </c>
      <c r="H141" s="28">
        <f t="shared" si="1"/>
        <v>0</v>
      </c>
      <c r="I141" s="28" t="s">
        <v>155</v>
      </c>
      <c r="J141" s="28" t="s">
        <v>150</v>
      </c>
      <c r="K141" s="28" t="s">
        <v>150</v>
      </c>
    </row>
    <row r="142" spans="1:11" ht="20.100000000000001" customHeight="1" x14ac:dyDescent="0.25">
      <c r="D142" s="49" t="str">
        <v>Composting</v>
      </c>
      <c r="E142" s="51" t="str">
        <v>Sludge</v>
      </c>
      <c r="F142" s="50"/>
      <c r="G142" s="28" cm="1">
        <f t="array" ref="G142">WasteSolid_InputFunctions.WasteSolid_InputFunctions_SumWasteTreatment(Table_Input_SolidWaste[Treatment type (select)],Table_Input_SolidWaste[Waste type (select)],Table_Input_SolidWaste[Treatment location (select)],Table_Input_SolidWaste[Amount unit (select)],Table_Input_SolidWaste[Amount],D47,E47, "Treated on-site", "tonnes")</f>
        <v>0</v>
      </c>
      <c r="H142" s="28">
        <f t="shared" si="1"/>
        <v>0</v>
      </c>
      <c r="I142" s="28" t="s">
        <v>155</v>
      </c>
      <c r="J142" s="28" t="s">
        <v>150</v>
      </c>
      <c r="K142" s="28" t="s">
        <v>150</v>
      </c>
    </row>
    <row r="143" spans="1:11" ht="20.100000000000001" customHeight="1" x14ac:dyDescent="0.25">
      <c r="D143" s="49" t="str">
        <v>Composting</v>
      </c>
      <c r="E143" s="51" t="str">
        <v>Paper and cardboard</v>
      </c>
      <c r="F143" s="50"/>
      <c r="G143" s="28" cm="1">
        <f t="array" ref="G143">WasteSolid_InputFunctions.WasteSolid_InputFunctions_SumWasteTreatment(Table_Input_SolidWaste[Treatment type (select)],Table_Input_SolidWaste[Waste type (select)],Table_Input_SolidWaste[Treatment location (select)],Table_Input_SolidWaste[Amount unit (select)],Table_Input_SolidWaste[Amount],D48,E48, "Treated on-site", "tonnes")</f>
        <v>0</v>
      </c>
      <c r="H143" s="28">
        <f t="shared" si="1"/>
        <v>4.5</v>
      </c>
      <c r="I143" s="28" t="s">
        <v>155</v>
      </c>
      <c r="J143" s="28" t="s">
        <v>150</v>
      </c>
      <c r="K143" s="28" t="s">
        <v>150</v>
      </c>
    </row>
    <row r="144" spans="1:11" ht="20.100000000000001" customHeight="1" x14ac:dyDescent="0.25">
      <c r="D144" s="49" t="str">
        <v>Anaerobic digestion</v>
      </c>
      <c r="E144" s="51" t="str">
        <v>All organic waste</v>
      </c>
      <c r="F144" s="50"/>
      <c r="G144" s="28" t="s">
        <v>150</v>
      </c>
      <c r="H144" s="28" t="str">
        <f t="shared" si="1"/>
        <v>Not used</v>
      </c>
      <c r="I144" s="28">
        <f>SUM(G145:G149)+SUM(H145:H149)</f>
        <v>0</v>
      </c>
      <c r="J144" s="28" cm="1">
        <f t="array" ref="J144">Common_InputFunctions.Utility_LookupValueInTableTwoColumns(D144,E144,Table_SourceData_WasteSolid_WasteTreatmentEFs[Treatment type t],Table_SourceData_WasteSolid_WasteTreatmentEFs[Waste type w],Table_SourceData_WasteSolid_WasteTreatmentEFs[EFwt])</f>
        <v>2.8000000000000001E-2</v>
      </c>
      <c r="K144" s="28" cm="1">
        <f t="array" ref="K144">WasteSolid_Equations.VEERG_10_1_1_1__1_EmissionsFromWasteManagement(I144, J144)</f>
        <v>0</v>
      </c>
    </row>
    <row r="145" spans="4:11" ht="20.100000000000001" customHeight="1" x14ac:dyDescent="0.25">
      <c r="D145" s="49" t="str">
        <v>Anaerobic digestion</v>
      </c>
      <c r="E145" s="51" t="str">
        <v>Food waste (including animal carcasses, spoiled animal feed or crop)</v>
      </c>
      <c r="F145" s="50"/>
      <c r="G145" s="28" cm="1">
        <f t="array" ref="G145">WasteSolid_InputFunctions.WasteSolid_InputFunctions_SumWasteTreatment(Table_Input_SolidWaste[Treatment type (select)],Table_Input_SolidWaste[Waste type (select)],Table_Input_SolidWaste[Treatment location (select)],Table_Input_SolidWaste[Amount unit (select)],Table_Input_SolidWaste[Amount],D50,E50, "Treated on-site", "tonnes")</f>
        <v>0</v>
      </c>
      <c r="H145" s="28">
        <f t="shared" si="1"/>
        <v>0</v>
      </c>
      <c r="I145" s="28" t="s">
        <v>155</v>
      </c>
      <c r="J145" s="28" t="s">
        <v>150</v>
      </c>
      <c r="K145" s="28" t="s">
        <v>150</v>
      </c>
    </row>
    <row r="146" spans="4:11" ht="20.100000000000001" customHeight="1" x14ac:dyDescent="0.25">
      <c r="D146" s="49" t="str">
        <v>Anaerobic digestion</v>
      </c>
      <c r="E146" s="51" t="str">
        <v>Green waste (including crop residues or prunings)</v>
      </c>
      <c r="F146" s="50"/>
      <c r="G146" s="28" cm="1">
        <f t="array" ref="G146">WasteSolid_InputFunctions.WasteSolid_InputFunctions_SumWasteTreatment(Table_Input_SolidWaste[Treatment type (select)],Table_Input_SolidWaste[Waste type (select)],Table_Input_SolidWaste[Treatment location (select)],Table_Input_SolidWaste[Amount unit (select)],Table_Input_SolidWaste[Amount],D51,E51, "Treated on-site", "tonnes")</f>
        <v>0</v>
      </c>
      <c r="H146" s="28">
        <f t="shared" si="1"/>
        <v>0</v>
      </c>
      <c r="I146" s="28" t="s">
        <v>155</v>
      </c>
      <c r="J146" s="28" t="s">
        <v>150</v>
      </c>
      <c r="K146" s="28" t="s">
        <v>150</v>
      </c>
    </row>
    <row r="147" spans="4:11" ht="20.100000000000001" customHeight="1" x14ac:dyDescent="0.25">
      <c r="D147" s="49" t="str">
        <v>Anaerobic digestion</v>
      </c>
      <c r="E147" s="51" t="str">
        <v>Wood</v>
      </c>
      <c r="F147" s="50"/>
      <c r="G147" s="28" cm="1">
        <f t="array" ref="G147">WasteSolid_InputFunctions.WasteSolid_InputFunctions_SumWasteTreatment(Table_Input_SolidWaste[Treatment type (select)],Table_Input_SolidWaste[Waste type (select)],Table_Input_SolidWaste[Treatment location (select)],Table_Input_SolidWaste[Amount unit (select)],Table_Input_SolidWaste[Amount],D52,E52, "Treated on-site", "tonnes")</f>
        <v>0</v>
      </c>
      <c r="H147" s="28">
        <f t="shared" si="1"/>
        <v>0</v>
      </c>
      <c r="I147" s="28" t="s">
        <v>155</v>
      </c>
      <c r="J147" s="28" t="s">
        <v>150</v>
      </c>
      <c r="K147" s="28" t="s">
        <v>150</v>
      </c>
    </row>
    <row r="148" spans="4:11" ht="20.100000000000001" customHeight="1" x14ac:dyDescent="0.25">
      <c r="D148" s="49" t="str">
        <v>Anaerobic digestion</v>
      </c>
      <c r="E148" s="51" t="str">
        <v>Sludge</v>
      </c>
      <c r="F148" s="50"/>
      <c r="G148" s="28" cm="1">
        <f t="array" ref="G148">WasteSolid_InputFunctions.WasteSolid_InputFunctions_SumWasteTreatment(Table_Input_SolidWaste[Treatment type (select)],Table_Input_SolidWaste[Waste type (select)],Table_Input_SolidWaste[Treatment location (select)],Table_Input_SolidWaste[Amount unit (select)],Table_Input_SolidWaste[Amount],D53,E53, "Treated on-site", "tonnes")</f>
        <v>0</v>
      </c>
      <c r="H148" s="28">
        <f t="shared" si="1"/>
        <v>0</v>
      </c>
      <c r="I148" s="28" t="s">
        <v>155</v>
      </c>
      <c r="J148" s="28" t="s">
        <v>150</v>
      </c>
      <c r="K148" s="28" t="s">
        <v>150</v>
      </c>
    </row>
    <row r="149" spans="4:11" ht="20.100000000000001" customHeight="1" x14ac:dyDescent="0.25">
      <c r="D149" s="49" t="str">
        <v>Anaerobic digestion</v>
      </c>
      <c r="E149" s="51" t="str">
        <v>Paper and cardboard</v>
      </c>
      <c r="F149" s="50"/>
      <c r="G149" s="28" cm="1">
        <f t="array" ref="G149">WasteSolid_InputFunctions.WasteSolid_InputFunctions_SumWasteTreatment(Table_Input_SolidWaste[Treatment type (select)],Table_Input_SolidWaste[Waste type (select)],Table_Input_SolidWaste[Treatment location (select)],Table_Input_SolidWaste[Amount unit (select)],Table_Input_SolidWaste[Amount],D54,E54, "Treated on-site", "tonnes")</f>
        <v>0</v>
      </c>
      <c r="H149" s="28">
        <f t="shared" si="1"/>
        <v>0</v>
      </c>
      <c r="I149" s="28" t="s">
        <v>155</v>
      </c>
      <c r="J149" s="28" t="s">
        <v>150</v>
      </c>
      <c r="K149" s="28" t="s">
        <v>150</v>
      </c>
    </row>
    <row r="150" spans="4:11" ht="20.100000000000001" customHeight="1" x14ac:dyDescent="0.25"/>
    <row r="151" spans="4:11" ht="20.100000000000001" customHeight="1" x14ac:dyDescent="0.25">
      <c r="D151" s="62" t="s">
        <v>119</v>
      </c>
      <c r="E151" s="64">
        <f>SUM(K116:K149)</f>
        <v>438.82805000000002</v>
      </c>
      <c r="F151" s="69" t="str">
        <f>$E$103</f>
        <v>t CO2e</v>
      </c>
    </row>
    <row r="152" spans="4:11" ht="20.100000000000001" customHeight="1" x14ac:dyDescent="0.25"/>
    <row r="153" spans="4:11" ht="20.100000000000001" customHeight="1" x14ac:dyDescent="0.25"/>
    <row r="154" spans="4:11" ht="20.100000000000001" customHeight="1" x14ac:dyDescent="0.25">
      <c r="D154" s="70" t="s">
        <v>125</v>
      </c>
    </row>
    <row r="155" spans="4:11" ht="20.100000000000001" customHeight="1" x14ac:dyDescent="0.25">
      <c r="D155" s="71" t="s">
        <v>126</v>
      </c>
    </row>
    <row r="156" spans="4:11" ht="20.100000000000001" customHeight="1" x14ac:dyDescent="0.25">
      <c r="D156" s="67" t="s">
        <v>94</v>
      </c>
      <c r="E156" s="67" t="s">
        <v>95</v>
      </c>
      <c r="F156" s="67"/>
      <c r="G156" s="67" t="s">
        <v>154</v>
      </c>
      <c r="H156" s="72" t="s">
        <v>153</v>
      </c>
      <c r="I156" s="72" t="s">
        <v>97</v>
      </c>
      <c r="J156" s="72" t="s">
        <v>152</v>
      </c>
      <c r="K156" s="72" t="s">
        <v>151</v>
      </c>
    </row>
    <row r="157" spans="4:11" ht="20.100000000000001" customHeight="1" x14ac:dyDescent="0.25">
      <c r="D157" s="49" t="str" cm="1">
        <f t="array" ref="D157:D190">Table_SourceData_WasteSolid_WasteTreatmentEFs[Treatment type t]</f>
        <v>Landfill</v>
      </c>
      <c r="E157" s="51" t="str" cm="1">
        <f t="array" ref="E157:E190">Table_SourceData_WasteSolid_WasteTreatmentEFs[Waste type w]</f>
        <v>Food waste (including animal carcasses, spoiled animal feed or crop)</v>
      </c>
      <c r="F157" s="73"/>
      <c r="G157" s="28" cm="1">
        <f t="array" ref="G157">WasteSolid_InputFunctions.WasteSolid_InputFunctions_SumWasteTreatment(Table_Input_SolidWaste[Treatment type (select)],Table_Input_SolidWaste[Waste type (select)],Table_Input_SolidWaste[Treatment location (select)],Table_Input_SolidWaste[Amount unit (select)],Table_Input_SolidWaste[Amount],D21,E21, "Removed and treated off-site", "tonnes")</f>
        <v>50</v>
      </c>
      <c r="H157" s="28">
        <f>I59</f>
        <v>25</v>
      </c>
      <c r="I157" s="28">
        <f>G157+H157</f>
        <v>75</v>
      </c>
      <c r="J157" s="28" cm="1">
        <f t="array" ref="J157">Common_InputFunctions.Utility_LookupValueInTableTwoColumns(D157,E157,Table_SourceData_WasteSolid_WasteTreatmentEFs[Treatment type t],Table_SourceData_WasteSolid_WasteTreatmentEFs[Waste type w],Table_SourceData_WasteSolid_WasteTreatmentEFs[EFwt])</f>
        <v>2.1</v>
      </c>
      <c r="K157" s="28" cm="1">
        <f t="array" ref="K157">WasteSolid_Equations.VEERG_10_1_1_1__1_EmissionsFromWasteManagement(I157, J157)</f>
        <v>157.5</v>
      </c>
    </row>
    <row r="158" spans="4:11" ht="20.100000000000001" customHeight="1" x14ac:dyDescent="0.25">
      <c r="D158" s="49" t="str">
        <v>Landfill</v>
      </c>
      <c r="E158" s="51" t="str">
        <v>Paper and cardboard</v>
      </c>
      <c r="F158" s="73"/>
      <c r="G158" s="28" cm="1">
        <f t="array" ref="G158">WasteSolid_InputFunctions.WasteSolid_InputFunctions_SumWasteTreatment(Table_Input_SolidWaste[Treatment type (select)],Table_Input_SolidWaste[Waste type (select)],Table_Input_SolidWaste[Treatment location (select)],Table_Input_SolidWaste[Amount unit (select)],Table_Input_SolidWaste[Amount],D22,E22, "Removed and treated off-site", "tonnes")</f>
        <v>50</v>
      </c>
      <c r="H158" s="28">
        <f>I60</f>
        <v>4.5</v>
      </c>
      <c r="I158" s="28">
        <f t="shared" ref="I158:I176" si="3">G158+H158</f>
        <v>54.5</v>
      </c>
      <c r="J158" s="28" cm="1">
        <f t="array" ref="J158">Common_InputFunctions.Utility_LookupValueInTableTwoColumns(D158,E158,Table_SourceData_WasteSolid_WasteTreatmentEFs[Treatment type t],Table_SourceData_WasteSolid_WasteTreatmentEFs[Waste type w],Table_SourceData_WasteSolid_WasteTreatmentEFs[EFwt])</f>
        <v>3.3</v>
      </c>
      <c r="K158" s="28" cm="1">
        <f t="array" ref="K158">WasteSolid_Equations.VEERG_10_1_1_1__1_EmissionsFromWasteManagement(I158, J158)</f>
        <v>179.85</v>
      </c>
    </row>
    <row r="159" spans="4:11" ht="20.100000000000001" customHeight="1" x14ac:dyDescent="0.25">
      <c r="D159" s="49" t="str">
        <v>Landfill</v>
      </c>
      <c r="E159" s="51" t="str">
        <v>Green waste (including crop residues or prunings)</v>
      </c>
      <c r="F159" s="73"/>
      <c r="G159" s="28" cm="1">
        <f t="array" ref="G159">WasteSolid_InputFunctions.WasteSolid_InputFunctions_SumWasteTreatment(Table_Input_SolidWaste[Treatment type (select)],Table_Input_SolidWaste[Waste type (select)],Table_Input_SolidWaste[Treatment location (select)],Table_Input_SolidWaste[Amount unit (select)],Table_Input_SolidWaste[Amount],D23,E23, "Removed and treated off-site", "tonnes")</f>
        <v>50</v>
      </c>
      <c r="H159" s="28">
        <f>I61</f>
        <v>12</v>
      </c>
      <c r="I159" s="28">
        <f t="shared" si="3"/>
        <v>62</v>
      </c>
      <c r="J159" s="28" cm="1">
        <f t="array" ref="J159">Common_InputFunctions.Utility_LookupValueInTableTwoColumns(D159,E159,Table_SourceData_WasteSolid_WasteTreatmentEFs[Treatment type t],Table_SourceData_WasteSolid_WasteTreatmentEFs[Waste type w],Table_SourceData_WasteSolid_WasteTreatmentEFs[EFwt])</f>
        <v>1.6</v>
      </c>
      <c r="K159" s="28" cm="1">
        <f t="array" ref="K159">WasteSolid_Equations.VEERG_10_1_1_1__1_EmissionsFromWasteManagement(I159, J159)</f>
        <v>99.2</v>
      </c>
    </row>
    <row r="160" spans="4:11" ht="20.100000000000001" customHeight="1" x14ac:dyDescent="0.25">
      <c r="D160" s="49" t="str">
        <v>Landfill</v>
      </c>
      <c r="E160" s="51" t="str">
        <v>Wood</v>
      </c>
      <c r="F160" s="73"/>
      <c r="G160" s="28" cm="1">
        <f t="array" ref="G160">WasteSolid_InputFunctions.WasteSolid_InputFunctions_SumWasteTreatment(Table_Input_SolidWaste[Treatment type (select)],Table_Input_SolidWaste[Waste type (select)],Table_Input_SolidWaste[Treatment location (select)],Table_Input_SolidWaste[Amount unit (select)],Table_Input_SolidWaste[Amount],D24,E24, "Removed and treated off-site", "tonnes")</f>
        <v>0</v>
      </c>
      <c r="H160" s="28">
        <f>I62</f>
        <v>0</v>
      </c>
      <c r="I160" s="28">
        <f t="shared" si="3"/>
        <v>0</v>
      </c>
      <c r="J160" s="28" cm="1">
        <f t="array" ref="J160">Common_InputFunctions.Utility_LookupValueInTableTwoColumns(D160,E160,Table_SourceData_WasteSolid_WasteTreatmentEFs[Treatment type t],Table_SourceData_WasteSolid_WasteTreatmentEFs[Waste type w],Table_SourceData_WasteSolid_WasteTreatmentEFs[EFwt])</f>
        <v>0.7</v>
      </c>
      <c r="K160" s="28" cm="1">
        <f t="array" ref="K160">WasteSolid_Equations.VEERG_10_1_1_1__1_EmissionsFromWasteManagement(I160, J160)</f>
        <v>0</v>
      </c>
    </row>
    <row r="161" spans="4:11" ht="20.100000000000001" customHeight="1" x14ac:dyDescent="0.25">
      <c r="D161" s="49" t="str">
        <v>Landfill</v>
      </c>
      <c r="E161" s="51" t="str">
        <v>Textiles</v>
      </c>
      <c r="F161" s="73"/>
      <c r="G161" s="28" cm="1">
        <f t="array" ref="G161">WasteSolid_InputFunctions.WasteSolid_InputFunctions_SumWasteTreatment(Table_Input_SolidWaste[Treatment type (select)],Table_Input_SolidWaste[Waste type (select)],Table_Input_SolidWaste[Treatment location (select)],Table_Input_SolidWaste[Amount unit (select)],Table_Input_SolidWaste[Amount],D25,E25, "Removed and treated off-site", "tonnes")</f>
        <v>0</v>
      </c>
      <c r="H161" s="28">
        <f>I63</f>
        <v>0</v>
      </c>
      <c r="I161" s="28">
        <f t="shared" si="3"/>
        <v>0</v>
      </c>
      <c r="J161" s="28" cm="1">
        <f t="array" ref="J161">Common_InputFunctions.Utility_LookupValueInTableTwoColumns(D161,E161,Table_SourceData_WasteSolid_WasteTreatmentEFs[Treatment type t],Table_SourceData_WasteSolid_WasteTreatmentEFs[Waste type w],Table_SourceData_WasteSolid_WasteTreatmentEFs[EFwt])</f>
        <v>2</v>
      </c>
      <c r="K161" s="28" cm="1">
        <f t="array" ref="K161">WasteSolid_Equations.VEERG_10_1_1_1__1_EmissionsFromWasteManagement(I161, J161)</f>
        <v>0</v>
      </c>
    </row>
    <row r="162" spans="4:11" ht="20.100000000000001" customHeight="1" x14ac:dyDescent="0.25">
      <c r="D162" s="49" t="str">
        <v>Landfill</v>
      </c>
      <c r="E162" s="51" t="str">
        <v>Sludge</v>
      </c>
      <c r="F162" s="73"/>
      <c r="G162" s="28" cm="1">
        <f t="array" ref="G162">WasteSolid_InputFunctions.WasteSolid_InputFunctions_SumWasteTreatment(Table_Input_SolidWaste[Treatment type (select)],Table_Input_SolidWaste[Waste type (select)],Table_Input_SolidWaste[Treatment location (select)],Table_Input_SolidWaste[Amount unit (select)],Table_Input_SolidWaste[Amount],D26,E26, "Removed and treated off-site", "tonnes")</f>
        <v>0</v>
      </c>
      <c r="H162" s="28">
        <f>I64</f>
        <v>0</v>
      </c>
      <c r="I162" s="28">
        <f t="shared" si="3"/>
        <v>0</v>
      </c>
      <c r="J162" s="28" cm="1">
        <f t="array" ref="J162">Common_InputFunctions.Utility_LookupValueInTableTwoColumns(D162,E162,Table_SourceData_WasteSolid_WasteTreatmentEFs[Treatment type t],Table_SourceData_WasteSolid_WasteTreatmentEFs[Waste type w],Table_SourceData_WasteSolid_WasteTreatmentEFs[EFwt])</f>
        <v>0.4</v>
      </c>
      <c r="K162" s="28" cm="1">
        <f t="array" ref="K162">WasteSolid_Equations.VEERG_10_1_1_1__1_EmissionsFromWasteManagement(I162, J162)</f>
        <v>0</v>
      </c>
    </row>
    <row r="163" spans="4:11" ht="20.100000000000001" customHeight="1" x14ac:dyDescent="0.25">
      <c r="D163" s="49" t="str">
        <v>Landfill</v>
      </c>
      <c r="E163" s="51" t="str">
        <v>Rubber and leather</v>
      </c>
      <c r="F163" s="73"/>
      <c r="G163" s="28" cm="1">
        <f t="array" ref="G163">WasteSolid_InputFunctions.WasteSolid_InputFunctions_SumWasteTreatment(Table_Input_SolidWaste[Treatment type (select)],Table_Input_SolidWaste[Waste type (select)],Table_Input_SolidWaste[Treatment location (select)],Table_Input_SolidWaste[Amount unit (select)],Table_Input_SolidWaste[Amount],D27,E27, "Removed and treated off-site", "tonnes")</f>
        <v>0</v>
      </c>
      <c r="H163" s="28">
        <f>I65</f>
        <v>0</v>
      </c>
      <c r="I163" s="28">
        <f t="shared" si="3"/>
        <v>0</v>
      </c>
      <c r="J163" s="28" cm="1">
        <f t="array" ref="J163">Common_InputFunctions.Utility_LookupValueInTableTwoColumns(D163,E163,Table_SourceData_WasteSolid_WasteTreatmentEFs[Treatment type t],Table_SourceData_WasteSolid_WasteTreatmentEFs[Waste type w],Table_SourceData_WasteSolid_WasteTreatmentEFs[EFwt])</f>
        <v>3.3</v>
      </c>
      <c r="K163" s="28" cm="1">
        <f t="array" ref="K163">WasteSolid_Equations.VEERG_10_1_1_1__1_EmissionsFromWasteManagement(I163, J163)</f>
        <v>0</v>
      </c>
    </row>
    <row r="164" spans="4:11" ht="20.100000000000001" customHeight="1" x14ac:dyDescent="0.25">
      <c r="D164" s="49" t="str">
        <v>Landfill</v>
      </c>
      <c r="E164" s="51" t="str">
        <v>Inert waste (including concrete, metal, plastic or glass)</v>
      </c>
      <c r="F164" s="73"/>
      <c r="G164" s="28" cm="1">
        <f t="array" ref="G164">WasteSolid_InputFunctions.WasteSolid_InputFunctions_SumWasteTreatment(Table_Input_SolidWaste[Treatment type (select)],Table_Input_SolidWaste[Waste type (select)],Table_Input_SolidWaste[Treatment location (select)],Table_Input_SolidWaste[Amount unit (select)],Table_Input_SolidWaste[Amount],D28,E28, "Removed and treated off-site", "tonnes")</f>
        <v>0</v>
      </c>
      <c r="H164" s="28">
        <f>I66</f>
        <v>0</v>
      </c>
      <c r="I164" s="28">
        <f t="shared" si="3"/>
        <v>0</v>
      </c>
      <c r="J164" s="28" cm="1">
        <f t="array" ref="J164">Common_InputFunctions.Utility_LookupValueInTableTwoColumns(D164,E164,Table_SourceData_WasteSolid_WasteTreatmentEFs[Treatment type t],Table_SourceData_WasteSolid_WasteTreatmentEFs[Waste type w],Table_SourceData_WasteSolid_WasteTreatmentEFs[EFwt])</f>
        <v>0</v>
      </c>
      <c r="K164" s="28" cm="1">
        <f t="array" ref="K164">WasteSolid_Equations.VEERG_10_1_1_1__1_EmissionsFromWasteManagement(I164, J164)</f>
        <v>0</v>
      </c>
    </row>
    <row r="165" spans="4:11" ht="20.100000000000001" customHeight="1" x14ac:dyDescent="0.25">
      <c r="D165" s="49" t="str">
        <v>Landfill</v>
      </c>
      <c r="E165" s="51" t="str">
        <v>Municipal solid waste</v>
      </c>
      <c r="F165" s="73"/>
      <c r="G165" s="28" cm="1">
        <f t="array" ref="G165">WasteSolid_InputFunctions.WasteSolid_InputFunctions_SumWasteTreatment(Table_Input_SolidWaste[Treatment type (select)],Table_Input_SolidWaste[Waste type (select)],Table_Input_SolidWaste[Treatment location (select)],Table_Input_SolidWaste[Amount unit (select)],Table_Input_SolidWaste[Amount],D29,E29, "Removed and treated off-site", "tonnes")</f>
        <v>0</v>
      </c>
      <c r="H165" s="28">
        <f>I67</f>
        <v>0</v>
      </c>
      <c r="I165" s="28">
        <f t="shared" si="3"/>
        <v>0</v>
      </c>
      <c r="J165" s="28" cm="1">
        <f t="array" ref="J165">Common_InputFunctions.Utility_LookupValueInTableTwoColumns(D165,E165,Table_SourceData_WasteSolid_WasteTreatmentEFs[Treatment type t],Table_SourceData_WasteSolid_WasteTreatmentEFs[Waste type w],Table_SourceData_WasteSolid_WasteTreatmentEFs[EFwt])</f>
        <v>1.6</v>
      </c>
      <c r="K165" s="28" cm="1">
        <f t="array" ref="K165">WasteSolid_Equations.VEERG_10_1_1_1__1_EmissionsFromWasteManagement(I165, J165)</f>
        <v>0</v>
      </c>
    </row>
    <row r="166" spans="4:11" ht="20.100000000000001" customHeight="1" x14ac:dyDescent="0.25">
      <c r="D166" s="49" t="str">
        <v>Landfill</v>
      </c>
      <c r="E166" s="51" t="str">
        <v>Commercial and industrial waste</v>
      </c>
      <c r="F166" s="73"/>
      <c r="G166" s="28" cm="1">
        <f t="array" ref="G166">WasteSolid_InputFunctions.WasteSolid_InputFunctions_SumWasteTreatment(Table_Input_SolidWaste[Treatment type (select)],Table_Input_SolidWaste[Waste type (select)],Table_Input_SolidWaste[Treatment location (select)],Table_Input_SolidWaste[Amount unit (select)],Table_Input_SolidWaste[Amount],D30,E30, "Removed and treated off-site", "tonnes")</f>
        <v>0</v>
      </c>
      <c r="H166" s="28">
        <f>I68</f>
        <v>0</v>
      </c>
      <c r="I166" s="28">
        <f t="shared" si="3"/>
        <v>0</v>
      </c>
      <c r="J166" s="28" cm="1">
        <f t="array" ref="J166">Common_InputFunctions.Utility_LookupValueInTableTwoColumns(D166,E166,Table_SourceData_WasteSolid_WasteTreatmentEFs[Treatment type t],Table_SourceData_WasteSolid_WasteTreatmentEFs[Waste type w],Table_SourceData_WasteSolid_WasteTreatmentEFs[EFwt])</f>
        <v>1.3</v>
      </c>
      <c r="K166" s="28" cm="1">
        <f t="array" ref="K166">WasteSolid_Equations.VEERG_10_1_1_1__1_EmissionsFromWasteManagement(I166, J166)</f>
        <v>0</v>
      </c>
    </row>
    <row r="167" spans="4:11" ht="20.100000000000001" customHeight="1" x14ac:dyDescent="0.25">
      <c r="D167" s="49" t="str">
        <v>Landfill</v>
      </c>
      <c r="E167" s="51" t="str">
        <v>Construction and demolition waste</v>
      </c>
      <c r="F167" s="73"/>
      <c r="G167" s="28" cm="1">
        <f t="array" ref="G167">WasteSolid_InputFunctions.WasteSolid_InputFunctions_SumWasteTreatment(Table_Input_SolidWaste[Treatment type (select)],Table_Input_SolidWaste[Waste type (select)],Table_Input_SolidWaste[Treatment location (select)],Table_Input_SolidWaste[Amount unit (select)],Table_Input_SolidWaste[Amount],D31,E31, "Removed and treated off-site", "tonnes")</f>
        <v>0</v>
      </c>
      <c r="H167" s="28">
        <f>I69</f>
        <v>0</v>
      </c>
      <c r="I167" s="28">
        <f t="shared" si="3"/>
        <v>0</v>
      </c>
      <c r="J167" s="28" cm="1">
        <f t="array" ref="J167">Common_InputFunctions.Utility_LookupValueInTableTwoColumns(D167,E167,Table_SourceData_WasteSolid_WasteTreatmentEFs[Treatment type t],Table_SourceData_WasteSolid_WasteTreatmentEFs[Waste type w],Table_SourceData_WasteSolid_WasteTreatmentEFs[EFwt])</f>
        <v>0.2</v>
      </c>
      <c r="K167" s="28" cm="1">
        <f t="array" ref="K167">WasteSolid_Equations.VEERG_10_1_1_1__1_EmissionsFromWasteManagement(I167, J167)</f>
        <v>0</v>
      </c>
    </row>
    <row r="168" spans="4:11" ht="20.100000000000001" customHeight="1" x14ac:dyDescent="0.25">
      <c r="D168" s="49" t="str">
        <v>Incineration</v>
      </c>
      <c r="E168" s="51" t="str">
        <v>Food waste, green waste, wood, sludge</v>
      </c>
      <c r="F168" s="73"/>
      <c r="G168" s="28" t="s">
        <v>150</v>
      </c>
      <c r="H168" s="28" t="str">
        <f>I70</f>
        <v>Not used</v>
      </c>
      <c r="I168" s="28">
        <f>SUM(G169:G172)+SUM(H169:H172)</f>
        <v>62</v>
      </c>
      <c r="J168" s="28" cm="1">
        <f t="array" ref="J168">Common_InputFunctions.Utility_LookupValueInTableTwoColumns(D168,E168,Table_SourceData_WasteSolid_WasteTreatmentEFs[Treatment type t],Table_SourceData_WasteSolid_WasteTreatmentEFs[Waste type w],Table_SourceData_WasteSolid_WasteTreatmentEFs[EFwt])</f>
        <v>0</v>
      </c>
      <c r="K168" s="28" cm="1">
        <f t="array" ref="K168">WasteSolid_Equations.VEERG_10_1_1_1__1_EmissionsFromWasteManagement(I168, J168)</f>
        <v>0</v>
      </c>
    </row>
    <row r="169" spans="4:11" ht="20.100000000000001" customHeight="1" x14ac:dyDescent="0.25">
      <c r="D169" s="49" t="str">
        <v>Incineration</v>
      </c>
      <c r="E169" s="51" t="str">
        <v>Food waste (including animal carcasses, spoiled animal feed or crop)</v>
      </c>
      <c r="F169" s="73"/>
      <c r="G169" s="28" cm="1">
        <f t="array" ref="G169">WasteSolid_InputFunctions.WasteSolid_InputFunctions_SumWasteTreatment(Table_Input_SolidWaste[Treatment type (select)],Table_Input_SolidWaste[Waste type (select)],Table_Input_SolidWaste[Treatment location (select)],Table_Input_SolidWaste[Amount unit (select)],Table_Input_SolidWaste[Amount],D33,E33, "Removed and treated off-site", "tonnes")</f>
        <v>0</v>
      </c>
      <c r="H169" s="28">
        <f>I71</f>
        <v>0</v>
      </c>
      <c r="I169" s="28" t="s">
        <v>155</v>
      </c>
      <c r="J169" s="28" t="s">
        <v>150</v>
      </c>
      <c r="K169" s="28" t="s">
        <v>150</v>
      </c>
    </row>
    <row r="170" spans="4:11" ht="20.100000000000001" customHeight="1" x14ac:dyDescent="0.25">
      <c r="D170" s="49" t="str">
        <v>Incineration</v>
      </c>
      <c r="E170" s="51" t="str">
        <v>Green waste (including crop residues or prunings)</v>
      </c>
      <c r="F170" s="73"/>
      <c r="G170" s="28" cm="1">
        <f t="array" ref="G170">WasteSolid_InputFunctions.WasteSolid_InputFunctions_SumWasteTreatment(Table_Input_SolidWaste[Treatment type (select)],Table_Input_SolidWaste[Waste type (select)],Table_Input_SolidWaste[Treatment location (select)],Table_Input_SolidWaste[Amount unit (select)],Table_Input_SolidWaste[Amount],D34,E34, "Removed and treated off-site", "tonnes")</f>
        <v>50</v>
      </c>
      <c r="H170" s="28">
        <f>I72</f>
        <v>12</v>
      </c>
      <c r="I170" s="28" t="s">
        <v>155</v>
      </c>
      <c r="J170" s="28" t="s">
        <v>150</v>
      </c>
      <c r="K170" s="28" t="s">
        <v>150</v>
      </c>
    </row>
    <row r="171" spans="4:11" ht="20.100000000000001" customHeight="1" x14ac:dyDescent="0.25">
      <c r="D171" s="49" t="str">
        <v>Incineration</v>
      </c>
      <c r="E171" s="51" t="str">
        <v>Wood</v>
      </c>
      <c r="F171" s="73"/>
      <c r="G171" s="28" cm="1">
        <f t="array" ref="G171">WasteSolid_InputFunctions.WasteSolid_InputFunctions_SumWasteTreatment(Table_Input_SolidWaste[Treatment type (select)],Table_Input_SolidWaste[Waste type (select)],Table_Input_SolidWaste[Treatment location (select)],Table_Input_SolidWaste[Amount unit (select)],Table_Input_SolidWaste[Amount],D35,E35, "Removed and treated off-site", "tonnes")</f>
        <v>0</v>
      </c>
      <c r="H171" s="28">
        <f>I73</f>
        <v>0</v>
      </c>
      <c r="I171" s="28" t="s">
        <v>155</v>
      </c>
      <c r="J171" s="28" t="s">
        <v>150</v>
      </c>
      <c r="K171" s="28" t="s">
        <v>150</v>
      </c>
    </row>
    <row r="172" spans="4:11" ht="20.100000000000001" customHeight="1" x14ac:dyDescent="0.25">
      <c r="D172" s="49" t="str">
        <v>Incineration</v>
      </c>
      <c r="E172" s="51" t="str">
        <v>Sludge</v>
      </c>
      <c r="F172" s="73"/>
      <c r="G172" s="28" cm="1">
        <f t="array" ref="G172">WasteSolid_InputFunctions.WasteSolid_InputFunctions_SumWasteTreatment(Table_Input_SolidWaste[Treatment type (select)],Table_Input_SolidWaste[Waste type (select)],Table_Input_SolidWaste[Treatment location (select)],Table_Input_SolidWaste[Amount unit (select)],Table_Input_SolidWaste[Amount],D36,E36, "Removed and treated off-site", "tonnes")</f>
        <v>0</v>
      </c>
      <c r="H172" s="28">
        <f>I74</f>
        <v>0</v>
      </c>
      <c r="I172" s="28" t="s">
        <v>155</v>
      </c>
      <c r="J172" s="28" t="s">
        <v>150</v>
      </c>
      <c r="K172" s="28" t="s">
        <v>150</v>
      </c>
    </row>
    <row r="173" spans="4:11" ht="20.100000000000001" customHeight="1" x14ac:dyDescent="0.25">
      <c r="D173" s="49" t="str">
        <v>Incineration</v>
      </c>
      <c r="E173" s="51" t="str">
        <v>Paper and cardboard</v>
      </c>
      <c r="F173" s="73"/>
      <c r="G173" s="28" cm="1">
        <f t="array" ref="G173">WasteSolid_InputFunctions.WasteSolid_InputFunctions_SumWasteTreatment(Table_Input_SolidWaste[Treatment type (select)],Table_Input_SolidWaste[Waste type (select)],Table_Input_SolidWaste[Treatment location (select)],Table_Input_SolidWaste[Amount unit (select)],Table_Input_SolidWaste[Amount],D37,E37, "Removed and treated off-site", "tonnes")</f>
        <v>0</v>
      </c>
      <c r="H173" s="28">
        <f>I75</f>
        <v>0</v>
      </c>
      <c r="I173" s="28">
        <f t="shared" si="3"/>
        <v>0</v>
      </c>
      <c r="J173" s="28" cm="1">
        <f t="array" ref="J173">Common_InputFunctions.Utility_LookupValueInTableTwoColumns(D173,E173,Table_SourceData_WasteSolid_WasteTreatmentEFs[Treatment type t],Table_SourceData_WasteSolid_WasteTreatmentEFs[Waste type w],Table_SourceData_WasteSolid_WasteTreatmentEFs[EFwt])</f>
        <v>1.6899999999999998E-2</v>
      </c>
      <c r="K173" s="28" cm="1">
        <f t="array" ref="K173">WasteSolid_Equations.VEERG_10_1_1_1__1_EmissionsFromWasteManagement(I173, J173)</f>
        <v>0</v>
      </c>
    </row>
    <row r="174" spans="4:11" ht="20.100000000000001" customHeight="1" x14ac:dyDescent="0.25">
      <c r="D174" s="49" t="str">
        <v>Incineration</v>
      </c>
      <c r="E174" s="51" t="str">
        <v>Textiles</v>
      </c>
      <c r="F174" s="73"/>
      <c r="G174" s="28" cm="1">
        <f t="array" ref="G174">WasteSolid_InputFunctions.WasteSolid_InputFunctions_SumWasteTreatment(Table_Input_SolidWaste[Treatment type (select)],Table_Input_SolidWaste[Waste type (select)],Table_Input_SolidWaste[Treatment location (select)],Table_Input_SolidWaste[Amount unit (select)],Table_Input_SolidWaste[Amount],D38,E38, "Removed and treated off-site", "tonnes")</f>
        <v>0</v>
      </c>
      <c r="H174" s="28">
        <f>I76</f>
        <v>0</v>
      </c>
      <c r="I174" s="28">
        <f t="shared" si="3"/>
        <v>0</v>
      </c>
      <c r="J174" s="28" cm="1">
        <f t="array" ref="J174">Common_InputFunctions.Utility_LookupValueInTableTwoColumns(D174,E174,Table_SourceData_WasteSolid_WasteTreatmentEFs[Treatment type t],Table_SourceData_WasteSolid_WasteTreatmentEFs[Waste type w],Table_SourceData_WasteSolid_WasteTreatmentEFs[EFwt])</f>
        <v>0.36670000000000003</v>
      </c>
      <c r="K174" s="28" cm="1">
        <f t="array" ref="K174">WasteSolid_Equations.VEERG_10_1_1_1__1_EmissionsFromWasteManagement(I174, J174)</f>
        <v>0</v>
      </c>
    </row>
    <row r="175" spans="4:11" ht="20.100000000000001" customHeight="1" x14ac:dyDescent="0.25">
      <c r="D175" s="49" t="str">
        <v>Incineration</v>
      </c>
      <c r="E175" s="51" t="str">
        <v>Rubber and leather</v>
      </c>
      <c r="F175" s="73"/>
      <c r="G175" s="28" cm="1">
        <f t="array" ref="G175">WasteSolid_InputFunctions.WasteSolid_InputFunctions_SumWasteTreatment(Table_Input_SolidWaste[Treatment type (select)],Table_Input_SolidWaste[Waste type (select)],Table_Input_SolidWaste[Treatment location (select)],Table_Input_SolidWaste[Amount unit (select)],Table_Input_SolidWaste[Amount],D39,E39, "Removed and treated off-site", "tonnes")</f>
        <v>0</v>
      </c>
      <c r="H175" s="28">
        <f>I77</f>
        <v>0</v>
      </c>
      <c r="I175" s="28">
        <f t="shared" si="3"/>
        <v>0</v>
      </c>
      <c r="J175" s="28" cm="1">
        <f t="array" ref="J175">Common_InputFunctions.Utility_LookupValueInTableTwoColumns(D175,E175,Table_SourceData_WasteSolid_WasteTreatmentEFs[Treatment type t],Table_SourceData_WasteSolid_WasteTreatmentEFs[Waste type w],Table_SourceData_WasteSolid_WasteTreatmentEFs[EFwt])</f>
        <v>0.4919</v>
      </c>
      <c r="K175" s="28" cm="1">
        <f t="array" ref="K175">WasteSolid_Equations.VEERG_10_1_1_1__1_EmissionsFromWasteManagement(I175, J175)</f>
        <v>0</v>
      </c>
    </row>
    <row r="176" spans="4:11" ht="20.100000000000001" customHeight="1" x14ac:dyDescent="0.25">
      <c r="D176" s="49" t="str">
        <v>Incineration</v>
      </c>
      <c r="E176" s="51" t="str">
        <v>Inert waste (including concrete, metal, plastic or glass)</v>
      </c>
      <c r="F176" s="73"/>
      <c r="G176" s="28" cm="1">
        <f t="array" ref="G176">WasteSolid_InputFunctions.WasteSolid_InputFunctions_SumWasteTreatment(Table_Input_SolidWaste[Treatment type (select)],Table_Input_SolidWaste[Waste type (select)],Table_Input_SolidWaste[Treatment location (select)],Table_Input_SolidWaste[Amount unit (select)],Table_Input_SolidWaste[Amount],D40,E40, "Removed and treated off-site", "tonnes")</f>
        <v>0</v>
      </c>
      <c r="H176" s="28">
        <f>I78</f>
        <v>0</v>
      </c>
      <c r="I176" s="28">
        <f t="shared" si="3"/>
        <v>0</v>
      </c>
      <c r="J176" s="28" cm="1">
        <f t="array" ref="J176">Common_InputFunctions.Utility_LookupValueInTableTwoColumns(D176,E176,Table_SourceData_WasteSolid_WasteTreatmentEFs[Treatment type t],Table_SourceData_WasteSolid_WasteTreatmentEFs[Waste type w],Table_SourceData_WasteSolid_WasteTreatmentEFs[EFwt])</f>
        <v>0.11</v>
      </c>
      <c r="K176" s="28" cm="1">
        <f t="array" ref="K176">WasteSolid_Equations.VEERG_10_1_1_1__1_EmissionsFromWasteManagement(I176, J176)</f>
        <v>0</v>
      </c>
    </row>
    <row r="177" spans="4:11" ht="20.100000000000001" customHeight="1" x14ac:dyDescent="0.25">
      <c r="D177" s="49" t="str">
        <v>Incineration</v>
      </c>
      <c r="E177" s="51" t="str">
        <v>Municipal solid waste</v>
      </c>
      <c r="F177" s="50"/>
      <c r="G177" s="28" cm="1">
        <f t="array" ref="G177">WasteSolid_InputFunctions.WasteSolid_InputFunctions_SumWasteTreatment(Table_Input_SolidWaste[Treatment type (select)],Table_Input_SolidWaste[Waste type (select)],Table_Input_SolidWaste[Treatment location (select)],Table_Input_SolidWaste[Amount unit (select)],Table_Input_SolidWaste[Amount],D41,E41, "Removed and treated off-site", "tonnes")</f>
        <v>0</v>
      </c>
      <c r="H177" s="28">
        <f t="shared" ref="G177:H190" si="4">I79</f>
        <v>0</v>
      </c>
      <c r="I177" s="28">
        <f t="shared" ref="I177:I190" si="5">G177+H177</f>
        <v>0</v>
      </c>
      <c r="J177" s="28" cm="1">
        <f t="array" ref="J177">Common_InputFunctions.Utility_LookupValueInTableTwoColumns(D177,E177,Table_SourceData_WasteSolid_WasteTreatmentEFs[Treatment type t],Table_SourceData_WasteSolid_WasteTreatmentEFs[Waste type w],Table_SourceData_WasteSolid_WasteTreatmentEFs[EFwt])</f>
        <v>5.3699999999999998E-2</v>
      </c>
      <c r="K177" s="28" cm="1">
        <f t="array" ref="K177">WasteSolid_Equations.VEERG_10_1_1_1__1_EmissionsFromWasteManagement(I177, J177)</f>
        <v>0</v>
      </c>
    </row>
    <row r="178" spans="4:11" ht="20.100000000000001" customHeight="1" x14ac:dyDescent="0.25">
      <c r="D178" s="49" t="str">
        <v>Incineration</v>
      </c>
      <c r="E178" s="51" t="str">
        <v>Commercial and industrial waste</v>
      </c>
      <c r="F178" s="50"/>
      <c r="G178" s="28" cm="1">
        <f t="array" ref="G178">WasteSolid_InputFunctions.WasteSolid_InputFunctions_SumWasteTreatment(Table_Input_SolidWaste[Treatment type (select)],Table_Input_SolidWaste[Waste type (select)],Table_Input_SolidWaste[Treatment location (select)],Table_Input_SolidWaste[Amount unit (select)],Table_Input_SolidWaste[Amount],D42,E42, "Removed and treated off-site", "tonnes")</f>
        <v>0</v>
      </c>
      <c r="H178" s="28">
        <f t="shared" si="4"/>
        <v>0</v>
      </c>
      <c r="I178" s="28">
        <f t="shared" si="5"/>
        <v>0</v>
      </c>
      <c r="J178" s="28" cm="1">
        <f t="array" ref="J178">Common_InputFunctions.Utility_LookupValueInTableTwoColumns(D178,E178,Table_SourceData_WasteSolid_WasteTreatmentEFs[Treatment type t],Table_SourceData_WasteSolid_WasteTreatmentEFs[Waste type w],Table_SourceData_WasteSolid_WasteTreatmentEFs[EFwt])</f>
        <v>1.649</v>
      </c>
      <c r="K178" s="28" cm="1">
        <f t="array" ref="K178">WasteSolid_Equations.VEERG_10_1_1_1__1_EmissionsFromWasteManagement(I178, J178)</f>
        <v>0</v>
      </c>
    </row>
    <row r="179" spans="4:11" ht="20.100000000000001" customHeight="1" x14ac:dyDescent="0.25">
      <c r="D179" s="49" t="str">
        <v>Composting</v>
      </c>
      <c r="E179" s="51" t="str">
        <v>All organic waste</v>
      </c>
      <c r="F179" s="50"/>
      <c r="G179" s="28" t="s">
        <v>150</v>
      </c>
      <c r="H179" s="28" t="str">
        <f t="shared" si="4"/>
        <v>Not used</v>
      </c>
      <c r="I179" s="28">
        <f>SUM(G180:G184)+SUM(H180:H184)</f>
        <v>100</v>
      </c>
      <c r="J179" s="28" cm="1">
        <f t="array" ref="J179">Common_InputFunctions.Utility_LookupValueInTableTwoColumns(D179,E179,Table_SourceData_WasteSolid_WasteTreatmentEFs[Treatment type t],Table_SourceData_WasteSolid_WasteTreatmentEFs[Waste type w],Table_SourceData_WasteSolid_WasteTreatmentEFs[EFwt])</f>
        <v>4.5999999999999999E-2</v>
      </c>
      <c r="K179" s="28" cm="1">
        <f t="array" ref="K179">WasteSolid_Equations.VEERG_10_1_1_1__1_EmissionsFromWasteManagement(I179, J179)</f>
        <v>4.5999999999999996</v>
      </c>
    </row>
    <row r="180" spans="4:11" ht="20.100000000000001" customHeight="1" x14ac:dyDescent="0.25">
      <c r="D180" s="49" t="str">
        <v>Composting</v>
      </c>
      <c r="E180" s="51" t="str">
        <v>Food waste (including animal carcasses, spoiled animal feed or crop)</v>
      </c>
      <c r="F180" s="50"/>
      <c r="G180" s="28" cm="1">
        <f t="array" ref="G180">WasteSolid_InputFunctions.WasteSolid_InputFunctions_SumWasteTreatment(Table_Input_SolidWaste[Treatment type (select)],Table_Input_SolidWaste[Waste type (select)],Table_Input_SolidWaste[Treatment location (select)],Table_Input_SolidWaste[Amount unit (select)],Table_Input_SolidWaste[Amount],D44,E44, "Removed and treated off-site", "tonnes")</f>
        <v>50</v>
      </c>
      <c r="H180" s="28">
        <f t="shared" si="4"/>
        <v>0</v>
      </c>
      <c r="I180" s="28" t="s">
        <v>155</v>
      </c>
      <c r="J180" s="28" t="s">
        <v>150</v>
      </c>
      <c r="K180" s="28" t="s">
        <v>150</v>
      </c>
    </row>
    <row r="181" spans="4:11" ht="20.100000000000001" customHeight="1" x14ac:dyDescent="0.25">
      <c r="D181" s="49" t="str">
        <v>Composting</v>
      </c>
      <c r="E181" s="51" t="str">
        <v>Green waste (including crop residues or prunings)</v>
      </c>
      <c r="F181" s="50"/>
      <c r="G181" s="28" cm="1">
        <f t="array" ref="G181">WasteSolid_InputFunctions.WasteSolid_InputFunctions_SumWasteTreatment(Table_Input_SolidWaste[Treatment type (select)],Table_Input_SolidWaste[Waste type (select)],Table_Input_SolidWaste[Treatment location (select)],Table_Input_SolidWaste[Amount unit (select)],Table_Input_SolidWaste[Amount],D45,E45, "Removed and treated off-site", "tonnes")</f>
        <v>0</v>
      </c>
      <c r="H181" s="28">
        <f t="shared" si="4"/>
        <v>0</v>
      </c>
      <c r="I181" s="28" t="s">
        <v>155</v>
      </c>
      <c r="J181" s="28" t="s">
        <v>150</v>
      </c>
      <c r="K181" s="28" t="s">
        <v>150</v>
      </c>
    </row>
    <row r="182" spans="4:11" ht="20.100000000000001" customHeight="1" x14ac:dyDescent="0.25">
      <c r="D182" s="49" t="str">
        <v>Composting</v>
      </c>
      <c r="E182" s="51" t="str">
        <v>Wood</v>
      </c>
      <c r="F182" s="50"/>
      <c r="G182" s="28" cm="1">
        <f t="array" ref="G182">WasteSolid_InputFunctions.WasteSolid_InputFunctions_SumWasteTreatment(Table_Input_SolidWaste[Treatment type (select)],Table_Input_SolidWaste[Waste type (select)],Table_Input_SolidWaste[Treatment location (select)],Table_Input_SolidWaste[Amount unit (select)],Table_Input_SolidWaste[Amount],D46,E46, "Removed and treated off-site", "tonnes")</f>
        <v>0</v>
      </c>
      <c r="H182" s="28">
        <f t="shared" si="4"/>
        <v>0</v>
      </c>
      <c r="I182" s="28" t="s">
        <v>155</v>
      </c>
      <c r="J182" s="28" t="s">
        <v>150</v>
      </c>
      <c r="K182" s="28" t="s">
        <v>150</v>
      </c>
    </row>
    <row r="183" spans="4:11" ht="20.100000000000001" customHeight="1" x14ac:dyDescent="0.25">
      <c r="D183" s="49" t="str">
        <v>Composting</v>
      </c>
      <c r="E183" s="51" t="str">
        <v>Sludge</v>
      </c>
      <c r="F183" s="50"/>
      <c r="G183" s="28" cm="1">
        <f t="array" ref="G183">WasteSolid_InputFunctions.WasteSolid_InputFunctions_SumWasteTreatment(Table_Input_SolidWaste[Treatment type (select)],Table_Input_SolidWaste[Waste type (select)],Table_Input_SolidWaste[Treatment location (select)],Table_Input_SolidWaste[Amount unit (select)],Table_Input_SolidWaste[Amount],D47,E47, "Removed and treated off-site", "tonnes")</f>
        <v>0</v>
      </c>
      <c r="H183" s="28">
        <f t="shared" si="4"/>
        <v>0</v>
      </c>
      <c r="I183" s="28" t="s">
        <v>155</v>
      </c>
      <c r="J183" s="28" t="s">
        <v>150</v>
      </c>
      <c r="K183" s="28" t="s">
        <v>150</v>
      </c>
    </row>
    <row r="184" spans="4:11" ht="20.100000000000001" customHeight="1" x14ac:dyDescent="0.25">
      <c r="D184" s="49" t="str">
        <v>Composting</v>
      </c>
      <c r="E184" s="51" t="str">
        <v>Paper and cardboard</v>
      </c>
      <c r="F184" s="50"/>
      <c r="G184" s="28" cm="1">
        <f t="array" ref="G184">WasteSolid_InputFunctions.WasteSolid_InputFunctions_SumWasteTreatment(Table_Input_SolidWaste[Treatment type (select)],Table_Input_SolidWaste[Waste type (select)],Table_Input_SolidWaste[Treatment location (select)],Table_Input_SolidWaste[Amount unit (select)],Table_Input_SolidWaste[Amount],D48,E48, "Removed and treated off-site", "tonnes")</f>
        <v>50</v>
      </c>
      <c r="H184" s="28">
        <f t="shared" si="4"/>
        <v>0</v>
      </c>
      <c r="I184" s="28" t="s">
        <v>155</v>
      </c>
      <c r="J184" s="28" t="s">
        <v>150</v>
      </c>
      <c r="K184" s="28" t="s">
        <v>150</v>
      </c>
    </row>
    <row r="185" spans="4:11" ht="20.100000000000001" customHeight="1" x14ac:dyDescent="0.25">
      <c r="D185" s="49" t="str">
        <v>Anaerobic digestion</v>
      </c>
      <c r="E185" s="51" t="str">
        <v>All organic waste</v>
      </c>
      <c r="F185" s="50"/>
      <c r="G185" s="28" t="s">
        <v>150</v>
      </c>
      <c r="H185" s="28" t="str">
        <f t="shared" si="4"/>
        <v>Not used</v>
      </c>
      <c r="I185" s="28">
        <f>SUM(G186:G190)+SUM(H186:H190)</f>
        <v>0</v>
      </c>
      <c r="J185" s="28" cm="1">
        <f t="array" ref="J185">Common_InputFunctions.Utility_LookupValueInTableTwoColumns(D185,E185,Table_SourceData_WasteSolid_WasteTreatmentEFs[Treatment type t],Table_SourceData_WasteSolid_WasteTreatmentEFs[Waste type w],Table_SourceData_WasteSolid_WasteTreatmentEFs[EFwt])</f>
        <v>2.8000000000000001E-2</v>
      </c>
      <c r="K185" s="28" cm="1">
        <f t="array" ref="K185">WasteSolid_Equations.VEERG_10_1_1_1__1_EmissionsFromWasteManagement(I185, J185)</f>
        <v>0</v>
      </c>
    </row>
    <row r="186" spans="4:11" ht="20.100000000000001" customHeight="1" x14ac:dyDescent="0.25">
      <c r="D186" s="49" t="str">
        <v>Anaerobic digestion</v>
      </c>
      <c r="E186" s="51" t="str">
        <v>Food waste (including animal carcasses, spoiled animal feed or crop)</v>
      </c>
      <c r="F186" s="50"/>
      <c r="G186" s="28" cm="1">
        <f t="array" ref="G186">WasteSolid_InputFunctions.WasteSolid_InputFunctions_SumWasteTreatment(Table_Input_SolidWaste[Treatment type (select)],Table_Input_SolidWaste[Waste type (select)],Table_Input_SolidWaste[Treatment location (select)],Table_Input_SolidWaste[Amount unit (select)],Table_Input_SolidWaste[Amount],D50,E50, "Removed and treated off-site", "tonnes")</f>
        <v>0</v>
      </c>
      <c r="H186" s="28">
        <f t="shared" si="4"/>
        <v>0</v>
      </c>
      <c r="I186" s="28" t="s">
        <v>155</v>
      </c>
      <c r="J186" s="28" t="s">
        <v>150</v>
      </c>
      <c r="K186" s="28" t="s">
        <v>150</v>
      </c>
    </row>
    <row r="187" spans="4:11" ht="20.100000000000001" customHeight="1" x14ac:dyDescent="0.25">
      <c r="D187" s="49" t="str">
        <v>Anaerobic digestion</v>
      </c>
      <c r="E187" s="51" t="str">
        <v>Green waste (including crop residues or prunings)</v>
      </c>
      <c r="F187" s="50"/>
      <c r="G187" s="28" cm="1">
        <f t="array" ref="G187">WasteSolid_InputFunctions.WasteSolid_InputFunctions_SumWasteTreatment(Table_Input_SolidWaste[Treatment type (select)],Table_Input_SolidWaste[Waste type (select)],Table_Input_SolidWaste[Treatment location (select)],Table_Input_SolidWaste[Amount unit (select)],Table_Input_SolidWaste[Amount],D51,E51, "Removed and treated off-site", "tonnes")</f>
        <v>0</v>
      </c>
      <c r="H187" s="28">
        <f t="shared" si="4"/>
        <v>0</v>
      </c>
      <c r="I187" s="28" t="s">
        <v>155</v>
      </c>
      <c r="J187" s="28" t="s">
        <v>150</v>
      </c>
      <c r="K187" s="28" t="s">
        <v>150</v>
      </c>
    </row>
    <row r="188" spans="4:11" ht="20.100000000000001" customHeight="1" x14ac:dyDescent="0.25">
      <c r="D188" s="49" t="str">
        <v>Anaerobic digestion</v>
      </c>
      <c r="E188" s="51" t="str">
        <v>Wood</v>
      </c>
      <c r="F188" s="50"/>
      <c r="G188" s="28" cm="1">
        <f t="array" ref="G188">WasteSolid_InputFunctions.WasteSolid_InputFunctions_SumWasteTreatment(Table_Input_SolidWaste[Treatment type (select)],Table_Input_SolidWaste[Waste type (select)],Table_Input_SolidWaste[Treatment location (select)],Table_Input_SolidWaste[Amount unit (select)],Table_Input_SolidWaste[Amount],D52,E52, "Removed and treated off-site", "tonnes")</f>
        <v>0</v>
      </c>
      <c r="H188" s="28">
        <f t="shared" si="4"/>
        <v>0</v>
      </c>
      <c r="I188" s="28" t="s">
        <v>155</v>
      </c>
      <c r="J188" s="28" t="s">
        <v>150</v>
      </c>
      <c r="K188" s="28" t="s">
        <v>150</v>
      </c>
    </row>
    <row r="189" spans="4:11" ht="20.100000000000001" customHeight="1" x14ac:dyDescent="0.25">
      <c r="D189" s="49" t="str">
        <v>Anaerobic digestion</v>
      </c>
      <c r="E189" s="51" t="str">
        <v>Sludge</v>
      </c>
      <c r="F189" s="50"/>
      <c r="G189" s="28" cm="1">
        <f t="array" ref="G189">WasteSolid_InputFunctions.WasteSolid_InputFunctions_SumWasteTreatment(Table_Input_SolidWaste[Treatment type (select)],Table_Input_SolidWaste[Waste type (select)],Table_Input_SolidWaste[Treatment location (select)],Table_Input_SolidWaste[Amount unit (select)],Table_Input_SolidWaste[Amount],D53,E53, "Removed and treated off-site", "tonnes")</f>
        <v>0</v>
      </c>
      <c r="H189" s="28">
        <f t="shared" si="4"/>
        <v>0</v>
      </c>
      <c r="I189" s="28" t="s">
        <v>155</v>
      </c>
      <c r="J189" s="28" t="s">
        <v>150</v>
      </c>
      <c r="K189" s="28" t="s">
        <v>150</v>
      </c>
    </row>
    <row r="190" spans="4:11" ht="20.100000000000001" customHeight="1" x14ac:dyDescent="0.25">
      <c r="D190" s="49" t="str">
        <v>Anaerobic digestion</v>
      </c>
      <c r="E190" s="51" t="str">
        <v>Paper and cardboard</v>
      </c>
      <c r="F190" s="50"/>
      <c r="G190" s="28" cm="1">
        <f t="array" ref="G190">WasteSolid_InputFunctions.WasteSolid_InputFunctions_SumWasteTreatment(Table_Input_SolidWaste[Treatment type (select)],Table_Input_SolidWaste[Waste type (select)],Table_Input_SolidWaste[Treatment location (select)],Table_Input_SolidWaste[Amount unit (select)],Table_Input_SolidWaste[Amount],D54,E54, "Removed and treated off-site", "tonnes")</f>
        <v>0</v>
      </c>
      <c r="H190" s="28">
        <f t="shared" si="4"/>
        <v>0</v>
      </c>
      <c r="I190" s="28" t="s">
        <v>155</v>
      </c>
      <c r="J190" s="28" t="s">
        <v>150</v>
      </c>
      <c r="K190" s="28" t="s">
        <v>150</v>
      </c>
    </row>
    <row r="191" spans="4:11" ht="20.100000000000001" customHeight="1" x14ac:dyDescent="0.25"/>
    <row r="192" spans="4:11" ht="20.100000000000001" customHeight="1" x14ac:dyDescent="0.25">
      <c r="D192" s="62" t="s">
        <v>119</v>
      </c>
      <c r="E192" s="64">
        <f>SUM(K157:K190)</f>
        <v>441.15000000000003</v>
      </c>
      <c r="F192" s="69" t="str">
        <f>$E$103</f>
        <v>t CO2e</v>
      </c>
    </row>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18"/>
    </row>
    <row r="342" spans="8:8" x14ac:dyDescent="0.25">
      <c r="H342" s="18"/>
    </row>
  </sheetData>
  <dataValidations disablePrompts="1" count="1">
    <dataValidation operator="equal" allowBlank="1" showInputMessage="1" showErrorMessage="1" sqref="E269 E228" xr:uid="{AF7BB680-B75F-4AE8-AA2D-EDF03FCB10D8}"/>
  </dataValidations>
  <pageMargins left="0.7" right="0.7" top="0.75" bottom="0.75" header="0.3" footer="0.3"/>
  <pageSetup paperSize="9"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A5A36D-67BF-491B-8BEC-65303FBC20AD}">
  <dimension ref="A1:AI165"/>
  <sheetViews>
    <sheetView showGridLines="0" topLeftCell="A15" zoomScale="85" zoomScaleNormal="85" workbookViewId="0">
      <selection activeCell="H10" sqref="H10"/>
    </sheetView>
  </sheetViews>
  <sheetFormatPr defaultRowHeight="15.75" x14ac:dyDescent="0.25"/>
  <cols>
    <col min="1" max="1" width="30.7109375" customWidth="1"/>
    <col min="2" max="2" width="4.7109375" customWidth="1"/>
    <col min="3" max="3" width="4.7109375" style="1" customWidth="1"/>
    <col min="4" max="4" width="39.140625" style="1" customWidth="1"/>
    <col min="5" max="5" width="30.7109375" style="1" customWidth="1"/>
    <col min="6" max="6" width="29.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7" customFormat="1" ht="30" customHeight="1" x14ac:dyDescent="0.35">
      <c r="A1" s="7" t="e" vm="1">
        <v>#VALUE!</v>
      </c>
      <c r="C1" s="7" t="s">
        <v>88</v>
      </c>
      <c r="AG1"/>
      <c r="AH1"/>
      <c r="AI1"/>
    </row>
    <row r="2" spans="1:35" s="8" customFormat="1" ht="20.100000000000001" customHeight="1" x14ac:dyDescent="0.25">
      <c r="AG2"/>
      <c r="AH2"/>
      <c r="AI2"/>
    </row>
    <row r="3" spans="1:35" ht="20.100000000000001" customHeight="1" x14ac:dyDescent="0.25">
      <c r="A3" s="13" t="str">
        <f>HYPERLINK("#'Home'!A1", "Home")</f>
        <v>Home</v>
      </c>
      <c r="C3" s="3"/>
      <c r="D3" s="3"/>
      <c r="E3" s="3"/>
      <c r="F3" s="3"/>
      <c r="G3" s="3"/>
      <c r="H3" s="3"/>
      <c r="I3" s="3"/>
      <c r="J3" s="3"/>
      <c r="K3" s="3"/>
      <c r="L3" s="3"/>
      <c r="M3" s="3"/>
      <c r="N3" s="3"/>
      <c r="O3" s="3"/>
      <c r="P3" s="3"/>
      <c r="Q3" s="3"/>
      <c r="R3" s="3"/>
      <c r="S3" s="3"/>
      <c r="T3" s="3"/>
      <c r="U3" s="3"/>
      <c r="V3" s="3"/>
      <c r="W3" s="3"/>
      <c r="X3" s="3"/>
      <c r="Y3" s="3"/>
      <c r="Z3" s="3"/>
      <c r="AA3" s="3"/>
      <c r="AB3" s="3"/>
      <c r="AC3" s="3"/>
      <c r="AD3" s="3"/>
      <c r="AE3" s="3"/>
      <c r="AF3" s="3"/>
    </row>
    <row r="4" spans="1:35" ht="20.100000000000001" customHeight="1" x14ac:dyDescent="0.25">
      <c r="A4" s="13" t="str">
        <f>HYPERLINK("#'Overview'!A1", "Overview")</f>
        <v>Overview</v>
      </c>
    </row>
    <row r="5" spans="1:35" ht="20.100000000000001" customHeight="1" x14ac:dyDescent="0.25">
      <c r="A5" s="13" t="str">
        <f>HYPERLINK("#'Results'!A1", "Results")</f>
        <v>Results</v>
      </c>
      <c r="D5" s="5" t="str" cm="1">
        <f t="array" ref="D5">WasteSolid_SourceData.Waste_EmissionFactorsForWasteTreatment_Title()</f>
        <v>Emission factors for wastes disposed of at different treatment facilities</v>
      </c>
    </row>
    <row r="6" spans="1:35" ht="20.100000000000001" customHeight="1" x14ac:dyDescent="0.25">
      <c r="A6" s="12"/>
      <c r="D6" s="4" t="str" cm="1">
        <f t="array" ref="D6">WasteSolid_SourceData.Waste_EmissionFactorsForWasteTreatment_Source()</f>
        <v>VEERG 2026: Table A.4.1.1</v>
      </c>
    </row>
    <row r="7" spans="1:35" ht="20.100000000000001" customHeight="1" x14ac:dyDescent="0.25">
      <c r="A7" s="16" t="s">
        <v>1</v>
      </c>
      <c r="D7" s="31" t="str" cm="1">
        <f t="array" ref="D7:D13">WasteSolid_SourceData.Waste_EmissionFactorsForWasteTreatment_Variation()</f>
        <v>VARIATION ON SOURCE:</v>
      </c>
    </row>
    <row r="8" spans="1:35" ht="20.100000000000001" customHeight="1" x14ac:dyDescent="0.25">
      <c r="A8" s="13" t="str">
        <f>HYPERLINK("#'Input - Solid waste'!A1", "Solid waste")</f>
        <v>Solid waste</v>
      </c>
      <c r="D8" s="31" t="str">
        <v>Fixed typo 'paper and carboard' to 'paper and cardboard'</v>
      </c>
    </row>
    <row r="9" spans="1:35" ht="20.100000000000001" customHeight="1" x14ac:dyDescent="0.25">
      <c r="A9" s="13"/>
      <c r="D9" s="31" t="str">
        <v>Fixed typo 'prunnings' to 'prunings'</v>
      </c>
    </row>
    <row r="10" spans="1:35" ht="20.100000000000001" customHeight="1" x14ac:dyDescent="0.25">
      <c r="A10" s="15" t="s">
        <v>45</v>
      </c>
      <c r="D10" s="31" t="str">
        <v>Added EF source column with specific references</v>
      </c>
    </row>
    <row r="11" spans="1:35" ht="20.100000000000001" customHeight="1" x14ac:dyDescent="0.25">
      <c r="A11" s="13" t="str">
        <f>HYPERLINK("#'10.1.1-2 Solid waste treatment'!A1", "10.1.1-2 Solid waste treatment")</f>
        <v>10.1.1-2 Solid waste treatment</v>
      </c>
      <c r="D11" s="31" t="str">
        <v>Added sub-categories for 'Incineration: Food waste, green waste, wood, sludge' in order to use volume to mass conversion factor values</v>
      </c>
    </row>
    <row r="12" spans="1:35" ht="20.100000000000001" customHeight="1" x14ac:dyDescent="0.25">
      <c r="A12" s="13"/>
      <c r="D12" s="31" t="str">
        <v>Added sub-categories for 'Composting: All organic waste' in order to use volume to mass conversion factor values</v>
      </c>
    </row>
    <row r="13" spans="1:35" ht="20.100000000000001" customHeight="1" x14ac:dyDescent="0.25">
      <c r="A13" s="14" t="s">
        <v>2</v>
      </c>
      <c r="D13" s="31" t="str">
        <v>Added sub-categories for 'Anaerobic digestion: All organic waste' in order to use volume to mass conversion factor values</v>
      </c>
    </row>
    <row r="14" spans="1:35" ht="20.100000000000001" customHeight="1" x14ac:dyDescent="0.25">
      <c r="A14" s="59" t="str">
        <f>HYPERLINK("#'Constants - Solid waste'!A1", "Constants - Solid waste")</f>
        <v>Constants - Solid waste</v>
      </c>
      <c r="D14" s="1" t="str" cm="1">
        <f t="array" ref="D14">WasteSolid_SourceData.Waste_EmissionFactorsForWasteTreatment_Variable()</f>
        <v>EFwt</v>
      </c>
    </row>
    <row r="15" spans="1:35" ht="20.100000000000001" customHeight="1" x14ac:dyDescent="0.25">
      <c r="A15" s="13" t="str">
        <f>HYPERLINK("#'Constants - Common'!A1", "Constants - Common")</f>
        <v>Constants - Common</v>
      </c>
      <c r="D15" s="30" t="str" cm="1">
        <f t="array" ref="D15">WasteSolid_SourceData.Waste_EmissionFactorsForWasteTreatment_Unit()</f>
        <v>t CO2e / t</v>
      </c>
      <c r="I15" s="1" t="s">
        <v>107</v>
      </c>
      <c r="K15" s="1" t="s">
        <v>108</v>
      </c>
      <c r="M15" s="1" t="s">
        <v>109</v>
      </c>
      <c r="O15" s="1" t="s">
        <v>110</v>
      </c>
    </row>
    <row r="16" spans="1:35" ht="20.100000000000001" customHeight="1" x14ac:dyDescent="0.25">
      <c r="D16" s="26" t="s">
        <v>89</v>
      </c>
      <c r="E16" s="26" t="s">
        <v>90</v>
      </c>
      <c r="F16" s="26" t="s">
        <v>91</v>
      </c>
      <c r="G16" s="26" t="s">
        <v>129</v>
      </c>
      <c r="I16" s="26" t="s">
        <v>90</v>
      </c>
      <c r="K16" s="74" t="s">
        <v>90</v>
      </c>
      <c r="M16" s="74" t="s">
        <v>90</v>
      </c>
      <c r="O16" s="74" t="s">
        <v>90</v>
      </c>
    </row>
    <row r="17" spans="1:15" ht="20.100000000000001" customHeight="1" x14ac:dyDescent="0.25">
      <c r="D17" s="26" t="str" cm="1">
        <f t="array" ref="D17">Common_InputFunctions.Utility_DisplayArrayInTable(WasteSolid_SourceData.Waste_EmissionFactorsForWasteTreatment_Data(), Table_SourceData_WasteSolid_WasteTreatmentEFs[[#Headers],[Treatment type t]], 0)</f>
        <v>Landfill</v>
      </c>
      <c r="E17" s="26" t="str" cm="1">
        <f t="array" ref="E17">Common_InputFunctions.Utility_DisplayArrayInTable(WasteSolid_SourceData.Waste_EmissionFactorsForWasteTreatment_Data(), Table_SourceData_WasteSolid_WasteTreatmentEFs[[#Headers],[Treatment type t]], 0)</f>
        <v>Food waste (including animal carcasses, spoiled animal feed or crop)</v>
      </c>
      <c r="F17" s="26" cm="1">
        <f t="array" ref="F17">Common_InputFunctions.Utility_DisplayArrayInTable(WasteSolid_SourceData.Waste_EmissionFactorsForWasteTreatment_Data(), Table_SourceData_WasteSolid_WasteTreatmentEFs[[#Headers],[Treatment type t]], 0)</f>
        <v>2.1</v>
      </c>
      <c r="G17" s="26" t="str" cm="1">
        <f t="array" ref="G17">Common_InputFunctions.Utility_DisplayArrayInTable(WasteSolid_SourceData.Waste_EmissionFactorsForWasteTreatment_Data(), Table_SourceData_WasteSolid_WasteTreatmentEFs[[#Headers],[Treatment type t]], 0)</f>
        <v>NGAF 2025 table 15</v>
      </c>
      <c r="I17" s="26" t="str">
        <f>Table_SourceData_WasteSolid_WasteTreatmentEFs[[#This Row],[Waste type w]]</f>
        <v>Food waste (including animal carcasses, spoiled animal feed or crop)</v>
      </c>
      <c r="K17" s="1" t="str">
        <f>E29</f>
        <v>Food waste (including animal carcasses, spoiled animal feed or crop)</v>
      </c>
      <c r="M17" s="1" t="str">
        <f>E40</f>
        <v>Food waste (including animal carcasses, spoiled animal feed or crop)</v>
      </c>
      <c r="O17" s="1" t="str">
        <f>E46</f>
        <v>Food waste (including animal carcasses, spoiled animal feed or crop)</v>
      </c>
    </row>
    <row r="18" spans="1:15" ht="20.100000000000001" customHeight="1" x14ac:dyDescent="0.25">
      <c r="D18" s="1" t="str" cm="1">
        <f t="array" ref="D18">Common_InputFunctions.Utility_DisplayArrayInTable(WasteSolid_SourceData.Waste_EmissionFactorsForWasteTreatment_Data(), Table_SourceData_WasteSolid_WasteTreatmentEFs[[#Headers],[Treatment type t]], 0)</f>
        <v>Landfill</v>
      </c>
      <c r="E18" s="26" t="str" cm="1">
        <f t="array" ref="E18">Common_InputFunctions.Utility_DisplayArrayInTable(WasteSolid_SourceData.Waste_EmissionFactorsForWasteTreatment_Data(), Table_SourceData_WasteSolid_WasteTreatmentEFs[[#Headers],[Treatment type t]], 0)</f>
        <v>Paper and cardboard</v>
      </c>
      <c r="F18" s="26" cm="1">
        <f t="array" ref="F18">Common_InputFunctions.Utility_DisplayArrayInTable(WasteSolid_SourceData.Waste_EmissionFactorsForWasteTreatment_Data(), Table_SourceData_WasteSolid_WasteTreatmentEFs[[#Headers],[Treatment type t]], 0)</f>
        <v>3.3</v>
      </c>
      <c r="G18" s="26" t="str" cm="1">
        <f t="array" ref="G18">Common_InputFunctions.Utility_DisplayArrayInTable(WasteSolid_SourceData.Waste_EmissionFactorsForWasteTreatment_Data(), Table_SourceData_WasteSolid_WasteTreatmentEFs[[#Headers],[Treatment type t]], 0)</f>
        <v>NGAF 2025 table 15</v>
      </c>
      <c r="I18" s="26" t="str">
        <f>Table_SourceData_WasteSolid_WasteTreatmentEFs[[#This Row],[Waste type w]]</f>
        <v>Paper and cardboard</v>
      </c>
      <c r="K18" s="1" t="str">
        <f>E30</f>
        <v>Green waste (including crop residues or prunings)</v>
      </c>
      <c r="M18" s="1" t="str">
        <f>E41</f>
        <v>Green waste (including crop residues or prunings)</v>
      </c>
      <c r="O18" s="1" t="str">
        <f>E47</f>
        <v>Green waste (including crop residues or prunings)</v>
      </c>
    </row>
    <row r="19" spans="1:15" ht="20.100000000000001" customHeight="1" x14ac:dyDescent="0.25">
      <c r="D19" s="1" t="str" cm="1">
        <f t="array" ref="D19">Common_InputFunctions.Utility_DisplayArrayInTable(WasteSolid_SourceData.Waste_EmissionFactorsForWasteTreatment_Data(), Table_SourceData_WasteSolid_WasteTreatmentEFs[[#Headers],[Treatment type t]], 0)</f>
        <v>Landfill</v>
      </c>
      <c r="E19" s="26" t="str" cm="1">
        <f t="array" ref="E19">Common_InputFunctions.Utility_DisplayArrayInTable(WasteSolid_SourceData.Waste_EmissionFactorsForWasteTreatment_Data(), Table_SourceData_WasteSolid_WasteTreatmentEFs[[#Headers],[Treatment type t]], 0)</f>
        <v>Green waste (including crop residues or prunings)</v>
      </c>
      <c r="F19" s="26" cm="1">
        <f t="array" ref="F19">Common_InputFunctions.Utility_DisplayArrayInTable(WasteSolid_SourceData.Waste_EmissionFactorsForWasteTreatment_Data(), Table_SourceData_WasteSolid_WasteTreatmentEFs[[#Headers],[Treatment type t]], 0)</f>
        <v>1.6</v>
      </c>
      <c r="G19" s="26" t="str" cm="1">
        <f t="array" ref="G19">Common_InputFunctions.Utility_DisplayArrayInTable(WasteSolid_SourceData.Waste_EmissionFactorsForWasteTreatment_Data(), Table_SourceData_WasteSolid_WasteTreatmentEFs[[#Headers],[Treatment type t]], 0)</f>
        <v>NGAF 2025 table 15</v>
      </c>
      <c r="I19" s="26" t="str">
        <f>Table_SourceData_WasteSolid_WasteTreatmentEFs[[#This Row],[Waste type w]]</f>
        <v>Green waste (including crop residues or prunings)</v>
      </c>
      <c r="K19" s="1" t="str">
        <f>E31</f>
        <v>Wood</v>
      </c>
      <c r="M19" s="1" t="str">
        <f>E42</f>
        <v>Wood</v>
      </c>
      <c r="O19" s="1" t="str">
        <f>E48</f>
        <v>Wood</v>
      </c>
    </row>
    <row r="20" spans="1:15" ht="20.100000000000001" customHeight="1" x14ac:dyDescent="0.25">
      <c r="A20" s="13"/>
      <c r="D20" s="1" t="str" cm="1">
        <f t="array" ref="D20">Common_InputFunctions.Utility_DisplayArrayInTable(WasteSolid_SourceData.Waste_EmissionFactorsForWasteTreatment_Data(), Table_SourceData_WasteSolid_WasteTreatmentEFs[[#Headers],[Treatment type t]], 0)</f>
        <v>Landfill</v>
      </c>
      <c r="E20" s="26" t="str" cm="1">
        <f t="array" ref="E20">Common_InputFunctions.Utility_DisplayArrayInTable(WasteSolid_SourceData.Waste_EmissionFactorsForWasteTreatment_Data(), Table_SourceData_WasteSolid_WasteTreatmentEFs[[#Headers],[Treatment type t]], 0)</f>
        <v>Wood</v>
      </c>
      <c r="F20" s="26" cm="1">
        <f t="array" ref="F20">Common_InputFunctions.Utility_DisplayArrayInTable(WasteSolid_SourceData.Waste_EmissionFactorsForWasteTreatment_Data(), Table_SourceData_WasteSolid_WasteTreatmentEFs[[#Headers],[Treatment type t]], 0)</f>
        <v>0.7</v>
      </c>
      <c r="G20" s="26" t="str" cm="1">
        <f t="array" ref="G20">Common_InputFunctions.Utility_DisplayArrayInTable(WasteSolid_SourceData.Waste_EmissionFactorsForWasteTreatment_Data(), Table_SourceData_WasteSolid_WasteTreatmentEFs[[#Headers],[Treatment type t]], 0)</f>
        <v>NGAF 2025 table 15</v>
      </c>
      <c r="I20" s="26" t="str">
        <f>Table_SourceData_WasteSolid_WasteTreatmentEFs[[#This Row],[Waste type w]]</f>
        <v>Wood</v>
      </c>
      <c r="K20" s="1" t="str">
        <f>E32</f>
        <v>Sludge</v>
      </c>
      <c r="M20" s="1" t="str">
        <f>E43</f>
        <v>Sludge</v>
      </c>
      <c r="O20" s="1" t="str">
        <f>E49</f>
        <v>Sludge</v>
      </c>
    </row>
    <row r="21" spans="1:15" ht="20.100000000000001" customHeight="1" x14ac:dyDescent="0.25">
      <c r="A21" s="13"/>
      <c r="D21" s="1" t="str" cm="1">
        <f t="array" ref="D21">Common_InputFunctions.Utility_DisplayArrayInTable(WasteSolid_SourceData.Waste_EmissionFactorsForWasteTreatment_Data(), Table_SourceData_WasteSolid_WasteTreatmentEFs[[#Headers],[Treatment type t]], 0)</f>
        <v>Landfill</v>
      </c>
      <c r="E21" s="26" t="str" cm="1">
        <f t="array" ref="E21">Common_InputFunctions.Utility_DisplayArrayInTable(WasteSolid_SourceData.Waste_EmissionFactorsForWasteTreatment_Data(), Table_SourceData_WasteSolid_WasteTreatmentEFs[[#Headers],[Treatment type t]], 0)</f>
        <v>Textiles</v>
      </c>
      <c r="F21" s="26" cm="1">
        <f t="array" ref="F21">Common_InputFunctions.Utility_DisplayArrayInTable(WasteSolid_SourceData.Waste_EmissionFactorsForWasteTreatment_Data(), Table_SourceData_WasteSolid_WasteTreatmentEFs[[#Headers],[Treatment type t]], 0)</f>
        <v>2</v>
      </c>
      <c r="G21" s="26" t="str" cm="1">
        <f t="array" ref="G21">Common_InputFunctions.Utility_DisplayArrayInTable(WasteSolid_SourceData.Waste_EmissionFactorsForWasteTreatment_Data(), Table_SourceData_WasteSolid_WasteTreatmentEFs[[#Headers],[Treatment type t]], 0)</f>
        <v>NGAF 2025 table 15</v>
      </c>
      <c r="I21" s="26" t="str">
        <f>Table_SourceData_WasteSolid_WasteTreatmentEFs[[#This Row],[Waste type w]]</f>
        <v>Textiles</v>
      </c>
      <c r="K21" s="1" t="str">
        <f>E33</f>
        <v>Paper and cardboard</v>
      </c>
      <c r="M21" s="1" t="str">
        <f>E44</f>
        <v>Paper and cardboard</v>
      </c>
      <c r="O21" s="1" t="str">
        <f>E50</f>
        <v>Paper and cardboard</v>
      </c>
    </row>
    <row r="22" spans="1:15" ht="20.100000000000001" customHeight="1" x14ac:dyDescent="0.25">
      <c r="D22" s="1" t="str" cm="1">
        <f t="array" ref="D22">Common_InputFunctions.Utility_DisplayArrayInTable(WasteSolid_SourceData.Waste_EmissionFactorsForWasteTreatment_Data(), Table_SourceData_WasteSolid_WasteTreatmentEFs[[#Headers],[Treatment type t]], 0)</f>
        <v>Landfill</v>
      </c>
      <c r="E22" s="26" t="str" cm="1">
        <f t="array" ref="E22">Common_InputFunctions.Utility_DisplayArrayInTable(WasteSolid_SourceData.Waste_EmissionFactorsForWasteTreatment_Data(), Table_SourceData_WasteSolid_WasteTreatmentEFs[[#Headers],[Treatment type t]], 0)</f>
        <v>Sludge</v>
      </c>
      <c r="F22" s="26" cm="1">
        <f t="array" ref="F22">Common_InputFunctions.Utility_DisplayArrayInTable(WasteSolid_SourceData.Waste_EmissionFactorsForWasteTreatment_Data(), Table_SourceData_WasteSolid_WasteTreatmentEFs[[#Headers],[Treatment type t]], 0)</f>
        <v>0.4</v>
      </c>
      <c r="G22" s="26" t="str" cm="1">
        <f t="array" ref="G22">Common_InputFunctions.Utility_DisplayArrayInTable(WasteSolid_SourceData.Waste_EmissionFactorsForWasteTreatment_Data(), Table_SourceData_WasteSolid_WasteTreatmentEFs[[#Headers],[Treatment type t]], 0)</f>
        <v>NGAF 2025 table 15</v>
      </c>
      <c r="I22" s="26" t="str">
        <f>Table_SourceData_WasteSolid_WasteTreatmentEFs[[#This Row],[Waste type w]]</f>
        <v>Sludge</v>
      </c>
      <c r="K22" s="1" t="str">
        <f>E34</f>
        <v>Textiles</v>
      </c>
      <c r="M22" s="79"/>
    </row>
    <row r="23" spans="1:15" ht="20.100000000000001" customHeight="1" x14ac:dyDescent="0.25">
      <c r="A23" s="13"/>
      <c r="D23" s="1" t="str" cm="1">
        <f t="array" ref="D23">Common_InputFunctions.Utility_DisplayArrayInTable(WasteSolid_SourceData.Waste_EmissionFactorsForWasteTreatment_Data(), Table_SourceData_WasteSolid_WasteTreatmentEFs[[#Headers],[Treatment type t]], 0)</f>
        <v>Landfill</v>
      </c>
      <c r="E23" s="26" t="str" cm="1">
        <f t="array" ref="E23">Common_InputFunctions.Utility_DisplayArrayInTable(WasteSolid_SourceData.Waste_EmissionFactorsForWasteTreatment_Data(), Table_SourceData_WasteSolid_WasteTreatmentEFs[[#Headers],[Treatment type t]], 0)</f>
        <v>Rubber and leather</v>
      </c>
      <c r="F23" s="26" cm="1">
        <f t="array" ref="F23">Common_InputFunctions.Utility_DisplayArrayInTable(WasteSolid_SourceData.Waste_EmissionFactorsForWasteTreatment_Data(), Table_SourceData_WasteSolid_WasteTreatmentEFs[[#Headers],[Treatment type t]], 0)</f>
        <v>3.3</v>
      </c>
      <c r="G23" s="26" t="str" cm="1">
        <f t="array" ref="G23">Common_InputFunctions.Utility_DisplayArrayInTable(WasteSolid_SourceData.Waste_EmissionFactorsForWasteTreatment_Data(), Table_SourceData_WasteSolid_WasteTreatmentEFs[[#Headers],[Treatment type t]], 0)</f>
        <v>NGAF 2025 table 15</v>
      </c>
      <c r="I23" s="26" t="str">
        <f>Table_SourceData_WasteSolid_WasteTreatmentEFs[[#This Row],[Waste type w]]</f>
        <v>Rubber and leather</v>
      </c>
      <c r="K23" s="1" t="str">
        <f>E35</f>
        <v>Rubber and leather</v>
      </c>
      <c r="M23" s="79"/>
    </row>
    <row r="24" spans="1:15" ht="20.100000000000001" customHeight="1" x14ac:dyDescent="0.25">
      <c r="D24" s="1" t="str" cm="1">
        <f t="array" ref="D24">Common_InputFunctions.Utility_DisplayArrayInTable(WasteSolid_SourceData.Waste_EmissionFactorsForWasteTreatment_Data(), Table_SourceData_WasteSolid_WasteTreatmentEFs[[#Headers],[Treatment type t]], 0)</f>
        <v>Landfill</v>
      </c>
      <c r="E24" s="26" t="str" cm="1">
        <f t="array" ref="E24">Common_InputFunctions.Utility_DisplayArrayInTable(WasteSolid_SourceData.Waste_EmissionFactorsForWasteTreatment_Data(), Table_SourceData_WasteSolid_WasteTreatmentEFs[[#Headers],[Treatment type t]], 0)</f>
        <v>Inert waste (including concrete, metal, plastic or glass)</v>
      </c>
      <c r="F24" s="26" cm="1">
        <f t="array" ref="F24">Common_InputFunctions.Utility_DisplayArrayInTable(WasteSolid_SourceData.Waste_EmissionFactorsForWasteTreatment_Data(), Table_SourceData_WasteSolid_WasteTreatmentEFs[[#Headers],[Treatment type t]], 0)</f>
        <v>0</v>
      </c>
      <c r="G24" s="26" t="str" cm="1">
        <f t="array" ref="G24">Common_InputFunctions.Utility_DisplayArrayInTable(WasteSolid_SourceData.Waste_EmissionFactorsForWasteTreatment_Data(), Table_SourceData_WasteSolid_WasteTreatmentEFs[[#Headers],[Treatment type t]], 0)</f>
        <v>NGAF 2025 table 15</v>
      </c>
      <c r="I24" s="26" t="str">
        <f>Table_SourceData_WasteSolid_WasteTreatmentEFs[[#This Row],[Waste type w]]</f>
        <v>Inert waste (including concrete, metal, plastic or glass)</v>
      </c>
      <c r="K24" s="1" t="str">
        <f>E36</f>
        <v>Inert waste (including concrete, metal, plastic or glass)</v>
      </c>
      <c r="M24" s="79"/>
    </row>
    <row r="25" spans="1:15" ht="20.100000000000001" customHeight="1" x14ac:dyDescent="0.25">
      <c r="D25" s="1" t="str" cm="1">
        <f t="array" ref="D25">Common_InputFunctions.Utility_DisplayArrayInTable(WasteSolid_SourceData.Waste_EmissionFactorsForWasteTreatment_Data(), Table_SourceData_WasteSolid_WasteTreatmentEFs[[#Headers],[Treatment type t]], 0)</f>
        <v>Landfill</v>
      </c>
      <c r="E25" s="26" t="str" cm="1">
        <f t="array" ref="E25">Common_InputFunctions.Utility_DisplayArrayInTable(WasteSolid_SourceData.Waste_EmissionFactorsForWasteTreatment_Data(), Table_SourceData_WasteSolid_WasteTreatmentEFs[[#Headers],[Treatment type t]], 0)</f>
        <v>Municipal solid waste</v>
      </c>
      <c r="F25" s="26" cm="1">
        <f t="array" ref="F25">Common_InputFunctions.Utility_DisplayArrayInTable(WasteSolid_SourceData.Waste_EmissionFactorsForWasteTreatment_Data(), Table_SourceData_WasteSolid_WasteTreatmentEFs[[#Headers],[Treatment type t]], 0)</f>
        <v>1.6</v>
      </c>
      <c r="G25" s="26" t="str" cm="1">
        <f t="array" ref="G25">Common_InputFunctions.Utility_DisplayArrayInTable(WasteSolid_SourceData.Waste_EmissionFactorsForWasteTreatment_Data(), Table_SourceData_WasteSolid_WasteTreatmentEFs[[#Headers],[Treatment type t]], 0)</f>
        <v>NGAF 2025 table 15</v>
      </c>
      <c r="I25" s="26" t="str">
        <f>Table_SourceData_WasteSolid_WasteTreatmentEFs[[#This Row],[Waste type w]]</f>
        <v>Municipal solid waste</v>
      </c>
      <c r="K25" s="1" t="str">
        <f>E37</f>
        <v>Municipal solid waste</v>
      </c>
    </row>
    <row r="26" spans="1:15" ht="20.100000000000001" customHeight="1" x14ac:dyDescent="0.25">
      <c r="D26" s="1" t="str" cm="1">
        <f t="array" ref="D26">Common_InputFunctions.Utility_DisplayArrayInTable(WasteSolid_SourceData.Waste_EmissionFactorsForWasteTreatment_Data(), Table_SourceData_WasteSolid_WasteTreatmentEFs[[#Headers],[Treatment type t]], 0)</f>
        <v>Landfill</v>
      </c>
      <c r="E26" s="26" t="str" cm="1">
        <f t="array" ref="E26">Common_InputFunctions.Utility_DisplayArrayInTable(WasteSolid_SourceData.Waste_EmissionFactorsForWasteTreatment_Data(), Table_SourceData_WasteSolid_WasteTreatmentEFs[[#Headers],[Treatment type t]], 0)</f>
        <v>Commercial and industrial waste</v>
      </c>
      <c r="F26" s="26" cm="1">
        <f t="array" ref="F26">Common_InputFunctions.Utility_DisplayArrayInTable(WasteSolid_SourceData.Waste_EmissionFactorsForWasteTreatment_Data(), Table_SourceData_WasteSolid_WasteTreatmentEFs[[#Headers],[Treatment type t]], 0)</f>
        <v>1.3</v>
      </c>
      <c r="G26" s="26" t="str" cm="1">
        <f t="array" ref="G26">Common_InputFunctions.Utility_DisplayArrayInTable(WasteSolid_SourceData.Waste_EmissionFactorsForWasteTreatment_Data(), Table_SourceData_WasteSolid_WasteTreatmentEFs[[#Headers],[Treatment type t]], 0)</f>
        <v>NGAF 2025 table 15</v>
      </c>
      <c r="I26" s="26" t="str">
        <f>Table_SourceData_WasteSolid_WasteTreatmentEFs[[#This Row],[Waste type w]]</f>
        <v>Commercial and industrial waste</v>
      </c>
      <c r="K26" s="1" t="str">
        <f>E38</f>
        <v>Commercial and industrial waste</v>
      </c>
    </row>
    <row r="27" spans="1:15" ht="20.100000000000001" customHeight="1" x14ac:dyDescent="0.25">
      <c r="D27" s="1" t="str" cm="1">
        <f t="array" ref="D27">Common_InputFunctions.Utility_DisplayArrayInTable(WasteSolid_SourceData.Waste_EmissionFactorsForWasteTreatment_Data(), Table_SourceData_WasteSolid_WasteTreatmentEFs[[#Headers],[Treatment type t]], 0)</f>
        <v>Landfill</v>
      </c>
      <c r="E27" s="26" t="str" cm="1">
        <f t="array" ref="E27">Common_InputFunctions.Utility_DisplayArrayInTable(WasteSolid_SourceData.Waste_EmissionFactorsForWasteTreatment_Data(), Table_SourceData_WasteSolid_WasteTreatmentEFs[[#Headers],[Treatment type t]], 0)</f>
        <v>Construction and demolition waste</v>
      </c>
      <c r="F27" s="26" cm="1">
        <f t="array" ref="F27">Common_InputFunctions.Utility_DisplayArrayInTable(WasteSolid_SourceData.Waste_EmissionFactorsForWasteTreatment_Data(), Table_SourceData_WasteSolid_WasteTreatmentEFs[[#Headers],[Treatment type t]], 0)</f>
        <v>0.2</v>
      </c>
      <c r="G27" s="26" t="str" cm="1">
        <f t="array" ref="G27">Common_InputFunctions.Utility_DisplayArrayInTable(WasteSolid_SourceData.Waste_EmissionFactorsForWasteTreatment_Data(), Table_SourceData_WasteSolid_WasteTreatmentEFs[[#Headers],[Treatment type t]], 0)</f>
        <v>NGAF 2025 table 15</v>
      </c>
      <c r="I27" s="26" t="str">
        <f>Table_SourceData_WasteSolid_WasteTreatmentEFs[[#This Row],[Waste type w]]</f>
        <v>Construction and demolition waste</v>
      </c>
    </row>
    <row r="28" spans="1:15" ht="20.100000000000001" customHeight="1" x14ac:dyDescent="0.25">
      <c r="D28" s="1" t="str" cm="1">
        <f t="array" ref="D28">Common_InputFunctions.Utility_DisplayArrayInTable(WasteSolid_SourceData.Waste_EmissionFactorsForWasteTreatment_Data(), Table_SourceData_WasteSolid_WasteTreatmentEFs[[#Headers],[Treatment type t]], 0)</f>
        <v>Incineration</v>
      </c>
      <c r="E28" s="26" t="str" cm="1">
        <f t="array" ref="E28">Common_InputFunctions.Utility_DisplayArrayInTable(WasteSolid_SourceData.Waste_EmissionFactorsForWasteTreatment_Data(), Table_SourceData_WasteSolid_WasteTreatmentEFs[[#Headers],[Treatment type t]], 0)</f>
        <v>Food waste, green waste, wood, sludge</v>
      </c>
      <c r="F28" s="26" cm="1">
        <f t="array" ref="F28">Common_InputFunctions.Utility_DisplayArrayInTable(WasteSolid_SourceData.Waste_EmissionFactorsForWasteTreatment_Data(), Table_SourceData_WasteSolid_WasteTreatmentEFs[[#Headers],[Treatment type t]], 0)</f>
        <v>0</v>
      </c>
      <c r="G28" s="26" t="str" cm="1">
        <f t="array" ref="G28">Common_InputFunctions.Utility_DisplayArrayInTable(WasteSolid_SourceData.Waste_EmissionFactorsForWasteTreatment_Data(), Table_SourceData_WasteSolid_WasteTreatmentEFs[[#Headers],[Treatment type t]], 0)</f>
        <v/>
      </c>
    </row>
    <row r="29" spans="1:15" ht="20.100000000000001" customHeight="1" x14ac:dyDescent="0.25">
      <c r="D29" s="1" t="str" cm="1">
        <f t="array" ref="D29">Common_InputFunctions.Utility_DisplayArrayInTable(WasteSolid_SourceData.Waste_EmissionFactorsForWasteTreatment_Data(), Table_SourceData_WasteSolid_WasteTreatmentEFs[[#Headers],[Treatment type t]], 0)</f>
        <v>Incineration</v>
      </c>
      <c r="E29" s="26" t="str" cm="1">
        <f t="array" ref="E29">Common_InputFunctions.Utility_DisplayArrayInTable(WasteSolid_SourceData.Waste_EmissionFactorsForWasteTreatment_Data(), Table_SourceData_WasteSolid_WasteTreatmentEFs[[#Headers],[Treatment type t]], 0)</f>
        <v>Food waste (including animal carcasses, spoiled animal feed or crop)</v>
      </c>
      <c r="F29" s="26" t="str" cm="1">
        <f t="array" ref="F29">Common_InputFunctions.Utility_DisplayArrayInTable(WasteSolid_SourceData.Waste_EmissionFactorsForWasteTreatment_Data(), Table_SourceData_WasteSolid_WasteTreatmentEFs[[#Headers],[Treatment type t]], 0)</f>
        <v/>
      </c>
      <c r="G29" s="26" t="str" cm="1">
        <f t="array" ref="G29">Common_InputFunctions.Utility_DisplayArrayInTable(WasteSolid_SourceData.Waste_EmissionFactorsForWasteTreatment_Data(), Table_SourceData_WasteSolid_WasteTreatmentEFs[[#Headers],[Treatment type t]], 0)</f>
        <v/>
      </c>
    </row>
    <row r="30" spans="1:15" ht="20.100000000000001" customHeight="1" x14ac:dyDescent="0.25">
      <c r="D30" s="1" t="str" cm="1">
        <f t="array" ref="D30">Common_InputFunctions.Utility_DisplayArrayInTable(WasteSolid_SourceData.Waste_EmissionFactorsForWasteTreatment_Data(), Table_SourceData_WasteSolid_WasteTreatmentEFs[[#Headers],[Treatment type t]], 0)</f>
        <v>Incineration</v>
      </c>
      <c r="E30" s="26" t="str" cm="1">
        <f t="array" ref="E30">Common_InputFunctions.Utility_DisplayArrayInTable(WasteSolid_SourceData.Waste_EmissionFactorsForWasteTreatment_Data(), Table_SourceData_WasteSolid_WasteTreatmentEFs[[#Headers],[Treatment type t]], 0)</f>
        <v>Green waste (including crop residues or prunings)</v>
      </c>
      <c r="F30" s="26" t="str" cm="1">
        <f t="array" ref="F30">Common_InputFunctions.Utility_DisplayArrayInTable(WasteSolid_SourceData.Waste_EmissionFactorsForWasteTreatment_Data(), Table_SourceData_WasteSolid_WasteTreatmentEFs[[#Headers],[Treatment type t]], 0)</f>
        <v/>
      </c>
      <c r="G30" s="26" t="str" cm="1">
        <f t="array" ref="G30">Common_InputFunctions.Utility_DisplayArrayInTable(WasteSolid_SourceData.Waste_EmissionFactorsForWasteTreatment_Data(), Table_SourceData_WasteSolid_WasteTreatmentEFs[[#Headers],[Treatment type t]], 0)</f>
        <v/>
      </c>
    </row>
    <row r="31" spans="1:15" ht="20.100000000000001" customHeight="1" x14ac:dyDescent="0.25">
      <c r="D31" s="1" t="str" cm="1">
        <f t="array" ref="D31">Common_InputFunctions.Utility_DisplayArrayInTable(WasteSolid_SourceData.Waste_EmissionFactorsForWasteTreatment_Data(), Table_SourceData_WasteSolid_WasteTreatmentEFs[[#Headers],[Treatment type t]], 0)</f>
        <v>Incineration</v>
      </c>
      <c r="E31" s="26" t="str" cm="1">
        <f t="array" ref="E31">Common_InputFunctions.Utility_DisplayArrayInTable(WasteSolid_SourceData.Waste_EmissionFactorsForWasteTreatment_Data(), Table_SourceData_WasteSolid_WasteTreatmentEFs[[#Headers],[Treatment type t]], 0)</f>
        <v>Wood</v>
      </c>
      <c r="F31" s="26" t="str" cm="1">
        <f t="array" ref="F31">Common_InputFunctions.Utility_DisplayArrayInTable(WasteSolid_SourceData.Waste_EmissionFactorsForWasteTreatment_Data(), Table_SourceData_WasteSolid_WasteTreatmentEFs[[#Headers],[Treatment type t]], 0)</f>
        <v/>
      </c>
      <c r="G31" s="26" t="str" cm="1">
        <f t="array" ref="G31">Common_InputFunctions.Utility_DisplayArrayInTable(WasteSolid_SourceData.Waste_EmissionFactorsForWasteTreatment_Data(), Table_SourceData_WasteSolid_WasteTreatmentEFs[[#Headers],[Treatment type t]], 0)</f>
        <v/>
      </c>
    </row>
    <row r="32" spans="1:15" ht="20.100000000000001" customHeight="1" x14ac:dyDescent="0.25">
      <c r="D32" s="1" t="str" cm="1">
        <f t="array" ref="D32">Common_InputFunctions.Utility_DisplayArrayInTable(WasteSolid_SourceData.Waste_EmissionFactorsForWasteTreatment_Data(), Table_SourceData_WasteSolid_WasteTreatmentEFs[[#Headers],[Treatment type t]], 0)</f>
        <v>Incineration</v>
      </c>
      <c r="E32" s="26" t="str" cm="1">
        <f t="array" ref="E32">Common_InputFunctions.Utility_DisplayArrayInTable(WasteSolid_SourceData.Waste_EmissionFactorsForWasteTreatment_Data(), Table_SourceData_WasteSolid_WasteTreatmentEFs[[#Headers],[Treatment type t]], 0)</f>
        <v>Sludge</v>
      </c>
      <c r="F32" s="26" t="str" cm="1">
        <f t="array" ref="F32">Common_InputFunctions.Utility_DisplayArrayInTable(WasteSolid_SourceData.Waste_EmissionFactorsForWasteTreatment_Data(), Table_SourceData_WasteSolid_WasteTreatmentEFs[[#Headers],[Treatment type t]], 0)</f>
        <v/>
      </c>
      <c r="G32" s="26" t="str" cm="1">
        <f t="array" ref="G32">Common_InputFunctions.Utility_DisplayArrayInTable(WasteSolid_SourceData.Waste_EmissionFactorsForWasteTreatment_Data(), Table_SourceData_WasteSolid_WasteTreatmentEFs[[#Headers],[Treatment type t]], 0)</f>
        <v/>
      </c>
    </row>
    <row r="33" spans="4:7" ht="20.100000000000001" customHeight="1" x14ac:dyDescent="0.25">
      <c r="D33" s="1" t="str" cm="1">
        <f t="array" ref="D33">Common_InputFunctions.Utility_DisplayArrayInTable(WasteSolid_SourceData.Waste_EmissionFactorsForWasteTreatment_Data(), Table_SourceData_WasteSolid_WasteTreatmentEFs[[#Headers],[Treatment type t]], 0)</f>
        <v>Incineration</v>
      </c>
      <c r="E33" s="26" t="str" cm="1">
        <f t="array" ref="E33">Common_InputFunctions.Utility_DisplayArrayInTable(WasteSolid_SourceData.Waste_EmissionFactorsForWasteTreatment_Data(), Table_SourceData_WasteSolid_WasteTreatmentEFs[[#Headers],[Treatment type t]], 0)</f>
        <v>Paper and cardboard</v>
      </c>
      <c r="F33" s="26" cm="1">
        <f t="array" ref="F33">Common_InputFunctions.Utility_DisplayArrayInTable(WasteSolid_SourceData.Waste_EmissionFactorsForWasteTreatment_Data(), Table_SourceData_WasteSolid_WasteTreatmentEFs[[#Headers],[Treatment type t]], 0)</f>
        <v>1.6899999999999998E-2</v>
      </c>
      <c r="G33" s="26" t="str" cm="1">
        <f t="array" ref="G33">Common_InputFunctions.Utility_DisplayArrayInTable(WasteSolid_SourceData.Waste_EmissionFactorsForWasteTreatment_Data(), Table_SourceData_WasteSolid_WasteTreatmentEFs[[#Headers],[Treatment type t]], 0)</f>
        <v/>
      </c>
    </row>
    <row r="34" spans="4:7" ht="20.100000000000001" customHeight="1" x14ac:dyDescent="0.25">
      <c r="D34" s="1" t="str" cm="1">
        <f t="array" ref="D34">Common_InputFunctions.Utility_DisplayArrayInTable(WasteSolid_SourceData.Waste_EmissionFactorsForWasteTreatment_Data(), Table_SourceData_WasteSolid_WasteTreatmentEFs[[#Headers],[Treatment type t]], 0)</f>
        <v>Incineration</v>
      </c>
      <c r="E34" s="26" t="str" cm="1">
        <f t="array" ref="E34">Common_InputFunctions.Utility_DisplayArrayInTable(WasteSolid_SourceData.Waste_EmissionFactorsForWasteTreatment_Data(), Table_SourceData_WasteSolid_WasteTreatmentEFs[[#Headers],[Treatment type t]], 0)</f>
        <v>Textiles</v>
      </c>
      <c r="F34" s="26" cm="1">
        <f t="array" ref="F34">Common_InputFunctions.Utility_DisplayArrayInTable(WasteSolid_SourceData.Waste_EmissionFactorsForWasteTreatment_Data(), Table_SourceData_WasteSolid_WasteTreatmentEFs[[#Headers],[Treatment type t]], 0)</f>
        <v>0.36670000000000003</v>
      </c>
      <c r="G34" s="26" t="str" cm="1">
        <f t="array" ref="G34">Common_InputFunctions.Utility_DisplayArrayInTable(WasteSolid_SourceData.Waste_EmissionFactorsForWasteTreatment_Data(), Table_SourceData_WasteSolid_WasteTreatmentEFs[[#Headers],[Treatment type t]], 0)</f>
        <v/>
      </c>
    </row>
    <row r="35" spans="4:7" ht="20.100000000000001" customHeight="1" x14ac:dyDescent="0.25">
      <c r="D35" s="1" t="str" cm="1">
        <f t="array" ref="D35">Common_InputFunctions.Utility_DisplayArrayInTable(WasteSolid_SourceData.Waste_EmissionFactorsForWasteTreatment_Data(), Table_SourceData_WasteSolid_WasteTreatmentEFs[[#Headers],[Treatment type t]], 0)</f>
        <v>Incineration</v>
      </c>
      <c r="E35" s="26" t="str" cm="1">
        <f t="array" ref="E35">Common_InputFunctions.Utility_DisplayArrayInTable(WasteSolid_SourceData.Waste_EmissionFactorsForWasteTreatment_Data(), Table_SourceData_WasteSolid_WasteTreatmentEFs[[#Headers],[Treatment type t]], 0)</f>
        <v>Rubber and leather</v>
      </c>
      <c r="F35" s="26" cm="1">
        <f t="array" ref="F35">Common_InputFunctions.Utility_DisplayArrayInTable(WasteSolid_SourceData.Waste_EmissionFactorsForWasteTreatment_Data(), Table_SourceData_WasteSolid_WasteTreatmentEFs[[#Headers],[Treatment type t]], 0)</f>
        <v>0.4919</v>
      </c>
      <c r="G35" s="26" t="str" cm="1">
        <f t="array" ref="G35">Common_InputFunctions.Utility_DisplayArrayInTable(WasteSolid_SourceData.Waste_EmissionFactorsForWasteTreatment_Data(), Table_SourceData_WasteSolid_WasteTreatmentEFs[[#Headers],[Treatment type t]], 0)</f>
        <v/>
      </c>
    </row>
    <row r="36" spans="4:7" ht="20.100000000000001" customHeight="1" x14ac:dyDescent="0.25">
      <c r="D36" s="1" t="str" cm="1">
        <f t="array" ref="D36">Common_InputFunctions.Utility_DisplayArrayInTable(WasteSolid_SourceData.Waste_EmissionFactorsForWasteTreatment_Data(), Table_SourceData_WasteSolid_WasteTreatmentEFs[[#Headers],[Treatment type t]], 0)</f>
        <v>Incineration</v>
      </c>
      <c r="E36" s="26" t="str" cm="1">
        <f t="array" ref="E36">Common_InputFunctions.Utility_DisplayArrayInTable(WasteSolid_SourceData.Waste_EmissionFactorsForWasteTreatment_Data(), Table_SourceData_WasteSolid_WasteTreatmentEFs[[#Headers],[Treatment type t]], 0)</f>
        <v>Inert waste (including concrete, metal, plastic or glass)</v>
      </c>
      <c r="F36" s="26" cm="1">
        <f t="array" ref="F36">Common_InputFunctions.Utility_DisplayArrayInTable(WasteSolid_SourceData.Waste_EmissionFactorsForWasteTreatment_Data(), Table_SourceData_WasteSolid_WasteTreatmentEFs[[#Headers],[Treatment type t]], 0)</f>
        <v>0.11</v>
      </c>
      <c r="G36" s="26" t="str" cm="1">
        <f t="array" ref="G36">Common_InputFunctions.Utility_DisplayArrayInTable(WasteSolid_SourceData.Waste_EmissionFactorsForWasteTreatment_Data(), Table_SourceData_WasteSolid_WasteTreatmentEFs[[#Headers],[Treatment type t]], 0)</f>
        <v/>
      </c>
    </row>
    <row r="37" spans="4:7" ht="20.100000000000001" customHeight="1" x14ac:dyDescent="0.25">
      <c r="D37" s="1" t="str" cm="1">
        <f t="array" ref="D37">Common_InputFunctions.Utility_DisplayArrayInTable(WasteSolid_SourceData.Waste_EmissionFactorsForWasteTreatment_Data(), Table_SourceData_WasteSolid_WasteTreatmentEFs[[#Headers],[Treatment type t]], 0)</f>
        <v>Incineration</v>
      </c>
      <c r="E37" s="26" t="str" cm="1">
        <f t="array" ref="E37">Common_InputFunctions.Utility_DisplayArrayInTable(WasteSolid_SourceData.Waste_EmissionFactorsForWasteTreatment_Data(), Table_SourceData_WasteSolid_WasteTreatmentEFs[[#Headers],[Treatment type t]], 0)</f>
        <v>Municipal solid waste</v>
      </c>
      <c r="F37" s="26" cm="1">
        <f t="array" ref="F37">Common_InputFunctions.Utility_DisplayArrayInTable(WasteSolid_SourceData.Waste_EmissionFactorsForWasteTreatment_Data(), Table_SourceData_WasteSolid_WasteTreatmentEFs[[#Headers],[Treatment type t]], 0)</f>
        <v>5.3699999999999998E-2</v>
      </c>
      <c r="G37" s="78" t="str" cm="1">
        <f t="array" ref="G37">Common_InputFunctions.Utility_DisplayArrayInTable(WasteSolid_SourceData.Waste_EmissionFactorsForWasteTreatment_Data(), Table_SourceData_WasteSolid_WasteTreatmentEFs[[#Headers],[Treatment type t]], 0)</f>
        <v>NGAF 2025 Table 18</v>
      </c>
    </row>
    <row r="38" spans="4:7" ht="20.100000000000001" customHeight="1" x14ac:dyDescent="0.25">
      <c r="D38" s="1" t="str" cm="1">
        <f t="array" ref="D38">Common_InputFunctions.Utility_DisplayArrayInTable(WasteSolid_SourceData.Waste_EmissionFactorsForWasteTreatment_Data(), Table_SourceData_WasteSolid_WasteTreatmentEFs[[#Headers],[Treatment type t]], 0)</f>
        <v>Incineration</v>
      </c>
      <c r="E38" s="26" t="str" cm="1">
        <f t="array" ref="E38">Common_InputFunctions.Utility_DisplayArrayInTable(WasteSolid_SourceData.Waste_EmissionFactorsForWasteTreatment_Data(), Table_SourceData_WasteSolid_WasteTreatmentEFs[[#Headers],[Treatment type t]], 0)</f>
        <v>Commercial and industrial waste</v>
      </c>
      <c r="F38" s="26" cm="1">
        <f t="array" ref="F38">Common_InputFunctions.Utility_DisplayArrayInTable(WasteSolid_SourceData.Waste_EmissionFactorsForWasteTreatment_Data(), Table_SourceData_WasteSolid_WasteTreatmentEFs[[#Headers],[Treatment type t]], 0)</f>
        <v>1.649</v>
      </c>
      <c r="G38" s="78" t="str" cm="1">
        <f t="array" ref="G38">Common_InputFunctions.Utility_DisplayArrayInTable(WasteSolid_SourceData.Waste_EmissionFactorsForWasteTreatment_Data(), Table_SourceData_WasteSolid_WasteTreatmentEFs[[#Headers],[Treatment type t]], 0)</f>
        <v>NGAF 2025 Table 18</v>
      </c>
    </row>
    <row r="39" spans="4:7" ht="20.100000000000001" customHeight="1" x14ac:dyDescent="0.25">
      <c r="D39" s="1" t="str" cm="1">
        <f t="array" ref="D39">Common_InputFunctions.Utility_DisplayArrayInTable(WasteSolid_SourceData.Waste_EmissionFactorsForWasteTreatment_Data(), Table_SourceData_WasteSolid_WasteTreatmentEFs[[#Headers],[Treatment type t]], 0)</f>
        <v>Composting</v>
      </c>
      <c r="E39" s="26" t="str" cm="1">
        <f t="array" ref="E39">Common_InputFunctions.Utility_DisplayArrayInTable(WasteSolid_SourceData.Waste_EmissionFactorsForWasteTreatment_Data(), Table_SourceData_WasteSolid_WasteTreatmentEFs[[#Headers],[Treatment type t]], 0)</f>
        <v>All organic waste</v>
      </c>
      <c r="F39" s="26" cm="1">
        <f t="array" ref="F39">Common_InputFunctions.Utility_DisplayArrayInTable(WasteSolid_SourceData.Waste_EmissionFactorsForWasteTreatment_Data(), Table_SourceData_WasteSolid_WasteTreatmentEFs[[#Headers],[Treatment type t]], 0)</f>
        <v>4.5999999999999999E-2</v>
      </c>
      <c r="G39" s="78" t="str" cm="1">
        <f t="array" ref="G39">Common_InputFunctions.Utility_DisplayArrayInTable(WasteSolid_SourceData.Waste_EmissionFactorsForWasteTreatment_Data(), Table_SourceData_WasteSolid_WasteTreatmentEFs[[#Headers],[Treatment type t]], 0)</f>
        <v>NGAF 2025 Table 19</v>
      </c>
    </row>
    <row r="40" spans="4:7" ht="20.100000000000001" customHeight="1" x14ac:dyDescent="0.25">
      <c r="D40" s="1" t="str" cm="1">
        <f t="array" ref="D40">Common_InputFunctions.Utility_DisplayArrayInTable(WasteSolid_SourceData.Waste_EmissionFactorsForWasteTreatment_Data(), Table_SourceData_WasteSolid_WasteTreatmentEFs[[#Headers],[Treatment type t]], 0)</f>
        <v>Composting</v>
      </c>
      <c r="E40" s="26" t="str" cm="1">
        <f t="array" ref="E40">Common_InputFunctions.Utility_DisplayArrayInTable(WasteSolid_SourceData.Waste_EmissionFactorsForWasteTreatment_Data(), Table_SourceData_WasteSolid_WasteTreatmentEFs[[#Headers],[Treatment type t]], 0)</f>
        <v>Food waste (including animal carcasses, spoiled animal feed or crop)</v>
      </c>
      <c r="F40" s="26" t="str" cm="1">
        <f t="array" ref="F40">Common_InputFunctions.Utility_DisplayArrayInTable(WasteSolid_SourceData.Waste_EmissionFactorsForWasteTreatment_Data(), Table_SourceData_WasteSolid_WasteTreatmentEFs[[#Headers],[Treatment type t]], 0)</f>
        <v/>
      </c>
      <c r="G40" s="78" t="str" cm="1">
        <f t="array" ref="G40">Common_InputFunctions.Utility_DisplayArrayInTable(WasteSolid_SourceData.Waste_EmissionFactorsForWasteTreatment_Data(), Table_SourceData_WasteSolid_WasteTreatmentEFs[[#Headers],[Treatment type t]], 0)</f>
        <v/>
      </c>
    </row>
    <row r="41" spans="4:7" ht="20.100000000000001" customHeight="1" x14ac:dyDescent="0.25">
      <c r="D41" s="1" t="str" cm="1">
        <f t="array" ref="D41">Common_InputFunctions.Utility_DisplayArrayInTable(WasteSolid_SourceData.Waste_EmissionFactorsForWasteTreatment_Data(), Table_SourceData_WasteSolid_WasteTreatmentEFs[[#Headers],[Treatment type t]], 0)</f>
        <v>Composting</v>
      </c>
      <c r="E41" s="26" t="str" cm="1">
        <f t="array" ref="E41">Common_InputFunctions.Utility_DisplayArrayInTable(WasteSolid_SourceData.Waste_EmissionFactorsForWasteTreatment_Data(), Table_SourceData_WasteSolid_WasteTreatmentEFs[[#Headers],[Treatment type t]], 0)</f>
        <v>Green waste (including crop residues or prunings)</v>
      </c>
      <c r="F41" s="26" t="str" cm="1">
        <f t="array" ref="F41">Common_InputFunctions.Utility_DisplayArrayInTable(WasteSolid_SourceData.Waste_EmissionFactorsForWasteTreatment_Data(), Table_SourceData_WasteSolid_WasteTreatmentEFs[[#Headers],[Treatment type t]], 0)</f>
        <v/>
      </c>
      <c r="G41" s="78" t="str" cm="1">
        <f t="array" ref="G41">Common_InputFunctions.Utility_DisplayArrayInTable(WasteSolid_SourceData.Waste_EmissionFactorsForWasteTreatment_Data(), Table_SourceData_WasteSolid_WasteTreatmentEFs[[#Headers],[Treatment type t]], 0)</f>
        <v/>
      </c>
    </row>
    <row r="42" spans="4:7" ht="20.100000000000001" customHeight="1" x14ac:dyDescent="0.25">
      <c r="D42" s="1" t="str" cm="1">
        <f t="array" ref="D42">Common_InputFunctions.Utility_DisplayArrayInTable(WasteSolid_SourceData.Waste_EmissionFactorsForWasteTreatment_Data(), Table_SourceData_WasteSolid_WasteTreatmentEFs[[#Headers],[Treatment type t]], 0)</f>
        <v>Composting</v>
      </c>
      <c r="E42" s="26" t="str" cm="1">
        <f t="array" ref="E42">Common_InputFunctions.Utility_DisplayArrayInTable(WasteSolid_SourceData.Waste_EmissionFactorsForWasteTreatment_Data(), Table_SourceData_WasteSolid_WasteTreatmentEFs[[#Headers],[Treatment type t]], 0)</f>
        <v>Wood</v>
      </c>
      <c r="F42" s="26" t="str" cm="1">
        <f t="array" ref="F42">Common_InputFunctions.Utility_DisplayArrayInTable(WasteSolid_SourceData.Waste_EmissionFactorsForWasteTreatment_Data(), Table_SourceData_WasteSolid_WasteTreatmentEFs[[#Headers],[Treatment type t]], 0)</f>
        <v/>
      </c>
      <c r="G42" s="78" t="str" cm="1">
        <f t="array" ref="G42">Common_InputFunctions.Utility_DisplayArrayInTable(WasteSolid_SourceData.Waste_EmissionFactorsForWasteTreatment_Data(), Table_SourceData_WasteSolid_WasteTreatmentEFs[[#Headers],[Treatment type t]], 0)</f>
        <v/>
      </c>
    </row>
    <row r="43" spans="4:7" ht="20.100000000000001" customHeight="1" x14ac:dyDescent="0.25">
      <c r="D43" s="1" t="str" cm="1">
        <f t="array" ref="D43">Common_InputFunctions.Utility_DisplayArrayInTable(WasteSolid_SourceData.Waste_EmissionFactorsForWasteTreatment_Data(), Table_SourceData_WasteSolid_WasteTreatmentEFs[[#Headers],[Treatment type t]], 0)</f>
        <v>Composting</v>
      </c>
      <c r="E43" s="26" t="str" cm="1">
        <f t="array" ref="E43">Common_InputFunctions.Utility_DisplayArrayInTable(WasteSolid_SourceData.Waste_EmissionFactorsForWasteTreatment_Data(), Table_SourceData_WasteSolid_WasteTreatmentEFs[[#Headers],[Treatment type t]], 0)</f>
        <v>Sludge</v>
      </c>
      <c r="F43" s="26" t="str" cm="1">
        <f t="array" ref="F43">Common_InputFunctions.Utility_DisplayArrayInTable(WasteSolid_SourceData.Waste_EmissionFactorsForWasteTreatment_Data(), Table_SourceData_WasteSolid_WasteTreatmentEFs[[#Headers],[Treatment type t]], 0)</f>
        <v/>
      </c>
      <c r="G43" s="78" t="str" cm="1">
        <f t="array" ref="G43">Common_InputFunctions.Utility_DisplayArrayInTable(WasteSolid_SourceData.Waste_EmissionFactorsForWasteTreatment_Data(), Table_SourceData_WasteSolid_WasteTreatmentEFs[[#Headers],[Treatment type t]], 0)</f>
        <v/>
      </c>
    </row>
    <row r="44" spans="4:7" ht="20.100000000000001" customHeight="1" x14ac:dyDescent="0.25">
      <c r="D44" s="1" t="str" cm="1">
        <f t="array" ref="D44">Common_InputFunctions.Utility_DisplayArrayInTable(WasteSolid_SourceData.Waste_EmissionFactorsForWasteTreatment_Data(), Table_SourceData_WasteSolid_WasteTreatmentEFs[[#Headers],[Treatment type t]], 0)</f>
        <v>Composting</v>
      </c>
      <c r="E44" s="26" t="str" cm="1">
        <f t="array" ref="E44">Common_InputFunctions.Utility_DisplayArrayInTable(WasteSolid_SourceData.Waste_EmissionFactorsForWasteTreatment_Data(), Table_SourceData_WasteSolid_WasteTreatmentEFs[[#Headers],[Treatment type t]], 0)</f>
        <v>Paper and cardboard</v>
      </c>
      <c r="F44" s="26" t="str" cm="1">
        <f t="array" ref="F44">Common_InputFunctions.Utility_DisplayArrayInTable(WasteSolid_SourceData.Waste_EmissionFactorsForWasteTreatment_Data(), Table_SourceData_WasteSolid_WasteTreatmentEFs[[#Headers],[Treatment type t]], 0)</f>
        <v/>
      </c>
      <c r="G44" s="78" t="str" cm="1">
        <f t="array" ref="G44">Common_InputFunctions.Utility_DisplayArrayInTable(WasteSolid_SourceData.Waste_EmissionFactorsForWasteTreatment_Data(), Table_SourceData_WasteSolid_WasteTreatmentEFs[[#Headers],[Treatment type t]], 0)</f>
        <v/>
      </c>
    </row>
    <row r="45" spans="4:7" ht="20.100000000000001" customHeight="1" x14ac:dyDescent="0.25">
      <c r="D45" s="1" t="str" cm="1">
        <f t="array" ref="D45">Common_InputFunctions.Utility_DisplayArrayInTable(WasteSolid_SourceData.Waste_EmissionFactorsForWasteTreatment_Data(), Table_SourceData_WasteSolid_WasteTreatmentEFs[[#Headers],[Treatment type t]], 0)</f>
        <v>Anaerobic digestion</v>
      </c>
      <c r="E45" s="26" t="str" cm="1">
        <f t="array" ref="E45">Common_InputFunctions.Utility_DisplayArrayInTable(WasteSolid_SourceData.Waste_EmissionFactorsForWasteTreatment_Data(), Table_SourceData_WasteSolid_WasteTreatmentEFs[[#Headers],[Treatment type t]], 0)</f>
        <v>All organic waste</v>
      </c>
      <c r="F45" s="26" cm="1">
        <f t="array" ref="F45">Common_InputFunctions.Utility_DisplayArrayInTable(WasteSolid_SourceData.Waste_EmissionFactorsForWasteTreatment_Data(), Table_SourceData_WasteSolid_WasteTreatmentEFs[[#Headers],[Treatment type t]], 0)</f>
        <v>2.8000000000000001E-2</v>
      </c>
      <c r="G45" s="78" t="str" cm="1">
        <f t="array" ref="G45">Common_InputFunctions.Utility_DisplayArrayInTable(WasteSolid_SourceData.Waste_EmissionFactorsForWasteTreatment_Data(), Table_SourceData_WasteSolid_WasteTreatmentEFs[[#Headers],[Treatment type t]], 0)</f>
        <v>NGAF 2025 Table 19</v>
      </c>
    </row>
    <row r="46" spans="4:7" ht="20.100000000000001" customHeight="1" x14ac:dyDescent="0.25">
      <c r="D46" s="1" t="str" cm="1">
        <f t="array" ref="D46">Common_InputFunctions.Utility_DisplayArrayInTable(WasteSolid_SourceData.Waste_EmissionFactorsForWasteTreatment_Data(), Table_SourceData_WasteSolid_WasteTreatmentEFs[[#Headers],[Treatment type t]], 0)</f>
        <v>Anaerobic digestion</v>
      </c>
      <c r="E46" s="26" t="str" cm="1">
        <f t="array" ref="E46">Common_InputFunctions.Utility_DisplayArrayInTable(WasteSolid_SourceData.Waste_EmissionFactorsForWasteTreatment_Data(), Table_SourceData_WasteSolid_WasteTreatmentEFs[[#Headers],[Treatment type t]], 0)</f>
        <v>Food waste (including animal carcasses, spoiled animal feed or crop)</v>
      </c>
      <c r="F46" s="26" t="str" cm="1">
        <f t="array" ref="F46">Common_InputFunctions.Utility_DisplayArrayInTable(WasteSolid_SourceData.Waste_EmissionFactorsForWasteTreatment_Data(), Table_SourceData_WasteSolid_WasteTreatmentEFs[[#Headers],[Treatment type t]], 0)</f>
        <v/>
      </c>
      <c r="G46" s="78" t="str" cm="1">
        <f t="array" ref="G46">Common_InputFunctions.Utility_DisplayArrayInTable(WasteSolid_SourceData.Waste_EmissionFactorsForWasteTreatment_Data(), Table_SourceData_WasteSolid_WasteTreatmentEFs[[#Headers],[Treatment type t]], 0)</f>
        <v/>
      </c>
    </row>
    <row r="47" spans="4:7" ht="20.100000000000001" customHeight="1" x14ac:dyDescent="0.25">
      <c r="D47" s="1" t="str" cm="1">
        <f t="array" ref="D47">Common_InputFunctions.Utility_DisplayArrayInTable(WasteSolid_SourceData.Waste_EmissionFactorsForWasteTreatment_Data(), Table_SourceData_WasteSolid_WasteTreatmentEFs[[#Headers],[Treatment type t]], 0)</f>
        <v>Anaerobic digestion</v>
      </c>
      <c r="E47" s="26" t="str" cm="1">
        <f t="array" ref="E47">Common_InputFunctions.Utility_DisplayArrayInTable(WasteSolid_SourceData.Waste_EmissionFactorsForWasteTreatment_Data(), Table_SourceData_WasteSolid_WasteTreatmentEFs[[#Headers],[Treatment type t]], 0)</f>
        <v>Green waste (including crop residues or prunings)</v>
      </c>
      <c r="F47" s="26" t="str" cm="1">
        <f t="array" ref="F47">Common_InputFunctions.Utility_DisplayArrayInTable(WasteSolid_SourceData.Waste_EmissionFactorsForWasteTreatment_Data(), Table_SourceData_WasteSolid_WasteTreatmentEFs[[#Headers],[Treatment type t]], 0)</f>
        <v/>
      </c>
      <c r="G47" s="78" t="str" cm="1">
        <f t="array" ref="G47">Common_InputFunctions.Utility_DisplayArrayInTable(WasteSolid_SourceData.Waste_EmissionFactorsForWasteTreatment_Data(), Table_SourceData_WasteSolid_WasteTreatmentEFs[[#Headers],[Treatment type t]], 0)</f>
        <v/>
      </c>
    </row>
    <row r="48" spans="4:7" ht="20.100000000000001" customHeight="1" x14ac:dyDescent="0.25">
      <c r="D48" s="1" t="str" cm="1">
        <f t="array" ref="D48">Common_InputFunctions.Utility_DisplayArrayInTable(WasteSolid_SourceData.Waste_EmissionFactorsForWasteTreatment_Data(), Table_SourceData_WasteSolid_WasteTreatmentEFs[[#Headers],[Treatment type t]], 0)</f>
        <v>Anaerobic digestion</v>
      </c>
      <c r="E48" s="26" t="str" cm="1">
        <f t="array" ref="E48">Common_InputFunctions.Utility_DisplayArrayInTable(WasteSolid_SourceData.Waste_EmissionFactorsForWasteTreatment_Data(), Table_SourceData_WasteSolid_WasteTreatmentEFs[[#Headers],[Treatment type t]], 0)</f>
        <v>Wood</v>
      </c>
      <c r="F48" s="26" t="str" cm="1">
        <f t="array" ref="F48">Common_InputFunctions.Utility_DisplayArrayInTable(WasteSolid_SourceData.Waste_EmissionFactorsForWasteTreatment_Data(), Table_SourceData_WasteSolid_WasteTreatmentEFs[[#Headers],[Treatment type t]], 0)</f>
        <v/>
      </c>
      <c r="G48" s="78" t="str" cm="1">
        <f t="array" ref="G48">Common_InputFunctions.Utility_DisplayArrayInTable(WasteSolid_SourceData.Waste_EmissionFactorsForWasteTreatment_Data(), Table_SourceData_WasteSolid_WasteTreatmentEFs[[#Headers],[Treatment type t]], 0)</f>
        <v/>
      </c>
    </row>
    <row r="49" spans="1:7" ht="20.100000000000001" customHeight="1" x14ac:dyDescent="0.25">
      <c r="A49" s="52" t="str">
        <f>HYPERLINK("#A1", "▲ Back to top")</f>
        <v>▲ Back to top</v>
      </c>
      <c r="D49" s="1" t="str" cm="1">
        <f t="array" ref="D49">Common_InputFunctions.Utility_DisplayArrayInTable(WasteSolid_SourceData.Waste_EmissionFactorsForWasteTreatment_Data(), Table_SourceData_WasteSolid_WasteTreatmentEFs[[#Headers],[Treatment type t]], 0)</f>
        <v>Anaerobic digestion</v>
      </c>
      <c r="E49" s="26" t="str" cm="1">
        <f t="array" ref="E49">Common_InputFunctions.Utility_DisplayArrayInTable(WasteSolid_SourceData.Waste_EmissionFactorsForWasteTreatment_Data(), Table_SourceData_WasteSolid_WasteTreatmentEFs[[#Headers],[Treatment type t]], 0)</f>
        <v>Sludge</v>
      </c>
      <c r="F49" s="26" t="str" cm="1">
        <f t="array" ref="F49">Common_InputFunctions.Utility_DisplayArrayInTable(WasteSolid_SourceData.Waste_EmissionFactorsForWasteTreatment_Data(), Table_SourceData_WasteSolid_WasteTreatmentEFs[[#Headers],[Treatment type t]], 0)</f>
        <v/>
      </c>
      <c r="G49" s="78" t="str" cm="1">
        <f t="array" ref="G49">Common_InputFunctions.Utility_DisplayArrayInTable(WasteSolid_SourceData.Waste_EmissionFactorsForWasteTreatment_Data(), Table_SourceData_WasteSolid_WasteTreatmentEFs[[#Headers],[Treatment type t]], 0)</f>
        <v/>
      </c>
    </row>
    <row r="50" spans="1:7" ht="20.100000000000001" customHeight="1" x14ac:dyDescent="0.25">
      <c r="D50" s="1" t="str" cm="1">
        <f t="array" ref="D50">Common_InputFunctions.Utility_DisplayArrayInTable(WasteSolid_SourceData.Waste_EmissionFactorsForWasteTreatment_Data(), Table_SourceData_WasteSolid_WasteTreatmentEFs[[#Headers],[Treatment type t]], 0)</f>
        <v>Anaerobic digestion</v>
      </c>
      <c r="E50" s="26" t="str" cm="1">
        <f t="array" ref="E50">Common_InputFunctions.Utility_DisplayArrayInTable(WasteSolid_SourceData.Waste_EmissionFactorsForWasteTreatment_Data(), Table_SourceData_WasteSolid_WasteTreatmentEFs[[#Headers],[Treatment type t]], 0)</f>
        <v>Paper and cardboard</v>
      </c>
      <c r="F50" s="26" t="str" cm="1">
        <f t="array" ref="F50">Common_InputFunctions.Utility_DisplayArrayInTable(WasteSolid_SourceData.Waste_EmissionFactorsForWasteTreatment_Data(), Table_SourceData_WasteSolid_WasteTreatmentEFs[[#Headers],[Treatment type t]], 0)</f>
        <v/>
      </c>
      <c r="G50" s="78" t="str" cm="1">
        <f t="array" ref="G50">Common_InputFunctions.Utility_DisplayArrayInTable(WasteSolid_SourceData.Waste_EmissionFactorsForWasteTreatment_Data(), Table_SourceData_WasteSolid_WasteTreatmentEFs[[#Headers],[Treatment type t]], 0)</f>
        <v/>
      </c>
    </row>
    <row r="51" spans="1:7" ht="20.100000000000001" customHeight="1" x14ac:dyDescent="0.25"/>
    <row r="52" spans="1:7" ht="20.100000000000001" customHeight="1" x14ac:dyDescent="0.25">
      <c r="D52" s="5" t="str" cm="1">
        <f t="array" ref="D52">WasteSolid_SourceData.Waste_WasteVolumeToMassConversion_Title()</f>
        <v>Volume to mass conversion factor for various waste types</v>
      </c>
    </row>
    <row r="53" spans="1:7" ht="20.100000000000001" customHeight="1" x14ac:dyDescent="0.25">
      <c r="D53" s="4" t="str" cm="1">
        <f t="array" ref="D53">WasteSolid_SourceData.Waste_WasteVolumeToMassConversion_Source()</f>
        <v>VEERG 2026: Table A.4.1.2</v>
      </c>
    </row>
    <row r="54" spans="1:7" ht="20.100000000000001" customHeight="1" x14ac:dyDescent="0.25">
      <c r="D54" s="31" t="str" cm="1">
        <f t="array" ref="D54">WasteSolid_SourceData.Waste_WasteVolumeToMassConversion_Variation()</f>
        <v>VARIATION OF SOURCE: Changed column header CFw to VTMw to match title variable.</v>
      </c>
    </row>
    <row r="55" spans="1:7" ht="20.100000000000001" customHeight="1" x14ac:dyDescent="0.25">
      <c r="D55" s="1" t="str" cm="1">
        <f t="array" ref="D55">WasteSolid_SourceData.Waste_WasteVolumeToMassConversion_Variable()</f>
        <v>VTMw</v>
      </c>
    </row>
    <row r="56" spans="1:7" ht="20.100000000000001" customHeight="1" x14ac:dyDescent="0.25">
      <c r="D56" s="30" t="str" cm="1">
        <f t="array" ref="D56">WasteSolid_SourceData.Waste_WasteVolumeToMassConversion_Unit()</f>
        <v>t/m3</v>
      </c>
    </row>
    <row r="57" spans="1:7" ht="20.100000000000001" customHeight="1" x14ac:dyDescent="0.25">
      <c r="D57" s="26" t="s">
        <v>90</v>
      </c>
      <c r="E57" s="26" t="s">
        <v>92</v>
      </c>
    </row>
    <row r="58" spans="1:7" ht="20.100000000000001" customHeight="1" x14ac:dyDescent="0.25">
      <c r="D58" s="26" t="str" cm="1">
        <f t="array" ref="D58">Common_InputFunctions.Utility_DisplayArrayInTable(WasteSolid_SourceData.Waste_WasteVolumeToMassConversion_Data(), Table_SourceData_WasteSolid_VolumeToMassConversion[[#Headers],[Waste type w]], 0)</f>
        <v>Food waste (including animal carcasses, spoiled animal feed or crop)</v>
      </c>
      <c r="E58" s="26" cm="1">
        <f t="array" ref="E58">Common_InputFunctions.Utility_DisplayArrayInTable(WasteSolid_SourceData.Waste_WasteVolumeToMassConversion_Data(), Table_SourceData_WasteSolid_VolumeToMassConversion[[#Headers],[Waste type w]], 0)</f>
        <v>0.5</v>
      </c>
    </row>
    <row r="59" spans="1:7" ht="20.100000000000001" customHeight="1" x14ac:dyDescent="0.25">
      <c r="D59" s="1" t="str" cm="1">
        <f t="array" ref="D59">Common_InputFunctions.Utility_DisplayArrayInTable(WasteSolid_SourceData.Waste_WasteVolumeToMassConversion_Data(), Table_SourceData_WasteSolid_VolumeToMassConversion[[#Headers],[Waste type w]], 0)</f>
        <v>Paper and cardboard</v>
      </c>
      <c r="E59" s="26" cm="1">
        <f t="array" ref="E59">Common_InputFunctions.Utility_DisplayArrayInTable(WasteSolid_SourceData.Waste_WasteVolumeToMassConversion_Data(), Table_SourceData_WasteSolid_VolumeToMassConversion[[#Headers],[Waste type w]], 0)</f>
        <v>0.09</v>
      </c>
    </row>
    <row r="60" spans="1:7" ht="20.100000000000001" customHeight="1" x14ac:dyDescent="0.25">
      <c r="D60" s="1" t="str" cm="1">
        <f t="array" ref="D60">Common_InputFunctions.Utility_DisplayArrayInTable(WasteSolid_SourceData.Waste_WasteVolumeToMassConversion_Data(), Table_SourceData_WasteSolid_VolumeToMassConversion[[#Headers],[Waste type w]], 0)</f>
        <v>Green waste (including crop residues or prunings)</v>
      </c>
      <c r="E60" s="26" cm="1">
        <f t="array" ref="E60">Common_InputFunctions.Utility_DisplayArrayInTable(WasteSolid_SourceData.Waste_WasteVolumeToMassConversion_Data(), Table_SourceData_WasteSolid_VolumeToMassConversion[[#Headers],[Waste type w]], 0)</f>
        <v>0.24</v>
      </c>
    </row>
    <row r="61" spans="1:7" ht="20.100000000000001" customHeight="1" x14ac:dyDescent="0.25">
      <c r="D61" s="1" t="str" cm="1">
        <f t="array" ref="D61">Common_InputFunctions.Utility_DisplayArrayInTable(WasteSolid_SourceData.Waste_WasteVolumeToMassConversion_Data(), Table_SourceData_WasteSolid_VolumeToMassConversion[[#Headers],[Waste type w]], 0)</f>
        <v>Wood</v>
      </c>
      <c r="E61" s="26" cm="1">
        <f t="array" ref="E61">Common_InputFunctions.Utility_DisplayArrayInTable(WasteSolid_SourceData.Waste_WasteVolumeToMassConversion_Data(), Table_SourceData_WasteSolid_VolumeToMassConversion[[#Headers],[Waste type w]], 0)</f>
        <v>0.15</v>
      </c>
    </row>
    <row r="62" spans="1:7" ht="20.100000000000001" customHeight="1" x14ac:dyDescent="0.25">
      <c r="D62" s="1" t="str" cm="1">
        <f t="array" ref="D62">Common_InputFunctions.Utility_DisplayArrayInTable(WasteSolid_SourceData.Waste_WasteVolumeToMassConversion_Data(), Table_SourceData_WasteSolid_VolumeToMassConversion[[#Headers],[Waste type w]], 0)</f>
        <v>Textiles</v>
      </c>
      <c r="E62" s="26" cm="1">
        <f t="array" ref="E62">Common_InputFunctions.Utility_DisplayArrayInTable(WasteSolid_SourceData.Waste_WasteVolumeToMassConversion_Data(), Table_SourceData_WasteSolid_VolumeToMassConversion[[#Headers],[Waste type w]], 0)</f>
        <v>0.14000000000000001</v>
      </c>
    </row>
    <row r="63" spans="1:7" ht="20.100000000000001" customHeight="1" x14ac:dyDescent="0.25">
      <c r="D63" s="1" t="str" cm="1">
        <f t="array" ref="D63">Common_InputFunctions.Utility_DisplayArrayInTable(WasteSolid_SourceData.Waste_WasteVolumeToMassConversion_Data(), Table_SourceData_WasteSolid_VolumeToMassConversion[[#Headers],[Waste type w]], 0)</f>
        <v>Sludge</v>
      </c>
      <c r="E63" s="26" cm="1">
        <f t="array" ref="E63">Common_InputFunctions.Utility_DisplayArrayInTable(WasteSolid_SourceData.Waste_WasteVolumeToMassConversion_Data(), Table_SourceData_WasteSolid_VolumeToMassConversion[[#Headers],[Waste type w]], 0)</f>
        <v>0.72</v>
      </c>
    </row>
    <row r="64" spans="1:7" ht="20.100000000000001" customHeight="1" x14ac:dyDescent="0.25">
      <c r="D64" s="1" t="str" cm="1">
        <f t="array" ref="D64">Common_InputFunctions.Utility_DisplayArrayInTable(WasteSolid_SourceData.Waste_WasteVolumeToMassConversion_Data(), Table_SourceData_WasteSolid_VolumeToMassConversion[[#Headers],[Waste type w]], 0)</f>
        <v>Rubber and leather</v>
      </c>
      <c r="E64" s="26" cm="1">
        <f t="array" ref="E64">Common_InputFunctions.Utility_DisplayArrayInTable(WasteSolid_SourceData.Waste_WasteVolumeToMassConversion_Data(), Table_SourceData_WasteSolid_VolumeToMassConversion[[#Headers],[Waste type w]], 0)</f>
        <v>0.14000000000000001</v>
      </c>
    </row>
    <row r="65" spans="1:5" ht="20.100000000000001" customHeight="1" x14ac:dyDescent="0.25">
      <c r="D65" s="1" t="str" cm="1">
        <f t="array" ref="D65">Common_InputFunctions.Utility_DisplayArrayInTable(WasteSolid_SourceData.Waste_WasteVolumeToMassConversion_Data(), Table_SourceData_WasteSolid_VolumeToMassConversion[[#Headers],[Waste type w]], 0)</f>
        <v>Inert waste (including concrete, metal, plastic or glass)</v>
      </c>
      <c r="E65" s="26" cm="1">
        <f t="array" ref="E65">Common_InputFunctions.Utility_DisplayArrayInTable(WasteSolid_SourceData.Waste_WasteVolumeToMassConversion_Data(), Table_SourceData_WasteSolid_VolumeToMassConversion[[#Headers],[Waste type w]], 0)</f>
        <v>0.42</v>
      </c>
    </row>
    <row r="66" spans="1:5" ht="20.100000000000001" customHeight="1" x14ac:dyDescent="0.25">
      <c r="D66" s="1" t="str" cm="1">
        <f t="array" ref="D66">Common_InputFunctions.Utility_DisplayArrayInTable(WasteSolid_SourceData.Waste_WasteVolumeToMassConversion_Data(), Table_SourceData_WasteSolid_VolumeToMassConversion[[#Headers],[Waste type w]], 0)</f>
        <v>Municipal solid waste</v>
      </c>
      <c r="E66" s="26" cm="1">
        <f t="array" ref="E66">Common_InputFunctions.Utility_DisplayArrayInTable(WasteSolid_SourceData.Waste_WasteVolumeToMassConversion_Data(), Table_SourceData_WasteSolid_VolumeToMassConversion[[#Headers],[Waste type w]], 0)</f>
        <v>0.36</v>
      </c>
    </row>
    <row r="67" spans="1:5" ht="20.100000000000001" customHeight="1" x14ac:dyDescent="0.25">
      <c r="D67" s="1" t="str" cm="1">
        <f t="array" ref="D67">Common_InputFunctions.Utility_DisplayArrayInTable(WasteSolid_SourceData.Waste_WasteVolumeToMassConversion_Data(), Table_SourceData_WasteSolid_VolumeToMassConversion[[#Headers],[Waste type w]], 0)</f>
        <v>Commercial and industrial waste</v>
      </c>
      <c r="E67" s="26" cm="1">
        <f t="array" ref="E67">Common_InputFunctions.Utility_DisplayArrayInTable(WasteSolid_SourceData.Waste_WasteVolumeToMassConversion_Data(), Table_SourceData_WasteSolid_VolumeToMassConversion[[#Headers],[Waste type w]], 0)</f>
        <v>0.33</v>
      </c>
    </row>
    <row r="68" spans="1:5" ht="20.100000000000001" customHeight="1" x14ac:dyDescent="0.25">
      <c r="D68" s="1" t="str" cm="1">
        <f t="array" ref="D68">Common_InputFunctions.Utility_DisplayArrayInTable(WasteSolid_SourceData.Waste_WasteVolumeToMassConversion_Data(), Table_SourceData_WasteSolid_VolumeToMassConversion[[#Headers],[Waste type w]], 0)</f>
        <v>Construction and demolition waste</v>
      </c>
      <c r="E68" s="26" cm="1">
        <f t="array" ref="E68">Common_InputFunctions.Utility_DisplayArrayInTable(WasteSolid_SourceData.Waste_WasteVolumeToMassConversion_Data(), Table_SourceData_WasteSolid_VolumeToMassConversion[[#Headers],[Waste type w]], 0)</f>
        <v>0.39</v>
      </c>
    </row>
    <row r="69" spans="1:5" ht="20.100000000000001" customHeight="1" x14ac:dyDescent="0.25"/>
    <row r="70" spans="1:5" ht="20.100000000000001" customHeight="1" x14ac:dyDescent="0.25"/>
    <row r="71" spans="1:5" ht="20.100000000000001" customHeight="1" x14ac:dyDescent="0.25"/>
    <row r="72" spans="1:5" ht="20.100000000000001" customHeight="1" x14ac:dyDescent="0.25"/>
    <row r="73" spans="1:5" ht="20.100000000000001" customHeight="1" x14ac:dyDescent="0.25"/>
    <row r="74" spans="1:5" ht="20.100000000000001" customHeight="1" x14ac:dyDescent="0.25"/>
    <row r="75" spans="1:5" ht="20.100000000000001" customHeight="1" x14ac:dyDescent="0.25"/>
    <row r="76" spans="1:5" ht="20.100000000000001" customHeight="1" x14ac:dyDescent="0.25"/>
    <row r="77" spans="1:5" ht="20.100000000000001" customHeight="1" x14ac:dyDescent="0.25">
      <c r="A77" s="52" t="str">
        <f>HYPERLINK("#A1", "▲ Back to top")</f>
        <v>▲ Back to top</v>
      </c>
    </row>
    <row r="78" spans="1:5" ht="20.100000000000001" customHeight="1" x14ac:dyDescent="0.25"/>
    <row r="79" spans="1:5" ht="20.100000000000001" customHeight="1" x14ac:dyDescent="0.25"/>
    <row r="80" spans="1:5"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honeticPr fontId="21" type="noConversion"/>
  <pageMargins left="0.7" right="0.7" top="0.75" bottom="0.75" header="0.3" footer="0.3"/>
  <pageSetup paperSize="9" orientation="portrait" r:id="rId1"/>
  <tableParts count="6">
    <tablePart r:id="rId2"/>
    <tablePart r:id="rId3"/>
    <tablePart r:id="rId4"/>
    <tablePart r:id="rId5"/>
    <tablePart r:id="rId6"/>
    <tablePart r:id="rId7"/>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1B3525-8353-48E3-B0E3-4A36F8DAEFB6}">
  <dimension ref="A1:BY259"/>
  <sheetViews>
    <sheetView showGridLines="0" topLeftCell="A86" zoomScale="85" zoomScaleNormal="85" workbookViewId="0">
      <selection activeCell="H102" sqref="H102"/>
    </sheetView>
  </sheetViews>
  <sheetFormatPr defaultColWidth="9.140625" defaultRowHeight="15.75" x14ac:dyDescent="0.25"/>
  <cols>
    <col min="1" max="1" width="30.7109375" style="6" customWidth="1"/>
    <col min="2" max="2" width="2.7109375" style="6"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6" customWidth="1"/>
    <col min="34" max="39" width="21.85546875" style="6" customWidth="1"/>
    <col min="40" max="44" width="20.7109375" style="6" customWidth="1"/>
    <col min="45" max="65" width="9.140625" style="6"/>
    <col min="66" max="16384" width="9.140625" style="2"/>
  </cols>
  <sheetData>
    <row r="1" spans="1:65" s="7" customFormat="1" ht="30" customHeight="1" x14ac:dyDescent="0.35">
      <c r="A1" s="7" t="e" vm="1">
        <v>#VALUE!</v>
      </c>
      <c r="C1" s="7" t="s">
        <v>46</v>
      </c>
    </row>
    <row r="2" spans="1:65" s="8" customFormat="1" ht="20.100000000000001" customHeight="1" x14ac:dyDescent="0.25"/>
    <row r="3" spans="1:65" ht="20.100000000000001" customHeight="1" x14ac:dyDescent="0.25">
      <c r="A3"/>
      <c r="C3" s="3"/>
      <c r="D3" s="3"/>
      <c r="E3" s="3"/>
      <c r="F3" s="3"/>
      <c r="G3" s="3"/>
      <c r="H3" s="3"/>
      <c r="I3" s="3"/>
      <c r="J3" s="3"/>
      <c r="K3" s="3"/>
      <c r="L3" s="3"/>
      <c r="M3" s="3"/>
      <c r="N3" s="3"/>
      <c r="O3" s="3"/>
      <c r="P3" s="3"/>
      <c r="Q3" s="3"/>
      <c r="R3" s="3"/>
      <c r="S3" s="3"/>
      <c r="T3" s="3"/>
      <c r="U3" s="3"/>
      <c r="V3" s="9"/>
      <c r="W3" s="9"/>
    </row>
    <row r="4" spans="1:65" ht="20.100000000000001" customHeight="1" x14ac:dyDescent="0.25">
      <c r="A4"/>
      <c r="BM4" s="2"/>
    </row>
    <row r="5" spans="1:65" ht="20.100000000000001" customHeight="1" x14ac:dyDescent="0.25">
      <c r="A5"/>
      <c r="D5" s="5" t="str" cm="1">
        <f t="array" ref="D5">Common_SourceData.Common_SourceData_AustralianStatesTerritories_Title()</f>
        <v>Australian states and territories</v>
      </c>
      <c r="BM5" s="2"/>
    </row>
    <row r="6" spans="1:65" ht="20.100000000000001" customHeight="1" x14ac:dyDescent="0.25">
      <c r="A6"/>
      <c r="D6" s="26" t="s">
        <v>6</v>
      </c>
      <c r="E6" s="26" t="s">
        <v>7</v>
      </c>
      <c r="F6" s="26" t="s">
        <v>8</v>
      </c>
    </row>
    <row r="7" spans="1:65" ht="20.100000000000001" customHeight="1" x14ac:dyDescent="0.25">
      <c r="A7"/>
      <c r="D7" s="26" t="str" cm="1">
        <f t="array" ref="D7">Common_InputFunctions.Utility_DisplayArrayInTable(Common_SourceData.Common_SourceData_AustralianStatesTerritories_Data(),Table_AustralianStates[[#Headers],[State/Territory]],0)</f>
        <v>New South Wales</v>
      </c>
      <c r="E7" s="26" t="str" cm="1">
        <f t="array" ref="E7">Common_InputFunctions.Utility_DisplayArrayInTable(Common_SourceData.Common_SourceData_AustralianStatesTerritories_Data(),Table_AustralianStates[[#Headers],[State/Territory]],0)</f>
        <v>New South Wales</v>
      </c>
      <c r="F7" s="26" t="str" cm="1">
        <f t="array" ref="F7">Common_InputFunctions.Utility_DisplayArrayInTable(Common_SourceData.Common_SourceData_AustralianStatesTerritories_Data(),Table_AustralianStates[[#Headers],[State/Territory]],0)</f>
        <v>NSW</v>
      </c>
    </row>
    <row r="8" spans="1:65" ht="20.100000000000001" customHeight="1" x14ac:dyDescent="0.25">
      <c r="A8"/>
      <c r="D8" s="26" t="str" cm="1">
        <f t="array" ref="D8">Common_InputFunctions.Utility_DisplayArrayInTable(Common_SourceData.Common_SourceData_AustralianStatesTerritories_Data(),Table_AustralianStates[[#Headers],[State/Territory]],0)</f>
        <v>Australian Capital Territory</v>
      </c>
      <c r="E8" s="26" t="str" cm="1">
        <f t="array" ref="E8">Common_InputFunctions.Utility_DisplayArrayInTable(Common_SourceData.Common_SourceData_AustralianStatesTerritories_Data(),Table_AustralianStates[[#Headers],[State/Territory]],0)</f>
        <v>ACT</v>
      </c>
      <c r="F8" s="26" t="str" cm="1">
        <f t="array" ref="F8">Common_InputFunctions.Utility_DisplayArrayInTable(Common_SourceData.Common_SourceData_AustralianStatesTerritories_Data(),Table_AustralianStates[[#Headers],[State/Territory]],0)</f>
        <v>ACT</v>
      </c>
    </row>
    <row r="9" spans="1:65" ht="20.100000000000001" customHeight="1" x14ac:dyDescent="0.25">
      <c r="A9"/>
      <c r="D9" s="26" t="str" cm="1">
        <f t="array" ref="D9">Common_InputFunctions.Utility_DisplayArrayInTable(Common_SourceData.Common_SourceData_AustralianStatesTerritories_Data(),Table_AustralianStates[[#Headers],[State/Territory]],0)</f>
        <v>Victoria</v>
      </c>
      <c r="E9" s="26" t="str" cm="1">
        <f t="array" ref="E9">Common_InputFunctions.Utility_DisplayArrayInTable(Common_SourceData.Common_SourceData_AustralianStatesTerritories_Data(),Table_AustralianStates[[#Headers],[State/Territory]],0)</f>
        <v>Victoria</v>
      </c>
      <c r="F9" s="26"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26" t="str" cm="1">
        <f t="array" ref="D10">Common_InputFunctions.Utility_DisplayArrayInTable(Common_SourceData.Common_SourceData_AustralianStatesTerritories_Data(),Table_AustralianStates[[#Headers],[State/Territory]],0)</f>
        <v>Queensland</v>
      </c>
      <c r="E10" s="26" t="str" cm="1">
        <f t="array" ref="E10">Common_InputFunctions.Utility_DisplayArrayInTable(Common_SourceData.Common_SourceData_AustralianStatesTerritories_Data(),Table_AustralianStates[[#Headers],[State/Territory]],0)</f>
        <v>Queensland</v>
      </c>
      <c r="F10" s="26"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26" t="str" cm="1">
        <f t="array" ref="D11">Common_InputFunctions.Utility_DisplayArrayInTable(Common_SourceData.Common_SourceData_AustralianStatesTerritories_Data(),Table_AustralianStates[[#Headers],[State/Territory]],0)</f>
        <v>South Australia</v>
      </c>
      <c r="E11" s="26" t="str" cm="1">
        <f t="array" ref="E11">Common_InputFunctions.Utility_DisplayArrayInTable(Common_SourceData.Common_SourceData_AustralianStatesTerritories_Data(),Table_AustralianStates[[#Headers],[State/Territory]],0)</f>
        <v>South Australia</v>
      </c>
      <c r="F11" s="26" t="str" cm="1">
        <f t="array" ref="F11">Common_InputFunctions.Utility_DisplayArrayInTable(Common_SourceData.Common_SourceData_AustralianStatesTerritories_Data(),Table_AustralianStates[[#Headers],[State/Territory]],0)</f>
        <v>SA</v>
      </c>
      <c r="BM11" s="2"/>
    </row>
    <row r="12" spans="1:65" ht="20.100000000000001" customHeight="1" x14ac:dyDescent="0.25">
      <c r="A12"/>
      <c r="D12" s="26" t="str" cm="1">
        <f t="array" ref="D12">Common_InputFunctions.Utility_DisplayArrayInTable(Common_SourceData.Common_SourceData_AustralianStatesTerritories_Data(),Table_AustralianStates[[#Headers],[State/Territory]],0)</f>
        <v>Western Australia</v>
      </c>
      <c r="E12" s="26" t="str" cm="1">
        <f t="array" ref="E12">Common_InputFunctions.Utility_DisplayArrayInTable(Common_SourceData.Common_SourceData_AustralianStatesTerritories_Data(),Table_AustralianStates[[#Headers],[State/Territory]],0)</f>
        <v>Western Australia</v>
      </c>
      <c r="F12" s="26" t="str" cm="1">
        <f t="array" ref="F12">Common_InputFunctions.Utility_DisplayArrayInTable(Common_SourceData.Common_SourceData_AustralianStatesTerritories_Data(),Table_AustralianStates[[#Headers],[State/Territory]],0)</f>
        <v>WA</v>
      </c>
      <c r="BM12" s="2"/>
    </row>
    <row r="13" spans="1:65" ht="20.100000000000001" customHeight="1" x14ac:dyDescent="0.25">
      <c r="A13"/>
      <c r="D13" s="26" t="str" cm="1">
        <f t="array" ref="D13">Common_InputFunctions.Utility_DisplayArrayInTable(Common_SourceData.Common_SourceData_AustralianStatesTerritories_Data(),Table_AustralianStates[[#Headers],[State/Territory]],0)</f>
        <v>Tasmania</v>
      </c>
      <c r="E13" s="26" t="str" cm="1">
        <f t="array" ref="E13">Common_InputFunctions.Utility_DisplayArrayInTable(Common_SourceData.Common_SourceData_AustralianStatesTerritories_Data(),Table_AustralianStates[[#Headers],[State/Territory]],0)</f>
        <v>Tasmania</v>
      </c>
      <c r="F13" s="26"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26" t="str" cm="1">
        <f t="array" ref="D14">Common_InputFunctions.Utility_DisplayArrayInTable(Common_SourceData.Common_SourceData_AustralianStatesTerritories_Data(),Table_AustralianStates[[#Headers],[State/Territory]],0)</f>
        <v>Northern Territory</v>
      </c>
      <c r="E14" s="26" t="str" cm="1">
        <f t="array" ref="E14">Common_InputFunctions.Utility_DisplayArrayInTable(Common_SourceData.Common_SourceData_AustralianStatesTerritories_Data(),Table_AustralianStates[[#Headers],[State/Territory]],0)</f>
        <v>Northern Territory</v>
      </c>
      <c r="F14" s="26"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5" t="str" cm="1">
        <f t="array" ref="D18">Common_SourceData.Common_SourceData_WASA4Areas_Title()</f>
        <v>ABS Statistcal Areas Level 4 - Western Australia</v>
      </c>
    </row>
    <row r="19" spans="1:4" ht="20.100000000000001" customHeight="1" x14ac:dyDescent="0.25">
      <c r="A19"/>
      <c r="D19" s="4" t="str" cm="1">
        <f t="array" ref="D19">Common_SourceData.Common_SourceData_WASA4Areas_Source()</f>
        <v>Australian Bureau of Statistics (ABS) - Statistical Areas Level 2 - 2021 - Shapefile</v>
      </c>
    </row>
    <row r="20" spans="1:4" ht="20.100000000000001" customHeight="1" x14ac:dyDescent="0.25">
      <c r="A20"/>
      <c r="D20" s="26" t="s">
        <v>9</v>
      </c>
    </row>
    <row r="21" spans="1:4" ht="20.100000000000001" customHeight="1" x14ac:dyDescent="0.25">
      <c r="A21"/>
      <c r="D21" s="26" t="str" cm="1">
        <f t="array" ref="D21">Common_InputFunctions.Utility_DisplayArrayInTable(Common_SourceData.Common_SourceData_WASA4Areas_Data(), Table_WASA4Areas[[#Headers],[SA 4 Name]], 0)</f>
        <v>Bunbury</v>
      </c>
    </row>
    <row r="22" spans="1:4" ht="20.100000000000001" customHeight="1" x14ac:dyDescent="0.25">
      <c r="A22"/>
      <c r="D22" s="26" t="str" cm="1">
        <f t="array" ref="D22">Common_InputFunctions.Utility_DisplayArrayInTable(Common_SourceData.Common_SourceData_WASA4Areas_Data(), Table_WASA4Areas[[#Headers],[SA 4 Name]], 0)</f>
        <v>Mandurah</v>
      </c>
    </row>
    <row r="23" spans="1:4" ht="20.100000000000001" customHeight="1" x14ac:dyDescent="0.25">
      <c r="A23"/>
      <c r="D23" s="26" t="str" cm="1">
        <f t="array" ref="D23">Common_InputFunctions.Utility_DisplayArrayInTable(Common_SourceData.Common_SourceData_WASA4Areas_Data(), Table_WASA4Areas[[#Headers],[SA 4 Name]], 0)</f>
        <v>Perth - Inner</v>
      </c>
    </row>
    <row r="24" spans="1:4" ht="20.100000000000001" customHeight="1" x14ac:dyDescent="0.25">
      <c r="A24"/>
      <c r="D24" s="26" t="str" cm="1">
        <f t="array" ref="D24">Common_InputFunctions.Utility_DisplayArrayInTable(Common_SourceData.Common_SourceData_WASA4Areas_Data(), Table_WASA4Areas[[#Headers],[SA 4 Name]], 0)</f>
        <v>Perth - North East</v>
      </c>
    </row>
    <row r="25" spans="1:4" ht="20.100000000000001" customHeight="1" x14ac:dyDescent="0.25">
      <c r="A25"/>
      <c r="D25" s="26" t="str" cm="1">
        <f t="array" ref="D25">Common_InputFunctions.Utility_DisplayArrayInTable(Common_SourceData.Common_SourceData_WASA4Areas_Data(), Table_WASA4Areas[[#Headers],[SA 4 Name]], 0)</f>
        <v>Perth - North West</v>
      </c>
    </row>
    <row r="26" spans="1:4" ht="20.100000000000001" customHeight="1" x14ac:dyDescent="0.25">
      <c r="A26"/>
      <c r="D26" s="26" t="str" cm="1">
        <f t="array" ref="D26">Common_InputFunctions.Utility_DisplayArrayInTable(Common_SourceData.Common_SourceData_WASA4Areas_Data(), Table_WASA4Areas[[#Headers],[SA 4 Name]], 0)</f>
        <v>Perth - South East</v>
      </c>
    </row>
    <row r="27" spans="1:4" ht="20.100000000000001" customHeight="1" x14ac:dyDescent="0.25">
      <c r="A27"/>
      <c r="D27" s="26" t="str" cm="1">
        <f t="array" ref="D27">Common_InputFunctions.Utility_DisplayArrayInTable(Common_SourceData.Common_SourceData_WASA4Areas_Data(), Table_WASA4Areas[[#Headers],[SA 4 Name]], 0)</f>
        <v>Perth - South West</v>
      </c>
    </row>
    <row r="28" spans="1:4" ht="20.100000000000001" customHeight="1" x14ac:dyDescent="0.25">
      <c r="A28"/>
      <c r="D28" s="26"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26"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26"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5" t="str" cm="1">
        <f t="array" ref="D34">Common_SourceData.Common_SourceData_GWP_Title()</f>
        <v>Global warming potential for greenhouse gases</v>
      </c>
    </row>
    <row r="35" spans="1:8" ht="20.100000000000001" customHeight="1" x14ac:dyDescent="0.25">
      <c r="A35"/>
      <c r="D35" s="4" t="str" cm="1">
        <f t="array" ref="D35">Common_SourceData.Common_SourceData_GWP_Source()</f>
        <v>XXXXXXX</v>
      </c>
    </row>
    <row r="36" spans="1:8" ht="20.100000000000001" customHeight="1" x14ac:dyDescent="0.25">
      <c r="A36"/>
      <c r="D36" s="26" t="s">
        <v>11</v>
      </c>
      <c r="E36" s="26" t="s">
        <v>12</v>
      </c>
    </row>
    <row r="37" spans="1:8" ht="20.100000000000001" customHeight="1" x14ac:dyDescent="0.25">
      <c r="A37"/>
      <c r="D37" s="26" t="str" cm="1">
        <f t="array" ref="D37">Common_InputFunctions.Utility_DisplayArrayInTable(Common_SourceData.Common_SourceData_GWP_Data(), Table_GWPData[[#Headers],[Gas]], 0)</f>
        <v>CO2</v>
      </c>
      <c r="E37" s="26" cm="1">
        <f t="array" ref="E37">Common_InputFunctions.Utility_DisplayArrayInTable(Common_SourceData.Common_SourceData_GWP_Data(), Table_GWPData[[#Headers],[Gas]], 0)</f>
        <v>1</v>
      </c>
    </row>
    <row r="38" spans="1:8" ht="20.100000000000001" customHeight="1" x14ac:dyDescent="0.25">
      <c r="A38"/>
      <c r="D38" s="26" t="str" cm="1">
        <f t="array" ref="D38">Common_InputFunctions.Utility_DisplayArrayInTable(Common_SourceData.Common_SourceData_GWP_Data(), Table_GWPData[[#Headers],[Gas]], 0)</f>
        <v>CH4</v>
      </c>
      <c r="E38" s="26" cm="1">
        <f t="array" ref="E38">Common_InputFunctions.Utility_DisplayArrayInTable(Common_SourceData.Common_SourceData_GWP_Data(), Table_GWPData[[#Headers],[Gas]], 0)</f>
        <v>28</v>
      </c>
    </row>
    <row r="39" spans="1:8" ht="20.100000000000001" customHeight="1" x14ac:dyDescent="0.25">
      <c r="A39"/>
      <c r="D39" s="26" t="str" cm="1">
        <f t="array" ref="D39">Common_InputFunctions.Utility_DisplayArrayInTable(Common_SourceData.Common_SourceData_GWP_Data(), Table_GWPData[[#Headers],[Gas]], 0)</f>
        <v>N2O</v>
      </c>
      <c r="E39" s="26" cm="1">
        <f t="array" ref="E39">Common_InputFunctions.Utility_DisplayArrayInTable(Common_SourceData.Common_SourceData_GWP_Data(), Table_GWPData[[#Headers],[Gas]], 0)</f>
        <v>265</v>
      </c>
    </row>
    <row r="40" spans="1:8" ht="20.100000000000001" customHeight="1" x14ac:dyDescent="0.25">
      <c r="A40"/>
      <c r="D40" s="26" t="str" cm="1">
        <f t="array" ref="D40">Common_InputFunctions.Utility_DisplayArrayInTable(Common_SourceData.Common_SourceData_GWP_Data(), Table_GWPData[[#Headers],[Gas]], 0)</f>
        <v>CF4</v>
      </c>
      <c r="E40" s="26" cm="1">
        <f t="array" ref="E40">Common_InputFunctions.Utility_DisplayArrayInTable(Common_SourceData.Common_SourceData_GWP_Data(), Table_GWPData[[#Headers],[Gas]], 0)</f>
        <v>6630</v>
      </c>
    </row>
    <row r="41" spans="1:8" ht="20.100000000000001" customHeight="1" x14ac:dyDescent="0.25">
      <c r="A41"/>
      <c r="D41" s="26" t="str" cm="1">
        <f t="array" ref="D41">Common_InputFunctions.Utility_DisplayArrayInTable(Common_SourceData.Common_SourceData_GWP_Data(), Table_GWPData[[#Headers],[Gas]], 0)</f>
        <v>C2F6</v>
      </c>
      <c r="E41" s="26" cm="1">
        <f t="array" ref="E41">Common_InputFunctions.Utility_DisplayArrayInTable(Common_SourceData.Common_SourceData_GWP_Data(), Table_GWPData[[#Headers],[Gas]], 0)</f>
        <v>12200</v>
      </c>
    </row>
    <row r="42" spans="1:8" ht="20.100000000000001" customHeight="1" x14ac:dyDescent="0.25">
      <c r="D42" s="26" t="str" cm="1">
        <f t="array" ref="D42">Common_InputFunctions.Utility_DisplayArrayInTable(Common_SourceData.Common_SourceData_GWP_Data(), Table_GWPData[[#Headers],[Gas]], 0)</f>
        <v>SF6</v>
      </c>
      <c r="E42" s="26" cm="1">
        <f t="array" ref="E42">Common_InputFunctions.Utility_DisplayArrayInTable(Common_SourceData.Common_SourceData_GWP_Data(), Table_GWPData[[#Headers],[Gas]], 0)</f>
        <v>22800</v>
      </c>
    </row>
    <row r="43" spans="1:8" ht="20.100000000000001" customHeight="1" x14ac:dyDescent="0.25">
      <c r="D43" s="26" t="str" cm="1">
        <f t="array" ref="D43">Common_InputFunctions.Utility_DisplayArrayInTable(Common_SourceData.Common_SourceData_GWP_Data(), Table_GWPData[[#Headers],[Gas]], 0)</f>
        <v>NF3</v>
      </c>
      <c r="E43" s="26" cm="1">
        <f t="array" ref="E43">Common_InputFunctions.Utility_DisplayArrayInTable(Common_SourceData.Common_SourceData_GWP_Data(), Table_GWPData[[#Headers],[Gas]], 0)</f>
        <v>17200</v>
      </c>
    </row>
    <row r="44" spans="1:8" ht="20.100000000000001" customHeight="1" x14ac:dyDescent="0.25"/>
    <row r="45" spans="1:8" ht="20.100000000000001" customHeight="1" x14ac:dyDescent="0.25">
      <c r="D45" s="5" t="str" cm="1">
        <f t="array" ref="D45">Common_SourceData.Common_SourceData_ConvertGasElementalToMolecular_Title()</f>
        <v>Factor to convert elemental mass of gas to molecular mass</v>
      </c>
    </row>
    <row r="46" spans="1:8" ht="20.100000000000001" customHeight="1" x14ac:dyDescent="0.25">
      <c r="D46" s="4" t="str" cm="1">
        <f t="array" ref="D46">Common_SourceData.Common_SourceData_ConvertGasElementalToMolecular_Source()</f>
        <v>XXXXXXX</v>
      </c>
    </row>
    <row r="47" spans="1:8" ht="20.100000000000001" customHeight="1" x14ac:dyDescent="0.25">
      <c r="D47" s="26" t="s">
        <v>11</v>
      </c>
      <c r="E47" s="26" t="s">
        <v>14</v>
      </c>
      <c r="F47" s="26" t="s">
        <v>15</v>
      </c>
      <c r="G47" s="26" t="s">
        <v>16</v>
      </c>
      <c r="H47" s="26" t="s">
        <v>17</v>
      </c>
    </row>
    <row r="48" spans="1:8" ht="20.100000000000001" customHeight="1" x14ac:dyDescent="0.25">
      <c r="D48" s="26" t="str" cm="1">
        <f t="array" ref="D48">Common_InputFunctions.Utility_DisplayArrayInTable(Common_SourceData.Common_SourceData_ConvertGasElementalToMolecular_Data(),Table_GasToMolecularConversionFactor[[#Headers],[Gas]], 0)</f>
        <v>CO2</v>
      </c>
      <c r="E48" s="26" t="str" cm="1">
        <f t="array" ref="E48">Common_InputFunctions.Utility_DisplayArrayInTable(Common_SourceData.Common_SourceData_ConvertGasElementalToMolecular_Data(),Table_GasToMolecularConversionFactor[[#Headers],[Gas]], 0)</f>
        <v>44/12</v>
      </c>
      <c r="F48" s="26" cm="1">
        <f t="array" ref="F48">Common_InputFunctions.Utility_DisplayArrayInTable(Common_SourceData.Common_SourceData_ConvertGasElementalToMolecular_Data(),Table_GasToMolecularConversionFactor[[#Headers],[Gas]], 0)</f>
        <v>44</v>
      </c>
      <c r="G48" s="26" cm="1">
        <f t="array" ref="G48">Common_InputFunctions.Utility_DisplayArrayInTable(Common_SourceData.Common_SourceData_ConvertGasElementalToMolecular_Data(),Table_GasToMolecularConversionFactor[[#Headers],[Gas]], 0)</f>
        <v>12</v>
      </c>
      <c r="H48" s="26">
        <f>Table_GasToMolecularConversionFactor[[#This Row],[Conversion factor 1]]/Table_GasToMolecularConversionFactor[[#This Row],[Conversion factor 2]]</f>
        <v>3.6666666666666665</v>
      </c>
    </row>
    <row r="49" spans="4:8" ht="20.100000000000001" customHeight="1" x14ac:dyDescent="0.25">
      <c r="D49" s="26" t="str" cm="1">
        <f t="array" ref="D49">Common_InputFunctions.Utility_DisplayArrayInTable(Common_SourceData.Common_SourceData_ConvertGasElementalToMolecular_Data(),Table_GasToMolecularConversionFactor[[#Headers],[Gas]], 0)</f>
        <v>CH4</v>
      </c>
      <c r="E49" s="26" t="str" cm="1">
        <f t="array" ref="E49">Common_InputFunctions.Utility_DisplayArrayInTable(Common_SourceData.Common_SourceData_ConvertGasElementalToMolecular_Data(),Table_GasToMolecularConversionFactor[[#Headers],[Gas]], 0)</f>
        <v>16/12</v>
      </c>
      <c r="F49" s="26" cm="1">
        <f t="array" ref="F49">Common_InputFunctions.Utility_DisplayArrayInTable(Common_SourceData.Common_SourceData_ConvertGasElementalToMolecular_Data(),Table_GasToMolecularConversionFactor[[#Headers],[Gas]], 0)</f>
        <v>16</v>
      </c>
      <c r="G49" s="26" cm="1">
        <f t="array" ref="G49">Common_InputFunctions.Utility_DisplayArrayInTable(Common_SourceData.Common_SourceData_ConvertGasElementalToMolecular_Data(),Table_GasToMolecularConversionFactor[[#Headers],[Gas]], 0)</f>
        <v>12</v>
      </c>
      <c r="H49" s="26">
        <f>Table_GasToMolecularConversionFactor[[#This Row],[Conversion factor 1]]/Table_GasToMolecularConversionFactor[[#This Row],[Conversion factor 2]]</f>
        <v>1.3333333333333333</v>
      </c>
    </row>
    <row r="50" spans="4:8" ht="20.100000000000001" customHeight="1" x14ac:dyDescent="0.25">
      <c r="D50" s="26" t="str" cm="1">
        <f t="array" ref="D50">Common_InputFunctions.Utility_DisplayArrayInTable(Common_SourceData.Common_SourceData_ConvertGasElementalToMolecular_Data(),Table_GasToMolecularConversionFactor[[#Headers],[Gas]], 0)</f>
        <v>N2O</v>
      </c>
      <c r="E50" s="26" t="str" cm="1">
        <f t="array" ref="E50">Common_InputFunctions.Utility_DisplayArrayInTable(Common_SourceData.Common_SourceData_ConvertGasElementalToMolecular_Data(),Table_GasToMolecularConversionFactor[[#Headers],[Gas]], 0)</f>
        <v>44/28</v>
      </c>
      <c r="F50" s="26" cm="1">
        <f t="array" ref="F50">Common_InputFunctions.Utility_DisplayArrayInTable(Common_SourceData.Common_SourceData_ConvertGasElementalToMolecular_Data(),Table_GasToMolecularConversionFactor[[#Headers],[Gas]], 0)</f>
        <v>44</v>
      </c>
      <c r="G50" s="26" cm="1">
        <f t="array" ref="G50">Common_InputFunctions.Utility_DisplayArrayInTable(Common_SourceData.Common_SourceData_ConvertGasElementalToMolecular_Data(),Table_GasToMolecularConversionFactor[[#Headers],[Gas]], 0)</f>
        <v>28</v>
      </c>
      <c r="H50" s="26">
        <f>Table_GasToMolecularConversionFactor[[#This Row],[Conversion factor 1]]/Table_GasToMolecularConversionFactor[[#This Row],[Conversion factor 2]]</f>
        <v>1.5714285714285714</v>
      </c>
    </row>
    <row r="51" spans="4:8" ht="20.100000000000001" customHeight="1" x14ac:dyDescent="0.25">
      <c r="D51" s="26" t="str" cm="1">
        <f t="array" ref="D51">Common_InputFunctions.Utility_DisplayArrayInTable(Common_SourceData.Common_SourceData_ConvertGasElementalToMolecular_Data(),Table_GasToMolecularConversionFactor[[#Headers],[Gas]], 0)</f>
        <v>Nox</v>
      </c>
      <c r="E51" s="26" t="str" cm="1">
        <f t="array" ref="E51">Common_InputFunctions.Utility_DisplayArrayInTable(Common_SourceData.Common_SourceData_ConvertGasElementalToMolecular_Data(),Table_GasToMolecularConversionFactor[[#Headers],[Gas]], 0)</f>
        <v>46/14</v>
      </c>
      <c r="F51" s="26" cm="1">
        <f t="array" ref="F51">Common_InputFunctions.Utility_DisplayArrayInTable(Common_SourceData.Common_SourceData_ConvertGasElementalToMolecular_Data(),Table_GasToMolecularConversionFactor[[#Headers],[Gas]], 0)</f>
        <v>46</v>
      </c>
      <c r="G51" s="26" cm="1">
        <f t="array" ref="G51">Common_InputFunctions.Utility_DisplayArrayInTable(Common_SourceData.Common_SourceData_ConvertGasElementalToMolecular_Data(),Table_GasToMolecularConversionFactor[[#Headers],[Gas]], 0)</f>
        <v>14</v>
      </c>
      <c r="H51" s="26">
        <f>Table_GasToMolecularConversionFactor[[#This Row],[Conversion factor 1]]/Table_GasToMolecularConversionFactor[[#This Row],[Conversion factor 2]]</f>
        <v>3.2857142857142856</v>
      </c>
    </row>
    <row r="52" spans="4:8" ht="20.100000000000001" customHeight="1" x14ac:dyDescent="0.25">
      <c r="D52" s="26" t="str" cm="1">
        <f t="array" ref="D52">Common_InputFunctions.Utility_DisplayArrayInTable(Common_SourceData.Common_SourceData_ConvertGasElementalToMolecular_Data(),Table_GasToMolecularConversionFactor[[#Headers],[Gas]], 0)</f>
        <v>CO</v>
      </c>
      <c r="E52" s="26" t="str" cm="1">
        <f t="array" ref="E52">Common_InputFunctions.Utility_DisplayArrayInTable(Common_SourceData.Common_SourceData_ConvertGasElementalToMolecular_Data(),Table_GasToMolecularConversionFactor[[#Headers],[Gas]], 0)</f>
        <v>28/12</v>
      </c>
      <c r="F52" s="26" cm="1">
        <f t="array" ref="F52">Common_InputFunctions.Utility_DisplayArrayInTable(Common_SourceData.Common_SourceData_ConvertGasElementalToMolecular_Data(),Table_GasToMolecularConversionFactor[[#Headers],[Gas]], 0)</f>
        <v>28</v>
      </c>
      <c r="G52" s="26" cm="1">
        <f t="array" ref="G52">Common_InputFunctions.Utility_DisplayArrayInTable(Common_SourceData.Common_SourceData_ConvertGasElementalToMolecular_Data(),Table_GasToMolecularConversionFactor[[#Headers],[Gas]], 0)</f>
        <v>12</v>
      </c>
      <c r="H52" s="26">
        <f>Table_GasToMolecularConversionFactor[[#This Row],[Conversion factor 1]]/Table_GasToMolecularConversionFactor[[#This Row],[Conversion factor 2]]</f>
        <v>2.3333333333333335</v>
      </c>
    </row>
    <row r="53" spans="4:8" ht="20.100000000000001" customHeight="1" x14ac:dyDescent="0.25">
      <c r="D53" s="26" t="str" cm="1">
        <f t="array" ref="D53">Common_InputFunctions.Utility_DisplayArrayInTable(Common_SourceData.Common_SourceData_ConvertGasElementalToMolecular_Data(),Table_GasToMolecularConversionFactor[[#Headers],[Gas]], 0)</f>
        <v>CO2 Lime</v>
      </c>
      <c r="E53" s="26" t="str" cm="1">
        <f t="array" ref="E53">Common_InputFunctions.Utility_DisplayArrayInTable(Common_SourceData.Common_SourceData_ConvertGasElementalToMolecular_Data(),Table_GasToMolecularConversionFactor[[#Headers],[Gas]], 0)</f>
        <v>44/12</v>
      </c>
      <c r="F53" s="26" cm="1">
        <f t="array" ref="F53">Common_InputFunctions.Utility_DisplayArrayInTable(Common_SourceData.Common_SourceData_ConvertGasElementalToMolecular_Data(),Table_GasToMolecularConversionFactor[[#Headers],[Gas]], 0)</f>
        <v>44</v>
      </c>
      <c r="G53" s="26" cm="1">
        <f t="array" ref="G53">Common_InputFunctions.Utility_DisplayArrayInTable(Common_SourceData.Common_SourceData_ConvertGasElementalToMolecular_Data(),Table_GasToMolecularConversionFactor[[#Headers],[Gas]], 0)</f>
        <v>12</v>
      </c>
      <c r="H53" s="26">
        <f>Table_GasToMolecularConversionFactor[[#This Row],[Conversion factor 1]]/Table_GasToMolecularConversionFactor[[#This Row],[Conversion factor 2]]</f>
        <v>3.6666666666666665</v>
      </c>
    </row>
    <row r="54" spans="4:8" ht="20.100000000000001" customHeight="1" x14ac:dyDescent="0.25">
      <c r="D54" s="26" t="str" cm="1">
        <f t="array" ref="D54">Common_InputFunctions.Utility_DisplayArrayInTable(Common_SourceData.Common_SourceData_ConvertGasElementalToMolecular_Data(),Table_GasToMolecularConversionFactor[[#Headers],[Gas]], 0)</f>
        <v>NMVOC</v>
      </c>
      <c r="E54" s="26" t="str" cm="1">
        <f t="array" ref="E54">Common_InputFunctions.Utility_DisplayArrayInTable(Common_SourceData.Common_SourceData_ConvertGasElementalToMolecular_Data(),Table_GasToMolecularConversionFactor[[#Headers],[Gas]], 0)</f>
        <v>14/12</v>
      </c>
      <c r="F54" s="26" cm="1">
        <f t="array" ref="F54">Common_InputFunctions.Utility_DisplayArrayInTable(Common_SourceData.Common_SourceData_ConvertGasElementalToMolecular_Data(),Table_GasToMolecularConversionFactor[[#Headers],[Gas]], 0)</f>
        <v>14</v>
      </c>
      <c r="G54" s="26" cm="1">
        <f t="array" ref="G54">Common_InputFunctions.Utility_DisplayArrayInTable(Common_SourceData.Common_SourceData_ConvertGasElementalToMolecular_Data(),Table_GasToMolecularConversionFactor[[#Headers],[Gas]], 0)</f>
        <v>12</v>
      </c>
      <c r="H54" s="26">
        <f>Table_GasToMolecularConversionFactor[[#This Row],[Conversion factor 1]]/Table_GasToMolecularConversionFactor[[#This Row],[Conversion factor 2]]</f>
        <v>1.1666666666666667</v>
      </c>
    </row>
    <row r="55" spans="4:8" ht="20.100000000000001" customHeight="1" x14ac:dyDescent="0.25"/>
    <row r="56" spans="4:8" ht="20.100000000000001" customHeight="1" x14ac:dyDescent="0.25"/>
    <row r="57" spans="4:8" ht="20.100000000000001" customHeight="1" x14ac:dyDescent="0.25">
      <c r="D57" s="5" t="str" cm="1">
        <f t="array" ref="D57">Common_SourceData.Common_SourceData_WetAndDryZones_Title()</f>
        <v>VEERG Australian wet and dry zones</v>
      </c>
    </row>
    <row r="58" spans="4:8" ht="20.100000000000001" customHeight="1" x14ac:dyDescent="0.25">
      <c r="D58" s="4" t="str" cm="1">
        <f t="array" ref="D58">Common_SourceData.Common_SourceData_WetAndDryZones_Source()</f>
        <v>VEERG 2026: Table 1.2: Translating climate zones to wet and dry zones</v>
      </c>
    </row>
    <row r="59" spans="4:8" ht="20.100000000000001" customHeight="1" x14ac:dyDescent="0.25">
      <c r="D59" s="31" t="str" cm="1">
        <f t="array" ref="D59:D61">"⚠️" &amp; Common_SourceData.Common_SourceData_WetAndDryZones_Variation()</f>
        <v>⚠️VARIATION OF SOURCE DATA:</v>
      </c>
    </row>
    <row r="60" spans="4:8" ht="20.100000000000001" customHeight="1" x14ac:dyDescent="0.25">
      <c r="D60" s="31" t="str">
        <v>⚠️Added warm / cool temperate moist / dry - low frost and high temp classes to accommodate climate scenarios excluded by VEERG criteria.</v>
      </c>
    </row>
    <row r="61" spans="4:8" ht="20.100000000000001" customHeight="1" x14ac:dyDescent="0.25">
      <c r="D61" s="31" t="str">
        <v>⚠️Fixed typo - Changed 'Fry' to 'Dry'.</v>
      </c>
    </row>
    <row r="62" spans="4:8" ht="20.100000000000001" customHeight="1" x14ac:dyDescent="0.25"/>
    <row r="63" spans="4:8" ht="20.100000000000001" customHeight="1" x14ac:dyDescent="0.25">
      <c r="D63" s="26" t="s">
        <v>4</v>
      </c>
      <c r="E63" s="26" t="s">
        <v>31</v>
      </c>
    </row>
    <row r="64" spans="4:8" ht="20.100000000000001" customHeight="1" x14ac:dyDescent="0.25">
      <c r="D64" s="26" t="str" cm="1">
        <f t="array" ref="D64">Common_InputFunctions.Utility_DisplayArrayInTable(Common_SourceData.Common_SourceData_WetAndDryZones_Data(), Table_SourceData_WetDryZones[[#Headers],[Climate zone]], 0)</f>
        <v>Tropical montane</v>
      </c>
      <c r="E64" s="26" t="str" cm="1">
        <f t="array" ref="E64">Common_InputFunctions.Utility_DisplayArrayInTable(Common_SourceData.Common_SourceData_WetAndDryZones_Data(), Table_SourceData_WetDryZones[[#Headers],[Climate zone]], 0)</f>
        <v>Wet climate zone</v>
      </c>
    </row>
    <row r="65" spans="4:5" ht="20.100000000000001" customHeight="1" x14ac:dyDescent="0.25">
      <c r="D65" s="26" t="str" cm="1">
        <f t="array" ref="D65">Common_InputFunctions.Utility_DisplayArrayInTable(Common_SourceData.Common_SourceData_WetAndDryZones_Data(), Table_SourceData_WetDryZones[[#Headers],[Climate zone]], 0)</f>
        <v>Tropical wet</v>
      </c>
      <c r="E65" s="26" t="str" cm="1">
        <f t="array" ref="E65">Common_InputFunctions.Utility_DisplayArrayInTable(Common_SourceData.Common_SourceData_WetAndDryZones_Data(), Table_SourceData_WetDryZones[[#Headers],[Climate zone]], 0)</f>
        <v>Wet climate zone</v>
      </c>
    </row>
    <row r="66" spans="4:5" ht="20.100000000000001" customHeight="1" x14ac:dyDescent="0.25">
      <c r="D66" s="26" t="str" cm="1">
        <f t="array" ref="D66">Common_InputFunctions.Utility_DisplayArrayInTable(Common_SourceData.Common_SourceData_WetAndDryZones_Data(), Table_SourceData_WetDryZones[[#Headers],[Climate zone]], 0)</f>
        <v>Tropical moist</v>
      </c>
      <c r="E66" s="26" t="str" cm="1">
        <f t="array" ref="E66">Common_InputFunctions.Utility_DisplayArrayInTable(Common_SourceData.Common_SourceData_WetAndDryZones_Data(), Table_SourceData_WetDryZones[[#Headers],[Climate zone]], 0)</f>
        <v>Wet climate zone</v>
      </c>
    </row>
    <row r="67" spans="4:5" ht="20.100000000000001" customHeight="1" x14ac:dyDescent="0.25">
      <c r="D67" s="26" t="str" cm="1">
        <f t="array" ref="D67">Common_InputFunctions.Utility_DisplayArrayInTable(Common_SourceData.Common_SourceData_WetAndDryZones_Data(), Table_SourceData_WetDryZones[[#Headers],[Climate zone]], 0)</f>
        <v>Tropical dry</v>
      </c>
      <c r="E67" s="26" t="str" cm="1">
        <f t="array" ref="E67">Common_InputFunctions.Utility_DisplayArrayInTable(Common_SourceData.Common_SourceData_WetAndDryZones_Data(), Table_SourceData_WetDryZones[[#Headers],[Climate zone]], 0)</f>
        <v>Dry climate zone</v>
      </c>
    </row>
    <row r="68" spans="4:5" ht="20.100000000000001" customHeight="1" x14ac:dyDescent="0.25">
      <c r="D68" s="26" t="str" cm="1">
        <f t="array" ref="D68">Common_InputFunctions.Utility_DisplayArrayInTable(Common_SourceData.Common_SourceData_WetAndDryZones_Data(), Table_SourceData_WetDryZones[[#Headers],[Climate zone]], 0)</f>
        <v>Warm temperate moist</v>
      </c>
      <c r="E68" s="26" t="str" cm="1">
        <f t="array" ref="E68">Common_InputFunctions.Utility_DisplayArrayInTable(Common_SourceData.Common_SourceData_WetAndDryZones_Data(), Table_SourceData_WetDryZones[[#Headers],[Climate zone]], 0)</f>
        <v>Wet climate zone</v>
      </c>
    </row>
    <row r="69" spans="4:5" ht="20.100000000000001" customHeight="1" x14ac:dyDescent="0.25">
      <c r="D69" s="26" t="str" cm="1">
        <f t="array" ref="D69">Common_InputFunctions.Utility_DisplayArrayInTable(Common_SourceData.Common_SourceData_WetAndDryZones_Data(), Table_SourceData_WetDryZones[[#Headers],[Climate zone]], 0)</f>
        <v>Warm temperate dry</v>
      </c>
      <c r="E69" s="26" t="str" cm="1">
        <f t="array" ref="E69">Common_InputFunctions.Utility_DisplayArrayInTable(Common_SourceData.Common_SourceData_WetAndDryZones_Data(), Table_SourceData_WetDryZones[[#Headers],[Climate zone]], 0)</f>
        <v>Dry climate zone</v>
      </c>
    </row>
    <row r="70" spans="4:5" ht="20.100000000000001" customHeight="1" x14ac:dyDescent="0.25">
      <c r="D70" s="26" t="str" cm="1">
        <f t="array" ref="D70">Common_InputFunctions.Utility_DisplayArrayInTable(Common_SourceData.Common_SourceData_WetAndDryZones_Data(), Table_SourceData_WetDryZones[[#Headers],[Climate zone]], 0)</f>
        <v>Cool temperate moist</v>
      </c>
      <c r="E70" s="26" t="str" cm="1">
        <f t="array" ref="E70">Common_InputFunctions.Utility_DisplayArrayInTable(Common_SourceData.Common_SourceData_WetAndDryZones_Data(), Table_SourceData_WetDryZones[[#Headers],[Climate zone]], 0)</f>
        <v>Wet climate zone</v>
      </c>
    </row>
    <row r="71" spans="4:5" ht="20.100000000000001" customHeight="1" x14ac:dyDescent="0.25">
      <c r="D71" s="26" t="str" cm="1">
        <f t="array" ref="D71">Common_InputFunctions.Utility_DisplayArrayInTable(Common_SourceData.Common_SourceData_WetAndDryZones_Data(), Table_SourceData_WetDryZones[[#Headers],[Climate zone]], 0)</f>
        <v>Cool temperate dry</v>
      </c>
      <c r="E71" s="26" t="str" cm="1">
        <f t="array" ref="E71">Common_InputFunctions.Utility_DisplayArrayInTable(Common_SourceData.Common_SourceData_WetAndDryZones_Data(), Table_SourceData_WetDryZones[[#Headers],[Climate zone]], 0)</f>
        <v>Dry climate zone</v>
      </c>
    </row>
    <row r="72" spans="4:5" ht="20.100000000000001" customHeight="1" x14ac:dyDescent="0.25">
      <c r="D72" s="26" t="str" cm="1">
        <f t="array" ref="D72">Common_InputFunctions.Utility_DisplayArrayInTable(Common_SourceData.Common_SourceData_WetAndDryZones_Data(), Table_SourceData_WetDryZones[[#Headers],[Climate zone]], 0)</f>
        <v>Warm temperate moist - low frost</v>
      </c>
      <c r="E72" s="26" t="str" cm="1">
        <f t="array" ref="E72">Common_InputFunctions.Utility_DisplayArrayInTable(Common_SourceData.Common_SourceData_WetAndDryZones_Data(), Table_SourceData_WetDryZones[[#Headers],[Climate zone]], 0)</f>
        <v>Wet climate zone</v>
      </c>
    </row>
    <row r="73" spans="4:5" ht="20.100000000000001" customHeight="1" x14ac:dyDescent="0.25">
      <c r="D73" s="26" t="str" cm="1">
        <f t="array" ref="D73">Common_InputFunctions.Utility_DisplayArrayInTable(Common_SourceData.Common_SourceData_WetAndDryZones_Data(), Table_SourceData_WetDryZones[[#Headers],[Climate zone]], 0)</f>
        <v>Warm temperate dry - low frost</v>
      </c>
      <c r="E73" s="26" t="str" cm="1">
        <f t="array" ref="E73">Common_InputFunctions.Utility_DisplayArrayInTable(Common_SourceData.Common_SourceData_WetAndDryZones_Data(), Table_SourceData_WetDryZones[[#Headers],[Climate zone]], 0)</f>
        <v>Dry climate zone</v>
      </c>
    </row>
    <row r="74" spans="4:5" ht="20.100000000000001" customHeight="1" x14ac:dyDescent="0.25">
      <c r="D74" s="26" t="str" cm="1">
        <f t="array" ref="D74">Common_InputFunctions.Utility_DisplayArrayInTable(Common_SourceData.Common_SourceData_WetAndDryZones_Data(), Table_SourceData_WetDryZones[[#Headers],[Climate zone]], 0)</f>
        <v>Warm temperate moist - high temp</v>
      </c>
      <c r="E74" s="26" t="str" cm="1">
        <f t="array" ref="E74">Common_InputFunctions.Utility_DisplayArrayInTable(Common_SourceData.Common_SourceData_WetAndDryZones_Data(), Table_SourceData_WetDryZones[[#Headers],[Climate zone]], 0)</f>
        <v>Wet climate zone</v>
      </c>
    </row>
    <row r="75" spans="4:5" ht="20.100000000000001" customHeight="1" x14ac:dyDescent="0.25">
      <c r="D75" s="26" t="str" cm="1">
        <f t="array" ref="D75">Common_InputFunctions.Utility_DisplayArrayInTable(Common_SourceData.Common_SourceData_WetAndDryZones_Data(), Table_SourceData_WetDryZones[[#Headers],[Climate zone]], 0)</f>
        <v>Warm temperate dry - high temp</v>
      </c>
      <c r="E75" s="26" t="str" cm="1">
        <f t="array" ref="E75">Common_InputFunctions.Utility_DisplayArrayInTable(Common_SourceData.Common_SourceData_WetAndDryZones_Data(), Table_SourceData_WetDryZones[[#Headers],[Climate zone]], 0)</f>
        <v>Dry climate zone</v>
      </c>
    </row>
    <row r="76" spans="4:5" ht="20.100000000000001" customHeight="1" x14ac:dyDescent="0.25">
      <c r="D76" s="26" t="str" cm="1">
        <f t="array" ref="D76">Common_InputFunctions.Utility_DisplayArrayInTable(Common_SourceData.Common_SourceData_WetAndDryZones_Data(), Table_SourceData_WetDryZones[[#Headers],[Climate zone]], 0)</f>
        <v>Cool temperate moist - low frost</v>
      </c>
      <c r="E76" s="26" t="str" cm="1">
        <f t="array" ref="E76">Common_InputFunctions.Utility_DisplayArrayInTable(Common_SourceData.Common_SourceData_WetAndDryZones_Data(), Table_SourceData_WetDryZones[[#Headers],[Climate zone]], 0)</f>
        <v>Wet climate zone</v>
      </c>
    </row>
    <row r="77" spans="4:5" ht="20.100000000000001" customHeight="1" x14ac:dyDescent="0.25">
      <c r="D77" s="26" t="str" cm="1">
        <f t="array" ref="D77">Common_InputFunctions.Utility_DisplayArrayInTable(Common_SourceData.Common_SourceData_WetAndDryZones_Data(), Table_SourceData_WetDryZones[[#Headers],[Climate zone]], 0)</f>
        <v>Cool temperate dry - low frost</v>
      </c>
      <c r="E77" s="26" t="str" cm="1">
        <f t="array" ref="E77">Common_InputFunctions.Utility_DisplayArrayInTable(Common_SourceData.Common_SourceData_WetAndDryZones_Data(), Table_SourceData_WetDryZones[[#Headers],[Climate zone]], 0)</f>
        <v>Dry climate zone</v>
      </c>
    </row>
    <row r="78" spans="4:5" ht="20.100000000000001" customHeight="1" x14ac:dyDescent="0.25"/>
    <row r="79" spans="4:5" ht="20.100000000000001" customHeight="1" x14ac:dyDescent="0.25"/>
    <row r="80" spans="4:5" ht="20.100000000000001" customHeight="1" x14ac:dyDescent="0.25"/>
    <row r="81" spans="4:20" ht="20.100000000000001" customHeight="1" x14ac:dyDescent="0.25">
      <c r="D81" s="5" t="str" cm="1">
        <f t="array" ref="D81">Common_SourceData.Common_SourceData_ClimateZones_Title()</f>
        <v>VEERG Australian climate zones</v>
      </c>
    </row>
    <row r="82" spans="4:20" ht="20.100000000000001" customHeight="1" x14ac:dyDescent="0.25">
      <c r="D82" s="4" t="str" cm="1">
        <f t="array" ref="D82">Common_SourceData.Common_SourceData_ClimateZones_Source()</f>
        <v>VEERG 2026: Table 1.3: Climate and Rainfall zone classifications and definitions</v>
      </c>
    </row>
    <row r="83" spans="4:20" ht="20.100000000000001" customHeight="1" x14ac:dyDescent="0.25">
      <c r="D83" s="31" t="str" cm="1">
        <f t="array" ref="D83:D87">"⚠️" &amp; Common_SourceData.Common_SourceData_ClimateZones_Variation()</f>
        <v>⚠️VARIATION OF SOURCE DATA:</v>
      </c>
    </row>
    <row r="84" spans="4:20" ht="20.100000000000001" customHeight="1" x14ac:dyDescent="0.25">
      <c r="D84" s="31" t="str">
        <v>⚠️Added warm / cool temperate moist / dry - low frost and high temp classes to accommodate climate scenarios excluded by VEERG criteria.</v>
      </c>
    </row>
    <row r="85" spans="4:20" ht="20.100000000000001" customHeight="1" x14ac:dyDescent="0.25">
      <c r="D85" s="31" t="str">
        <v>⚠️Fixed typo in MAT value for warm temperate dry - changed 10 to 11.</v>
      </c>
    </row>
    <row r="86" spans="4:20" ht="20.100000000000001" customHeight="1" x14ac:dyDescent="0.25">
      <c r="D86" s="31" t="str">
        <v>⚠️Added min and max columns for MAT, MAP, frost days per year, elevation, MAP:PET to calculate zones from real climate data.</v>
      </c>
    </row>
    <row r="87" spans="4:20" ht="20.100000000000001" customHeight="1" x14ac:dyDescent="0.25">
      <c r="D87" s="31" t="str">
        <v>⚠️GAF accepts rainfall as a proxy for precipitation.</v>
      </c>
    </row>
    <row r="88" spans="4:20" ht="20.100000000000001" customHeight="1" x14ac:dyDescent="0.25"/>
    <row r="89" spans="4:20" ht="20.100000000000001" customHeight="1" x14ac:dyDescent="0.25">
      <c r="D89" s="26" t="s">
        <v>4</v>
      </c>
      <c r="E89" s="26" t="s">
        <v>19</v>
      </c>
      <c r="F89" s="26" t="s">
        <v>20</v>
      </c>
      <c r="G89" s="26" t="s">
        <v>21</v>
      </c>
      <c r="H89" s="26" t="s">
        <v>22</v>
      </c>
      <c r="I89" s="26" t="s">
        <v>23</v>
      </c>
      <c r="J89" s="26" t="s">
        <v>24</v>
      </c>
      <c r="K89" s="26" t="s">
        <v>25</v>
      </c>
      <c r="L89" s="26" t="s">
        <v>26</v>
      </c>
      <c r="M89" s="26" t="s">
        <v>27</v>
      </c>
      <c r="N89" s="26" t="s">
        <v>28</v>
      </c>
      <c r="O89" s="26" t="s">
        <v>32</v>
      </c>
      <c r="P89" s="26" t="s">
        <v>29</v>
      </c>
      <c r="Q89" s="26" t="s">
        <v>33</v>
      </c>
      <c r="R89" s="26" t="s">
        <v>30</v>
      </c>
      <c r="S89" s="26" t="s">
        <v>34</v>
      </c>
      <c r="T89" s="26"/>
    </row>
    <row r="90" spans="4:20" ht="20.100000000000001" customHeight="1" x14ac:dyDescent="0.25">
      <c r="D90" s="26" t="str" cm="1">
        <f t="array" ref="D90">Common_InputFunctions.Utility_DisplayArrayInTable(Common_SourceData.Common_SourceData_ClimateZones_Data(), Table_SourceData_ClimateZones[[#Headers],[Climate zone]], 0)</f>
        <v>Tropical montane</v>
      </c>
      <c r="E90" s="26" t="str" cm="1">
        <f t="array" ref="E90">Common_InputFunctions.Utility_DisplayArrayInTable(Common_SourceData.Common_SourceData_ClimateZones_Data(), Table_SourceData_ClimateZones[[#Headers],[Climate zone]], 0)</f>
        <v>&gt; 18 C</v>
      </c>
      <c r="F90" s="26" t="str" cm="1">
        <f t="array" ref="F90">Common_InputFunctions.Utility_DisplayArrayInTable(Common_SourceData.Common_SourceData_ClimateZones_Data(), Table_SourceData_ClimateZones[[#Headers],[Climate zone]], 0)</f>
        <v>Any</v>
      </c>
      <c r="G90" s="26" t="str" cm="1">
        <f t="array" ref="G90">Common_InputFunctions.Utility_DisplayArrayInTable(Common_SourceData.Common_SourceData_ClimateZones_Data(), Table_SourceData_ClimateZones[[#Headers],[Climate zone]], 0)</f>
        <v>≤ 7</v>
      </c>
      <c r="H90" s="26" t="str" cm="1">
        <f t="array" ref="H90">Common_InputFunctions.Utility_DisplayArrayInTable(Common_SourceData.Common_SourceData_ClimateZones_Data(), Table_SourceData_ClimateZones[[#Headers],[Climate zone]], 0)</f>
        <v>&gt; 1000 m</v>
      </c>
      <c r="I90" s="26" t="str" cm="1">
        <f t="array" ref="I90">Common_InputFunctions.Utility_DisplayArrayInTable(Common_SourceData.Common_SourceData_ClimateZones_Data(), Table_SourceData_ClimateZones[[#Headers],[Climate zone]], 0)</f>
        <v>Any</v>
      </c>
      <c r="J90" s="26" cm="1">
        <f t="array" ref="J90">Common_InputFunctions.Utility_DisplayArrayInTable(Common_SourceData.Common_SourceData_ClimateZones_Data(), Table_SourceData_ClimateZones[[#Headers],[Climate zone]], 0)</f>
        <v>18.001000000000001</v>
      </c>
      <c r="K90" s="26" cm="1">
        <f t="array" ref="K90">Common_InputFunctions.Utility_DisplayArrayInTable(Common_SourceData.Common_SourceData_ClimateZones_Data(), Table_SourceData_ClimateZones[[#Headers],[Climate zone]], 0)</f>
        <v>999999</v>
      </c>
      <c r="L90" s="26" cm="1">
        <f t="array" ref="L90">Common_InputFunctions.Utility_DisplayArrayInTable(Common_SourceData.Common_SourceData_ClimateZones_Data(), Table_SourceData_ClimateZones[[#Headers],[Climate zone]], 0)</f>
        <v>-999999</v>
      </c>
      <c r="M90" s="26" cm="1">
        <f t="array" ref="M90">Common_InputFunctions.Utility_DisplayArrayInTable(Common_SourceData.Common_SourceData_ClimateZones_Data(), Table_SourceData_ClimateZones[[#Headers],[Climate zone]], 0)</f>
        <v>999999</v>
      </c>
      <c r="N90" s="26" cm="1">
        <f t="array" ref="N90">Common_InputFunctions.Utility_DisplayArrayInTable(Common_SourceData.Common_SourceData_ClimateZones_Data(), Table_SourceData_ClimateZones[[#Headers],[Climate zone]], 0)</f>
        <v>-999999</v>
      </c>
      <c r="O90" s="26" cm="1">
        <f t="array" ref="O90">Common_InputFunctions.Utility_DisplayArrayInTable(Common_SourceData.Common_SourceData_ClimateZones_Data(), Table_SourceData_ClimateZones[[#Headers],[Climate zone]], 0)</f>
        <v>7</v>
      </c>
      <c r="P90" s="26" cm="1">
        <f t="array" ref="P90">Common_InputFunctions.Utility_DisplayArrayInTable(Common_SourceData.Common_SourceData_ClimateZones_Data(), Table_SourceData_ClimateZones[[#Headers],[Climate zone]], 0)</f>
        <v>1000</v>
      </c>
      <c r="Q90" s="26" cm="1">
        <f t="array" ref="Q90">Common_InputFunctions.Utility_DisplayArrayInTable(Common_SourceData.Common_SourceData_ClimateZones_Data(), Table_SourceData_ClimateZones[[#Headers],[Climate zone]], 0)</f>
        <v>999999</v>
      </c>
      <c r="R90" s="26" cm="1">
        <f t="array" ref="R90">Common_InputFunctions.Utility_DisplayArrayInTable(Common_SourceData.Common_SourceData_ClimateZones_Data(), Table_SourceData_ClimateZones[[#Headers],[Climate zone]], 0)</f>
        <v>-999999</v>
      </c>
      <c r="S90" s="26" cm="1">
        <f t="array" ref="S90">Common_InputFunctions.Utility_DisplayArrayInTable(Common_SourceData.Common_SourceData_ClimateZones_Data(), Table_SourceData_ClimateZones[[#Headers],[Climate zone]], 0)</f>
        <v>999999</v>
      </c>
      <c r="T90" s="26"/>
    </row>
    <row r="91" spans="4:20" ht="20.100000000000001" customHeight="1" x14ac:dyDescent="0.25">
      <c r="D91" s="26" t="str" cm="1">
        <f t="array" ref="D91">Common_InputFunctions.Utility_DisplayArrayInTable(Common_SourceData.Common_SourceData_ClimateZones_Data(), Table_SourceData_ClimateZones[[#Headers],[Climate zone]], 0)</f>
        <v>Tropical wet</v>
      </c>
      <c r="E91" s="26" t="str" cm="1">
        <f t="array" ref="E91">Common_InputFunctions.Utility_DisplayArrayInTable(Common_SourceData.Common_SourceData_ClimateZones_Data(), Table_SourceData_ClimateZones[[#Headers],[Climate zone]], 0)</f>
        <v>&gt; 18 C</v>
      </c>
      <c r="F91" s="26" t="str" cm="1">
        <f t="array" ref="F91">Common_InputFunctions.Utility_DisplayArrayInTable(Common_SourceData.Common_SourceData_ClimateZones_Data(), Table_SourceData_ClimateZones[[#Headers],[Climate zone]], 0)</f>
        <v>&gt; 2000 mm</v>
      </c>
      <c r="G91" s="26" t="str" cm="1">
        <f t="array" ref="G91">Common_InputFunctions.Utility_DisplayArrayInTable(Common_SourceData.Common_SourceData_ClimateZones_Data(), Table_SourceData_ClimateZones[[#Headers],[Climate zone]], 0)</f>
        <v>≤ 7</v>
      </c>
      <c r="H91" s="26" t="str" cm="1">
        <f t="array" ref="H91">Common_InputFunctions.Utility_DisplayArrayInTable(Common_SourceData.Common_SourceData_ClimateZones_Data(), Table_SourceData_ClimateZones[[#Headers],[Climate zone]], 0)</f>
        <v>≤ 1000 m</v>
      </c>
      <c r="I91" s="26" t="str" cm="1">
        <f t="array" ref="I91">Common_InputFunctions.Utility_DisplayArrayInTable(Common_SourceData.Common_SourceData_ClimateZones_Data(), Table_SourceData_ClimateZones[[#Headers],[Climate zone]], 0)</f>
        <v>Any</v>
      </c>
      <c r="J91" s="26" cm="1">
        <f t="array" ref="J91">Common_InputFunctions.Utility_DisplayArrayInTable(Common_SourceData.Common_SourceData_ClimateZones_Data(), Table_SourceData_ClimateZones[[#Headers],[Climate zone]], 0)</f>
        <v>18.001000000000001</v>
      </c>
      <c r="K91" s="26" cm="1">
        <f t="array" ref="K91">Common_InputFunctions.Utility_DisplayArrayInTable(Common_SourceData.Common_SourceData_ClimateZones_Data(), Table_SourceData_ClimateZones[[#Headers],[Climate zone]], 0)</f>
        <v>999999</v>
      </c>
      <c r="L91" s="26" cm="1">
        <f t="array" ref="L91">Common_InputFunctions.Utility_DisplayArrayInTable(Common_SourceData.Common_SourceData_ClimateZones_Data(), Table_SourceData_ClimateZones[[#Headers],[Climate zone]], 0)</f>
        <v>2000.001</v>
      </c>
      <c r="M91" s="26" cm="1">
        <f t="array" ref="M91">Common_InputFunctions.Utility_DisplayArrayInTable(Common_SourceData.Common_SourceData_ClimateZones_Data(), Table_SourceData_ClimateZones[[#Headers],[Climate zone]], 0)</f>
        <v>999999</v>
      </c>
      <c r="N91" s="26" cm="1">
        <f t="array" ref="N91">Common_InputFunctions.Utility_DisplayArrayInTable(Common_SourceData.Common_SourceData_ClimateZones_Data(), Table_SourceData_ClimateZones[[#Headers],[Climate zone]], 0)</f>
        <v>-999999</v>
      </c>
      <c r="O91" s="26" cm="1">
        <f t="array" ref="O91">Common_InputFunctions.Utility_DisplayArrayInTable(Common_SourceData.Common_SourceData_ClimateZones_Data(), Table_SourceData_ClimateZones[[#Headers],[Climate zone]], 0)</f>
        <v>7</v>
      </c>
      <c r="P91" s="26" cm="1">
        <f t="array" ref="P91">Common_InputFunctions.Utility_DisplayArrayInTable(Common_SourceData.Common_SourceData_ClimateZones_Data(), Table_SourceData_ClimateZones[[#Headers],[Climate zone]], 0)</f>
        <v>-999999</v>
      </c>
      <c r="Q91" s="26" cm="1">
        <f t="array" ref="Q91">Common_InputFunctions.Utility_DisplayArrayInTable(Common_SourceData.Common_SourceData_ClimateZones_Data(), Table_SourceData_ClimateZones[[#Headers],[Climate zone]], 0)</f>
        <v>999.99900000000002</v>
      </c>
      <c r="R91" s="26" cm="1">
        <f t="array" ref="R91">Common_InputFunctions.Utility_DisplayArrayInTable(Common_SourceData.Common_SourceData_ClimateZones_Data(), Table_SourceData_ClimateZones[[#Headers],[Climate zone]], 0)</f>
        <v>-999999</v>
      </c>
      <c r="S91" s="26" cm="1">
        <f t="array" ref="S91">Common_InputFunctions.Utility_DisplayArrayInTable(Common_SourceData.Common_SourceData_ClimateZones_Data(), Table_SourceData_ClimateZones[[#Headers],[Climate zone]], 0)</f>
        <v>999999</v>
      </c>
      <c r="T91" s="26"/>
    </row>
    <row r="92" spans="4:20" ht="20.100000000000001" customHeight="1" x14ac:dyDescent="0.25">
      <c r="D92" s="26" t="str" cm="1">
        <f t="array" ref="D92">Common_InputFunctions.Utility_DisplayArrayInTable(Common_SourceData.Common_SourceData_ClimateZones_Data(), Table_SourceData_ClimateZones[[#Headers],[Climate zone]], 0)</f>
        <v>Tropical moist</v>
      </c>
      <c r="E92" s="26" t="str" cm="1">
        <f t="array" ref="E92">Common_InputFunctions.Utility_DisplayArrayInTable(Common_SourceData.Common_SourceData_ClimateZones_Data(), Table_SourceData_ClimateZones[[#Headers],[Climate zone]], 0)</f>
        <v>&gt; 18 C</v>
      </c>
      <c r="F92" s="26" t="str" cm="1">
        <f t="array" ref="F92">Common_InputFunctions.Utility_DisplayArrayInTable(Common_SourceData.Common_SourceData_ClimateZones_Data(), Table_SourceData_ClimateZones[[#Headers],[Climate zone]], 0)</f>
        <v>&gt; 1000 mm - ≤ 2000 mm</v>
      </c>
      <c r="G92" s="26" t="str" cm="1">
        <f t="array" ref="G92">Common_InputFunctions.Utility_DisplayArrayInTable(Common_SourceData.Common_SourceData_ClimateZones_Data(), Table_SourceData_ClimateZones[[#Headers],[Climate zone]], 0)</f>
        <v>≤ 7</v>
      </c>
      <c r="H92" s="26" t="str" cm="1">
        <f t="array" ref="H92">Common_InputFunctions.Utility_DisplayArrayInTable(Common_SourceData.Common_SourceData_ClimateZones_Data(), Table_SourceData_ClimateZones[[#Headers],[Climate zone]], 0)</f>
        <v>≤ 1000 m</v>
      </c>
      <c r="I92" s="26" t="str" cm="1">
        <f t="array" ref="I92">Common_InputFunctions.Utility_DisplayArrayInTable(Common_SourceData.Common_SourceData_ClimateZones_Data(), Table_SourceData_ClimateZones[[#Headers],[Climate zone]], 0)</f>
        <v>Any</v>
      </c>
      <c r="J92" s="26" cm="1">
        <f t="array" ref="J92">Common_InputFunctions.Utility_DisplayArrayInTable(Common_SourceData.Common_SourceData_ClimateZones_Data(), Table_SourceData_ClimateZones[[#Headers],[Climate zone]], 0)</f>
        <v>18.001000000000001</v>
      </c>
      <c r="K92" s="26" cm="1">
        <f t="array" ref="K92">Common_InputFunctions.Utility_DisplayArrayInTable(Common_SourceData.Common_SourceData_ClimateZones_Data(), Table_SourceData_ClimateZones[[#Headers],[Climate zone]], 0)</f>
        <v>999999</v>
      </c>
      <c r="L92" s="26" cm="1">
        <f t="array" ref="L92">Common_InputFunctions.Utility_DisplayArrayInTable(Common_SourceData.Common_SourceData_ClimateZones_Data(), Table_SourceData_ClimateZones[[#Headers],[Climate zone]], 0)</f>
        <v>1000.001</v>
      </c>
      <c r="M92" s="26" cm="1">
        <f t="array" ref="M92">Common_InputFunctions.Utility_DisplayArrayInTable(Common_SourceData.Common_SourceData_ClimateZones_Data(), Table_SourceData_ClimateZones[[#Headers],[Climate zone]], 0)</f>
        <v>2000</v>
      </c>
      <c r="N92" s="26" cm="1">
        <f t="array" ref="N92">Common_InputFunctions.Utility_DisplayArrayInTable(Common_SourceData.Common_SourceData_ClimateZones_Data(), Table_SourceData_ClimateZones[[#Headers],[Climate zone]], 0)</f>
        <v>-999999</v>
      </c>
      <c r="O92" s="26" cm="1">
        <f t="array" ref="O92">Common_InputFunctions.Utility_DisplayArrayInTable(Common_SourceData.Common_SourceData_ClimateZones_Data(), Table_SourceData_ClimateZones[[#Headers],[Climate zone]], 0)</f>
        <v>7</v>
      </c>
      <c r="P92" s="26" cm="1">
        <f t="array" ref="P92">Common_InputFunctions.Utility_DisplayArrayInTable(Common_SourceData.Common_SourceData_ClimateZones_Data(), Table_SourceData_ClimateZones[[#Headers],[Climate zone]], 0)</f>
        <v>-999999</v>
      </c>
      <c r="Q92" s="26" cm="1">
        <f t="array" ref="Q92">Common_InputFunctions.Utility_DisplayArrayInTable(Common_SourceData.Common_SourceData_ClimateZones_Data(), Table_SourceData_ClimateZones[[#Headers],[Climate zone]], 0)</f>
        <v>999.99900000000002</v>
      </c>
      <c r="R92" s="26" cm="1">
        <f t="array" ref="R92">Common_InputFunctions.Utility_DisplayArrayInTable(Common_SourceData.Common_SourceData_ClimateZones_Data(), Table_SourceData_ClimateZones[[#Headers],[Climate zone]], 0)</f>
        <v>-999999</v>
      </c>
      <c r="S92" s="26" cm="1">
        <f t="array" ref="S92">Common_InputFunctions.Utility_DisplayArrayInTable(Common_SourceData.Common_SourceData_ClimateZones_Data(), Table_SourceData_ClimateZones[[#Headers],[Climate zone]], 0)</f>
        <v>999999</v>
      </c>
      <c r="T92" s="26"/>
    </row>
    <row r="93" spans="4:20" ht="20.100000000000001" customHeight="1" x14ac:dyDescent="0.25">
      <c r="D93" s="26" t="str" cm="1">
        <f t="array" ref="D93">Common_InputFunctions.Utility_DisplayArrayInTable(Common_SourceData.Common_SourceData_ClimateZones_Data(), Table_SourceData_ClimateZones[[#Headers],[Climate zone]], 0)</f>
        <v>Tropical dry</v>
      </c>
      <c r="E93" s="26" t="str" cm="1">
        <f t="array" ref="E93">Common_InputFunctions.Utility_DisplayArrayInTable(Common_SourceData.Common_SourceData_ClimateZones_Data(), Table_SourceData_ClimateZones[[#Headers],[Climate zone]], 0)</f>
        <v>&gt; 18 C</v>
      </c>
      <c r="F93" s="26" t="str" cm="1">
        <f t="array" ref="F93">Common_InputFunctions.Utility_DisplayArrayInTable(Common_SourceData.Common_SourceData_ClimateZones_Data(), Table_SourceData_ClimateZones[[#Headers],[Climate zone]], 0)</f>
        <v>≤ 1000 mm</v>
      </c>
      <c r="G93" s="26" t="str" cm="1">
        <f t="array" ref="G93">Common_InputFunctions.Utility_DisplayArrayInTable(Common_SourceData.Common_SourceData_ClimateZones_Data(), Table_SourceData_ClimateZones[[#Headers],[Climate zone]], 0)</f>
        <v>≤ 7</v>
      </c>
      <c r="H93" s="26" t="str" cm="1">
        <f t="array" ref="H93">Common_InputFunctions.Utility_DisplayArrayInTable(Common_SourceData.Common_SourceData_ClimateZones_Data(), Table_SourceData_ClimateZones[[#Headers],[Climate zone]], 0)</f>
        <v>≤ 1000 m</v>
      </c>
      <c r="I93" s="26" t="str" cm="1">
        <f t="array" ref="I93">Common_InputFunctions.Utility_DisplayArrayInTable(Common_SourceData.Common_SourceData_ClimateZones_Data(), Table_SourceData_ClimateZones[[#Headers],[Climate zone]], 0)</f>
        <v>Any</v>
      </c>
      <c r="J93" s="26" cm="1">
        <f t="array" ref="J93">Common_InputFunctions.Utility_DisplayArrayInTable(Common_SourceData.Common_SourceData_ClimateZones_Data(), Table_SourceData_ClimateZones[[#Headers],[Climate zone]], 0)</f>
        <v>18.001000000000001</v>
      </c>
      <c r="K93" s="26" cm="1">
        <f t="array" ref="K93">Common_InputFunctions.Utility_DisplayArrayInTable(Common_SourceData.Common_SourceData_ClimateZones_Data(), Table_SourceData_ClimateZones[[#Headers],[Climate zone]], 0)</f>
        <v>999999</v>
      </c>
      <c r="L93" s="26" cm="1">
        <f t="array" ref="L93">Common_InputFunctions.Utility_DisplayArrayInTable(Common_SourceData.Common_SourceData_ClimateZones_Data(), Table_SourceData_ClimateZones[[#Headers],[Climate zone]], 0)</f>
        <v>-999999</v>
      </c>
      <c r="M93" s="26" cm="1">
        <f t="array" ref="M93">Common_InputFunctions.Utility_DisplayArrayInTable(Common_SourceData.Common_SourceData_ClimateZones_Data(), Table_SourceData_ClimateZones[[#Headers],[Climate zone]], 0)</f>
        <v>1000</v>
      </c>
      <c r="N93" s="26" cm="1">
        <f t="array" ref="N93">Common_InputFunctions.Utility_DisplayArrayInTable(Common_SourceData.Common_SourceData_ClimateZones_Data(), Table_SourceData_ClimateZones[[#Headers],[Climate zone]], 0)</f>
        <v>-999999</v>
      </c>
      <c r="O93" s="26" cm="1">
        <f t="array" ref="O93">Common_InputFunctions.Utility_DisplayArrayInTable(Common_SourceData.Common_SourceData_ClimateZones_Data(), Table_SourceData_ClimateZones[[#Headers],[Climate zone]], 0)</f>
        <v>7</v>
      </c>
      <c r="P93" s="26" cm="1">
        <f t="array" ref="P93">Common_InputFunctions.Utility_DisplayArrayInTable(Common_SourceData.Common_SourceData_ClimateZones_Data(), Table_SourceData_ClimateZones[[#Headers],[Climate zone]], 0)</f>
        <v>-999999</v>
      </c>
      <c r="Q93" s="26" cm="1">
        <f t="array" ref="Q93">Common_InputFunctions.Utility_DisplayArrayInTable(Common_SourceData.Common_SourceData_ClimateZones_Data(), Table_SourceData_ClimateZones[[#Headers],[Climate zone]], 0)</f>
        <v>999.99900000000002</v>
      </c>
      <c r="R93" s="26" cm="1">
        <f t="array" ref="R93">Common_InputFunctions.Utility_DisplayArrayInTable(Common_SourceData.Common_SourceData_ClimateZones_Data(), Table_SourceData_ClimateZones[[#Headers],[Climate zone]], 0)</f>
        <v>-999999</v>
      </c>
      <c r="S93" s="26" cm="1">
        <f t="array" ref="S93">Common_InputFunctions.Utility_DisplayArrayInTable(Common_SourceData.Common_SourceData_ClimateZones_Data(), Table_SourceData_ClimateZones[[#Headers],[Climate zone]], 0)</f>
        <v>999999</v>
      </c>
      <c r="T93" s="26"/>
    </row>
    <row r="94" spans="4:20" ht="20.100000000000001" customHeight="1" x14ac:dyDescent="0.25">
      <c r="D94" s="26" t="str" cm="1">
        <f t="array" ref="D94">Common_InputFunctions.Utility_DisplayArrayInTable(Common_SourceData.Common_SourceData_ClimateZones_Data(), Table_SourceData_ClimateZones[[#Headers],[Climate zone]], 0)</f>
        <v>Warm temperate moist</v>
      </c>
      <c r="E94" s="26" t="str" cm="1">
        <f t="array" ref="E94">Common_InputFunctions.Utility_DisplayArrayInTable(Common_SourceData.Common_SourceData_ClimateZones_Data(), Table_SourceData_ClimateZones[[#Headers],[Climate zone]], 0)</f>
        <v>&gt; 10 C</v>
      </c>
      <c r="F94" s="26" t="str" cm="1">
        <f t="array" ref="F94">Common_InputFunctions.Utility_DisplayArrayInTable(Common_SourceData.Common_SourceData_ClimateZones_Data(), Table_SourceData_ClimateZones[[#Headers],[Climate zone]], 0)</f>
        <v>Any</v>
      </c>
      <c r="G94" s="26" t="str" cm="1">
        <f t="array" ref="G94">Common_InputFunctions.Utility_DisplayArrayInTable(Common_SourceData.Common_SourceData_ClimateZones_Data(), Table_SourceData_ClimateZones[[#Headers],[Climate zone]], 0)</f>
        <v>Any</v>
      </c>
      <c r="H94" s="26" t="str" cm="1">
        <f t="array" ref="H94">Common_InputFunctions.Utility_DisplayArrayInTable(Common_SourceData.Common_SourceData_ClimateZones_Data(), Table_SourceData_ClimateZones[[#Headers],[Climate zone]], 0)</f>
        <v>Any</v>
      </c>
      <c r="I94" s="26" t="str" cm="1">
        <f t="array" ref="I94">Common_InputFunctions.Utility_DisplayArrayInTable(Common_SourceData.Common_SourceData_ClimateZones_Data(), Table_SourceData_ClimateZones[[#Headers],[Climate zone]], 0)</f>
        <v>&gt; 1</v>
      </c>
      <c r="J94" s="26" cm="1">
        <f t="array" ref="J94">Common_InputFunctions.Utility_DisplayArrayInTable(Common_SourceData.Common_SourceData_ClimateZones_Data(), Table_SourceData_ClimateZones[[#Headers],[Climate zone]], 0)</f>
        <v>10.000999999999999</v>
      </c>
      <c r="K94" s="26" cm="1">
        <f t="array" ref="K94">Common_InputFunctions.Utility_DisplayArrayInTable(Common_SourceData.Common_SourceData_ClimateZones_Data(), Table_SourceData_ClimateZones[[#Headers],[Climate zone]], 0)</f>
        <v>999999</v>
      </c>
      <c r="L94" s="26" cm="1">
        <f t="array" ref="L94">Common_InputFunctions.Utility_DisplayArrayInTable(Common_SourceData.Common_SourceData_ClimateZones_Data(), Table_SourceData_ClimateZones[[#Headers],[Climate zone]], 0)</f>
        <v>-999999</v>
      </c>
      <c r="M94" s="26" cm="1">
        <f t="array" ref="M94">Common_InputFunctions.Utility_DisplayArrayInTable(Common_SourceData.Common_SourceData_ClimateZones_Data(), Table_SourceData_ClimateZones[[#Headers],[Climate zone]], 0)</f>
        <v>999999</v>
      </c>
      <c r="N94" s="26" cm="1">
        <f t="array" ref="N94">Common_InputFunctions.Utility_DisplayArrayInTable(Common_SourceData.Common_SourceData_ClimateZones_Data(), Table_SourceData_ClimateZones[[#Headers],[Climate zone]], 0)</f>
        <v>-999999</v>
      </c>
      <c r="O94" s="26" cm="1">
        <f t="array" ref="O94">Common_InputFunctions.Utility_DisplayArrayInTable(Common_SourceData.Common_SourceData_ClimateZones_Data(), Table_SourceData_ClimateZones[[#Headers],[Climate zone]], 0)</f>
        <v>999999</v>
      </c>
      <c r="P94" s="26" cm="1">
        <f t="array" ref="P94">Common_InputFunctions.Utility_DisplayArrayInTable(Common_SourceData.Common_SourceData_ClimateZones_Data(), Table_SourceData_ClimateZones[[#Headers],[Climate zone]], 0)</f>
        <v>-999999</v>
      </c>
      <c r="Q94" s="26" cm="1">
        <f t="array" ref="Q94">Common_InputFunctions.Utility_DisplayArrayInTable(Common_SourceData.Common_SourceData_ClimateZones_Data(), Table_SourceData_ClimateZones[[#Headers],[Climate zone]], 0)</f>
        <v>999999</v>
      </c>
      <c r="R94" s="26" cm="1">
        <f t="array" ref="R94">Common_InputFunctions.Utility_DisplayArrayInTable(Common_SourceData.Common_SourceData_ClimateZones_Data(), Table_SourceData_ClimateZones[[#Headers],[Climate zone]], 0)</f>
        <v>1.0009999999999999</v>
      </c>
      <c r="S94" s="26" cm="1">
        <f t="array" ref="S94">Common_InputFunctions.Utility_DisplayArrayInTable(Common_SourceData.Common_SourceData_ClimateZones_Data(), Table_SourceData_ClimateZones[[#Headers],[Climate zone]], 0)</f>
        <v>999999</v>
      </c>
      <c r="T94" s="26"/>
    </row>
    <row r="95" spans="4:20" ht="20.100000000000001" customHeight="1" x14ac:dyDescent="0.25">
      <c r="D95" s="26" t="str" cm="1">
        <f t="array" ref="D95">Common_InputFunctions.Utility_DisplayArrayInTable(Common_SourceData.Common_SourceData_ClimateZones_Data(), Table_SourceData_ClimateZones[[#Headers],[Climate zone]], 0)</f>
        <v>Warm temperate dry</v>
      </c>
      <c r="E95" s="26" t="str" cm="1">
        <f t="array" ref="E95">Common_InputFunctions.Utility_DisplayArrayInTable(Common_SourceData.Common_SourceData_ClimateZones_Data(), Table_SourceData_ClimateZones[[#Headers],[Climate zone]], 0)</f>
        <v>&gt; 10 C</v>
      </c>
      <c r="F95" s="26" t="str" cm="1">
        <f t="array" ref="F95">Common_InputFunctions.Utility_DisplayArrayInTable(Common_SourceData.Common_SourceData_ClimateZones_Data(), Table_SourceData_ClimateZones[[#Headers],[Climate zone]], 0)</f>
        <v>Any</v>
      </c>
      <c r="G95" s="26" t="str" cm="1">
        <f t="array" ref="G95">Common_InputFunctions.Utility_DisplayArrayInTable(Common_SourceData.Common_SourceData_ClimateZones_Data(), Table_SourceData_ClimateZones[[#Headers],[Climate zone]], 0)</f>
        <v>Any</v>
      </c>
      <c r="H95" s="26" t="str" cm="1">
        <f t="array" ref="H95">Common_InputFunctions.Utility_DisplayArrayInTable(Common_SourceData.Common_SourceData_ClimateZones_Data(), Table_SourceData_ClimateZones[[#Headers],[Climate zone]], 0)</f>
        <v>Any</v>
      </c>
      <c r="I95" s="26" t="str" cm="1">
        <f t="array" ref="I95">Common_InputFunctions.Utility_DisplayArrayInTable(Common_SourceData.Common_SourceData_ClimateZones_Data(), Table_SourceData_ClimateZones[[#Headers],[Climate zone]], 0)</f>
        <v>≤ 1</v>
      </c>
      <c r="J95" s="26" cm="1">
        <f t="array" ref="J95">Common_InputFunctions.Utility_DisplayArrayInTable(Common_SourceData.Common_SourceData_ClimateZones_Data(), Table_SourceData_ClimateZones[[#Headers],[Climate zone]], 0)</f>
        <v>10.000999999999999</v>
      </c>
      <c r="K95" s="26" cm="1">
        <f t="array" ref="K95">Common_InputFunctions.Utility_DisplayArrayInTable(Common_SourceData.Common_SourceData_ClimateZones_Data(), Table_SourceData_ClimateZones[[#Headers],[Climate zone]], 0)</f>
        <v>999999</v>
      </c>
      <c r="L95" s="26" cm="1">
        <f t="array" ref="L95">Common_InputFunctions.Utility_DisplayArrayInTable(Common_SourceData.Common_SourceData_ClimateZones_Data(), Table_SourceData_ClimateZones[[#Headers],[Climate zone]], 0)</f>
        <v>-999999</v>
      </c>
      <c r="M95" s="26" cm="1">
        <f t="array" ref="M95">Common_InputFunctions.Utility_DisplayArrayInTable(Common_SourceData.Common_SourceData_ClimateZones_Data(), Table_SourceData_ClimateZones[[#Headers],[Climate zone]], 0)</f>
        <v>999999</v>
      </c>
      <c r="N95" s="26" cm="1">
        <f t="array" ref="N95">Common_InputFunctions.Utility_DisplayArrayInTable(Common_SourceData.Common_SourceData_ClimateZones_Data(), Table_SourceData_ClimateZones[[#Headers],[Climate zone]], 0)</f>
        <v>-999999</v>
      </c>
      <c r="O95" s="26" cm="1">
        <f t="array" ref="O95">Common_InputFunctions.Utility_DisplayArrayInTable(Common_SourceData.Common_SourceData_ClimateZones_Data(), Table_SourceData_ClimateZones[[#Headers],[Climate zone]], 0)</f>
        <v>999999</v>
      </c>
      <c r="P95" s="26" cm="1">
        <f t="array" ref="P95">Common_InputFunctions.Utility_DisplayArrayInTable(Common_SourceData.Common_SourceData_ClimateZones_Data(), Table_SourceData_ClimateZones[[#Headers],[Climate zone]], 0)</f>
        <v>-999999</v>
      </c>
      <c r="Q95" s="26" cm="1">
        <f t="array" ref="Q95">Common_InputFunctions.Utility_DisplayArrayInTable(Common_SourceData.Common_SourceData_ClimateZones_Data(), Table_SourceData_ClimateZones[[#Headers],[Climate zone]], 0)</f>
        <v>999999</v>
      </c>
      <c r="R95" s="26" cm="1">
        <f t="array" ref="R95">Common_InputFunctions.Utility_DisplayArrayInTable(Common_SourceData.Common_SourceData_ClimateZones_Data(), Table_SourceData_ClimateZones[[#Headers],[Climate zone]], 0)</f>
        <v>-999999</v>
      </c>
      <c r="S95" s="26" cm="1">
        <f t="array" ref="S95">Common_InputFunctions.Utility_DisplayArrayInTable(Common_SourceData.Common_SourceData_ClimateZones_Data(), Table_SourceData_ClimateZones[[#Headers],[Climate zone]], 0)</f>
        <v>1</v>
      </c>
      <c r="T95" s="26"/>
    </row>
    <row r="96" spans="4:20" ht="20.100000000000001" customHeight="1" x14ac:dyDescent="0.25">
      <c r="D96" s="26" t="str" cm="1">
        <f t="array" ref="D96">Common_InputFunctions.Utility_DisplayArrayInTable(Common_SourceData.Common_SourceData_ClimateZones_Data(), Table_SourceData_ClimateZones[[#Headers],[Climate zone]], 0)</f>
        <v>Cool temperate moist</v>
      </c>
      <c r="E96" s="26" t="str" cm="1">
        <f t="array" ref="E96">Common_InputFunctions.Utility_DisplayArrayInTable(Common_SourceData.Common_SourceData_ClimateZones_Data(), Table_SourceData_ClimateZones[[#Headers],[Climate zone]], 0)</f>
        <v>&gt; 0 C - ≤ 10 C</v>
      </c>
      <c r="F96" s="26" t="str" cm="1">
        <f t="array" ref="F96">Common_InputFunctions.Utility_DisplayArrayInTable(Common_SourceData.Common_SourceData_ClimateZones_Data(), Table_SourceData_ClimateZones[[#Headers],[Climate zone]], 0)</f>
        <v>Any</v>
      </c>
      <c r="G96" s="26" t="str" cm="1">
        <f t="array" ref="G96">Common_InputFunctions.Utility_DisplayArrayInTable(Common_SourceData.Common_SourceData_ClimateZones_Data(), Table_SourceData_ClimateZones[[#Headers],[Climate zone]], 0)</f>
        <v>Any</v>
      </c>
      <c r="H96" s="26" t="str" cm="1">
        <f t="array" ref="H96">Common_InputFunctions.Utility_DisplayArrayInTable(Common_SourceData.Common_SourceData_ClimateZones_Data(), Table_SourceData_ClimateZones[[#Headers],[Climate zone]], 0)</f>
        <v>Any</v>
      </c>
      <c r="I96" s="26" t="str" cm="1">
        <f t="array" ref="I96">Common_InputFunctions.Utility_DisplayArrayInTable(Common_SourceData.Common_SourceData_ClimateZones_Data(), Table_SourceData_ClimateZones[[#Headers],[Climate zone]], 0)</f>
        <v>&gt; 1</v>
      </c>
      <c r="J96" s="26" cm="1">
        <f t="array" ref="J96">Common_InputFunctions.Utility_DisplayArrayInTable(Common_SourceData.Common_SourceData_ClimateZones_Data(), Table_SourceData_ClimateZones[[#Headers],[Climate zone]], 0)</f>
        <v>-999999</v>
      </c>
      <c r="K96" s="26" cm="1">
        <f t="array" ref="K96">Common_InputFunctions.Utility_DisplayArrayInTable(Common_SourceData.Common_SourceData_ClimateZones_Data(), Table_SourceData_ClimateZones[[#Headers],[Climate zone]], 0)</f>
        <v>10</v>
      </c>
      <c r="L96" s="26" cm="1">
        <f t="array" ref="L96">Common_InputFunctions.Utility_DisplayArrayInTable(Common_SourceData.Common_SourceData_ClimateZones_Data(), Table_SourceData_ClimateZones[[#Headers],[Climate zone]], 0)</f>
        <v>-999999</v>
      </c>
      <c r="M96" s="26" cm="1">
        <f t="array" ref="M96">Common_InputFunctions.Utility_DisplayArrayInTable(Common_SourceData.Common_SourceData_ClimateZones_Data(), Table_SourceData_ClimateZones[[#Headers],[Climate zone]], 0)</f>
        <v>999999</v>
      </c>
      <c r="N96" s="26" cm="1">
        <f t="array" ref="N96">Common_InputFunctions.Utility_DisplayArrayInTable(Common_SourceData.Common_SourceData_ClimateZones_Data(), Table_SourceData_ClimateZones[[#Headers],[Climate zone]], 0)</f>
        <v>-999999</v>
      </c>
      <c r="O96" s="26" cm="1">
        <f t="array" ref="O96">Common_InputFunctions.Utility_DisplayArrayInTable(Common_SourceData.Common_SourceData_ClimateZones_Data(), Table_SourceData_ClimateZones[[#Headers],[Climate zone]], 0)</f>
        <v>999999</v>
      </c>
      <c r="P96" s="26" cm="1">
        <f t="array" ref="P96">Common_InputFunctions.Utility_DisplayArrayInTable(Common_SourceData.Common_SourceData_ClimateZones_Data(), Table_SourceData_ClimateZones[[#Headers],[Climate zone]], 0)</f>
        <v>-999999</v>
      </c>
      <c r="Q96" s="26" cm="1">
        <f t="array" ref="Q96">Common_InputFunctions.Utility_DisplayArrayInTable(Common_SourceData.Common_SourceData_ClimateZones_Data(), Table_SourceData_ClimateZones[[#Headers],[Climate zone]], 0)</f>
        <v>999999</v>
      </c>
      <c r="R96" s="26" cm="1">
        <f t="array" ref="R96">Common_InputFunctions.Utility_DisplayArrayInTable(Common_SourceData.Common_SourceData_ClimateZones_Data(), Table_SourceData_ClimateZones[[#Headers],[Climate zone]], 0)</f>
        <v>1.0009999999999999</v>
      </c>
      <c r="S96" s="26" cm="1">
        <f t="array" ref="S96">Common_InputFunctions.Utility_DisplayArrayInTable(Common_SourceData.Common_SourceData_ClimateZones_Data(), Table_SourceData_ClimateZones[[#Headers],[Climate zone]], 0)</f>
        <v>999999</v>
      </c>
      <c r="T96" s="26"/>
    </row>
    <row r="97" spans="4:20" ht="20.100000000000001" customHeight="1" x14ac:dyDescent="0.25">
      <c r="D97" s="26" t="str" cm="1">
        <f t="array" ref="D97">Common_InputFunctions.Utility_DisplayArrayInTable(Common_SourceData.Common_SourceData_ClimateZones_Data(), Table_SourceData_ClimateZones[[#Headers],[Climate zone]], 0)</f>
        <v>Cool temperate dry</v>
      </c>
      <c r="E97" s="26" t="str" cm="1">
        <f t="array" ref="E97">Common_InputFunctions.Utility_DisplayArrayInTable(Common_SourceData.Common_SourceData_ClimateZones_Data(), Table_SourceData_ClimateZones[[#Headers],[Climate zone]], 0)</f>
        <v>&gt; 0 C - ≤ 10 C</v>
      </c>
      <c r="F97" s="26" t="str" cm="1">
        <f t="array" ref="F97">Common_InputFunctions.Utility_DisplayArrayInTable(Common_SourceData.Common_SourceData_ClimateZones_Data(), Table_SourceData_ClimateZones[[#Headers],[Climate zone]], 0)</f>
        <v>Any</v>
      </c>
      <c r="G97" s="26" t="str" cm="1">
        <f t="array" ref="G97">Common_InputFunctions.Utility_DisplayArrayInTable(Common_SourceData.Common_SourceData_ClimateZones_Data(), Table_SourceData_ClimateZones[[#Headers],[Climate zone]], 0)</f>
        <v>Any</v>
      </c>
      <c r="H97" s="26" t="str" cm="1">
        <f t="array" ref="H97">Common_InputFunctions.Utility_DisplayArrayInTable(Common_SourceData.Common_SourceData_ClimateZones_Data(), Table_SourceData_ClimateZones[[#Headers],[Climate zone]], 0)</f>
        <v>Any</v>
      </c>
      <c r="I97" s="26" t="str" cm="1">
        <f t="array" ref="I97">Common_InputFunctions.Utility_DisplayArrayInTable(Common_SourceData.Common_SourceData_ClimateZones_Data(), Table_SourceData_ClimateZones[[#Headers],[Climate zone]], 0)</f>
        <v>≤ 1</v>
      </c>
      <c r="J97" s="26" cm="1">
        <f t="array" ref="J97">Common_InputFunctions.Utility_DisplayArrayInTable(Common_SourceData.Common_SourceData_ClimateZones_Data(), Table_SourceData_ClimateZones[[#Headers],[Climate zone]], 0)</f>
        <v>-999999</v>
      </c>
      <c r="K97" s="26" cm="1">
        <f t="array" ref="K97">Common_InputFunctions.Utility_DisplayArrayInTable(Common_SourceData.Common_SourceData_ClimateZones_Data(), Table_SourceData_ClimateZones[[#Headers],[Climate zone]], 0)</f>
        <v>10</v>
      </c>
      <c r="L97" s="26" cm="1">
        <f t="array" ref="L97">Common_InputFunctions.Utility_DisplayArrayInTable(Common_SourceData.Common_SourceData_ClimateZones_Data(), Table_SourceData_ClimateZones[[#Headers],[Climate zone]], 0)</f>
        <v>-999999</v>
      </c>
      <c r="M97" s="26" cm="1">
        <f t="array" ref="M97">Common_InputFunctions.Utility_DisplayArrayInTable(Common_SourceData.Common_SourceData_ClimateZones_Data(), Table_SourceData_ClimateZones[[#Headers],[Climate zone]], 0)</f>
        <v>999999</v>
      </c>
      <c r="N97" s="26" cm="1">
        <f t="array" ref="N97">Common_InputFunctions.Utility_DisplayArrayInTable(Common_SourceData.Common_SourceData_ClimateZones_Data(), Table_SourceData_ClimateZones[[#Headers],[Climate zone]], 0)</f>
        <v>-999999</v>
      </c>
      <c r="O97" s="26" cm="1">
        <f t="array" ref="O97">Common_InputFunctions.Utility_DisplayArrayInTable(Common_SourceData.Common_SourceData_ClimateZones_Data(), Table_SourceData_ClimateZones[[#Headers],[Climate zone]], 0)</f>
        <v>999999</v>
      </c>
      <c r="P97" s="26" cm="1">
        <f t="array" ref="P97">Common_InputFunctions.Utility_DisplayArrayInTable(Common_SourceData.Common_SourceData_ClimateZones_Data(), Table_SourceData_ClimateZones[[#Headers],[Climate zone]], 0)</f>
        <v>-999999</v>
      </c>
      <c r="Q97" s="26" cm="1">
        <f t="array" ref="Q97">Common_InputFunctions.Utility_DisplayArrayInTable(Common_SourceData.Common_SourceData_ClimateZones_Data(), Table_SourceData_ClimateZones[[#Headers],[Climate zone]], 0)</f>
        <v>999999</v>
      </c>
      <c r="R97" s="26" cm="1">
        <f t="array" ref="R97">Common_InputFunctions.Utility_DisplayArrayInTable(Common_SourceData.Common_SourceData_ClimateZones_Data(), Table_SourceData_ClimateZones[[#Headers],[Climate zone]], 0)</f>
        <v>-999999</v>
      </c>
      <c r="S97" s="26" cm="1">
        <f t="array" ref="S97">Common_InputFunctions.Utility_DisplayArrayInTable(Common_SourceData.Common_SourceData_ClimateZones_Data(), Table_SourceData_ClimateZones[[#Headers],[Climate zone]], 0)</f>
        <v>1</v>
      </c>
      <c r="T97" s="26"/>
    </row>
    <row r="98" spans="4:20" ht="20.100000000000001" customHeight="1" x14ac:dyDescent="0.25"/>
    <row r="99" spans="4:20" ht="20.100000000000001" customHeight="1" x14ac:dyDescent="0.25">
      <c r="D99" s="30" t="str" cm="1">
        <f t="array" ref="D99:D102">Common_SourceData.Common_SourceData_ClimateZones_Appendices()</f>
        <v>Note:</v>
      </c>
    </row>
    <row r="100" spans="4:20" ht="20.100000000000001" customHeight="1" x14ac:dyDescent="0.25">
      <c r="D100" s="30" t="str">
        <v>MAT = mean annual temperature</v>
      </c>
    </row>
    <row r="101" spans="4:20" ht="20.100000000000001" customHeight="1" x14ac:dyDescent="0.25">
      <c r="D101" s="30" t="str">
        <v>MAP = mean annual precipitation</v>
      </c>
    </row>
    <row r="102" spans="4:20" ht="20.100000000000001" customHeight="1" x14ac:dyDescent="0.25">
      <c r="D102" s="30" t="str">
        <v>PET = potential evapotranspiration</v>
      </c>
    </row>
    <row r="103" spans="4:20" ht="20.100000000000001" customHeight="1" x14ac:dyDescent="0.25">
      <c r="D103" s="30"/>
    </row>
    <row r="104" spans="4:20" ht="20.100000000000001" customHeight="1" x14ac:dyDescent="0.25"/>
    <row r="105" spans="4:20" ht="20.100000000000001" customHeight="1" x14ac:dyDescent="0.25">
      <c r="D105" s="5" t="str" cm="1">
        <f t="array" ref="D105">Common_SourceData.Common_SourceData_TemperatureZones_Title()</f>
        <v>VEERG Australian temperature zones</v>
      </c>
    </row>
    <row r="106" spans="4:20" ht="20.100000000000001" customHeight="1" x14ac:dyDescent="0.25">
      <c r="D106" s="4" t="str" cm="1">
        <f t="array" ref="D106">Common_SourceData.Common_SourceData_TemperatureZones_Source()</f>
        <v>VEERG 2026: Table 1.3: Climate and Rainfall zone classifications and definitions</v>
      </c>
    </row>
    <row r="107" spans="4:20" ht="20.100000000000001" customHeight="1" x14ac:dyDescent="0.25">
      <c r="D107" s="31" t="str" cm="1">
        <f t="array" ref="D107">"⚠️" &amp; Common_SourceData.Common_SourceData_TemperatureZones_Variation()</f>
        <v>⚠️VARIATION OF SOURCE DATA: Added extra MAT min and MAT max columns to calculate zone from real temperature data.</v>
      </c>
    </row>
    <row r="108" spans="4:20" ht="20.100000000000001" customHeight="1" x14ac:dyDescent="0.25"/>
    <row r="109" spans="4:20" ht="20.100000000000001" customHeight="1" x14ac:dyDescent="0.25">
      <c r="D109" s="26" t="s">
        <v>36</v>
      </c>
      <c r="E109" s="26" t="s">
        <v>19</v>
      </c>
      <c r="F109" s="26" t="s">
        <v>37</v>
      </c>
      <c r="G109" s="26" t="s">
        <v>38</v>
      </c>
    </row>
    <row r="110" spans="4:20" ht="20.100000000000001" customHeight="1" x14ac:dyDescent="0.25">
      <c r="D110" s="26" t="str" cm="1">
        <f t="array" ref="D110">Common_InputFunctions.Utility_DisplayArrayInTable(Common_SourceData.Common_SourceData_TemperatureZones_Data(),Table_SourceData_TemperatureZones[[#Headers],[Temperature Zone]],0)</f>
        <v>Warm</v>
      </c>
      <c r="E110" s="26" t="str" cm="1">
        <f t="array" ref="E110">Common_InputFunctions.Utility_DisplayArrayInTable(Common_SourceData.Common_SourceData_TemperatureZones_Data(),Table_SourceData_TemperatureZones[[#Headers],[Temperature Zone]],0)</f>
        <v>≥ 26 C</v>
      </c>
      <c r="F110" s="26" cm="1">
        <f t="array" ref="F110">Common_InputFunctions.Utility_DisplayArrayInTable(Common_SourceData.Common_SourceData_TemperatureZones_Data(),Table_SourceData_TemperatureZones[[#Headers],[Temperature Zone]],0)</f>
        <v>26</v>
      </c>
      <c r="G110" s="26" cm="1">
        <f t="array" ref="G110">Common_InputFunctions.Utility_DisplayArrayInTable(Common_SourceData.Common_SourceData_TemperatureZones_Data(),Table_SourceData_TemperatureZones[[#Headers],[Temperature Zone]],0)</f>
        <v>999999</v>
      </c>
    </row>
    <row r="111" spans="4:20" ht="20.100000000000001" customHeight="1" x14ac:dyDescent="0.25">
      <c r="D111" s="26" t="str" cm="1">
        <f t="array" ref="D111">Common_InputFunctions.Utility_DisplayArrayInTable(Common_SourceData.Common_SourceData_TemperatureZones_Data(),Table_SourceData_TemperatureZones[[#Headers],[Temperature Zone]],0)</f>
        <v>Temperate</v>
      </c>
      <c r="E111" s="26" t="str" cm="1">
        <f t="array" ref="E111">Common_InputFunctions.Utility_DisplayArrayInTable(Common_SourceData.Common_SourceData_TemperatureZones_Data(),Table_SourceData_TemperatureZones[[#Headers],[Temperature Zone]],0)</f>
        <v>15 - 25 C</v>
      </c>
      <c r="F111" s="26" cm="1">
        <f t="array" ref="F111">Common_InputFunctions.Utility_DisplayArrayInTable(Common_SourceData.Common_SourceData_TemperatureZones_Data(),Table_SourceData_TemperatureZones[[#Headers],[Temperature Zone]],0)</f>
        <v>15</v>
      </c>
      <c r="G111" s="26" cm="1">
        <f t="array" ref="G111">Common_InputFunctions.Utility_DisplayArrayInTable(Common_SourceData.Common_SourceData_TemperatureZones_Data(),Table_SourceData_TemperatureZones[[#Headers],[Temperature Zone]],0)</f>
        <v>25.998999999999999</v>
      </c>
    </row>
    <row r="112" spans="4:20" ht="20.100000000000001" customHeight="1" x14ac:dyDescent="0.25">
      <c r="D112" s="26" t="str" cm="1">
        <f t="array" ref="D112">Common_InputFunctions.Utility_DisplayArrayInTable(Common_SourceData.Common_SourceData_TemperatureZones_Data(),Table_SourceData_TemperatureZones[[#Headers],[Temperature Zone]],0)</f>
        <v>Cool</v>
      </c>
      <c r="E112" s="26" t="str" cm="1">
        <f t="array" ref="E112">Common_InputFunctions.Utility_DisplayArrayInTable(Common_SourceData.Common_SourceData_TemperatureZones_Data(),Table_SourceData_TemperatureZones[[#Headers],[Temperature Zone]],0)</f>
        <v>≤ 14 C</v>
      </c>
      <c r="F112" s="26" cm="1">
        <f t="array" ref="F112">Common_InputFunctions.Utility_DisplayArrayInTable(Common_SourceData.Common_SourceData_TemperatureZones_Data(),Table_SourceData_TemperatureZones[[#Headers],[Temperature Zone]],0)</f>
        <v>-999999</v>
      </c>
      <c r="G112" s="26" cm="1">
        <f t="array" ref="G112">Common_InputFunctions.Utility_DisplayArrayInTable(Common_SourceData.Common_SourceData_TemperatureZones_Data(),Table_SourceData_TemperatureZones[[#Headers],[Temperature Zone]],0)</f>
        <v>14.999000000000001</v>
      </c>
    </row>
    <row r="113" spans="4:66" ht="20.100000000000001" customHeight="1" x14ac:dyDescent="0.25"/>
    <row r="114" spans="4:66" ht="20.100000000000001" customHeight="1" x14ac:dyDescent="0.25"/>
    <row r="115" spans="4:66" ht="20.100000000000001" customHeight="1" x14ac:dyDescent="0.25">
      <c r="D115" s="5" t="str" cm="1">
        <f t="array" ref="D115">Common_SourceData.Common_SourceData_RainfallZones_Title()</f>
        <v>VEERG Australian rainfall zones</v>
      </c>
      <c r="BN115" s="6"/>
    </row>
    <row r="116" spans="4:66" ht="20.100000000000001" customHeight="1" x14ac:dyDescent="0.25">
      <c r="D116" s="4" t="str" cm="1">
        <f t="array" ref="D116">Common_SourceData.Common_SourceData_RainfallZones_Source()</f>
        <v>VEERG 2026: Table 1.3: Climate and Rainfall zone classifications and definitions</v>
      </c>
      <c r="BN116" s="6"/>
    </row>
    <row r="117" spans="4:66" ht="20.100000000000001" customHeight="1" x14ac:dyDescent="0.25">
      <c r="D117" s="31" t="str" cm="1">
        <f t="array" ref="D117">"⚠️" &amp; Common_SourceData.Common_SourceData_RainfallZones_Variation()</f>
        <v>⚠️VARIATION OF SOURCE DATA: Added extra Rainfall min and Rainfall max columns to calculate zone from real rainfall data.</v>
      </c>
      <c r="BN117" s="6"/>
    </row>
    <row r="118" spans="4:66" ht="20.100000000000001" customHeight="1" x14ac:dyDescent="0.25">
      <c r="BN118" s="6"/>
    </row>
    <row r="119" spans="4:66" ht="20.100000000000001" customHeight="1" x14ac:dyDescent="0.25">
      <c r="D119" s="26" t="s">
        <v>39</v>
      </c>
      <c r="E119" s="26" t="s">
        <v>40</v>
      </c>
      <c r="F119" s="26" t="s">
        <v>26</v>
      </c>
      <c r="G119" s="26" t="s">
        <v>27</v>
      </c>
      <c r="BN119" s="6"/>
    </row>
    <row r="120" spans="4:66" ht="20.100000000000001" customHeight="1" x14ac:dyDescent="0.25">
      <c r="D120" s="26" t="str" cm="1">
        <f t="array" ref="D120">Common_InputFunctions.Utility_DisplayArrayInTable(Common_SourceData.Common_SourceData_RainfallZones_Data(),Table_SourceData_RainfallZones[[#Headers],[Rainfall Zone]],0)</f>
        <v>High rainfall</v>
      </c>
      <c r="E120" s="26" t="str" cm="1">
        <f t="array" ref="E120">Common_InputFunctions.Utility_DisplayArrayInTable(Common_SourceData.Common_SourceData_RainfallZones_Data(),Table_SourceData_RainfallZones[[#Headers],[Rainfall Zone]],0)</f>
        <v>Annual rainfall &gt; 600mm</v>
      </c>
      <c r="F120" s="26" cm="1">
        <f t="array" ref="F120">Common_InputFunctions.Utility_DisplayArrayInTable(Common_SourceData.Common_SourceData_RainfallZones_Data(),Table_SourceData_RainfallZones[[#Headers],[Rainfall Zone]],0)</f>
        <v>600.00099999999998</v>
      </c>
      <c r="G120" s="26" cm="1">
        <f t="array" ref="G120">Common_InputFunctions.Utility_DisplayArrayInTable(Common_SourceData.Common_SourceData_RainfallZones_Data(),Table_SourceData_RainfallZones[[#Headers],[Rainfall Zone]],0)</f>
        <v>999999</v>
      </c>
      <c r="BN120" s="6"/>
    </row>
    <row r="121" spans="4:66" ht="20.100000000000001" customHeight="1" x14ac:dyDescent="0.25">
      <c r="D121" s="26" t="str" cm="1">
        <f t="array" ref="D121">Common_InputFunctions.Utility_DisplayArrayInTable(Common_SourceData.Common_SourceData_RainfallZones_Data(),Table_SourceData_RainfallZones[[#Headers],[Rainfall Zone]],0)</f>
        <v>Low rainfall</v>
      </c>
      <c r="E121" s="26" t="str" cm="1">
        <f t="array" ref="E121">Common_InputFunctions.Utility_DisplayArrayInTable(Common_SourceData.Common_SourceData_RainfallZones_Data(),Table_SourceData_RainfallZones[[#Headers],[Rainfall Zone]],0)</f>
        <v>Annual rainfall ≤ 600mm</v>
      </c>
      <c r="F121" s="26" cm="1">
        <f t="array" ref="F121">Common_InputFunctions.Utility_DisplayArrayInTable(Common_SourceData.Common_SourceData_RainfallZones_Data(),Table_SourceData_RainfallZones[[#Headers],[Rainfall Zone]],0)</f>
        <v>-999999</v>
      </c>
      <c r="G121" s="26" cm="1">
        <f t="array" ref="G121">Common_InputFunctions.Utility_DisplayArrayInTable(Common_SourceData.Common_SourceData_RainfallZones_Data(),Table_SourceData_RainfallZones[[#Headers],[Rainfall Zone]],0)</f>
        <v>600</v>
      </c>
      <c r="BN121" s="6"/>
    </row>
    <row r="122" spans="4:66" ht="20.100000000000001" customHeight="1" x14ac:dyDescent="0.25">
      <c r="BN122" s="6"/>
    </row>
    <row r="123" spans="4:66" ht="20.100000000000001" customHeight="1" x14ac:dyDescent="0.25"/>
    <row r="124" spans="4:66" ht="20.100000000000001" customHeight="1" x14ac:dyDescent="0.25">
      <c r="D124" s="5" t="str" cm="1">
        <f t="array" ref="D124">Common_SourceData.Common_SourceData_LeachingZones_Title()</f>
        <v>VEERG Australian leaching zones</v>
      </c>
    </row>
    <row r="125" spans="4:66" ht="20.100000000000001" customHeight="1" x14ac:dyDescent="0.25">
      <c r="D125" s="4" t="str" cm="1">
        <f t="array" ref="D125">Common_SourceData.Common_SourceData_LeachingZones_Source()</f>
        <v>VEERG 2026: Table 1.3: Climate and Rainfall zone classifications and definitions</v>
      </c>
    </row>
    <row r="126" spans="4:66" ht="20.100000000000001" customHeight="1" x14ac:dyDescent="0.25"/>
    <row r="127" spans="4:66" ht="20.100000000000001" customHeight="1" x14ac:dyDescent="0.25">
      <c r="D127" s="26" t="s">
        <v>41</v>
      </c>
      <c r="E127" s="26" t="s">
        <v>42</v>
      </c>
    </row>
    <row r="128" spans="4:66" ht="20.100000000000001" customHeight="1" x14ac:dyDescent="0.25">
      <c r="D128" s="26" t="str" cm="1">
        <f t="array" ref="D128">Common_InputFunctions.Utility_DisplayArrayInTable(Common_SourceData.Common_SourceData_LeachingZones_Data(), Table_SourceData_LeachingZones[[#Headers],[Leaching Zone]], 0)</f>
        <v>Leaching occurs</v>
      </c>
      <c r="E128" s="26"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4:77" ht="20.100000000000001" customHeight="1" x14ac:dyDescent="0.25">
      <c r="D129" s="26" t="str" cm="1">
        <f t="array" ref="D129">Common_InputFunctions.Utility_DisplayArrayInTable(Common_SourceData.Common_SourceData_LeachingZones_Data(), Table_SourceData_LeachingZones[[#Headers],[Leaching Zone]], 0)</f>
        <v>Leaching does not occur</v>
      </c>
      <c r="E129" s="26"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4:77" ht="20.100000000000001" customHeight="1" x14ac:dyDescent="0.25"/>
    <row r="131" spans="4:77" ht="20.100000000000001" customHeight="1" x14ac:dyDescent="0.25"/>
    <row r="132" spans="4:77" ht="20.100000000000001" customHeight="1" x14ac:dyDescent="0.25">
      <c r="D132" s="5" t="str" cm="1">
        <f t="array" ref="D132">Common_SourceData.Common_SourceData_FracWET_Title()</f>
        <v>Fraction of N that is available for leaching and runoff</v>
      </c>
      <c r="E132" s="18"/>
    </row>
    <row r="133" spans="4:77" ht="20.100000000000001" customHeight="1" x14ac:dyDescent="0.25">
      <c r="D133" s="4" t="str" cm="1">
        <f t="array" ref="D133">Common_SourceData.Common_SourceData_FracWET_Source()</f>
        <v>VEERG 2026:5.5.2.3 Constant Parameters</v>
      </c>
      <c r="E133" s="18"/>
    </row>
    <row r="134" spans="4:77" ht="20.100000000000001" customHeight="1" x14ac:dyDescent="0.25">
      <c r="D134" t="s">
        <v>47</v>
      </c>
      <c r="E134" t="s">
        <v>48</v>
      </c>
    </row>
    <row r="135" spans="4:77" ht="20.100000000000001" customHeight="1" x14ac:dyDescent="0.2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4:77" ht="20.100000000000001" customHeight="1" x14ac:dyDescent="0.25">
      <c r="D136" s="1" t="str" cm="1">
        <f t="array" ref="D136">Common_InputFunctions.Utility_DisplayArrayInTable(Common_SourceData.Common_SourceData_FracWET_Data(),Table_SourceData_FracWET[[#Headers],[Is in leaching zone]],0)</f>
        <v>No - not in leaching zone</v>
      </c>
      <c r="E136" s="26" cm="1">
        <f t="array" ref="E136">Common_InputFunctions.Utility_DisplayArrayInTable(Common_SourceData.Common_SourceData_FracWET_Data(),Table_SourceData_FracWET[[#Headers],[Is in leaching zone]],0)</f>
        <v>0</v>
      </c>
    </row>
    <row r="137" spans="4:77" ht="20.100000000000001" customHeight="1" x14ac:dyDescent="0.25"/>
    <row r="138" spans="4:77" ht="20.100000000000001" customHeight="1" x14ac:dyDescent="0.25">
      <c r="BN138" s="6"/>
      <c r="BO138" s="6"/>
      <c r="BP138" s="6"/>
      <c r="BQ138" s="6"/>
      <c r="BR138" s="6"/>
      <c r="BS138" s="6"/>
      <c r="BT138" s="6"/>
      <c r="BU138" s="6"/>
      <c r="BV138" s="6"/>
      <c r="BW138" s="6"/>
      <c r="BX138" s="6"/>
      <c r="BY138" s="6"/>
    </row>
    <row r="139" spans="4:77" ht="20.100000000000001" customHeight="1" x14ac:dyDescent="0.25">
      <c r="D139" s="5" t="str" cm="1">
        <f t="array" ref="D139">Common_SourceData.Common_SourceData_FracWETIrrigation_Title()</f>
        <v>FracWET for irrigation types</v>
      </c>
      <c r="BN139" s="6"/>
      <c r="BO139" s="6"/>
      <c r="BP139" s="6"/>
      <c r="BQ139" s="6"/>
      <c r="BR139" s="6"/>
      <c r="BS139" s="6"/>
      <c r="BT139" s="6"/>
      <c r="BU139" s="6"/>
      <c r="BV139" s="6"/>
      <c r="BW139" s="6"/>
      <c r="BX139" s="6"/>
      <c r="BY139" s="6"/>
    </row>
    <row r="140" spans="4:77" ht="20.100000000000001" customHeight="1" x14ac:dyDescent="0.25">
      <c r="D140" s="4" t="str" cm="1">
        <f t="array" ref="D140">Common_SourceData.Common_SourceData_FracWETIrrigation_Source()</f>
        <v>VEERG 2026: Chapter 1, section 1.8.2 Leaching, climate and rainfall zones</v>
      </c>
      <c r="BN140" s="6"/>
      <c r="BO140" s="6"/>
      <c r="BP140" s="6"/>
      <c r="BQ140" s="6"/>
      <c r="BR140" s="6"/>
      <c r="BS140" s="6"/>
      <c r="BT140" s="6"/>
      <c r="BU140" s="6"/>
      <c r="BV140" s="6"/>
      <c r="BW140" s="6"/>
      <c r="BX140" s="6"/>
      <c r="BY140" s="6"/>
    </row>
    <row r="141" spans="4:77" ht="20.100000000000001" customHeight="1" x14ac:dyDescent="0.25">
      <c r="D141" s="31" t="str" cm="1">
        <f t="array" ref="D141">Common_SourceData.Common_SourceData_FracWETIrrigation_Variation()</f>
        <v>VARIATION FROM SOURCE DATA: Table created based on VEERG text 'Areas are subject to leaching (i.e., in the leaching zone) when... the land is irrigated (except drip irrigation).'</v>
      </c>
      <c r="BN141" s="6"/>
    </row>
    <row r="142" spans="4:77" ht="20.100000000000001" customHeight="1" x14ac:dyDescent="0.25">
      <c r="D142" s="26" t="s">
        <v>57</v>
      </c>
      <c r="E142" s="26" t="s">
        <v>48</v>
      </c>
      <c r="BN142" s="6"/>
    </row>
    <row r="143" spans="4:77" ht="20.100000000000001" customHeight="1" x14ac:dyDescent="0.25">
      <c r="D143" s="26" t="str" cm="1">
        <f t="array" ref="D143">Common_InputFunctions.Utility_DisplayArrayInTable(Common_SourceData.Common_SourceData_FracWETIrrigation_Data(), Table_SourceData_FracWETIrrigation[[#Headers],[Irrigation type i]], 0)</f>
        <v>Not irrigated</v>
      </c>
      <c r="E143" s="26" cm="1">
        <f t="array" ref="E143">Common_InputFunctions.Utility_DisplayArrayInTable(Common_SourceData.Common_SourceData_FracWETIrrigation_Data(), Table_SourceData_FracWETIrrigation[[#Headers],[Irrigation type i]], 0)</f>
        <v>0</v>
      </c>
      <c r="BN143" s="6"/>
    </row>
    <row r="144" spans="4:77" ht="20.100000000000001" customHeight="1" x14ac:dyDescent="0.25">
      <c r="D144" s="1" t="str" cm="1">
        <f t="array" ref="D144">Common_InputFunctions.Utility_DisplayArrayInTable(Common_SourceData.Common_SourceData_FracWETIrrigation_Data(), Table_SourceData_FracWETIrrigation[[#Headers],[Irrigation type i]], 0)</f>
        <v>Drip irrigation</v>
      </c>
      <c r="E144" s="26" cm="1">
        <f t="array" ref="E144">Common_InputFunctions.Utility_DisplayArrayInTable(Common_SourceData.Common_SourceData_FracWETIrrigation_Data(), Table_SourceData_FracWETIrrigation[[#Headers],[Irrigation type i]], 0)</f>
        <v>0</v>
      </c>
      <c r="BN144" s="6"/>
    </row>
    <row r="145" spans="4:66" ht="20.100000000000001" customHeight="1" x14ac:dyDescent="0.25">
      <c r="D145" s="1" t="str" cm="1">
        <f t="array" ref="D145">Common_InputFunctions.Utility_DisplayArrayInTable(Common_SourceData.Common_SourceData_FracWETIrrigation_Data(), Table_SourceData_FracWETIrrigation[[#Headers],[Irrigation type i]], 0)</f>
        <v>Sprinkler irrigation</v>
      </c>
      <c r="E145" s="26" cm="1">
        <f t="array" ref="E145">Common_InputFunctions.Utility_DisplayArrayInTable(Common_SourceData.Common_SourceData_FracWETIrrigation_Data(), Table_SourceData_FracWETIrrigation[[#Headers],[Irrigation type i]], 0)</f>
        <v>1</v>
      </c>
      <c r="BN145" s="6"/>
    </row>
    <row r="146" spans="4:66" ht="20.100000000000001" customHeight="1" x14ac:dyDescent="0.25">
      <c r="D146" s="1" t="str" cm="1">
        <f t="array" ref="D146">Common_InputFunctions.Utility_DisplayArrayInTable(Common_SourceData.Common_SourceData_FracWETIrrigation_Data(), Table_SourceData_FracWETIrrigation[[#Headers],[Irrigation type i]], 0)</f>
        <v>Surface irrigation</v>
      </c>
      <c r="E146" s="26" cm="1">
        <f t="array" ref="E146">Common_InputFunctions.Utility_DisplayArrayInTable(Common_SourceData.Common_SourceData_FracWETIrrigation_Data(), Table_SourceData_FracWETIrrigation[[#Headers],[Irrigation type i]], 0)</f>
        <v>1</v>
      </c>
      <c r="BN146" s="6"/>
    </row>
    <row r="147" spans="4:66" ht="20.100000000000001" customHeight="1" x14ac:dyDescent="0.25">
      <c r="D147" s="1" t="str" cm="1">
        <f t="array" ref="D147">Common_InputFunctions.Utility_DisplayArrayInTable(Common_SourceData.Common_SourceData_FracWETIrrigation_Data(), Table_SourceData_FracWETIrrigation[[#Headers],[Irrigation type i]], 0)</f>
        <v>Other irrigation</v>
      </c>
      <c r="E147" s="26" cm="1">
        <f t="array" ref="E147">Common_InputFunctions.Utility_DisplayArrayInTable(Common_SourceData.Common_SourceData_FracWETIrrigation_Data(), Table_SourceData_FracWETIrrigation[[#Headers],[Irrigation type i]], 0)</f>
        <v>1</v>
      </c>
      <c r="BN147" s="6"/>
    </row>
    <row r="148" spans="4:66" ht="20.100000000000001" customHeight="1" x14ac:dyDescent="0.25">
      <c r="BN148" s="6"/>
    </row>
    <row r="149" spans="4:66" ht="20.100000000000001" customHeight="1" x14ac:dyDescent="0.25">
      <c r="BN149" s="6"/>
    </row>
    <row r="150" spans="4:66" ht="20.100000000000001" customHeight="1" x14ac:dyDescent="0.25">
      <c r="D150" s="5" t="str" cm="1">
        <f t="array" ref="D150">Common_SourceData.Common_SourceData_DataScores_Scope3_Title()</f>
        <v>Australian data scores for scope 3</v>
      </c>
      <c r="BN150" s="6"/>
    </row>
    <row r="151" spans="4:66" ht="20.100000000000001" customHeight="1" x14ac:dyDescent="0.25">
      <c r="D151" s="4" t="str" cm="1">
        <f t="array" ref="D151">Common_SourceData.Common_SourceData_DataScores_Scope3_Source()</f>
        <v>VEERG 2026: XXXXXXXX</v>
      </c>
      <c r="BN151" s="6"/>
    </row>
    <row r="152" spans="4:66" ht="20.100000000000001" customHeight="1" x14ac:dyDescent="0.25">
      <c r="BN152" s="6"/>
    </row>
    <row r="153" spans="4:66" ht="20.100000000000001" customHeight="1" x14ac:dyDescent="0.25">
      <c r="D153" s="26" t="s">
        <v>43</v>
      </c>
      <c r="E153" s="26" t="s">
        <v>44</v>
      </c>
      <c r="BC153" s="2"/>
      <c r="BD153" s="2"/>
      <c r="BE153" s="2"/>
      <c r="BF153" s="2"/>
      <c r="BG153" s="2"/>
      <c r="BH153" s="2"/>
      <c r="BI153" s="2"/>
      <c r="BJ153" s="2"/>
      <c r="BK153" s="2"/>
      <c r="BL153" s="2"/>
      <c r="BM153" s="2"/>
    </row>
    <row r="154" spans="4:66" ht="20.100000000000001" customHeight="1" x14ac:dyDescent="0.25">
      <c r="D154" s="26" t="str" cm="1">
        <f t="array" ref="D154">Common_InputFunctions.Utility_DisplayArrayInTable(Common_SourceData.Common_SourceData_DataScores_Scope3_Data(), Table_SourceData_DataScores_Scope3[[#Headers],[Data source]], 0)</f>
        <v>International scope 3 database</v>
      </c>
      <c r="E154" s="26" cm="1">
        <f t="array" ref="E154">Common_InputFunctions.Utility_DisplayArrayInTable(Common_SourceData.Common_SourceData_DataScores_Scope3_Data(), Table_SourceData_DataScores_Scope3[[#Headers],[Data source]], 0)</f>
        <v>1</v>
      </c>
      <c r="BC154" s="2"/>
      <c r="BD154" s="2"/>
      <c r="BE154" s="2"/>
      <c r="BF154" s="2"/>
      <c r="BG154" s="2"/>
      <c r="BH154" s="2"/>
      <c r="BI154" s="2"/>
      <c r="BJ154" s="2"/>
      <c r="BK154" s="2"/>
      <c r="BL154" s="2"/>
      <c r="BM154" s="2"/>
    </row>
    <row r="155" spans="4:66" ht="20.100000000000001" customHeight="1" x14ac:dyDescent="0.25">
      <c r="D155" s="26" t="str" cm="1">
        <f t="array" ref="D155">Common_InputFunctions.Utility_DisplayArrayInTable(Common_SourceData.Common_SourceData_DataScores_Scope3_Data(), Table_SourceData_DataScores_Scope3[[#Headers],[Data source]], 0)</f>
        <v>Australian scope 3 database</v>
      </c>
      <c r="E155" s="26" cm="1">
        <f t="array" ref="E155">Common_InputFunctions.Utility_DisplayArrayInTable(Common_SourceData.Common_SourceData_DataScores_Scope3_Data(), Table_SourceData_DataScores_Scope3[[#Headers],[Data source]], 0)</f>
        <v>2</v>
      </c>
      <c r="BC155" s="2"/>
      <c r="BD155" s="2"/>
      <c r="BE155" s="2"/>
      <c r="BF155" s="2"/>
      <c r="BG155" s="2"/>
      <c r="BH155" s="2"/>
      <c r="BI155" s="2"/>
      <c r="BJ155" s="2"/>
      <c r="BK155" s="2"/>
      <c r="BL155" s="2"/>
      <c r="BM155" s="2"/>
    </row>
    <row r="156" spans="4:66" ht="20.100000000000001" customHeight="1" x14ac:dyDescent="0.25">
      <c r="D156" s="26" t="str" cm="1">
        <f t="array" ref="D156">Common_InputFunctions.Utility_DisplayArrayInTable(Common_SourceData.Common_SourceData_DataScores_Scope3_Data(), Table_SourceData_DataScores_Scope3[[#Headers],[Data source]], 0)</f>
        <v>State or regional scope 3 database</v>
      </c>
      <c r="E156" s="26" cm="1">
        <f t="array" ref="E156">Common_InputFunctions.Utility_DisplayArrayInTable(Common_SourceData.Common_SourceData_DataScores_Scope3_Data(), Table_SourceData_DataScores_Scope3[[#Headers],[Data source]], 0)</f>
        <v>3</v>
      </c>
    </row>
    <row r="157" spans="4:66" ht="20.100000000000001" customHeight="1" x14ac:dyDescent="0.25">
      <c r="D157" s="26" t="str" cm="1">
        <f t="array" ref="D157">Common_InputFunctions.Utility_DisplayArrayInTable(Common_SourceData.Common_SourceData_DataScores_Scope3_Data(), Table_SourceData_DataScores_Scope3[[#Headers],[Data source]], 0)</f>
        <v>Emissions intensity calculated from approved method</v>
      </c>
      <c r="E157" s="26" cm="1">
        <f t="array" ref="E157">Common_InputFunctions.Utility_DisplayArrayInTable(Common_SourceData.Common_SourceData_DataScores_Scope3_Data(), Table_SourceData_DataScores_Scope3[[#Headers],[Data source]], 0)</f>
        <v>4</v>
      </c>
    </row>
    <row r="158" spans="4:66" ht="20.100000000000001" customHeight="1" x14ac:dyDescent="0.25">
      <c r="D158" s="26" t="str" cm="1">
        <f t="array" ref="D158">Common_InputFunctions.Utility_DisplayArrayInTable(Common_SourceData.Common_SourceData_DataScores_Scope3_Data(), Table_SourceData_DataScores_Scope3[[#Headers],[Data source]], 0)</f>
        <v>Verified credential matching ISO14067</v>
      </c>
      <c r="E158" s="26" cm="1">
        <f t="array" ref="E158">Common_InputFunctions.Utility_DisplayArrayInTable(Common_SourceData.Common_SourceData_DataScores_Scope3_Data(), Table_SourceData_DataScores_Scope3[[#Headers],[Data source]], 0)</f>
        <v>5</v>
      </c>
    </row>
    <row r="159" spans="4:66" ht="20.100000000000001" customHeight="1" x14ac:dyDescent="0.25"/>
    <row r="160" spans="4:66" ht="20.100000000000001" customHeight="1" x14ac:dyDescent="0.25"/>
    <row r="161" spans="4:68" ht="20.100000000000001" customHeight="1" x14ac:dyDescent="0.25">
      <c r="D161" s="5" t="str" cm="1">
        <f t="array" ref="D161">Common_SourceData.Common_SourceData_FracLEACH_Title()</f>
        <v>Fraction of N that is available for leaching and runoff</v>
      </c>
      <c r="E161" s="18"/>
    </row>
    <row r="162" spans="4:68" ht="20.100000000000001" customHeight="1" x14ac:dyDescent="0.25">
      <c r="D162" s="4" t="str" cm="1">
        <f t="array" ref="D162">Common_SourceData.Common_SourceData_FracLEACH_Source()</f>
        <v>VEERG 2026:5.5.2.3 Constant Parameters</v>
      </c>
      <c r="E162" s="18"/>
    </row>
    <row r="163" spans="4:68" ht="20.100000000000001" customHeight="1" x14ac:dyDescent="0.25">
      <c r="D163" s="4" t="str" cm="1">
        <f t="array" ref="D163">Common_SourceData.Common_SourceData_FracLEACH_NIRReference()</f>
        <v>National Inventory Report Volume 1: Leaching and runoff (3.D.b.2)</v>
      </c>
      <c r="E163" s="18"/>
    </row>
    <row r="164" spans="4:68" ht="20.100000000000001" customHeight="1" x14ac:dyDescent="0.25">
      <c r="D164" s="18" t="str" cm="1">
        <f t="array" ref="D164:E164">Common_SourceData.Common_SourceData_FracLEACH_Data()</f>
        <v>FracLEACH</v>
      </c>
      <c r="E164" s="18">
        <v>0.24</v>
      </c>
    </row>
    <row r="165" spans="4:68" ht="20.100000000000001" customHeight="1" x14ac:dyDescent="0.25">
      <c r="BN165" s="6"/>
      <c r="BO165" s="6"/>
      <c r="BP165" s="6"/>
    </row>
    <row r="166" spans="4:68" ht="20.100000000000001" customHeight="1" x14ac:dyDescent="0.25">
      <c r="BN166" s="6"/>
      <c r="BO166" s="6"/>
      <c r="BP166" s="6"/>
    </row>
    <row r="167" spans="4:68" ht="20.100000000000001" customHeight="1" x14ac:dyDescent="0.25">
      <c r="D167" s="5" t="str" cm="1">
        <f t="array" ref="D167">Common_SourceData.Common_SourceData_EFleach_Title()</f>
        <v>Emission factor for nitrogen leaching and runoff</v>
      </c>
      <c r="BN167" s="6"/>
      <c r="BO167" s="6"/>
      <c r="BP167" s="6"/>
    </row>
    <row r="168" spans="4:68" ht="20.100000000000001" customHeight="1" x14ac:dyDescent="0.25">
      <c r="D168" s="4" t="str" cm="1">
        <f t="array" ref="D168">Common_SourceData.Common_SourceData_EFleach_Source()</f>
        <v>VEERG 2026:5.5.2.3 Constant Parameters</v>
      </c>
      <c r="BN168" s="6"/>
      <c r="BO168" s="6"/>
      <c r="BP168" s="6"/>
    </row>
    <row r="169" spans="4:68" ht="20.100000000000001" customHeight="1" x14ac:dyDescent="0.25">
      <c r="D169" s="4" t="str" cm="1">
        <f t="array" ref="D169">Common_SourceData.Common_SourceData_EFleach_NIRReference()</f>
        <v>National Inventory Report Volume 1: Equation 3.D.B_10</v>
      </c>
      <c r="BN169" s="6"/>
      <c r="BO169" s="6"/>
      <c r="BP169" s="6"/>
    </row>
    <row r="170" spans="4:68" ht="20.100000000000001" customHeight="1" x14ac:dyDescent="0.25">
      <c r="D170" s="1" t="str" cm="1">
        <f t="array" ref="D170:E170">Common_SourceData.Common_SourceData_EFleach_Data()</f>
        <v>EFleach</v>
      </c>
      <c r="E170" s="1">
        <v>1.0999999999999999E-2</v>
      </c>
      <c r="BN170" s="6"/>
      <c r="BO170" s="6"/>
      <c r="BP170" s="6"/>
    </row>
    <row r="171" spans="4:68" ht="20.100000000000001" customHeight="1" x14ac:dyDescent="0.25">
      <c r="BN171" s="6"/>
      <c r="BO171" s="6"/>
      <c r="BP171" s="6"/>
    </row>
    <row r="172" spans="4:68" ht="20.100000000000001" customHeight="1" x14ac:dyDescent="0.25">
      <c r="BN172" s="6"/>
      <c r="BO172" s="6"/>
      <c r="BP172" s="6"/>
    </row>
    <row r="173" spans="4:68" ht="20.100000000000001" customHeight="1" x14ac:dyDescent="0.25">
      <c r="D173" s="5" t="str" cm="1">
        <f t="array" ref="D173">Common_SourceData.Common_SourceData_DensityOfMethane_Title()</f>
        <v>p = density of methane</v>
      </c>
      <c r="BN173" s="6"/>
      <c r="BO173" s="6"/>
      <c r="BP173" s="6"/>
    </row>
    <row r="174" spans="4:68" ht="20.100000000000001" customHeight="1" x14ac:dyDescent="0.25">
      <c r="D174" s="4" t="str" cm="1">
        <f t="array" ref="D174">Common_SourceData.Common_SourceData_DensityOfMethane_Source()</f>
        <v>National Inventory Report 2023 Volume 1: Equations 3.B.1a_2, 3.B.1c_2, 3.B.3_1, 3.B.4g_2</v>
      </c>
      <c r="BN174" s="6"/>
      <c r="BO174" s="6"/>
      <c r="BP174" s="6"/>
    </row>
    <row r="175" spans="4:68" ht="20.100000000000001" customHeight="1" x14ac:dyDescent="0.25">
      <c r="D175" s="1" cm="1">
        <f t="array" ref="D175">Common_SourceData.Common_SourceData_DensityOfMethane_Data()</f>
        <v>0.6784</v>
      </c>
      <c r="E175" s="30" t="str" cm="1">
        <f t="array" ref="E175">Common_SourceData.Common_SourceData_DensityOfMethane_Unit()</f>
        <v>kg/m3</v>
      </c>
      <c r="BN175" s="6"/>
      <c r="BO175" s="6"/>
      <c r="BP175" s="6"/>
    </row>
    <row r="176" spans="4:68" ht="20.100000000000001" customHeight="1" x14ac:dyDescent="0.25">
      <c r="BN176" s="6"/>
      <c r="BO176" s="6"/>
      <c r="BP176" s="6"/>
    </row>
    <row r="177" spans="4:68" ht="20.100000000000001" customHeight="1" x14ac:dyDescent="0.25">
      <c r="BN177" s="6"/>
      <c r="BO177" s="6"/>
      <c r="BP177" s="6"/>
    </row>
    <row r="178" spans="4:68" ht="20.100000000000001" customHeight="1" x14ac:dyDescent="0.25">
      <c r="D178" s="5" t="str" cm="1">
        <f t="array" ref="D178">Common_SourceData.Common_SourceData_EFN2O_Title()</f>
        <v>Nitrous oxide emission factors for inorganic fertiliser application</v>
      </c>
      <c r="BN178" s="6"/>
      <c r="BO178" s="6"/>
      <c r="BP178" s="6"/>
    </row>
    <row r="179" spans="4:68" ht="20.100000000000001" customHeight="1" x14ac:dyDescent="0.25">
      <c r="D179" s="4" t="str" cm="1">
        <f t="array" ref="D179">Common_SourceData.Common_SourceData_EFN2O_Source()</f>
        <v>VEERG 2026: Table A.2.2.1</v>
      </c>
      <c r="BN179" s="6"/>
      <c r="BO179" s="6"/>
      <c r="BP179" s="6"/>
    </row>
    <row r="180" spans="4:68" ht="20.100000000000001" customHeight="1" x14ac:dyDescent="0.25">
      <c r="D180" s="30" t="str" cm="1">
        <f t="array" ref="D180">Common_SourceData.Common_SourceData_EFN2O_Unit()</f>
        <v>(kg N2O-N / kg N</v>
      </c>
    </row>
    <row r="181" spans="4:68" ht="20.100000000000001" customHeight="1" x14ac:dyDescent="0.25">
      <c r="D181" s="31" t="str" cm="1">
        <f t="array" ref="D181:D185">Common_SourceData.Common_SourceData_EFN2O_Variation()</f>
        <v>VARIATION OF SOURCE DATA:</v>
      </c>
    </row>
    <row r="182" spans="4:68" ht="20.100000000000001" customHeight="1" x14ac:dyDescent="0.25">
      <c r="D182" s="31" t="str">
        <v>Removed duplicate 'Aquaculture' row.</v>
      </c>
    </row>
    <row r="183" spans="4:68" ht="20.100000000000001" customHeight="1" x14ac:dyDescent="0.25">
      <c r="D183" s="31" t="str">
        <v>Removed asterisks to aid lookup.</v>
      </c>
    </row>
    <row r="184" spans="4:68" ht="20.100000000000001" customHeight="1" x14ac:dyDescent="0.25">
      <c r="D184" s="31" t="str">
        <v>Added 'production system only', 'rainfall zone' and 'irrigation method' columns to aid lookup.</v>
      </c>
    </row>
    <row r="185" spans="4:68" ht="20.100000000000001" customHeight="1" x14ac:dyDescent="0.25">
      <c r="D185" s="31" t="str">
        <v>Duplicated 'non-irrigated pasture' row with same EF for low and high rainfall zones to aid lookup.</v>
      </c>
    </row>
    <row r="186" spans="4:68" ht="20.100000000000001" customHeight="1" x14ac:dyDescent="0.25">
      <c r="D186" s="26" t="s">
        <v>51</v>
      </c>
      <c r="E186" s="26" t="s">
        <v>52</v>
      </c>
      <c r="F186" s="26" t="s">
        <v>53</v>
      </c>
      <c r="G186" s="26" t="s">
        <v>54</v>
      </c>
      <c r="H186" s="26" t="s">
        <v>18</v>
      </c>
    </row>
    <row r="187" spans="4:68" ht="20.100000000000001" customHeight="1" x14ac:dyDescent="0.25">
      <c r="D187" s="26" t="str" cm="1">
        <f t="array" ref="D187">Common_InputFunctions.Utility_DisplayArrayInTable(Common_SourceData.Common_SourceData_EFN2O_Data(), Table_SourceData_Common_EFN2O[[#Headers],[Production system j]], 0)</f>
        <v>Irrigated pasture</v>
      </c>
      <c r="E187" s="26" cm="1">
        <f t="array" ref="E187">Common_InputFunctions.Utility_DisplayArrayInTable(Common_SourceData.Common_SourceData_EFN2O_Data(), Table_SourceData_Common_EFN2O[[#Headers],[Production system j]], 0)</f>
        <v>5.8999999999999999E-3</v>
      </c>
      <c r="F187" s="26" t="str" cm="1">
        <f t="array" ref="F187">Common_InputFunctions.Utility_DisplayArrayInTable(Common_SourceData.Common_SourceData_EFN2O_Data(), Table_SourceData_Common_EFN2O[[#Headers],[Production system j]], 0)</f>
        <v>Pasture</v>
      </c>
      <c r="G187" s="26" t="str" cm="1">
        <f t="array" ref="G187">Common_InputFunctions.Utility_DisplayArrayInTable(Common_SourceData.Common_SourceData_EFN2O_Data(), Table_SourceData_Common_EFN2O[[#Headers],[Production system j]], 0)</f>
        <v>Any</v>
      </c>
      <c r="H187" s="26" t="str" cm="1">
        <f t="array" ref="H187">Common_InputFunctions.Utility_DisplayArrayInTable(Common_SourceData.Common_SourceData_EFN2O_Data(), Table_SourceData_Common_EFN2O[[#Headers],[Production system j]], 0)</f>
        <v>Any</v>
      </c>
    </row>
    <row r="188" spans="4:68" ht="20.100000000000001" customHeight="1" x14ac:dyDescent="0.25">
      <c r="D188" s="26" t="str" cm="1">
        <f t="array" ref="D188">Common_InputFunctions.Utility_DisplayArrayInTable(Common_SourceData.Common_SourceData_EFN2O_Data(), Table_SourceData_Common_EFN2O[[#Headers],[Production system j]], 0)</f>
        <v>Irrigated crop</v>
      </c>
      <c r="E188" s="26" cm="1">
        <f t="array" ref="E188">Common_InputFunctions.Utility_DisplayArrayInTable(Common_SourceData.Common_SourceData_EFN2O_Data(), Table_SourceData_Common_EFN2O[[#Headers],[Production system j]], 0)</f>
        <v>7.0000000000000001E-3</v>
      </c>
      <c r="F188" s="26" t="str" cm="1">
        <f t="array" ref="F188">Common_InputFunctions.Utility_DisplayArrayInTable(Common_SourceData.Common_SourceData_EFN2O_Data(), Table_SourceData_Common_EFN2O[[#Headers],[Production system j]], 0)</f>
        <v>Crop</v>
      </c>
      <c r="G188" s="26" t="str" cm="1">
        <f t="array" ref="G188">Common_InputFunctions.Utility_DisplayArrayInTable(Common_SourceData.Common_SourceData_EFN2O_Data(), Table_SourceData_Common_EFN2O[[#Headers],[Production system j]], 0)</f>
        <v>Any</v>
      </c>
      <c r="H188" s="26" t="str" cm="1">
        <f t="array" ref="H188">Common_InputFunctions.Utility_DisplayArrayInTable(Common_SourceData.Common_SourceData_EFN2O_Data(), Table_SourceData_Common_EFN2O[[#Headers],[Production system j]], 0)</f>
        <v>Any</v>
      </c>
    </row>
    <row r="189" spans="4:68" ht="20.100000000000001" customHeight="1" x14ac:dyDescent="0.25">
      <c r="D189" s="26" t="str" cm="1">
        <f t="array" ref="D189">Common_InputFunctions.Utility_DisplayArrayInTable(Common_SourceData.Common_SourceData_EFN2O_Data(), Table_SourceData_Common_EFN2O[[#Headers],[Production system j]], 0)</f>
        <v>Non-irrigated pasture</v>
      </c>
      <c r="E189" s="26" cm="1">
        <f t="array" ref="E189">Common_InputFunctions.Utility_DisplayArrayInTable(Common_SourceData.Common_SourceData_EFN2O_Data(), Table_SourceData_Common_EFN2O[[#Headers],[Production system j]], 0)</f>
        <v>1.8E-3</v>
      </c>
      <c r="F189" s="26" t="str" cm="1">
        <f t="array" ref="F189">Common_InputFunctions.Utility_DisplayArrayInTable(Common_SourceData.Common_SourceData_EFN2O_Data(), Table_SourceData_Common_EFN2O[[#Headers],[Production system j]], 0)</f>
        <v>Pasture</v>
      </c>
      <c r="G189" s="26" t="str" cm="1">
        <f t="array" ref="G189">Common_InputFunctions.Utility_DisplayArrayInTable(Common_SourceData.Common_SourceData_EFN2O_Data(), Table_SourceData_Common_EFN2O[[#Headers],[Production system j]], 0)</f>
        <v>Not irrigated</v>
      </c>
      <c r="H189" s="26" t="str" cm="1">
        <f t="array" ref="H189">Common_InputFunctions.Utility_DisplayArrayInTable(Common_SourceData.Common_SourceData_EFN2O_Data(), Table_SourceData_Common_EFN2O[[#Headers],[Production system j]], 0)</f>
        <v>Low rainfall</v>
      </c>
    </row>
    <row r="190" spans="4:68" ht="20.100000000000001" customHeight="1" x14ac:dyDescent="0.25">
      <c r="D190" s="26" t="str" cm="1">
        <f t="array" ref="D190">Common_InputFunctions.Utility_DisplayArrayInTable(Common_SourceData.Common_SourceData_EFN2O_Data(), Table_SourceData_Common_EFN2O[[#Headers],[Production system j]], 0)</f>
        <v>Non-irrigated pasture</v>
      </c>
      <c r="E190" s="26" cm="1">
        <f t="array" ref="E190">Common_InputFunctions.Utility_DisplayArrayInTable(Common_SourceData.Common_SourceData_EFN2O_Data(), Table_SourceData_Common_EFN2O[[#Headers],[Production system j]], 0)</f>
        <v>1.8E-3</v>
      </c>
      <c r="F190" s="26" t="str" cm="1">
        <f t="array" ref="F190">Common_InputFunctions.Utility_DisplayArrayInTable(Common_SourceData.Common_SourceData_EFN2O_Data(), Table_SourceData_Common_EFN2O[[#Headers],[Production system j]], 0)</f>
        <v>Pasture</v>
      </c>
      <c r="G190" s="26" t="str" cm="1">
        <f t="array" ref="G190">Common_InputFunctions.Utility_DisplayArrayInTable(Common_SourceData.Common_SourceData_EFN2O_Data(), Table_SourceData_Common_EFN2O[[#Headers],[Production system j]], 0)</f>
        <v>Not irrigated</v>
      </c>
      <c r="H190" s="26"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26" t="str" cm="1">
        <f t="array" ref="D191">Common_InputFunctions.Utility_DisplayArrayInTable(Common_SourceData.Common_SourceData_EFN2O_Data(), Table_SourceData_Common_EFN2O[[#Headers],[Production system j]], 0)</f>
        <v>Non-irrigated crop (low rainfall)</v>
      </c>
      <c r="E191" s="26" cm="1">
        <f t="array" ref="E191">Common_InputFunctions.Utility_DisplayArrayInTable(Common_SourceData.Common_SourceData_EFN2O_Data(), Table_SourceData_Common_EFN2O[[#Headers],[Production system j]], 0)</f>
        <v>2.8999999999999998E-3</v>
      </c>
      <c r="F191" s="26" t="str" cm="1">
        <f t="array" ref="F191">Common_InputFunctions.Utility_DisplayArrayInTable(Common_SourceData.Common_SourceData_EFN2O_Data(), Table_SourceData_Common_EFN2O[[#Headers],[Production system j]], 0)</f>
        <v>Crop</v>
      </c>
      <c r="G191" s="26" t="str" cm="1">
        <f t="array" ref="G191">Common_InputFunctions.Utility_DisplayArrayInTable(Common_SourceData.Common_SourceData_EFN2O_Data(), Table_SourceData_Common_EFN2O[[#Headers],[Production system j]], 0)</f>
        <v>Not irrigated</v>
      </c>
      <c r="H191" s="26" t="str" cm="1">
        <f t="array" ref="H191">Common_InputFunctions.Utility_DisplayArrayInTable(Common_SourceData.Common_SourceData_EFN2O_Data(), Table_SourceData_Common_EFN2O[[#Headers],[Production system j]], 0)</f>
        <v>Low rainfall</v>
      </c>
    </row>
    <row r="192" spans="4:68" ht="20.100000000000001" customHeight="1" x14ac:dyDescent="0.25">
      <c r="D192" s="26" t="str" cm="1">
        <f t="array" ref="D192">Common_InputFunctions.Utility_DisplayArrayInTable(Common_SourceData.Common_SourceData_EFN2O_Data(), Table_SourceData_Common_EFN2O[[#Headers],[Production system j]], 0)</f>
        <v>Non-irrigated crop (high rainfall)</v>
      </c>
      <c r="E192" s="26" cm="1">
        <f t="array" ref="E192">Common_InputFunctions.Utility_DisplayArrayInTable(Common_SourceData.Common_SourceData_EFN2O_Data(), Table_SourceData_Common_EFN2O[[#Headers],[Production system j]], 0)</f>
        <v>8.0000000000000002E-3</v>
      </c>
      <c r="F192" s="26" t="str" cm="1">
        <f t="array" ref="F192">Common_InputFunctions.Utility_DisplayArrayInTable(Common_SourceData.Common_SourceData_EFN2O_Data(), Table_SourceData_Common_EFN2O[[#Headers],[Production system j]], 0)</f>
        <v>Crop</v>
      </c>
      <c r="G192" s="26" t="str" cm="1">
        <f t="array" ref="G192">Common_InputFunctions.Utility_DisplayArrayInTable(Common_SourceData.Common_SourceData_EFN2O_Data(), Table_SourceData_Common_EFN2O[[#Headers],[Production system j]], 0)</f>
        <v>Not irrigated</v>
      </c>
      <c r="H192" s="26" t="str" cm="1">
        <f t="array" ref="H192">Common_InputFunctions.Utility_DisplayArrayInTable(Common_SourceData.Common_SourceData_EFN2O_Data(), Table_SourceData_Common_EFN2O[[#Headers],[Production system j]], 0)</f>
        <v>High rainfall</v>
      </c>
    </row>
    <row r="193" spans="4:8" ht="20.100000000000001" customHeight="1" x14ac:dyDescent="0.25">
      <c r="D193" s="26" t="str" cm="1">
        <f t="array" ref="D193">Common_InputFunctions.Utility_DisplayArrayInTable(Common_SourceData.Common_SourceData_EFN2O_Data(), Table_SourceData_Common_EFN2O[[#Headers],[Production system j]], 0)</f>
        <v>Sugar</v>
      </c>
      <c r="E193" s="26" cm="1">
        <f t="array" ref="E193">Common_InputFunctions.Utility_DisplayArrayInTable(Common_SourceData.Common_SourceData_EFN2O_Data(), Table_SourceData_Common_EFN2O[[#Headers],[Production system j]], 0)</f>
        <v>1.9900000000000001E-2</v>
      </c>
      <c r="F193" s="26" t="str" cm="1">
        <f t="array" ref="F193">Common_InputFunctions.Utility_DisplayArrayInTable(Common_SourceData.Common_SourceData_EFN2O_Data(), Table_SourceData_Common_EFN2O[[#Headers],[Production system j]], 0)</f>
        <v>Sugar</v>
      </c>
      <c r="G193" s="26" t="str" cm="1">
        <f t="array" ref="G193">Common_InputFunctions.Utility_DisplayArrayInTable(Common_SourceData.Common_SourceData_EFN2O_Data(), Table_SourceData_Common_EFN2O[[#Headers],[Production system j]], 0)</f>
        <v>Any</v>
      </c>
      <c r="H193" s="26" t="str" cm="1">
        <f t="array" ref="H193">Common_InputFunctions.Utility_DisplayArrayInTable(Common_SourceData.Common_SourceData_EFN2O_Data(), Table_SourceData_Common_EFN2O[[#Headers],[Production system j]], 0)</f>
        <v>Any</v>
      </c>
    </row>
    <row r="194" spans="4:8" ht="20.100000000000001" customHeight="1" x14ac:dyDescent="0.25">
      <c r="D194" s="26" t="str" cm="1">
        <f t="array" ref="D194">Common_InputFunctions.Utility_DisplayArrayInTable(Common_SourceData.Common_SourceData_EFN2O_Data(), Table_SourceData_Common_EFN2O[[#Headers],[Production system j]], 0)</f>
        <v>Cotton</v>
      </c>
      <c r="E194" s="26" cm="1">
        <f t="array" ref="E194">Common_InputFunctions.Utility_DisplayArrayInTable(Common_SourceData.Common_SourceData_EFN2O_Data(), Table_SourceData_Common_EFN2O[[#Headers],[Production system j]], 0)</f>
        <v>5.3E-3</v>
      </c>
      <c r="F194" s="26" t="str" cm="1">
        <f t="array" ref="F194">Common_InputFunctions.Utility_DisplayArrayInTable(Common_SourceData.Common_SourceData_EFN2O_Data(), Table_SourceData_Common_EFN2O[[#Headers],[Production system j]], 0)</f>
        <v>Cotton</v>
      </c>
      <c r="G194" s="26" t="str" cm="1">
        <f t="array" ref="G194">Common_InputFunctions.Utility_DisplayArrayInTable(Common_SourceData.Common_SourceData_EFN2O_Data(), Table_SourceData_Common_EFN2O[[#Headers],[Production system j]], 0)</f>
        <v>Any</v>
      </c>
      <c r="H194" s="26" t="str" cm="1">
        <f t="array" ref="H194">Common_InputFunctions.Utility_DisplayArrayInTable(Common_SourceData.Common_SourceData_EFN2O_Data(), Table_SourceData_Common_EFN2O[[#Headers],[Production system j]], 0)</f>
        <v>Any</v>
      </c>
    </row>
    <row r="195" spans="4:8" ht="20.100000000000001" customHeight="1" x14ac:dyDescent="0.25">
      <c r="D195" s="26" t="str" cm="1">
        <f t="array" ref="D195">Common_InputFunctions.Utility_DisplayArrayInTable(Common_SourceData.Common_SourceData_EFN2O_Data(), Table_SourceData_Common_EFN2O[[#Headers],[Production system j]], 0)</f>
        <v>Horticultural crops</v>
      </c>
      <c r="E195" s="26" cm="1">
        <f t="array" ref="E195">Common_InputFunctions.Utility_DisplayArrayInTable(Common_SourceData.Common_SourceData_EFN2O_Data(), Table_SourceData_Common_EFN2O[[#Headers],[Production system j]], 0)</f>
        <v>6.4000000000000003E-3</v>
      </c>
      <c r="F195" s="26" t="str" cm="1">
        <f t="array" ref="F195">Common_InputFunctions.Utility_DisplayArrayInTable(Common_SourceData.Common_SourceData_EFN2O_Data(), Table_SourceData_Common_EFN2O[[#Headers],[Production system j]], 0)</f>
        <v>Horticultural crops</v>
      </c>
      <c r="G195" s="26" t="str" cm="1">
        <f t="array" ref="G195">Common_InputFunctions.Utility_DisplayArrayInTable(Common_SourceData.Common_SourceData_EFN2O_Data(), Table_SourceData_Common_EFN2O[[#Headers],[Production system j]], 0)</f>
        <v>Any</v>
      </c>
      <c r="H195" s="26" t="str" cm="1">
        <f t="array" ref="H195">Common_InputFunctions.Utility_DisplayArrayInTable(Common_SourceData.Common_SourceData_EFN2O_Data(), Table_SourceData_Common_EFN2O[[#Headers],[Production system j]], 0)</f>
        <v>Any</v>
      </c>
    </row>
    <row r="196" spans="4:8" ht="20.100000000000001" customHeight="1" x14ac:dyDescent="0.25">
      <c r="D196" s="26" t="str" cm="1">
        <f t="array" ref="D196">Common_InputFunctions.Utility_DisplayArrayInTable(Common_SourceData.Common_SourceData_EFN2O_Data(), Table_SourceData_Common_EFN2O[[#Headers],[Production system j]], 0)</f>
        <v>Rice (continuous flooding)</v>
      </c>
      <c r="E196" s="26" cm="1">
        <f t="array" ref="E196">Common_InputFunctions.Utility_DisplayArrayInTable(Common_SourceData.Common_SourceData_EFN2O_Data(), Table_SourceData_Common_EFN2O[[#Headers],[Production system j]], 0)</f>
        <v>3.0000000000000001E-3</v>
      </c>
      <c r="F196" s="26" t="str" cm="1">
        <f t="array" ref="F196">Common_InputFunctions.Utility_DisplayArrayInTable(Common_SourceData.Common_SourceData_EFN2O_Data(), Table_SourceData_Common_EFN2O[[#Headers],[Production system j]], 0)</f>
        <v>Rice</v>
      </c>
      <c r="G196" s="26" t="str" cm="1">
        <f t="array" ref="G196">Common_InputFunctions.Utility_DisplayArrayInTable(Common_SourceData.Common_SourceData_EFN2O_Data(), Table_SourceData_Common_EFN2O[[#Headers],[Production system j]], 0)</f>
        <v>Continuous flooding</v>
      </c>
      <c r="H196" s="26" t="str" cm="1">
        <f t="array" ref="H196">Common_InputFunctions.Utility_DisplayArrayInTable(Common_SourceData.Common_SourceData_EFN2O_Data(), Table_SourceData_Common_EFN2O[[#Headers],[Production system j]], 0)</f>
        <v>Any</v>
      </c>
    </row>
    <row r="197" spans="4:8" x14ac:dyDescent="0.25">
      <c r="D197" s="26" t="str" cm="1">
        <f t="array" ref="D197">Common_InputFunctions.Utility_DisplayArrayInTable(Common_SourceData.Common_SourceData_EFN2O_Data(), Table_SourceData_Common_EFN2O[[#Headers],[Production system j]], 0)</f>
        <v>Rice (single and multiple drainage, or alternate wetting and drying)</v>
      </c>
      <c r="E197" s="26" cm="1">
        <f t="array" ref="E197">Common_InputFunctions.Utility_DisplayArrayInTable(Common_SourceData.Common_SourceData_EFN2O_Data(), Table_SourceData_Common_EFN2O[[#Headers],[Production system j]], 0)</f>
        <v>5.0000000000000001E-3</v>
      </c>
      <c r="F197" s="26" t="str" cm="1">
        <f t="array" ref="F197">Common_InputFunctions.Utility_DisplayArrayInTable(Common_SourceData.Common_SourceData_EFN2O_Data(), Table_SourceData_Common_EFN2O[[#Headers],[Production system j]], 0)</f>
        <v>Rice</v>
      </c>
      <c r="G197" s="26" t="str" cm="1">
        <f t="array" ref="G197">Common_InputFunctions.Utility_DisplayArrayInTable(Common_SourceData.Common_SourceData_EFN2O_Data(), Table_SourceData_Common_EFN2O[[#Headers],[Production system j]], 0)</f>
        <v>Single and multiple drainage, or alternate wetting and drying</v>
      </c>
      <c r="H197" s="26" t="str" cm="1">
        <f t="array" ref="H197">Common_InputFunctions.Utility_DisplayArrayInTable(Common_SourceData.Common_SourceData_EFN2O_Data(), Table_SourceData_Common_EFN2O[[#Headers],[Production system j]], 0)</f>
        <v>Any</v>
      </c>
    </row>
    <row r="198" spans="4:8" x14ac:dyDescent="0.25">
      <c r="D198" s="26" t="str" cm="1">
        <f t="array" ref="D198">Common_InputFunctions.Utility_DisplayArrayInTable(Common_SourceData.Common_SourceData_EFN2O_Data(), Table_SourceData_Common_EFN2O[[#Headers],[Production system j]], 0)</f>
        <v>Aquaculture</v>
      </c>
      <c r="E198" s="26" cm="1">
        <f t="array" ref="E198">Common_InputFunctions.Utility_DisplayArrayInTable(Common_SourceData.Common_SourceData_EFN2O_Data(), Table_SourceData_Common_EFN2O[[#Headers],[Production system j]], 0)</f>
        <v>2.5999999999999999E-3</v>
      </c>
      <c r="F198" s="26" t="str" cm="1">
        <f t="array" ref="F198">Common_InputFunctions.Utility_DisplayArrayInTable(Common_SourceData.Common_SourceData_EFN2O_Data(), Table_SourceData_Common_EFN2O[[#Headers],[Production system j]], 0)</f>
        <v>Aquaculture</v>
      </c>
      <c r="G198" s="26" t="str" cm="1">
        <f t="array" ref="G198">Common_InputFunctions.Utility_DisplayArrayInTable(Common_SourceData.Common_SourceData_EFN2O_Data(), Table_SourceData_Common_EFN2O[[#Headers],[Production system j]], 0)</f>
        <v>Any</v>
      </c>
      <c r="H198" s="26" t="str" cm="1">
        <f t="array" ref="H198">Common_InputFunctions.Utility_DisplayArrayInTable(Common_SourceData.Common_SourceData_EFN2O_Data(), Table_SourceData_Common_EFN2O[[#Headers],[Production system j]], 0)</f>
        <v>Any</v>
      </c>
    </row>
    <row r="199" spans="4:8" x14ac:dyDescent="0.25">
      <c r="D199" s="26" t="str" cm="1">
        <f t="array" ref="D199">Common_InputFunctions.Utility_DisplayArrayInTable(Common_SourceData.Common_SourceData_EFN2O_Data(), Table_SourceData_Common_EFN2O[[#Headers],[Production system j]], 0)</f>
        <v>Forestry</v>
      </c>
      <c r="E199" s="26" cm="1">
        <f t="array" ref="E199">Common_InputFunctions.Utility_DisplayArrayInTable(Common_SourceData.Common_SourceData_EFN2O_Data(), Table_SourceData_Common_EFN2O[[#Headers],[Production system j]], 0)</f>
        <v>1.8E-3</v>
      </c>
      <c r="F199" s="26" t="str" cm="1">
        <f t="array" ref="F199">Common_InputFunctions.Utility_DisplayArrayInTable(Common_SourceData.Common_SourceData_EFN2O_Data(), Table_SourceData_Common_EFN2O[[#Headers],[Production system j]], 0)</f>
        <v>Forestry</v>
      </c>
      <c r="G199" s="26" t="str" cm="1">
        <f t="array" ref="G199">Common_InputFunctions.Utility_DisplayArrayInTable(Common_SourceData.Common_SourceData_EFN2O_Data(), Table_SourceData_Common_EFN2O[[#Headers],[Production system j]], 0)</f>
        <v>Any</v>
      </c>
      <c r="H199" s="26" t="str" cm="1">
        <f t="array" ref="H199">Common_InputFunctions.Utility_DisplayArrayInTable(Common_SourceData.Common_SourceData_EFN2O_Data(), Table_SourceData_Common_EFN2O[[#Headers],[Production system j]], 0)</f>
        <v>Any</v>
      </c>
    </row>
    <row r="202" spans="4:8" ht="23.25" x14ac:dyDescent="0.25">
      <c r="D202" s="5" t="str" cm="1">
        <f t="array" ref="D202">Common_SourceData.Common_SourceData_EFPastureRangeAndPaddock_Title()</f>
        <v>Emission factor for urine and dung deposited on pasture, range or paddock</v>
      </c>
    </row>
    <row r="203" spans="4:8" x14ac:dyDescent="0.25">
      <c r="D203" s="4" t="str" cm="1">
        <f t="array" ref="D203">Common_SourceData.Common_SourceData_EFPastureRangeAndPaddock_Source()</f>
        <v>VEERG 2026: Table A.2.2.2</v>
      </c>
    </row>
    <row r="204" spans="4:8" x14ac:dyDescent="0.25">
      <c r="D204" s="31" t="str" cm="1">
        <f t="array" ref="D204">Common_SourceData.Common_SourceData_EFPastureRangeAndPaddock_Variation()</f>
        <v>VARIATION FROM SOURCE DATA: Changed 'Dry climate zones' to singular 'Dry climate zone' to aid lookup.</v>
      </c>
    </row>
    <row r="205" spans="4:8" x14ac:dyDescent="0.25">
      <c r="D205" s="30" t="str" cm="1">
        <f t="array" ref="D205">Common_SourceData.Common_SourceData_EFPastureRangeAndPaddock_Unit()</f>
        <v>kg N2O - N / kg N</v>
      </c>
    </row>
    <row r="206" spans="4:8" x14ac:dyDescent="0.25">
      <c r="D206" s="26" t="s">
        <v>4</v>
      </c>
      <c r="E206" s="26" t="s">
        <v>59</v>
      </c>
    </row>
    <row r="207" spans="4:8" x14ac:dyDescent="0.25">
      <c r="D207" s="26" t="str" cm="1">
        <f t="array" ref="D207">Common_InputFunctions.Utility_DisplayArrayInTable(Common_SourceData.Common_SourceData_EFPastureRangeAndPaddock_Data(), Table_SourceData_EFPastureRangeAndPaddock[[#Headers],[Climate zone]], 0)</f>
        <v>Wet climate zone</v>
      </c>
      <c r="E207" s="26"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26"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26" t="s">
        <v>56</v>
      </c>
      <c r="E212" s="26" t="s">
        <v>62</v>
      </c>
    </row>
    <row r="213" spans="4:5" x14ac:dyDescent="0.25">
      <c r="D213" s="26" t="str" cm="1">
        <f t="array" ref="D213">Common_InputFunctions.Utility_DisplayArrayInTable(Common_SourceData.Common_SourceData_MonthsToSeasons_Data(), Table_SourceData_Common_MonthToSeason[[#Headers],[Month]], 0)</f>
        <v>January</v>
      </c>
      <c r="E213" s="26"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26"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26"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26"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26"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26"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26"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26"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26"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26"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26"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26" t="str" cm="1">
        <f t="array" ref="E224">Common_InputFunctions.Utility_DisplayArrayInTable(Common_SourceData.Common_SourceData_MonthsToSeasons_Data(), Table_SourceData_Common_MonthToSeason[[#Headers],[Month]], 0)</f>
        <v>Summer</v>
      </c>
    </row>
    <row r="227" spans="4:19" ht="23.25" x14ac:dyDescent="0.25">
      <c r="D227" s="5" t="str" cm="1">
        <f t="array" ref="D227">Common_SourceData.Common_SourceData_MCFTemperatureZone_Title()</f>
        <v>Manure Management – Methane conversion factor per temperature zone (fraction) (MCFim)</v>
      </c>
    </row>
    <row r="228" spans="4:19" x14ac:dyDescent="0.25">
      <c r="D228" s="4" t="str" cm="1">
        <f t="array" ref="D228">Common_SourceData.Common_SourceData_MCFTemperatureZone_Source()</f>
        <v>VEERG 2026: Table A.1.8.1</v>
      </c>
    </row>
    <row r="229" spans="4:19" x14ac:dyDescent="0.25">
      <c r="D229" s="31"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26" t="s">
        <v>35</v>
      </c>
      <c r="E231" s="26" t="s">
        <v>70</v>
      </c>
      <c r="F231" s="25" t="s">
        <v>71</v>
      </c>
      <c r="G231" s="26" t="s">
        <v>66</v>
      </c>
      <c r="H231" s="26" t="s">
        <v>72</v>
      </c>
      <c r="I231" s="26" t="s">
        <v>73</v>
      </c>
      <c r="J231" s="26" t="s">
        <v>65</v>
      </c>
      <c r="K231" s="26" t="s">
        <v>64</v>
      </c>
      <c r="L231" s="26" t="s">
        <v>74</v>
      </c>
      <c r="M231" s="26" t="s">
        <v>75</v>
      </c>
      <c r="N231" s="26" t="s">
        <v>63</v>
      </c>
      <c r="O231" s="26" t="s">
        <v>76</v>
      </c>
      <c r="P231" s="26" t="s">
        <v>68</v>
      </c>
      <c r="Q231" s="26" t="s">
        <v>69</v>
      </c>
      <c r="R231" s="26" t="s">
        <v>67</v>
      </c>
      <c r="S231" s="26" t="s">
        <v>77</v>
      </c>
    </row>
    <row r="232" spans="4:19" x14ac:dyDescent="0.25">
      <c r="D232" s="26" t="str" cm="1">
        <f t="array" ref="D232">Common_InputFunctions.Utility_DisplayArrayInTable(Common_SourceData.Common_SourceData_MCFTemperatureZone_Data(),Table_SourceData_Common_MCFTemperatureZone[[#Headers],[Temperature zone]],0)</f>
        <v>Cool</v>
      </c>
      <c r="E232" s="26" t="str" cm="1">
        <f t="array" ref="E232">Common_InputFunctions.Utility_DisplayArrayInTable(Common_SourceData.Common_SourceData_MCFTemperatureZone_Data(),Table_SourceData_Common_MCFTemperatureZone[[#Headers],[Temperature zone]],0)</f>
        <v>≤10</v>
      </c>
      <c r="F232" s="26" cm="1">
        <f t="array" ref="F232">Common_InputFunctions.Utility_DisplayArrayInTable(Common_SourceData.Common_SourceData_MCFTemperatureZone_Data(),Table_SourceData_Common_MCFTemperatureZone[[#Headers],[Temperature zone]],0)</f>
        <v>0.66</v>
      </c>
      <c r="G232" s="26" cm="1">
        <f t="array" ref="G232">Common_InputFunctions.Utility_DisplayArrayInTable(Common_SourceData.Common_SourceData_MCFTemperatureZone_Data(),Table_SourceData_Common_MCFTemperatureZone[[#Headers],[Temperature zone]],0)</f>
        <v>0.1</v>
      </c>
      <c r="H232" s="26" cm="1">
        <f t="array" ref="H232">Common_InputFunctions.Utility_DisplayArrayInTable(Common_SourceData.Common_SourceData_MCFTemperatureZone_Data(),Table_SourceData_Common_MCFTemperatureZone[[#Headers],[Temperature zone]],0)</f>
        <v>0.1</v>
      </c>
      <c r="I232" s="26" cm="1">
        <f t="array" ref="I232">Common_InputFunctions.Utility_DisplayArrayInTable(Common_SourceData.Common_SourceData_MCFTemperatureZone_Data(),Table_SourceData_Common_MCFTemperatureZone[[#Headers],[Temperature zone]],0)</f>
        <v>1E-3</v>
      </c>
      <c r="J232" s="26" cm="1">
        <f t="array" ref="J232">Common_InputFunctions.Utility_DisplayArrayInTable(Common_SourceData.Common_SourceData_MCFTemperatureZone_Data(),Table_SourceData_Common_MCFTemperatureZone[[#Headers],[Temperature zone]],0)</f>
        <v>5.0000000000000001E-3</v>
      </c>
      <c r="K232" s="26" cm="1">
        <f t="array" ref="K232">Common_InputFunctions.Utility_DisplayArrayInTable(Common_SourceData.Common_SourceData_MCFTemperatureZone_Data(),Table_SourceData_Common_MCFTemperatureZone[[#Headers],[Temperature zone]],0)</f>
        <v>0.02</v>
      </c>
      <c r="L232" s="26" cm="1">
        <f t="array" ref="L232">Common_InputFunctions.Utility_DisplayArrayInTable(Common_SourceData.Common_SourceData_MCFTemperatureZone_Data(),Table_SourceData_Common_MCFTemperatureZone[[#Headers],[Temperature zone]],0)</f>
        <v>0.03</v>
      </c>
      <c r="M232" s="26" cm="1">
        <f t="array" ref="M232">Common_InputFunctions.Utility_DisplayArrayInTable(Common_SourceData.Common_SourceData_MCFTemperatureZone_Data(),Table_SourceData_Common_MCFTemperatureZone[[#Headers],[Temperature zone]],0)</f>
        <v>0.04</v>
      </c>
      <c r="N232" s="26" cm="1">
        <f t="array" ref="N232">Common_InputFunctions.Utility_DisplayArrayInTable(Common_SourceData.Common_SourceData_MCFTemperatureZone_Data(),Table_SourceData_Common_MCFTemperatureZone[[#Headers],[Temperature zone]],0)</f>
        <v>1.4999999999999999E-2</v>
      </c>
      <c r="O232" s="26" cm="1">
        <f t="array" ref="O232">Common_InputFunctions.Utility_DisplayArrayInTable(Common_SourceData.Common_SourceData_MCFTemperatureZone_Data(),Table_SourceData_Common_MCFTemperatureZone[[#Headers],[Temperature zone]],0)</f>
        <v>1.4999999999999999E-2</v>
      </c>
      <c r="P232" s="26" cm="1">
        <f t="array" ref="P232">Common_InputFunctions.Utility_DisplayArrayInTable(Common_SourceData.Common_SourceData_MCFTemperatureZone_Data(),Table_SourceData_Common_MCFTemperatureZone[[#Headers],[Temperature zone]],0)</f>
        <v>0</v>
      </c>
      <c r="Q232" s="26" cm="1">
        <f t="array" ref="Q232">Common_InputFunctions.Utility_DisplayArrayInTable(Common_SourceData.Common_SourceData_MCFTemperatureZone_Data(),Table_SourceData_Common_MCFTemperatureZone[[#Headers],[Temperature zone]],0)</f>
        <v>0</v>
      </c>
      <c r="R232" s="26" cm="1">
        <f t="array" ref="R232">Common_InputFunctions.Utility_DisplayArrayInTable(Common_SourceData.Common_SourceData_MCFTemperatureZone_Data(),Table_SourceData_Common_MCFTemperatureZone[[#Headers],[Temperature zone]],0)</f>
        <v>4.7000000000000002E-3</v>
      </c>
      <c r="S232" s="26"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26" cm="1">
        <f t="array" ref="E233">Common_InputFunctions.Utility_DisplayArrayInTable(Common_SourceData.Common_SourceData_MCFTemperatureZone_Data(),Table_SourceData_Common_MCFTemperatureZone[[#Headers],[Temperature zone]],0)</f>
        <v>11</v>
      </c>
      <c r="F233" s="26" cm="1">
        <f t="array" ref="F233">Common_InputFunctions.Utility_DisplayArrayInTable(Common_SourceData.Common_SourceData_MCFTemperatureZone_Data(),Table_SourceData_Common_MCFTemperatureZone[[#Headers],[Temperature zone]],0)</f>
        <v>0.68</v>
      </c>
      <c r="G233" s="26" cm="1">
        <f t="array" ref="G233">Common_InputFunctions.Utility_DisplayArrayInTable(Common_SourceData.Common_SourceData_MCFTemperatureZone_Data(),Table_SourceData_Common_MCFTemperatureZone[[#Headers],[Temperature zone]],0)</f>
        <v>0.1</v>
      </c>
      <c r="H233" s="26" cm="1">
        <f t="array" ref="H233">Common_InputFunctions.Utility_DisplayArrayInTable(Common_SourceData.Common_SourceData_MCFTemperatureZone_Data(),Table_SourceData_Common_MCFTemperatureZone[[#Headers],[Temperature zone]],0)</f>
        <v>0.11</v>
      </c>
      <c r="I233" s="26" cm="1">
        <f t="array" ref="I233">Common_InputFunctions.Utility_DisplayArrayInTable(Common_SourceData.Common_SourceData_MCFTemperatureZone_Data(),Table_SourceData_Common_MCFTemperatureZone[[#Headers],[Temperature zone]],0)</f>
        <v>1E-3</v>
      </c>
      <c r="J233" s="26" cm="1">
        <f t="array" ref="J233">Common_InputFunctions.Utility_DisplayArrayInTable(Common_SourceData.Common_SourceData_MCFTemperatureZone_Data(),Table_SourceData_Common_MCFTemperatureZone[[#Headers],[Temperature zone]],0)</f>
        <v>5.0000000000000001E-3</v>
      </c>
      <c r="K233" s="26" cm="1">
        <f t="array" ref="K233">Common_InputFunctions.Utility_DisplayArrayInTable(Common_SourceData.Common_SourceData_MCFTemperatureZone_Data(),Table_SourceData_Common_MCFTemperatureZone[[#Headers],[Temperature zone]],0)</f>
        <v>0.02</v>
      </c>
      <c r="L233" s="26" cm="1">
        <f t="array" ref="L233">Common_InputFunctions.Utility_DisplayArrayInTable(Common_SourceData.Common_SourceData_MCFTemperatureZone_Data(),Table_SourceData_Common_MCFTemperatureZone[[#Headers],[Temperature zone]],0)</f>
        <v>0.03</v>
      </c>
      <c r="M233" s="26" cm="1">
        <f t="array" ref="M233">Common_InputFunctions.Utility_DisplayArrayInTable(Common_SourceData.Common_SourceData_MCFTemperatureZone_Data(),Table_SourceData_Common_MCFTemperatureZone[[#Headers],[Temperature zone]],0)</f>
        <v>0.04</v>
      </c>
      <c r="N233" s="26" cm="1">
        <f t="array" ref="N233">Common_InputFunctions.Utility_DisplayArrayInTable(Common_SourceData.Common_SourceData_MCFTemperatureZone_Data(),Table_SourceData_Common_MCFTemperatureZone[[#Headers],[Temperature zone]],0)</f>
        <v>1.4999999999999999E-2</v>
      </c>
      <c r="O233" s="26" cm="1">
        <f t="array" ref="O233">Common_InputFunctions.Utility_DisplayArrayInTable(Common_SourceData.Common_SourceData_MCFTemperatureZone_Data(),Table_SourceData_Common_MCFTemperatureZone[[#Headers],[Temperature zone]],0)</f>
        <v>1.4999999999999999E-2</v>
      </c>
      <c r="P233" s="26" cm="1">
        <f t="array" ref="P233">Common_InputFunctions.Utility_DisplayArrayInTable(Common_SourceData.Common_SourceData_MCFTemperatureZone_Data(),Table_SourceData_Common_MCFTemperatureZone[[#Headers],[Temperature zone]],0)</f>
        <v>0</v>
      </c>
      <c r="Q233" s="26" cm="1">
        <f t="array" ref="Q233">Common_InputFunctions.Utility_DisplayArrayInTable(Common_SourceData.Common_SourceData_MCFTemperatureZone_Data(),Table_SourceData_Common_MCFTemperatureZone[[#Headers],[Temperature zone]],0)</f>
        <v>0</v>
      </c>
      <c r="R233" s="26" cm="1">
        <f t="array" ref="R233">Common_InputFunctions.Utility_DisplayArrayInTable(Common_SourceData.Common_SourceData_MCFTemperatureZone_Data(),Table_SourceData_Common_MCFTemperatureZone[[#Headers],[Temperature zone]],0)</f>
        <v>4.7000000000000002E-3</v>
      </c>
      <c r="S233" s="26"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26" cm="1">
        <f t="array" ref="E234">Common_InputFunctions.Utility_DisplayArrayInTable(Common_SourceData.Common_SourceData_MCFTemperatureZone_Data(),Table_SourceData_Common_MCFTemperatureZone[[#Headers],[Temperature zone]],0)</f>
        <v>12</v>
      </c>
      <c r="F234" s="26" cm="1">
        <f t="array" ref="F234">Common_InputFunctions.Utility_DisplayArrayInTable(Common_SourceData.Common_SourceData_MCFTemperatureZone_Data(),Table_SourceData_Common_MCFTemperatureZone[[#Headers],[Temperature zone]],0)</f>
        <v>0.7</v>
      </c>
      <c r="G234" s="26" cm="1">
        <f t="array" ref="G234">Common_InputFunctions.Utility_DisplayArrayInTable(Common_SourceData.Common_SourceData_MCFTemperatureZone_Data(),Table_SourceData_Common_MCFTemperatureZone[[#Headers],[Temperature zone]],0)</f>
        <v>0.1</v>
      </c>
      <c r="H234" s="26" cm="1">
        <f t="array" ref="H234">Common_InputFunctions.Utility_DisplayArrayInTable(Common_SourceData.Common_SourceData_MCFTemperatureZone_Data(),Table_SourceData_Common_MCFTemperatureZone[[#Headers],[Temperature zone]],0)</f>
        <v>0.13</v>
      </c>
      <c r="I234" s="26" cm="1">
        <f t="array" ref="I234">Common_InputFunctions.Utility_DisplayArrayInTable(Common_SourceData.Common_SourceData_MCFTemperatureZone_Data(),Table_SourceData_Common_MCFTemperatureZone[[#Headers],[Temperature zone]],0)</f>
        <v>1E-3</v>
      </c>
      <c r="J234" s="26" cm="1">
        <f t="array" ref="J234">Common_InputFunctions.Utility_DisplayArrayInTable(Common_SourceData.Common_SourceData_MCFTemperatureZone_Data(),Table_SourceData_Common_MCFTemperatureZone[[#Headers],[Temperature zone]],0)</f>
        <v>5.0000000000000001E-3</v>
      </c>
      <c r="K234" s="26" cm="1">
        <f t="array" ref="K234">Common_InputFunctions.Utility_DisplayArrayInTable(Common_SourceData.Common_SourceData_MCFTemperatureZone_Data(),Table_SourceData_Common_MCFTemperatureZone[[#Headers],[Temperature zone]],0)</f>
        <v>0.02</v>
      </c>
      <c r="L234" s="26" cm="1">
        <f t="array" ref="L234">Common_InputFunctions.Utility_DisplayArrayInTable(Common_SourceData.Common_SourceData_MCFTemperatureZone_Data(),Table_SourceData_Common_MCFTemperatureZone[[#Headers],[Temperature zone]],0)</f>
        <v>0.03</v>
      </c>
      <c r="M234" s="26" cm="1">
        <f t="array" ref="M234">Common_InputFunctions.Utility_DisplayArrayInTable(Common_SourceData.Common_SourceData_MCFTemperatureZone_Data(),Table_SourceData_Common_MCFTemperatureZone[[#Headers],[Temperature zone]],0)</f>
        <v>0.04</v>
      </c>
      <c r="N234" s="26" cm="1">
        <f t="array" ref="N234">Common_InputFunctions.Utility_DisplayArrayInTable(Common_SourceData.Common_SourceData_MCFTemperatureZone_Data(),Table_SourceData_Common_MCFTemperatureZone[[#Headers],[Temperature zone]],0)</f>
        <v>1.4999999999999999E-2</v>
      </c>
      <c r="O234" s="26" cm="1">
        <f t="array" ref="O234">Common_InputFunctions.Utility_DisplayArrayInTable(Common_SourceData.Common_SourceData_MCFTemperatureZone_Data(),Table_SourceData_Common_MCFTemperatureZone[[#Headers],[Temperature zone]],0)</f>
        <v>1.4999999999999999E-2</v>
      </c>
      <c r="P234" s="26" cm="1">
        <f t="array" ref="P234">Common_InputFunctions.Utility_DisplayArrayInTable(Common_SourceData.Common_SourceData_MCFTemperatureZone_Data(),Table_SourceData_Common_MCFTemperatureZone[[#Headers],[Temperature zone]],0)</f>
        <v>0</v>
      </c>
      <c r="Q234" s="26" cm="1">
        <f t="array" ref="Q234">Common_InputFunctions.Utility_DisplayArrayInTable(Common_SourceData.Common_SourceData_MCFTemperatureZone_Data(),Table_SourceData_Common_MCFTemperatureZone[[#Headers],[Temperature zone]],0)</f>
        <v>0</v>
      </c>
      <c r="R234" s="26" cm="1">
        <f t="array" ref="R234">Common_InputFunctions.Utility_DisplayArrayInTable(Common_SourceData.Common_SourceData_MCFTemperatureZone_Data(),Table_SourceData_Common_MCFTemperatureZone[[#Headers],[Temperature zone]],0)</f>
        <v>4.7000000000000002E-3</v>
      </c>
      <c r="S234" s="26"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26" cm="1">
        <f t="array" ref="E235">Common_InputFunctions.Utility_DisplayArrayInTable(Common_SourceData.Common_SourceData_MCFTemperatureZone_Data(),Table_SourceData_Common_MCFTemperatureZone[[#Headers],[Temperature zone]],0)</f>
        <v>13</v>
      </c>
      <c r="F235" s="26" cm="1">
        <f t="array" ref="F235">Common_InputFunctions.Utility_DisplayArrayInTable(Common_SourceData.Common_SourceData_MCFTemperatureZone_Data(),Table_SourceData_Common_MCFTemperatureZone[[#Headers],[Temperature zone]],0)</f>
        <v>0.71</v>
      </c>
      <c r="G235" s="26" cm="1">
        <f t="array" ref="G235">Common_InputFunctions.Utility_DisplayArrayInTable(Common_SourceData.Common_SourceData_MCFTemperatureZone_Data(),Table_SourceData_Common_MCFTemperatureZone[[#Headers],[Temperature zone]],0)</f>
        <v>0.1</v>
      </c>
      <c r="H235" s="26" cm="1">
        <f t="array" ref="H235">Common_InputFunctions.Utility_DisplayArrayInTable(Common_SourceData.Common_SourceData_MCFTemperatureZone_Data(),Table_SourceData_Common_MCFTemperatureZone[[#Headers],[Temperature zone]],0)</f>
        <v>0.14000000000000001</v>
      </c>
      <c r="I235" s="26" cm="1">
        <f t="array" ref="I235">Common_InputFunctions.Utility_DisplayArrayInTable(Common_SourceData.Common_SourceData_MCFTemperatureZone_Data(),Table_SourceData_Common_MCFTemperatureZone[[#Headers],[Temperature zone]],0)</f>
        <v>1E-3</v>
      </c>
      <c r="J235" s="26" cm="1">
        <f t="array" ref="J235">Common_InputFunctions.Utility_DisplayArrayInTable(Common_SourceData.Common_SourceData_MCFTemperatureZone_Data(),Table_SourceData_Common_MCFTemperatureZone[[#Headers],[Temperature zone]],0)</f>
        <v>5.0000000000000001E-3</v>
      </c>
      <c r="K235" s="26" cm="1">
        <f t="array" ref="K235">Common_InputFunctions.Utility_DisplayArrayInTable(Common_SourceData.Common_SourceData_MCFTemperatureZone_Data(),Table_SourceData_Common_MCFTemperatureZone[[#Headers],[Temperature zone]],0)</f>
        <v>0.02</v>
      </c>
      <c r="L235" s="26" cm="1">
        <f t="array" ref="L235">Common_InputFunctions.Utility_DisplayArrayInTable(Common_SourceData.Common_SourceData_MCFTemperatureZone_Data(),Table_SourceData_Common_MCFTemperatureZone[[#Headers],[Temperature zone]],0)</f>
        <v>0.03</v>
      </c>
      <c r="M235" s="26" cm="1">
        <f t="array" ref="M235">Common_InputFunctions.Utility_DisplayArrayInTable(Common_SourceData.Common_SourceData_MCFTemperatureZone_Data(),Table_SourceData_Common_MCFTemperatureZone[[#Headers],[Temperature zone]],0)</f>
        <v>0.04</v>
      </c>
      <c r="N235" s="26" cm="1">
        <f t="array" ref="N235">Common_InputFunctions.Utility_DisplayArrayInTable(Common_SourceData.Common_SourceData_MCFTemperatureZone_Data(),Table_SourceData_Common_MCFTemperatureZone[[#Headers],[Temperature zone]],0)</f>
        <v>1.4999999999999999E-2</v>
      </c>
      <c r="O235" s="26" cm="1">
        <f t="array" ref="O235">Common_InputFunctions.Utility_DisplayArrayInTable(Common_SourceData.Common_SourceData_MCFTemperatureZone_Data(),Table_SourceData_Common_MCFTemperatureZone[[#Headers],[Temperature zone]],0)</f>
        <v>1.4999999999999999E-2</v>
      </c>
      <c r="P235" s="26" cm="1">
        <f t="array" ref="P235">Common_InputFunctions.Utility_DisplayArrayInTable(Common_SourceData.Common_SourceData_MCFTemperatureZone_Data(),Table_SourceData_Common_MCFTemperatureZone[[#Headers],[Temperature zone]],0)</f>
        <v>0</v>
      </c>
      <c r="Q235" s="26" cm="1">
        <f t="array" ref="Q235">Common_InputFunctions.Utility_DisplayArrayInTable(Common_SourceData.Common_SourceData_MCFTemperatureZone_Data(),Table_SourceData_Common_MCFTemperatureZone[[#Headers],[Temperature zone]],0)</f>
        <v>0</v>
      </c>
      <c r="R235" s="26" cm="1">
        <f t="array" ref="R235">Common_InputFunctions.Utility_DisplayArrayInTable(Common_SourceData.Common_SourceData_MCFTemperatureZone_Data(),Table_SourceData_Common_MCFTemperatureZone[[#Headers],[Temperature zone]],0)</f>
        <v>4.7000000000000002E-3</v>
      </c>
      <c r="S235" s="26"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26" cm="1">
        <f t="array" ref="E236">Common_InputFunctions.Utility_DisplayArrayInTable(Common_SourceData.Common_SourceData_MCFTemperatureZone_Data(),Table_SourceData_Common_MCFTemperatureZone[[#Headers],[Temperature zone]],0)</f>
        <v>14</v>
      </c>
      <c r="F236" s="26" cm="1">
        <f t="array" ref="F236">Common_InputFunctions.Utility_DisplayArrayInTable(Common_SourceData.Common_SourceData_MCFTemperatureZone_Data(),Table_SourceData_Common_MCFTemperatureZone[[#Headers],[Temperature zone]],0)</f>
        <v>0.73</v>
      </c>
      <c r="G236" s="26" cm="1">
        <f t="array" ref="G236">Common_InputFunctions.Utility_DisplayArrayInTable(Common_SourceData.Common_SourceData_MCFTemperatureZone_Data(),Table_SourceData_Common_MCFTemperatureZone[[#Headers],[Temperature zone]],0)</f>
        <v>0.1</v>
      </c>
      <c r="H236" s="26" cm="1">
        <f t="array" ref="H236">Common_InputFunctions.Utility_DisplayArrayInTable(Common_SourceData.Common_SourceData_MCFTemperatureZone_Data(),Table_SourceData_Common_MCFTemperatureZone[[#Headers],[Temperature zone]],0)</f>
        <v>0.15</v>
      </c>
      <c r="I236" s="26" cm="1">
        <f t="array" ref="I236">Common_InputFunctions.Utility_DisplayArrayInTable(Common_SourceData.Common_SourceData_MCFTemperatureZone_Data(),Table_SourceData_Common_MCFTemperatureZone[[#Headers],[Temperature zone]],0)</f>
        <v>1E-3</v>
      </c>
      <c r="J236" s="26" cm="1">
        <f t="array" ref="J236">Common_InputFunctions.Utility_DisplayArrayInTable(Common_SourceData.Common_SourceData_MCFTemperatureZone_Data(),Table_SourceData_Common_MCFTemperatureZone[[#Headers],[Temperature zone]],0)</f>
        <v>5.0000000000000001E-3</v>
      </c>
      <c r="K236" s="26" cm="1">
        <f t="array" ref="K236">Common_InputFunctions.Utility_DisplayArrayInTable(Common_SourceData.Common_SourceData_MCFTemperatureZone_Data(),Table_SourceData_Common_MCFTemperatureZone[[#Headers],[Temperature zone]],0)</f>
        <v>0.02</v>
      </c>
      <c r="L236" s="26" cm="1">
        <f t="array" ref="L236">Common_InputFunctions.Utility_DisplayArrayInTable(Common_SourceData.Common_SourceData_MCFTemperatureZone_Data(),Table_SourceData_Common_MCFTemperatureZone[[#Headers],[Temperature zone]],0)</f>
        <v>0.03</v>
      </c>
      <c r="M236" s="26" cm="1">
        <f t="array" ref="M236">Common_InputFunctions.Utility_DisplayArrayInTable(Common_SourceData.Common_SourceData_MCFTemperatureZone_Data(),Table_SourceData_Common_MCFTemperatureZone[[#Headers],[Temperature zone]],0)</f>
        <v>0.04</v>
      </c>
      <c r="N236" s="26" cm="1">
        <f t="array" ref="N236">Common_InputFunctions.Utility_DisplayArrayInTable(Common_SourceData.Common_SourceData_MCFTemperatureZone_Data(),Table_SourceData_Common_MCFTemperatureZone[[#Headers],[Temperature zone]],0)</f>
        <v>1.4999999999999999E-2</v>
      </c>
      <c r="O236" s="26" cm="1">
        <f t="array" ref="O236">Common_InputFunctions.Utility_DisplayArrayInTable(Common_SourceData.Common_SourceData_MCFTemperatureZone_Data(),Table_SourceData_Common_MCFTemperatureZone[[#Headers],[Temperature zone]],0)</f>
        <v>1.4999999999999999E-2</v>
      </c>
      <c r="P236" s="26" cm="1">
        <f t="array" ref="P236">Common_InputFunctions.Utility_DisplayArrayInTable(Common_SourceData.Common_SourceData_MCFTemperatureZone_Data(),Table_SourceData_Common_MCFTemperatureZone[[#Headers],[Temperature zone]],0)</f>
        <v>0</v>
      </c>
      <c r="Q236" s="26" cm="1">
        <f t="array" ref="Q236">Common_InputFunctions.Utility_DisplayArrayInTable(Common_SourceData.Common_SourceData_MCFTemperatureZone_Data(),Table_SourceData_Common_MCFTemperatureZone[[#Headers],[Temperature zone]],0)</f>
        <v>0</v>
      </c>
      <c r="R236" s="26" cm="1">
        <f t="array" ref="R236">Common_InputFunctions.Utility_DisplayArrayInTable(Common_SourceData.Common_SourceData_MCFTemperatureZone_Data(),Table_SourceData_Common_MCFTemperatureZone[[#Headers],[Temperature zone]],0)</f>
        <v>4.7000000000000002E-3</v>
      </c>
      <c r="S236" s="26"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26" cm="1">
        <f t="array" ref="E237">Common_InputFunctions.Utility_DisplayArrayInTable(Common_SourceData.Common_SourceData_MCFTemperatureZone_Data(),Table_SourceData_Common_MCFTemperatureZone[[#Headers],[Temperature zone]],0)</f>
        <v>15</v>
      </c>
      <c r="F237" s="26" cm="1">
        <f t="array" ref="F237">Common_InputFunctions.Utility_DisplayArrayInTable(Common_SourceData.Common_SourceData_MCFTemperatureZone_Data(),Table_SourceData_Common_MCFTemperatureZone[[#Headers],[Temperature zone]],0)</f>
        <v>0.74</v>
      </c>
      <c r="G237" s="26" cm="1">
        <f t="array" ref="G237">Common_InputFunctions.Utility_DisplayArrayInTable(Common_SourceData.Common_SourceData_MCFTemperatureZone_Data(),Table_SourceData_Common_MCFTemperatureZone[[#Headers],[Temperature zone]],0)</f>
        <v>0.1</v>
      </c>
      <c r="H237" s="26" cm="1">
        <f t="array" ref="H237">Common_InputFunctions.Utility_DisplayArrayInTable(Common_SourceData.Common_SourceData_MCFTemperatureZone_Data(),Table_SourceData_Common_MCFTemperatureZone[[#Headers],[Temperature zone]],0)</f>
        <v>0.17</v>
      </c>
      <c r="I237" s="26" cm="1">
        <f t="array" ref="I237">Common_InputFunctions.Utility_DisplayArrayInTable(Common_SourceData.Common_SourceData_MCFTemperatureZone_Data(),Table_SourceData_Common_MCFTemperatureZone[[#Headers],[Temperature zone]],0)</f>
        <v>5.0000000000000001E-3</v>
      </c>
      <c r="J237" s="26" cm="1">
        <f t="array" ref="J237">Common_InputFunctions.Utility_DisplayArrayInTable(Common_SourceData.Common_SourceData_MCFTemperatureZone_Data(),Table_SourceData_Common_MCFTemperatureZone[[#Headers],[Temperature zone]],0)</f>
        <v>0.01</v>
      </c>
      <c r="K237" s="26" cm="1">
        <f t="array" ref="K237">Common_InputFunctions.Utility_DisplayArrayInTable(Common_SourceData.Common_SourceData_MCFTemperatureZone_Data(),Table_SourceData_Common_MCFTemperatureZone[[#Headers],[Temperature zone]],0)</f>
        <v>0.02</v>
      </c>
      <c r="L237" s="26" cm="1">
        <f t="array" ref="L237">Common_InputFunctions.Utility_DisplayArrayInTable(Common_SourceData.Common_SourceData_MCFTemperatureZone_Data(),Table_SourceData_Common_MCFTemperatureZone[[#Headers],[Temperature zone]],0)</f>
        <v>0.03</v>
      </c>
      <c r="M237" s="26" cm="1">
        <f t="array" ref="M237">Common_InputFunctions.Utility_DisplayArrayInTable(Common_SourceData.Common_SourceData_MCFTemperatureZone_Data(),Table_SourceData_Common_MCFTemperatureZone[[#Headers],[Temperature zone]],0)</f>
        <v>0.04</v>
      </c>
      <c r="N237" s="26" cm="1">
        <f t="array" ref="N237">Common_InputFunctions.Utility_DisplayArrayInTable(Common_SourceData.Common_SourceData_MCFTemperatureZone_Data(),Table_SourceData_Common_MCFTemperatureZone[[#Headers],[Temperature zone]],0)</f>
        <v>1.4999999999999999E-2</v>
      </c>
      <c r="O237" s="26" cm="1">
        <f t="array" ref="O237">Common_InputFunctions.Utility_DisplayArrayInTable(Common_SourceData.Common_SourceData_MCFTemperatureZone_Data(),Table_SourceData_Common_MCFTemperatureZone[[#Headers],[Temperature zone]],0)</f>
        <v>1.4999999999999999E-2</v>
      </c>
      <c r="P237" s="26" cm="1">
        <f t="array" ref="P237">Common_InputFunctions.Utility_DisplayArrayInTable(Common_SourceData.Common_SourceData_MCFTemperatureZone_Data(),Table_SourceData_Common_MCFTemperatureZone[[#Headers],[Temperature zone]],0)</f>
        <v>0</v>
      </c>
      <c r="Q237" s="26" cm="1">
        <f t="array" ref="Q237">Common_InputFunctions.Utility_DisplayArrayInTable(Common_SourceData.Common_SourceData_MCFTemperatureZone_Data(),Table_SourceData_Common_MCFTemperatureZone[[#Headers],[Temperature zone]],0)</f>
        <v>0</v>
      </c>
      <c r="R237" s="26" cm="1">
        <f t="array" ref="R237">Common_InputFunctions.Utility_DisplayArrayInTable(Common_SourceData.Common_SourceData_MCFTemperatureZone_Data(),Table_SourceData_Common_MCFTemperatureZone[[#Headers],[Temperature zone]],0)</f>
        <v>4.7000000000000002E-3</v>
      </c>
      <c r="S237" s="26"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26" cm="1">
        <f t="array" ref="E238">Common_InputFunctions.Utility_DisplayArrayInTable(Common_SourceData.Common_SourceData_MCFTemperatureZone_Data(),Table_SourceData_Common_MCFTemperatureZone[[#Headers],[Temperature zone]],0)</f>
        <v>16</v>
      </c>
      <c r="F238" s="26" cm="1">
        <f t="array" ref="F238">Common_InputFunctions.Utility_DisplayArrayInTable(Common_SourceData.Common_SourceData_MCFTemperatureZone_Data(),Table_SourceData_Common_MCFTemperatureZone[[#Headers],[Temperature zone]],0)</f>
        <v>0.75</v>
      </c>
      <c r="G238" s="26" cm="1">
        <f t="array" ref="G238">Common_InputFunctions.Utility_DisplayArrayInTable(Common_SourceData.Common_SourceData_MCFTemperatureZone_Data(),Table_SourceData_Common_MCFTemperatureZone[[#Headers],[Temperature zone]],0)</f>
        <v>0.1</v>
      </c>
      <c r="H238" s="26" cm="1">
        <f t="array" ref="H238">Common_InputFunctions.Utility_DisplayArrayInTable(Common_SourceData.Common_SourceData_MCFTemperatureZone_Data(),Table_SourceData_Common_MCFTemperatureZone[[#Headers],[Temperature zone]],0)</f>
        <v>0.18</v>
      </c>
      <c r="I238" s="26" cm="1">
        <f t="array" ref="I238">Common_InputFunctions.Utility_DisplayArrayInTable(Common_SourceData.Common_SourceData_MCFTemperatureZone_Data(),Table_SourceData_Common_MCFTemperatureZone[[#Headers],[Temperature zone]],0)</f>
        <v>5.0000000000000001E-3</v>
      </c>
      <c r="J238" s="26" cm="1">
        <f t="array" ref="J238">Common_InputFunctions.Utility_DisplayArrayInTable(Common_SourceData.Common_SourceData_MCFTemperatureZone_Data(),Table_SourceData_Common_MCFTemperatureZone[[#Headers],[Temperature zone]],0)</f>
        <v>0.01</v>
      </c>
      <c r="K238" s="26" cm="1">
        <f t="array" ref="K238">Common_InputFunctions.Utility_DisplayArrayInTable(Common_SourceData.Common_SourceData_MCFTemperatureZone_Data(),Table_SourceData_Common_MCFTemperatureZone[[#Headers],[Temperature zone]],0)</f>
        <v>0.02</v>
      </c>
      <c r="L238" s="26" cm="1">
        <f t="array" ref="L238">Common_InputFunctions.Utility_DisplayArrayInTable(Common_SourceData.Common_SourceData_MCFTemperatureZone_Data(),Table_SourceData_Common_MCFTemperatureZone[[#Headers],[Temperature zone]],0)</f>
        <v>0.03</v>
      </c>
      <c r="M238" s="26" cm="1">
        <f t="array" ref="M238">Common_InputFunctions.Utility_DisplayArrayInTable(Common_SourceData.Common_SourceData_MCFTemperatureZone_Data(),Table_SourceData_Common_MCFTemperatureZone[[#Headers],[Temperature zone]],0)</f>
        <v>0.04</v>
      </c>
      <c r="N238" s="26" cm="1">
        <f t="array" ref="N238">Common_InputFunctions.Utility_DisplayArrayInTable(Common_SourceData.Common_SourceData_MCFTemperatureZone_Data(),Table_SourceData_Common_MCFTemperatureZone[[#Headers],[Temperature zone]],0)</f>
        <v>1.4999999999999999E-2</v>
      </c>
      <c r="O238" s="26" cm="1">
        <f t="array" ref="O238">Common_InputFunctions.Utility_DisplayArrayInTable(Common_SourceData.Common_SourceData_MCFTemperatureZone_Data(),Table_SourceData_Common_MCFTemperatureZone[[#Headers],[Temperature zone]],0)</f>
        <v>1.4999999999999999E-2</v>
      </c>
      <c r="P238" s="26" cm="1">
        <f t="array" ref="P238">Common_InputFunctions.Utility_DisplayArrayInTable(Common_SourceData.Common_SourceData_MCFTemperatureZone_Data(),Table_SourceData_Common_MCFTemperatureZone[[#Headers],[Temperature zone]],0)</f>
        <v>0</v>
      </c>
      <c r="Q238" s="26" cm="1">
        <f t="array" ref="Q238">Common_InputFunctions.Utility_DisplayArrayInTable(Common_SourceData.Common_SourceData_MCFTemperatureZone_Data(),Table_SourceData_Common_MCFTemperatureZone[[#Headers],[Temperature zone]],0)</f>
        <v>0</v>
      </c>
      <c r="R238" s="26" cm="1">
        <f t="array" ref="R238">Common_InputFunctions.Utility_DisplayArrayInTable(Common_SourceData.Common_SourceData_MCFTemperatureZone_Data(),Table_SourceData_Common_MCFTemperatureZone[[#Headers],[Temperature zone]],0)</f>
        <v>4.7000000000000002E-3</v>
      </c>
      <c r="S238" s="26"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26" cm="1">
        <f t="array" ref="E239">Common_InputFunctions.Utility_DisplayArrayInTable(Common_SourceData.Common_SourceData_MCFTemperatureZone_Data(),Table_SourceData_Common_MCFTemperatureZone[[#Headers],[Temperature zone]],0)</f>
        <v>17</v>
      </c>
      <c r="F239" s="26" cm="1">
        <f t="array" ref="F239">Common_InputFunctions.Utility_DisplayArrayInTable(Common_SourceData.Common_SourceData_MCFTemperatureZone_Data(),Table_SourceData_Common_MCFTemperatureZone[[#Headers],[Temperature zone]],0)</f>
        <v>0.76</v>
      </c>
      <c r="G239" s="26" cm="1">
        <f t="array" ref="G239">Common_InputFunctions.Utility_DisplayArrayInTable(Common_SourceData.Common_SourceData_MCFTemperatureZone_Data(),Table_SourceData_Common_MCFTemperatureZone[[#Headers],[Temperature zone]],0)</f>
        <v>0.1</v>
      </c>
      <c r="H239" s="26" cm="1">
        <f t="array" ref="H239">Common_InputFunctions.Utility_DisplayArrayInTable(Common_SourceData.Common_SourceData_MCFTemperatureZone_Data(),Table_SourceData_Common_MCFTemperatureZone[[#Headers],[Temperature zone]],0)</f>
        <v>0.2</v>
      </c>
      <c r="I239" s="26" cm="1">
        <f t="array" ref="I239">Common_InputFunctions.Utility_DisplayArrayInTable(Common_SourceData.Common_SourceData_MCFTemperatureZone_Data(),Table_SourceData_Common_MCFTemperatureZone[[#Headers],[Temperature zone]],0)</f>
        <v>5.0000000000000001E-3</v>
      </c>
      <c r="J239" s="26" cm="1">
        <f t="array" ref="J239">Common_InputFunctions.Utility_DisplayArrayInTable(Common_SourceData.Common_SourceData_MCFTemperatureZone_Data(),Table_SourceData_Common_MCFTemperatureZone[[#Headers],[Temperature zone]],0)</f>
        <v>0.01</v>
      </c>
      <c r="K239" s="26" cm="1">
        <f t="array" ref="K239">Common_InputFunctions.Utility_DisplayArrayInTable(Common_SourceData.Common_SourceData_MCFTemperatureZone_Data(),Table_SourceData_Common_MCFTemperatureZone[[#Headers],[Temperature zone]],0)</f>
        <v>0.02</v>
      </c>
      <c r="L239" s="26" cm="1">
        <f t="array" ref="L239">Common_InputFunctions.Utility_DisplayArrayInTable(Common_SourceData.Common_SourceData_MCFTemperatureZone_Data(),Table_SourceData_Common_MCFTemperatureZone[[#Headers],[Temperature zone]],0)</f>
        <v>0.03</v>
      </c>
      <c r="M239" s="26" cm="1">
        <f t="array" ref="M239">Common_InputFunctions.Utility_DisplayArrayInTable(Common_SourceData.Common_SourceData_MCFTemperatureZone_Data(),Table_SourceData_Common_MCFTemperatureZone[[#Headers],[Temperature zone]],0)</f>
        <v>0.04</v>
      </c>
      <c r="N239" s="26" cm="1">
        <f t="array" ref="N239">Common_InputFunctions.Utility_DisplayArrayInTable(Common_SourceData.Common_SourceData_MCFTemperatureZone_Data(),Table_SourceData_Common_MCFTemperatureZone[[#Headers],[Temperature zone]],0)</f>
        <v>1.4999999999999999E-2</v>
      </c>
      <c r="O239" s="26" cm="1">
        <f t="array" ref="O239">Common_InputFunctions.Utility_DisplayArrayInTable(Common_SourceData.Common_SourceData_MCFTemperatureZone_Data(),Table_SourceData_Common_MCFTemperatureZone[[#Headers],[Temperature zone]],0)</f>
        <v>1.4999999999999999E-2</v>
      </c>
      <c r="P239" s="26" cm="1">
        <f t="array" ref="P239">Common_InputFunctions.Utility_DisplayArrayInTable(Common_SourceData.Common_SourceData_MCFTemperatureZone_Data(),Table_SourceData_Common_MCFTemperatureZone[[#Headers],[Temperature zone]],0)</f>
        <v>0</v>
      </c>
      <c r="Q239" s="26" cm="1">
        <f t="array" ref="Q239">Common_InputFunctions.Utility_DisplayArrayInTable(Common_SourceData.Common_SourceData_MCFTemperatureZone_Data(),Table_SourceData_Common_MCFTemperatureZone[[#Headers],[Temperature zone]],0)</f>
        <v>0</v>
      </c>
      <c r="R239" s="26" cm="1">
        <f t="array" ref="R239">Common_InputFunctions.Utility_DisplayArrayInTable(Common_SourceData.Common_SourceData_MCFTemperatureZone_Data(),Table_SourceData_Common_MCFTemperatureZone[[#Headers],[Temperature zone]],0)</f>
        <v>4.7000000000000002E-3</v>
      </c>
      <c r="S239" s="26"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26" cm="1">
        <f t="array" ref="E240">Common_InputFunctions.Utility_DisplayArrayInTable(Common_SourceData.Common_SourceData_MCFTemperatureZone_Data(),Table_SourceData_Common_MCFTemperatureZone[[#Headers],[Temperature zone]],0)</f>
        <v>18</v>
      </c>
      <c r="F240" s="26" cm="1">
        <f t="array" ref="F240">Common_InputFunctions.Utility_DisplayArrayInTable(Common_SourceData.Common_SourceData_MCFTemperatureZone_Data(),Table_SourceData_Common_MCFTemperatureZone[[#Headers],[Temperature zone]],0)</f>
        <v>0.77</v>
      </c>
      <c r="G240" s="26" cm="1">
        <f t="array" ref="G240">Common_InputFunctions.Utility_DisplayArrayInTable(Common_SourceData.Common_SourceData_MCFTemperatureZone_Data(),Table_SourceData_Common_MCFTemperatureZone[[#Headers],[Temperature zone]],0)</f>
        <v>0.1</v>
      </c>
      <c r="H240" s="26" cm="1">
        <f t="array" ref="H240">Common_InputFunctions.Utility_DisplayArrayInTable(Common_SourceData.Common_SourceData_MCFTemperatureZone_Data(),Table_SourceData_Common_MCFTemperatureZone[[#Headers],[Temperature zone]],0)</f>
        <v>0.22</v>
      </c>
      <c r="I240" s="26" cm="1">
        <f t="array" ref="I240">Common_InputFunctions.Utility_DisplayArrayInTable(Common_SourceData.Common_SourceData_MCFTemperatureZone_Data(),Table_SourceData_Common_MCFTemperatureZone[[#Headers],[Temperature zone]],0)</f>
        <v>5.0000000000000001E-3</v>
      </c>
      <c r="J240" s="26" cm="1">
        <f t="array" ref="J240">Common_InputFunctions.Utility_DisplayArrayInTable(Common_SourceData.Common_SourceData_MCFTemperatureZone_Data(),Table_SourceData_Common_MCFTemperatureZone[[#Headers],[Temperature zone]],0)</f>
        <v>0.01</v>
      </c>
      <c r="K240" s="26" cm="1">
        <f t="array" ref="K240">Common_InputFunctions.Utility_DisplayArrayInTable(Common_SourceData.Common_SourceData_MCFTemperatureZone_Data(),Table_SourceData_Common_MCFTemperatureZone[[#Headers],[Temperature zone]],0)</f>
        <v>0.02</v>
      </c>
      <c r="L240" s="26" cm="1">
        <f t="array" ref="L240">Common_InputFunctions.Utility_DisplayArrayInTable(Common_SourceData.Common_SourceData_MCFTemperatureZone_Data(),Table_SourceData_Common_MCFTemperatureZone[[#Headers],[Temperature zone]],0)</f>
        <v>0.03</v>
      </c>
      <c r="M240" s="26" cm="1">
        <f t="array" ref="M240">Common_InputFunctions.Utility_DisplayArrayInTable(Common_SourceData.Common_SourceData_MCFTemperatureZone_Data(),Table_SourceData_Common_MCFTemperatureZone[[#Headers],[Temperature zone]],0)</f>
        <v>0.04</v>
      </c>
      <c r="N240" s="26" cm="1">
        <f t="array" ref="N240">Common_InputFunctions.Utility_DisplayArrayInTable(Common_SourceData.Common_SourceData_MCFTemperatureZone_Data(),Table_SourceData_Common_MCFTemperatureZone[[#Headers],[Temperature zone]],0)</f>
        <v>1.4999999999999999E-2</v>
      </c>
      <c r="O240" s="26" cm="1">
        <f t="array" ref="O240">Common_InputFunctions.Utility_DisplayArrayInTable(Common_SourceData.Common_SourceData_MCFTemperatureZone_Data(),Table_SourceData_Common_MCFTemperatureZone[[#Headers],[Temperature zone]],0)</f>
        <v>1.4999999999999999E-2</v>
      </c>
      <c r="P240" s="26" cm="1">
        <f t="array" ref="P240">Common_InputFunctions.Utility_DisplayArrayInTable(Common_SourceData.Common_SourceData_MCFTemperatureZone_Data(),Table_SourceData_Common_MCFTemperatureZone[[#Headers],[Temperature zone]],0)</f>
        <v>0</v>
      </c>
      <c r="Q240" s="26" cm="1">
        <f t="array" ref="Q240">Common_InputFunctions.Utility_DisplayArrayInTable(Common_SourceData.Common_SourceData_MCFTemperatureZone_Data(),Table_SourceData_Common_MCFTemperatureZone[[#Headers],[Temperature zone]],0)</f>
        <v>0</v>
      </c>
      <c r="R240" s="26" cm="1">
        <f t="array" ref="R240">Common_InputFunctions.Utility_DisplayArrayInTable(Common_SourceData.Common_SourceData_MCFTemperatureZone_Data(),Table_SourceData_Common_MCFTemperatureZone[[#Headers],[Temperature zone]],0)</f>
        <v>4.7000000000000002E-3</v>
      </c>
      <c r="S240" s="26"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26" cm="1">
        <f t="array" ref="E241">Common_InputFunctions.Utility_DisplayArrayInTable(Common_SourceData.Common_SourceData_MCFTemperatureZone_Data(),Table_SourceData_Common_MCFTemperatureZone[[#Headers],[Temperature zone]],0)</f>
        <v>19</v>
      </c>
      <c r="F241" s="26" cm="1">
        <f t="array" ref="F241">Common_InputFunctions.Utility_DisplayArrayInTable(Common_SourceData.Common_SourceData_MCFTemperatureZone_Data(),Table_SourceData_Common_MCFTemperatureZone[[#Headers],[Temperature zone]],0)</f>
        <v>0.77</v>
      </c>
      <c r="G241" s="26" cm="1">
        <f t="array" ref="G241">Common_InputFunctions.Utility_DisplayArrayInTable(Common_SourceData.Common_SourceData_MCFTemperatureZone_Data(),Table_SourceData_Common_MCFTemperatureZone[[#Headers],[Temperature zone]],0)</f>
        <v>0.1</v>
      </c>
      <c r="H241" s="26" cm="1">
        <f t="array" ref="H241">Common_InputFunctions.Utility_DisplayArrayInTable(Common_SourceData.Common_SourceData_MCFTemperatureZone_Data(),Table_SourceData_Common_MCFTemperatureZone[[#Headers],[Temperature zone]],0)</f>
        <v>0.24</v>
      </c>
      <c r="I241" s="26" cm="1">
        <f t="array" ref="I241">Common_InputFunctions.Utility_DisplayArrayInTable(Common_SourceData.Common_SourceData_MCFTemperatureZone_Data(),Table_SourceData_Common_MCFTemperatureZone[[#Headers],[Temperature zone]],0)</f>
        <v>5.0000000000000001E-3</v>
      </c>
      <c r="J241" s="26" cm="1">
        <f t="array" ref="J241">Common_InputFunctions.Utility_DisplayArrayInTable(Common_SourceData.Common_SourceData_MCFTemperatureZone_Data(),Table_SourceData_Common_MCFTemperatureZone[[#Headers],[Temperature zone]],0)</f>
        <v>0.01</v>
      </c>
      <c r="K241" s="26" cm="1">
        <f t="array" ref="K241">Common_InputFunctions.Utility_DisplayArrayInTable(Common_SourceData.Common_SourceData_MCFTemperatureZone_Data(),Table_SourceData_Common_MCFTemperatureZone[[#Headers],[Temperature zone]],0)</f>
        <v>0.02</v>
      </c>
      <c r="L241" s="26" cm="1">
        <f t="array" ref="L241">Common_InputFunctions.Utility_DisplayArrayInTable(Common_SourceData.Common_SourceData_MCFTemperatureZone_Data(),Table_SourceData_Common_MCFTemperatureZone[[#Headers],[Temperature zone]],0)</f>
        <v>0.03</v>
      </c>
      <c r="M241" s="26" cm="1">
        <f t="array" ref="M241">Common_InputFunctions.Utility_DisplayArrayInTable(Common_SourceData.Common_SourceData_MCFTemperatureZone_Data(),Table_SourceData_Common_MCFTemperatureZone[[#Headers],[Temperature zone]],0)</f>
        <v>0.04</v>
      </c>
      <c r="N241" s="26" cm="1">
        <f t="array" ref="N241">Common_InputFunctions.Utility_DisplayArrayInTable(Common_SourceData.Common_SourceData_MCFTemperatureZone_Data(),Table_SourceData_Common_MCFTemperatureZone[[#Headers],[Temperature zone]],0)</f>
        <v>1.4999999999999999E-2</v>
      </c>
      <c r="O241" s="26" cm="1">
        <f t="array" ref="O241">Common_InputFunctions.Utility_DisplayArrayInTable(Common_SourceData.Common_SourceData_MCFTemperatureZone_Data(),Table_SourceData_Common_MCFTemperatureZone[[#Headers],[Temperature zone]],0)</f>
        <v>1.4999999999999999E-2</v>
      </c>
      <c r="P241" s="26" cm="1">
        <f t="array" ref="P241">Common_InputFunctions.Utility_DisplayArrayInTable(Common_SourceData.Common_SourceData_MCFTemperatureZone_Data(),Table_SourceData_Common_MCFTemperatureZone[[#Headers],[Temperature zone]],0)</f>
        <v>0</v>
      </c>
      <c r="Q241" s="26" cm="1">
        <f t="array" ref="Q241">Common_InputFunctions.Utility_DisplayArrayInTable(Common_SourceData.Common_SourceData_MCFTemperatureZone_Data(),Table_SourceData_Common_MCFTemperatureZone[[#Headers],[Temperature zone]],0)</f>
        <v>0</v>
      </c>
      <c r="R241" s="26" cm="1">
        <f t="array" ref="R241">Common_InputFunctions.Utility_DisplayArrayInTable(Common_SourceData.Common_SourceData_MCFTemperatureZone_Data(),Table_SourceData_Common_MCFTemperatureZone[[#Headers],[Temperature zone]],0)</f>
        <v>4.7000000000000002E-3</v>
      </c>
      <c r="S241" s="26"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26" cm="1">
        <f t="array" ref="E242">Common_InputFunctions.Utility_DisplayArrayInTable(Common_SourceData.Common_SourceData_MCFTemperatureZone_Data(),Table_SourceData_Common_MCFTemperatureZone[[#Headers],[Temperature zone]],0)</f>
        <v>20</v>
      </c>
      <c r="F242" s="26" cm="1">
        <f t="array" ref="F242">Common_InputFunctions.Utility_DisplayArrayInTable(Common_SourceData.Common_SourceData_MCFTemperatureZone_Data(),Table_SourceData_Common_MCFTemperatureZone[[#Headers],[Temperature zone]],0)</f>
        <v>0.78</v>
      </c>
      <c r="G242" s="26" cm="1">
        <f t="array" ref="G242">Common_InputFunctions.Utility_DisplayArrayInTable(Common_SourceData.Common_SourceData_MCFTemperatureZone_Data(),Table_SourceData_Common_MCFTemperatureZone[[#Headers],[Temperature zone]],0)</f>
        <v>0.1</v>
      </c>
      <c r="H242" s="26" cm="1">
        <f t="array" ref="H242">Common_InputFunctions.Utility_DisplayArrayInTable(Common_SourceData.Common_SourceData_MCFTemperatureZone_Data(),Table_SourceData_Common_MCFTemperatureZone[[#Headers],[Temperature zone]],0)</f>
        <v>0.26</v>
      </c>
      <c r="I242" s="26" cm="1">
        <f t="array" ref="I242">Common_InputFunctions.Utility_DisplayArrayInTable(Common_SourceData.Common_SourceData_MCFTemperatureZone_Data(),Table_SourceData_Common_MCFTemperatureZone[[#Headers],[Temperature zone]],0)</f>
        <v>5.0000000000000001E-3</v>
      </c>
      <c r="J242" s="26" cm="1">
        <f t="array" ref="J242">Common_InputFunctions.Utility_DisplayArrayInTable(Common_SourceData.Common_SourceData_MCFTemperatureZone_Data(),Table_SourceData_Common_MCFTemperatureZone[[#Headers],[Temperature zone]],0)</f>
        <v>0.01</v>
      </c>
      <c r="K242" s="26" cm="1">
        <f t="array" ref="K242">Common_InputFunctions.Utility_DisplayArrayInTable(Common_SourceData.Common_SourceData_MCFTemperatureZone_Data(),Table_SourceData_Common_MCFTemperatureZone[[#Headers],[Temperature zone]],0)</f>
        <v>0.02</v>
      </c>
      <c r="L242" s="26" cm="1">
        <f t="array" ref="L242">Common_InputFunctions.Utility_DisplayArrayInTable(Common_SourceData.Common_SourceData_MCFTemperatureZone_Data(),Table_SourceData_Common_MCFTemperatureZone[[#Headers],[Temperature zone]],0)</f>
        <v>0.03</v>
      </c>
      <c r="M242" s="26" cm="1">
        <f t="array" ref="M242">Common_InputFunctions.Utility_DisplayArrayInTable(Common_SourceData.Common_SourceData_MCFTemperatureZone_Data(),Table_SourceData_Common_MCFTemperatureZone[[#Headers],[Temperature zone]],0)</f>
        <v>0.04</v>
      </c>
      <c r="N242" s="26" cm="1">
        <f t="array" ref="N242">Common_InputFunctions.Utility_DisplayArrayInTable(Common_SourceData.Common_SourceData_MCFTemperatureZone_Data(),Table_SourceData_Common_MCFTemperatureZone[[#Headers],[Temperature zone]],0)</f>
        <v>1.4999999999999999E-2</v>
      </c>
      <c r="O242" s="26" cm="1">
        <f t="array" ref="O242">Common_InputFunctions.Utility_DisplayArrayInTable(Common_SourceData.Common_SourceData_MCFTemperatureZone_Data(),Table_SourceData_Common_MCFTemperatureZone[[#Headers],[Temperature zone]],0)</f>
        <v>1.4999999999999999E-2</v>
      </c>
      <c r="P242" s="26" cm="1">
        <f t="array" ref="P242">Common_InputFunctions.Utility_DisplayArrayInTable(Common_SourceData.Common_SourceData_MCFTemperatureZone_Data(),Table_SourceData_Common_MCFTemperatureZone[[#Headers],[Temperature zone]],0)</f>
        <v>0</v>
      </c>
      <c r="Q242" s="26" cm="1">
        <f t="array" ref="Q242">Common_InputFunctions.Utility_DisplayArrayInTable(Common_SourceData.Common_SourceData_MCFTemperatureZone_Data(),Table_SourceData_Common_MCFTemperatureZone[[#Headers],[Temperature zone]],0)</f>
        <v>0</v>
      </c>
      <c r="R242" s="26" cm="1">
        <f t="array" ref="R242">Common_InputFunctions.Utility_DisplayArrayInTable(Common_SourceData.Common_SourceData_MCFTemperatureZone_Data(),Table_SourceData_Common_MCFTemperatureZone[[#Headers],[Temperature zone]],0)</f>
        <v>4.7000000000000002E-3</v>
      </c>
      <c r="S242" s="26"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26" cm="1">
        <f t="array" ref="E243">Common_InputFunctions.Utility_DisplayArrayInTable(Common_SourceData.Common_SourceData_MCFTemperatureZone_Data(),Table_SourceData_Common_MCFTemperatureZone[[#Headers],[Temperature zone]],0)</f>
        <v>21</v>
      </c>
      <c r="F243" s="26" cm="1">
        <f t="array" ref="F243">Common_InputFunctions.Utility_DisplayArrayInTable(Common_SourceData.Common_SourceData_MCFTemperatureZone_Data(),Table_SourceData_Common_MCFTemperatureZone[[#Headers],[Temperature zone]],0)</f>
        <v>0.78</v>
      </c>
      <c r="G243" s="26" cm="1">
        <f t="array" ref="G243">Common_InputFunctions.Utility_DisplayArrayInTable(Common_SourceData.Common_SourceData_MCFTemperatureZone_Data(),Table_SourceData_Common_MCFTemperatureZone[[#Headers],[Temperature zone]],0)</f>
        <v>0.1</v>
      </c>
      <c r="H243" s="26" cm="1">
        <f t="array" ref="H243">Common_InputFunctions.Utility_DisplayArrayInTable(Common_SourceData.Common_SourceData_MCFTemperatureZone_Data(),Table_SourceData_Common_MCFTemperatureZone[[#Headers],[Temperature zone]],0)</f>
        <v>0.28999999999999998</v>
      </c>
      <c r="I243" s="26" cm="1">
        <f t="array" ref="I243">Common_InputFunctions.Utility_DisplayArrayInTable(Common_SourceData.Common_SourceData_MCFTemperatureZone_Data(),Table_SourceData_Common_MCFTemperatureZone[[#Headers],[Temperature zone]],0)</f>
        <v>5.0000000000000001E-3</v>
      </c>
      <c r="J243" s="26" cm="1">
        <f t="array" ref="J243">Common_InputFunctions.Utility_DisplayArrayInTable(Common_SourceData.Common_SourceData_MCFTemperatureZone_Data(),Table_SourceData_Common_MCFTemperatureZone[[#Headers],[Temperature zone]],0)</f>
        <v>0.01</v>
      </c>
      <c r="K243" s="26" cm="1">
        <f t="array" ref="K243">Common_InputFunctions.Utility_DisplayArrayInTable(Common_SourceData.Common_SourceData_MCFTemperatureZone_Data(),Table_SourceData_Common_MCFTemperatureZone[[#Headers],[Temperature zone]],0)</f>
        <v>0.02</v>
      </c>
      <c r="L243" s="26" cm="1">
        <f t="array" ref="L243">Common_InputFunctions.Utility_DisplayArrayInTable(Common_SourceData.Common_SourceData_MCFTemperatureZone_Data(),Table_SourceData_Common_MCFTemperatureZone[[#Headers],[Temperature zone]],0)</f>
        <v>0.03</v>
      </c>
      <c r="M243" s="26" cm="1">
        <f t="array" ref="M243">Common_InputFunctions.Utility_DisplayArrayInTable(Common_SourceData.Common_SourceData_MCFTemperatureZone_Data(),Table_SourceData_Common_MCFTemperatureZone[[#Headers],[Temperature zone]],0)</f>
        <v>0.04</v>
      </c>
      <c r="N243" s="26" cm="1">
        <f t="array" ref="N243">Common_InputFunctions.Utility_DisplayArrayInTable(Common_SourceData.Common_SourceData_MCFTemperatureZone_Data(),Table_SourceData_Common_MCFTemperatureZone[[#Headers],[Temperature zone]],0)</f>
        <v>1.4999999999999999E-2</v>
      </c>
      <c r="O243" s="26" cm="1">
        <f t="array" ref="O243">Common_InputFunctions.Utility_DisplayArrayInTable(Common_SourceData.Common_SourceData_MCFTemperatureZone_Data(),Table_SourceData_Common_MCFTemperatureZone[[#Headers],[Temperature zone]],0)</f>
        <v>1.4999999999999999E-2</v>
      </c>
      <c r="P243" s="26" cm="1">
        <f t="array" ref="P243">Common_InputFunctions.Utility_DisplayArrayInTable(Common_SourceData.Common_SourceData_MCFTemperatureZone_Data(),Table_SourceData_Common_MCFTemperatureZone[[#Headers],[Temperature zone]],0)</f>
        <v>0</v>
      </c>
      <c r="Q243" s="26" cm="1">
        <f t="array" ref="Q243">Common_InputFunctions.Utility_DisplayArrayInTable(Common_SourceData.Common_SourceData_MCFTemperatureZone_Data(),Table_SourceData_Common_MCFTemperatureZone[[#Headers],[Temperature zone]],0)</f>
        <v>0</v>
      </c>
      <c r="R243" s="26" cm="1">
        <f t="array" ref="R243">Common_InputFunctions.Utility_DisplayArrayInTable(Common_SourceData.Common_SourceData_MCFTemperatureZone_Data(),Table_SourceData_Common_MCFTemperatureZone[[#Headers],[Temperature zone]],0)</f>
        <v>4.7000000000000002E-3</v>
      </c>
      <c r="S243" s="26"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26" cm="1">
        <f t="array" ref="E244">Common_InputFunctions.Utility_DisplayArrayInTable(Common_SourceData.Common_SourceData_MCFTemperatureZone_Data(),Table_SourceData_Common_MCFTemperatureZone[[#Headers],[Temperature zone]],0)</f>
        <v>22</v>
      </c>
      <c r="F244" s="26" cm="1">
        <f t="array" ref="F244">Common_InputFunctions.Utility_DisplayArrayInTable(Common_SourceData.Common_SourceData_MCFTemperatureZone_Data(),Table_SourceData_Common_MCFTemperatureZone[[#Headers],[Temperature zone]],0)</f>
        <v>0.78</v>
      </c>
      <c r="G244" s="26" cm="1">
        <f t="array" ref="G244">Common_InputFunctions.Utility_DisplayArrayInTable(Common_SourceData.Common_SourceData_MCFTemperatureZone_Data(),Table_SourceData_Common_MCFTemperatureZone[[#Headers],[Temperature zone]],0)</f>
        <v>0.1</v>
      </c>
      <c r="H244" s="26" cm="1">
        <f t="array" ref="H244">Common_InputFunctions.Utility_DisplayArrayInTable(Common_SourceData.Common_SourceData_MCFTemperatureZone_Data(),Table_SourceData_Common_MCFTemperatureZone[[#Headers],[Temperature zone]],0)</f>
        <v>0.31</v>
      </c>
      <c r="I244" s="26" cm="1">
        <f t="array" ref="I244">Common_InputFunctions.Utility_DisplayArrayInTable(Common_SourceData.Common_SourceData_MCFTemperatureZone_Data(),Table_SourceData_Common_MCFTemperatureZone[[#Headers],[Temperature zone]],0)</f>
        <v>5.0000000000000001E-3</v>
      </c>
      <c r="J244" s="26" cm="1">
        <f t="array" ref="J244">Common_InputFunctions.Utility_DisplayArrayInTable(Common_SourceData.Common_SourceData_MCFTemperatureZone_Data(),Table_SourceData_Common_MCFTemperatureZone[[#Headers],[Temperature zone]],0)</f>
        <v>0.01</v>
      </c>
      <c r="K244" s="26" cm="1">
        <f t="array" ref="K244">Common_InputFunctions.Utility_DisplayArrayInTable(Common_SourceData.Common_SourceData_MCFTemperatureZone_Data(),Table_SourceData_Common_MCFTemperatureZone[[#Headers],[Temperature zone]],0)</f>
        <v>0.02</v>
      </c>
      <c r="L244" s="26" cm="1">
        <f t="array" ref="L244">Common_InputFunctions.Utility_DisplayArrayInTable(Common_SourceData.Common_SourceData_MCFTemperatureZone_Data(),Table_SourceData_Common_MCFTemperatureZone[[#Headers],[Temperature zone]],0)</f>
        <v>0.03</v>
      </c>
      <c r="M244" s="26" cm="1">
        <f t="array" ref="M244">Common_InputFunctions.Utility_DisplayArrayInTable(Common_SourceData.Common_SourceData_MCFTemperatureZone_Data(),Table_SourceData_Common_MCFTemperatureZone[[#Headers],[Temperature zone]],0)</f>
        <v>0.04</v>
      </c>
      <c r="N244" s="26" cm="1">
        <f t="array" ref="N244">Common_InputFunctions.Utility_DisplayArrayInTable(Common_SourceData.Common_SourceData_MCFTemperatureZone_Data(),Table_SourceData_Common_MCFTemperatureZone[[#Headers],[Temperature zone]],0)</f>
        <v>1.4999999999999999E-2</v>
      </c>
      <c r="O244" s="26" cm="1">
        <f t="array" ref="O244">Common_InputFunctions.Utility_DisplayArrayInTable(Common_SourceData.Common_SourceData_MCFTemperatureZone_Data(),Table_SourceData_Common_MCFTemperatureZone[[#Headers],[Temperature zone]],0)</f>
        <v>1.4999999999999999E-2</v>
      </c>
      <c r="P244" s="26" cm="1">
        <f t="array" ref="P244">Common_InputFunctions.Utility_DisplayArrayInTable(Common_SourceData.Common_SourceData_MCFTemperatureZone_Data(),Table_SourceData_Common_MCFTemperatureZone[[#Headers],[Temperature zone]],0)</f>
        <v>0</v>
      </c>
      <c r="Q244" s="26" cm="1">
        <f t="array" ref="Q244">Common_InputFunctions.Utility_DisplayArrayInTable(Common_SourceData.Common_SourceData_MCFTemperatureZone_Data(),Table_SourceData_Common_MCFTemperatureZone[[#Headers],[Temperature zone]],0)</f>
        <v>0</v>
      </c>
      <c r="R244" s="26" cm="1">
        <f t="array" ref="R244">Common_InputFunctions.Utility_DisplayArrayInTable(Common_SourceData.Common_SourceData_MCFTemperatureZone_Data(),Table_SourceData_Common_MCFTemperatureZone[[#Headers],[Temperature zone]],0)</f>
        <v>4.7000000000000002E-3</v>
      </c>
      <c r="S244" s="26"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26" cm="1">
        <f t="array" ref="E245">Common_InputFunctions.Utility_DisplayArrayInTable(Common_SourceData.Common_SourceData_MCFTemperatureZone_Data(),Table_SourceData_Common_MCFTemperatureZone[[#Headers],[Temperature zone]],0)</f>
        <v>23</v>
      </c>
      <c r="F245" s="26" cm="1">
        <f t="array" ref="F245">Common_InputFunctions.Utility_DisplayArrayInTable(Common_SourceData.Common_SourceData_MCFTemperatureZone_Data(),Table_SourceData_Common_MCFTemperatureZone[[#Headers],[Temperature zone]],0)</f>
        <v>0.79</v>
      </c>
      <c r="G245" s="26" cm="1">
        <f t="array" ref="G245">Common_InputFunctions.Utility_DisplayArrayInTable(Common_SourceData.Common_SourceData_MCFTemperatureZone_Data(),Table_SourceData_Common_MCFTemperatureZone[[#Headers],[Temperature zone]],0)</f>
        <v>0.1</v>
      </c>
      <c r="H245" s="26" cm="1">
        <f t="array" ref="H245">Common_InputFunctions.Utility_DisplayArrayInTable(Common_SourceData.Common_SourceData_MCFTemperatureZone_Data(),Table_SourceData_Common_MCFTemperatureZone[[#Headers],[Temperature zone]],0)</f>
        <v>0.34</v>
      </c>
      <c r="I245" s="26" cm="1">
        <f t="array" ref="I245">Common_InputFunctions.Utility_DisplayArrayInTable(Common_SourceData.Common_SourceData_MCFTemperatureZone_Data(),Table_SourceData_Common_MCFTemperatureZone[[#Headers],[Temperature zone]],0)</f>
        <v>5.0000000000000001E-3</v>
      </c>
      <c r="J245" s="26" cm="1">
        <f t="array" ref="J245">Common_InputFunctions.Utility_DisplayArrayInTable(Common_SourceData.Common_SourceData_MCFTemperatureZone_Data(),Table_SourceData_Common_MCFTemperatureZone[[#Headers],[Temperature zone]],0)</f>
        <v>0.01</v>
      </c>
      <c r="K245" s="26" cm="1">
        <f t="array" ref="K245">Common_InputFunctions.Utility_DisplayArrayInTable(Common_SourceData.Common_SourceData_MCFTemperatureZone_Data(),Table_SourceData_Common_MCFTemperatureZone[[#Headers],[Temperature zone]],0)</f>
        <v>0.02</v>
      </c>
      <c r="L245" s="26" cm="1">
        <f t="array" ref="L245">Common_InputFunctions.Utility_DisplayArrayInTable(Common_SourceData.Common_SourceData_MCFTemperatureZone_Data(),Table_SourceData_Common_MCFTemperatureZone[[#Headers],[Temperature zone]],0)</f>
        <v>0.03</v>
      </c>
      <c r="M245" s="26" cm="1">
        <f t="array" ref="M245">Common_InputFunctions.Utility_DisplayArrayInTable(Common_SourceData.Common_SourceData_MCFTemperatureZone_Data(),Table_SourceData_Common_MCFTemperatureZone[[#Headers],[Temperature zone]],0)</f>
        <v>0.04</v>
      </c>
      <c r="N245" s="26" cm="1">
        <f t="array" ref="N245">Common_InputFunctions.Utility_DisplayArrayInTable(Common_SourceData.Common_SourceData_MCFTemperatureZone_Data(),Table_SourceData_Common_MCFTemperatureZone[[#Headers],[Temperature zone]],0)</f>
        <v>1.4999999999999999E-2</v>
      </c>
      <c r="O245" s="26" cm="1">
        <f t="array" ref="O245">Common_InputFunctions.Utility_DisplayArrayInTable(Common_SourceData.Common_SourceData_MCFTemperatureZone_Data(),Table_SourceData_Common_MCFTemperatureZone[[#Headers],[Temperature zone]],0)</f>
        <v>1.4999999999999999E-2</v>
      </c>
      <c r="P245" s="26" cm="1">
        <f t="array" ref="P245">Common_InputFunctions.Utility_DisplayArrayInTable(Common_SourceData.Common_SourceData_MCFTemperatureZone_Data(),Table_SourceData_Common_MCFTemperatureZone[[#Headers],[Temperature zone]],0)</f>
        <v>0</v>
      </c>
      <c r="Q245" s="26" cm="1">
        <f t="array" ref="Q245">Common_InputFunctions.Utility_DisplayArrayInTable(Common_SourceData.Common_SourceData_MCFTemperatureZone_Data(),Table_SourceData_Common_MCFTemperatureZone[[#Headers],[Temperature zone]],0)</f>
        <v>0</v>
      </c>
      <c r="R245" s="26" cm="1">
        <f t="array" ref="R245">Common_InputFunctions.Utility_DisplayArrayInTable(Common_SourceData.Common_SourceData_MCFTemperatureZone_Data(),Table_SourceData_Common_MCFTemperatureZone[[#Headers],[Temperature zone]],0)</f>
        <v>4.7000000000000002E-3</v>
      </c>
      <c r="S245" s="26"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26" cm="1">
        <f t="array" ref="E246">Common_InputFunctions.Utility_DisplayArrayInTable(Common_SourceData.Common_SourceData_MCFTemperatureZone_Data(),Table_SourceData_Common_MCFTemperatureZone[[#Headers],[Temperature zone]],0)</f>
        <v>24</v>
      </c>
      <c r="F246" s="26" cm="1">
        <f t="array" ref="F246">Common_InputFunctions.Utility_DisplayArrayInTable(Common_SourceData.Common_SourceData_MCFTemperatureZone_Data(),Table_SourceData_Common_MCFTemperatureZone[[#Headers],[Temperature zone]],0)</f>
        <v>0.79</v>
      </c>
      <c r="G246" s="26" cm="1">
        <f t="array" ref="G246">Common_InputFunctions.Utility_DisplayArrayInTable(Common_SourceData.Common_SourceData_MCFTemperatureZone_Data(),Table_SourceData_Common_MCFTemperatureZone[[#Headers],[Temperature zone]],0)</f>
        <v>0.1</v>
      </c>
      <c r="H246" s="26" cm="1">
        <f t="array" ref="H246">Common_InputFunctions.Utility_DisplayArrayInTable(Common_SourceData.Common_SourceData_MCFTemperatureZone_Data(),Table_SourceData_Common_MCFTemperatureZone[[#Headers],[Temperature zone]],0)</f>
        <v>0.37</v>
      </c>
      <c r="I246" s="26" cm="1">
        <f t="array" ref="I246">Common_InputFunctions.Utility_DisplayArrayInTable(Common_SourceData.Common_SourceData_MCFTemperatureZone_Data(),Table_SourceData_Common_MCFTemperatureZone[[#Headers],[Temperature zone]],0)</f>
        <v>5.0000000000000001E-3</v>
      </c>
      <c r="J246" s="26" cm="1">
        <f t="array" ref="J246">Common_InputFunctions.Utility_DisplayArrayInTable(Common_SourceData.Common_SourceData_MCFTemperatureZone_Data(),Table_SourceData_Common_MCFTemperatureZone[[#Headers],[Temperature zone]],0)</f>
        <v>0.01</v>
      </c>
      <c r="K246" s="26" cm="1">
        <f t="array" ref="K246">Common_InputFunctions.Utility_DisplayArrayInTable(Common_SourceData.Common_SourceData_MCFTemperatureZone_Data(),Table_SourceData_Common_MCFTemperatureZone[[#Headers],[Temperature zone]],0)</f>
        <v>0.02</v>
      </c>
      <c r="L246" s="26" cm="1">
        <f t="array" ref="L246">Common_InputFunctions.Utility_DisplayArrayInTable(Common_SourceData.Common_SourceData_MCFTemperatureZone_Data(),Table_SourceData_Common_MCFTemperatureZone[[#Headers],[Temperature zone]],0)</f>
        <v>0.03</v>
      </c>
      <c r="M246" s="26" cm="1">
        <f t="array" ref="M246">Common_InputFunctions.Utility_DisplayArrayInTable(Common_SourceData.Common_SourceData_MCFTemperatureZone_Data(),Table_SourceData_Common_MCFTemperatureZone[[#Headers],[Temperature zone]],0)</f>
        <v>0.04</v>
      </c>
      <c r="N246" s="26" cm="1">
        <f t="array" ref="N246">Common_InputFunctions.Utility_DisplayArrayInTable(Common_SourceData.Common_SourceData_MCFTemperatureZone_Data(),Table_SourceData_Common_MCFTemperatureZone[[#Headers],[Temperature zone]],0)</f>
        <v>1.4999999999999999E-2</v>
      </c>
      <c r="O246" s="26" cm="1">
        <f t="array" ref="O246">Common_InputFunctions.Utility_DisplayArrayInTable(Common_SourceData.Common_SourceData_MCFTemperatureZone_Data(),Table_SourceData_Common_MCFTemperatureZone[[#Headers],[Temperature zone]],0)</f>
        <v>1.4999999999999999E-2</v>
      </c>
      <c r="P246" s="26" cm="1">
        <f t="array" ref="P246">Common_InputFunctions.Utility_DisplayArrayInTable(Common_SourceData.Common_SourceData_MCFTemperatureZone_Data(),Table_SourceData_Common_MCFTemperatureZone[[#Headers],[Temperature zone]],0)</f>
        <v>0</v>
      </c>
      <c r="Q246" s="26" cm="1">
        <f t="array" ref="Q246">Common_InputFunctions.Utility_DisplayArrayInTable(Common_SourceData.Common_SourceData_MCFTemperatureZone_Data(),Table_SourceData_Common_MCFTemperatureZone[[#Headers],[Temperature zone]],0)</f>
        <v>0</v>
      </c>
      <c r="R246" s="26" cm="1">
        <f t="array" ref="R246">Common_InputFunctions.Utility_DisplayArrayInTable(Common_SourceData.Common_SourceData_MCFTemperatureZone_Data(),Table_SourceData_Common_MCFTemperatureZone[[#Headers],[Temperature zone]],0)</f>
        <v>4.7000000000000002E-3</v>
      </c>
      <c r="S246" s="26"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26" cm="1">
        <f t="array" ref="E247">Common_InputFunctions.Utility_DisplayArrayInTable(Common_SourceData.Common_SourceData_MCFTemperatureZone_Data(),Table_SourceData_Common_MCFTemperatureZone[[#Headers],[Temperature zone]],0)</f>
        <v>25</v>
      </c>
      <c r="F247" s="26" cm="1">
        <f t="array" ref="F247">Common_InputFunctions.Utility_DisplayArrayInTable(Common_SourceData.Common_SourceData_MCFTemperatureZone_Data(),Table_SourceData_Common_MCFTemperatureZone[[#Headers],[Temperature zone]],0)</f>
        <v>0.79</v>
      </c>
      <c r="G247" s="26" cm="1">
        <f t="array" ref="G247">Common_InputFunctions.Utility_DisplayArrayInTable(Common_SourceData.Common_SourceData_MCFTemperatureZone_Data(),Table_SourceData_Common_MCFTemperatureZone[[#Headers],[Temperature zone]],0)</f>
        <v>0.1</v>
      </c>
      <c r="H247" s="26" cm="1">
        <f t="array" ref="H247">Common_InputFunctions.Utility_DisplayArrayInTable(Common_SourceData.Common_SourceData_MCFTemperatureZone_Data(),Table_SourceData_Common_MCFTemperatureZone[[#Headers],[Temperature zone]],0)</f>
        <v>0.41</v>
      </c>
      <c r="I247" s="26" cm="1">
        <f t="array" ref="I247">Common_InputFunctions.Utility_DisplayArrayInTable(Common_SourceData.Common_SourceData_MCFTemperatureZone_Data(),Table_SourceData_Common_MCFTemperatureZone[[#Headers],[Temperature zone]],0)</f>
        <v>5.0000000000000001E-3</v>
      </c>
      <c r="J247" s="26" cm="1">
        <f t="array" ref="J247">Common_InputFunctions.Utility_DisplayArrayInTable(Common_SourceData.Common_SourceData_MCFTemperatureZone_Data(),Table_SourceData_Common_MCFTemperatureZone[[#Headers],[Temperature zone]],0)</f>
        <v>0.01</v>
      </c>
      <c r="K247" s="26" cm="1">
        <f t="array" ref="K247">Common_InputFunctions.Utility_DisplayArrayInTable(Common_SourceData.Common_SourceData_MCFTemperatureZone_Data(),Table_SourceData_Common_MCFTemperatureZone[[#Headers],[Temperature zone]],0)</f>
        <v>0.02</v>
      </c>
      <c r="L247" s="26" cm="1">
        <f t="array" ref="L247">Common_InputFunctions.Utility_DisplayArrayInTable(Common_SourceData.Common_SourceData_MCFTemperatureZone_Data(),Table_SourceData_Common_MCFTemperatureZone[[#Headers],[Temperature zone]],0)</f>
        <v>0.03</v>
      </c>
      <c r="M247" s="26" cm="1">
        <f t="array" ref="M247">Common_InputFunctions.Utility_DisplayArrayInTable(Common_SourceData.Common_SourceData_MCFTemperatureZone_Data(),Table_SourceData_Common_MCFTemperatureZone[[#Headers],[Temperature zone]],0)</f>
        <v>0.04</v>
      </c>
      <c r="N247" s="26" cm="1">
        <f t="array" ref="N247">Common_InputFunctions.Utility_DisplayArrayInTable(Common_SourceData.Common_SourceData_MCFTemperatureZone_Data(),Table_SourceData_Common_MCFTemperatureZone[[#Headers],[Temperature zone]],0)</f>
        <v>1.4999999999999999E-2</v>
      </c>
      <c r="O247" s="26" cm="1">
        <f t="array" ref="O247">Common_InputFunctions.Utility_DisplayArrayInTable(Common_SourceData.Common_SourceData_MCFTemperatureZone_Data(),Table_SourceData_Common_MCFTemperatureZone[[#Headers],[Temperature zone]],0)</f>
        <v>1.4999999999999999E-2</v>
      </c>
      <c r="P247" s="26" cm="1">
        <f t="array" ref="P247">Common_InputFunctions.Utility_DisplayArrayInTable(Common_SourceData.Common_SourceData_MCFTemperatureZone_Data(),Table_SourceData_Common_MCFTemperatureZone[[#Headers],[Temperature zone]],0)</f>
        <v>0</v>
      </c>
      <c r="Q247" s="26" cm="1">
        <f t="array" ref="Q247">Common_InputFunctions.Utility_DisplayArrayInTable(Common_SourceData.Common_SourceData_MCFTemperatureZone_Data(),Table_SourceData_Common_MCFTemperatureZone[[#Headers],[Temperature zone]],0)</f>
        <v>0</v>
      </c>
      <c r="R247" s="26" cm="1">
        <f t="array" ref="R247">Common_InputFunctions.Utility_DisplayArrayInTable(Common_SourceData.Common_SourceData_MCFTemperatureZone_Data(),Table_SourceData_Common_MCFTemperatureZone[[#Headers],[Temperature zone]],0)</f>
        <v>4.7000000000000002E-3</v>
      </c>
      <c r="S247" s="26"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26" cm="1">
        <f t="array" ref="E248">Common_InputFunctions.Utility_DisplayArrayInTable(Common_SourceData.Common_SourceData_MCFTemperatureZone_Data(),Table_SourceData_Common_MCFTemperatureZone[[#Headers],[Temperature zone]],0)</f>
        <v>26</v>
      </c>
      <c r="F248" s="26" cm="1">
        <f t="array" ref="F248">Common_InputFunctions.Utility_DisplayArrayInTable(Common_SourceData.Common_SourceData_MCFTemperatureZone_Data(),Table_SourceData_Common_MCFTemperatureZone[[#Headers],[Temperature zone]],0)</f>
        <v>0.79</v>
      </c>
      <c r="G248" s="26" cm="1">
        <f t="array" ref="G248">Common_InputFunctions.Utility_DisplayArrayInTable(Common_SourceData.Common_SourceData_MCFTemperatureZone_Data(),Table_SourceData_Common_MCFTemperatureZone[[#Headers],[Temperature zone]],0)</f>
        <v>0.1</v>
      </c>
      <c r="H248" s="26" cm="1">
        <f t="array" ref="H248">Common_InputFunctions.Utility_DisplayArrayInTable(Common_SourceData.Common_SourceData_MCFTemperatureZone_Data(),Table_SourceData_Common_MCFTemperatureZone[[#Headers],[Temperature zone]],0)</f>
        <v>0.44</v>
      </c>
      <c r="I248" s="26" cm="1">
        <f t="array" ref="I248">Common_InputFunctions.Utility_DisplayArrayInTable(Common_SourceData.Common_SourceData_MCFTemperatureZone_Data(),Table_SourceData_Common_MCFTemperatureZone[[#Headers],[Temperature zone]],0)</f>
        <v>0.01</v>
      </c>
      <c r="J248" s="26" cm="1">
        <f t="array" ref="J248">Common_InputFunctions.Utility_DisplayArrayInTable(Common_SourceData.Common_SourceData_MCFTemperatureZone_Data(),Table_SourceData_Common_MCFTemperatureZone[[#Headers],[Temperature zone]],0)</f>
        <v>1.4999999999999999E-2</v>
      </c>
      <c r="K248" s="26" cm="1">
        <f t="array" ref="K248">Common_InputFunctions.Utility_DisplayArrayInTable(Common_SourceData.Common_SourceData_MCFTemperatureZone_Data(),Table_SourceData_Common_MCFTemperatureZone[[#Headers],[Temperature zone]],0)</f>
        <v>0.02</v>
      </c>
      <c r="L248" s="26" cm="1">
        <f t="array" ref="L248">Common_InputFunctions.Utility_DisplayArrayInTable(Common_SourceData.Common_SourceData_MCFTemperatureZone_Data(),Table_SourceData_Common_MCFTemperatureZone[[#Headers],[Temperature zone]],0)</f>
        <v>0.03</v>
      </c>
      <c r="M248" s="26" cm="1">
        <f t="array" ref="M248">Common_InputFunctions.Utility_DisplayArrayInTable(Common_SourceData.Common_SourceData_MCFTemperatureZone_Data(),Table_SourceData_Common_MCFTemperatureZone[[#Headers],[Temperature zone]],0)</f>
        <v>0.04</v>
      </c>
      <c r="N248" s="26" cm="1">
        <f t="array" ref="N248">Common_InputFunctions.Utility_DisplayArrayInTable(Common_SourceData.Common_SourceData_MCFTemperatureZone_Data(),Table_SourceData_Common_MCFTemperatureZone[[#Headers],[Temperature zone]],0)</f>
        <v>1.4999999999999999E-2</v>
      </c>
      <c r="O248" s="26" cm="1">
        <f t="array" ref="O248">Common_InputFunctions.Utility_DisplayArrayInTable(Common_SourceData.Common_SourceData_MCFTemperatureZone_Data(),Table_SourceData_Common_MCFTemperatureZone[[#Headers],[Temperature zone]],0)</f>
        <v>1.4999999999999999E-2</v>
      </c>
      <c r="P248" s="26" cm="1">
        <f t="array" ref="P248">Common_InputFunctions.Utility_DisplayArrayInTable(Common_SourceData.Common_SourceData_MCFTemperatureZone_Data(),Table_SourceData_Common_MCFTemperatureZone[[#Headers],[Temperature zone]],0)</f>
        <v>0</v>
      </c>
      <c r="Q248" s="26" cm="1">
        <f t="array" ref="Q248">Common_InputFunctions.Utility_DisplayArrayInTable(Common_SourceData.Common_SourceData_MCFTemperatureZone_Data(),Table_SourceData_Common_MCFTemperatureZone[[#Headers],[Temperature zone]],0)</f>
        <v>0</v>
      </c>
      <c r="R248" s="26" cm="1">
        <f t="array" ref="R248">Common_InputFunctions.Utility_DisplayArrayInTable(Common_SourceData.Common_SourceData_MCFTemperatureZone_Data(),Table_SourceData_Common_MCFTemperatureZone[[#Headers],[Temperature zone]],0)</f>
        <v>4.7000000000000002E-3</v>
      </c>
      <c r="S248" s="26"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26" cm="1">
        <f t="array" ref="E249">Common_InputFunctions.Utility_DisplayArrayInTable(Common_SourceData.Common_SourceData_MCFTemperatureZone_Data(),Table_SourceData_Common_MCFTemperatureZone[[#Headers],[Temperature zone]],0)</f>
        <v>27</v>
      </c>
      <c r="F249" s="26" cm="1">
        <f t="array" ref="F249">Common_InputFunctions.Utility_DisplayArrayInTable(Common_SourceData.Common_SourceData_MCFTemperatureZone_Data(),Table_SourceData_Common_MCFTemperatureZone[[#Headers],[Temperature zone]],0)</f>
        <v>0.8</v>
      </c>
      <c r="G249" s="26" cm="1">
        <f t="array" ref="G249">Common_InputFunctions.Utility_DisplayArrayInTable(Common_SourceData.Common_SourceData_MCFTemperatureZone_Data(),Table_SourceData_Common_MCFTemperatureZone[[#Headers],[Temperature zone]],0)</f>
        <v>0.1</v>
      </c>
      <c r="H249" s="26" cm="1">
        <f t="array" ref="H249">Common_InputFunctions.Utility_DisplayArrayInTable(Common_SourceData.Common_SourceData_MCFTemperatureZone_Data(),Table_SourceData_Common_MCFTemperatureZone[[#Headers],[Temperature zone]],0)</f>
        <v>0.48</v>
      </c>
      <c r="I249" s="26" cm="1">
        <f t="array" ref="I249">Common_InputFunctions.Utility_DisplayArrayInTable(Common_SourceData.Common_SourceData_MCFTemperatureZone_Data(),Table_SourceData_Common_MCFTemperatureZone[[#Headers],[Temperature zone]],0)</f>
        <v>0.01</v>
      </c>
      <c r="J249" s="26" cm="1">
        <f t="array" ref="J249">Common_InputFunctions.Utility_DisplayArrayInTable(Common_SourceData.Common_SourceData_MCFTemperatureZone_Data(),Table_SourceData_Common_MCFTemperatureZone[[#Headers],[Temperature zone]],0)</f>
        <v>1.4999999999999999E-2</v>
      </c>
      <c r="K249" s="26" cm="1">
        <f t="array" ref="K249">Common_InputFunctions.Utility_DisplayArrayInTable(Common_SourceData.Common_SourceData_MCFTemperatureZone_Data(),Table_SourceData_Common_MCFTemperatureZone[[#Headers],[Temperature zone]],0)</f>
        <v>0.02</v>
      </c>
      <c r="L249" s="26" cm="1">
        <f t="array" ref="L249">Common_InputFunctions.Utility_DisplayArrayInTable(Common_SourceData.Common_SourceData_MCFTemperatureZone_Data(),Table_SourceData_Common_MCFTemperatureZone[[#Headers],[Temperature zone]],0)</f>
        <v>0.03</v>
      </c>
      <c r="M249" s="26" cm="1">
        <f t="array" ref="M249">Common_InputFunctions.Utility_DisplayArrayInTable(Common_SourceData.Common_SourceData_MCFTemperatureZone_Data(),Table_SourceData_Common_MCFTemperatureZone[[#Headers],[Temperature zone]],0)</f>
        <v>0.04</v>
      </c>
      <c r="N249" s="26" cm="1">
        <f t="array" ref="N249">Common_InputFunctions.Utility_DisplayArrayInTable(Common_SourceData.Common_SourceData_MCFTemperatureZone_Data(),Table_SourceData_Common_MCFTemperatureZone[[#Headers],[Temperature zone]],0)</f>
        <v>1.4999999999999999E-2</v>
      </c>
      <c r="O249" s="26" cm="1">
        <f t="array" ref="O249">Common_InputFunctions.Utility_DisplayArrayInTable(Common_SourceData.Common_SourceData_MCFTemperatureZone_Data(),Table_SourceData_Common_MCFTemperatureZone[[#Headers],[Temperature zone]],0)</f>
        <v>1.4999999999999999E-2</v>
      </c>
      <c r="P249" s="26" cm="1">
        <f t="array" ref="P249">Common_InputFunctions.Utility_DisplayArrayInTable(Common_SourceData.Common_SourceData_MCFTemperatureZone_Data(),Table_SourceData_Common_MCFTemperatureZone[[#Headers],[Temperature zone]],0)</f>
        <v>0</v>
      </c>
      <c r="Q249" s="26" cm="1">
        <f t="array" ref="Q249">Common_InputFunctions.Utility_DisplayArrayInTable(Common_SourceData.Common_SourceData_MCFTemperatureZone_Data(),Table_SourceData_Common_MCFTemperatureZone[[#Headers],[Temperature zone]],0)</f>
        <v>0</v>
      </c>
      <c r="R249" s="26" cm="1">
        <f t="array" ref="R249">Common_InputFunctions.Utility_DisplayArrayInTable(Common_SourceData.Common_SourceData_MCFTemperatureZone_Data(),Table_SourceData_Common_MCFTemperatureZone[[#Headers],[Temperature zone]],0)</f>
        <v>4.7000000000000002E-3</v>
      </c>
      <c r="S249" s="26"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26" t="str" cm="1">
        <f t="array" ref="E250">Common_InputFunctions.Utility_DisplayArrayInTable(Common_SourceData.Common_SourceData_MCFTemperatureZone_Data(),Table_SourceData_Common_MCFTemperatureZone[[#Headers],[Temperature zone]],0)</f>
        <v>≥28</v>
      </c>
      <c r="F250" s="26" cm="1">
        <f t="array" ref="F250">Common_InputFunctions.Utility_DisplayArrayInTable(Common_SourceData.Common_SourceData_MCFTemperatureZone_Data(),Table_SourceData_Common_MCFTemperatureZone[[#Headers],[Temperature zone]],0)</f>
        <v>0.8</v>
      </c>
      <c r="G250" s="26" cm="1">
        <f t="array" ref="G250">Common_InputFunctions.Utility_DisplayArrayInTable(Common_SourceData.Common_SourceData_MCFTemperatureZone_Data(),Table_SourceData_Common_MCFTemperatureZone[[#Headers],[Temperature zone]],0)</f>
        <v>0.1</v>
      </c>
      <c r="H250" s="26" cm="1">
        <f t="array" ref="H250">Common_InputFunctions.Utility_DisplayArrayInTable(Common_SourceData.Common_SourceData_MCFTemperatureZone_Data(),Table_SourceData_Common_MCFTemperatureZone[[#Headers],[Temperature zone]],0)</f>
        <v>0.5</v>
      </c>
      <c r="I250" s="26" cm="1">
        <f t="array" ref="I250">Common_InputFunctions.Utility_DisplayArrayInTable(Common_SourceData.Common_SourceData_MCFTemperatureZone_Data(),Table_SourceData_Common_MCFTemperatureZone[[#Headers],[Temperature zone]],0)</f>
        <v>0.01</v>
      </c>
      <c r="J250" s="26" cm="1">
        <f t="array" ref="J250">Common_InputFunctions.Utility_DisplayArrayInTable(Common_SourceData.Common_SourceData_MCFTemperatureZone_Data(),Table_SourceData_Common_MCFTemperatureZone[[#Headers],[Temperature zone]],0)</f>
        <v>1.4999999999999999E-2</v>
      </c>
      <c r="K250" s="26" cm="1">
        <f t="array" ref="K250">Common_InputFunctions.Utility_DisplayArrayInTable(Common_SourceData.Common_SourceData_MCFTemperatureZone_Data(),Table_SourceData_Common_MCFTemperatureZone[[#Headers],[Temperature zone]],0)</f>
        <v>0.02</v>
      </c>
      <c r="L250" s="26" cm="1">
        <f t="array" ref="L250">Common_InputFunctions.Utility_DisplayArrayInTable(Common_SourceData.Common_SourceData_MCFTemperatureZone_Data(),Table_SourceData_Common_MCFTemperatureZone[[#Headers],[Temperature zone]],0)</f>
        <v>0.03</v>
      </c>
      <c r="M250" s="26" cm="1">
        <f t="array" ref="M250">Common_InputFunctions.Utility_DisplayArrayInTable(Common_SourceData.Common_SourceData_MCFTemperatureZone_Data(),Table_SourceData_Common_MCFTemperatureZone[[#Headers],[Temperature zone]],0)</f>
        <v>0.04</v>
      </c>
      <c r="N250" s="26" cm="1">
        <f t="array" ref="N250">Common_InputFunctions.Utility_DisplayArrayInTable(Common_SourceData.Common_SourceData_MCFTemperatureZone_Data(),Table_SourceData_Common_MCFTemperatureZone[[#Headers],[Temperature zone]],0)</f>
        <v>1.4999999999999999E-2</v>
      </c>
      <c r="O250" s="26" cm="1">
        <f t="array" ref="O250">Common_InputFunctions.Utility_DisplayArrayInTable(Common_SourceData.Common_SourceData_MCFTemperatureZone_Data(),Table_SourceData_Common_MCFTemperatureZone[[#Headers],[Temperature zone]],0)</f>
        <v>1.4999999999999999E-2</v>
      </c>
      <c r="P250" s="26" cm="1">
        <f t="array" ref="P250">Common_InputFunctions.Utility_DisplayArrayInTable(Common_SourceData.Common_SourceData_MCFTemperatureZone_Data(),Table_SourceData_Common_MCFTemperatureZone[[#Headers],[Temperature zone]],0)</f>
        <v>0</v>
      </c>
      <c r="Q250" s="26" cm="1">
        <f t="array" ref="Q250">Common_InputFunctions.Utility_DisplayArrayInTable(Common_SourceData.Common_SourceData_MCFTemperatureZone_Data(),Table_SourceData_Common_MCFTemperatureZone[[#Headers],[Temperature zone]],0)</f>
        <v>0</v>
      </c>
      <c r="R250" s="26" cm="1">
        <f t="array" ref="R250">Common_InputFunctions.Utility_DisplayArrayInTable(Common_SourceData.Common_SourceData_MCFTemperatureZone_Data(),Table_SourceData_Common_MCFTemperatureZone[[#Headers],[Temperature zone]],0)</f>
        <v>4.7000000000000002E-3</v>
      </c>
      <c r="S250" s="26" cm="1">
        <f t="array" ref="S250">Common_InputFunctions.Utility_DisplayArrayInTable(Common_SourceData.Common_SourceData_MCFTemperatureZone_Data(),Table_SourceData_Common_MCFTemperatureZone[[#Headers],[Temperature zone]],0)</f>
        <v>28</v>
      </c>
    </row>
    <row r="253" spans="4:19" ht="23.25" x14ac:dyDescent="0.25">
      <c r="D253" s="5" t="str" cm="1">
        <f t="array" ref="D253">Common_SourceData.Common_SourceData_EFOrganicFertiliserAndCropResidues_Title()</f>
        <v>Emission factor for organic fertiliser and crop residues returned to the soil</v>
      </c>
    </row>
    <row r="254" spans="4:19" x14ac:dyDescent="0.25">
      <c r="D254" s="4"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30" t="str" cm="1">
        <f t="array" ref="D256">Common_SourceData.Common_SourceData_EFOrganicFertiliserAndCropResidues_Unit()</f>
        <v>kg N2O - N / kg N</v>
      </c>
    </row>
    <row r="257" spans="4:5" x14ac:dyDescent="0.25">
      <c r="D257" s="26" t="s">
        <v>78</v>
      </c>
      <c r="E257" s="26" t="s">
        <v>79</v>
      </c>
    </row>
    <row r="258" spans="4:5" x14ac:dyDescent="0.25">
      <c r="D258" s="26" t="str" cm="1">
        <f t="array" ref="D258">Common_InputFunctions.Utility_DisplayArrayInTable(Common_SourceData.Common_SourceData_EFOrganicFertiliserAndCropResidues_Data(), Table_SourceData_Common_EFOrganicFertCropResidues[[#Headers],[Climate Zone]], 0)</f>
        <v>Wet climate zone</v>
      </c>
      <c r="E258" s="26"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26"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XABuACIAfQAsAHsAIgBwAGEAdABoACIAOgAiAC8AcAByAG8AagBlAGMAdABzAC8AQwBvAG0AbQBvAG4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ZQBuAHQAZQByAHAAcgBpAHMAZQAgAHQAeQBwAGUAcwBcAG4ARQB4AGMAZQBsACAAbQBvAGQAdQBsAGUAIABuAGEAbQBlADoAIABDAG8AbQBtAG8AbgBfAFMAbwB1AHIAYwBlAEQAYQB0AGE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EMAbwBtAG0AbwBuAF8AUwBvAHUAcgBjAGUARABhAHQAYQBfAEQAZQBuAHMAaQB0AHkATwBmAE0AZQB0AGgAYQBuAGUAXABuAHAAIAA9ACAAZABlAG4AcwBpAHQAeQAgAG8AZgAgAG0AZQB0AGgAYQBuAGUAIAAoADAALgA2ADcAOAA0ACAAawBnAC8AbQAzACkAXABuAFQAYQBrAGUAbgAgAGYAcgBvAG0AIAB0AGgAZQAgAE4AYQB0AGkAbwBuAGEAbAAgAEcAcgBlAGUAbgBoAG8AdQBzAGUAIABhAG4AZAAgAEUAbgBlAHIAZwB5ACAAUgBlAHAAbwByAHQAaQBuAGcAIABcAG4AKABNAGUAYQBzAHUAcgBlAG0AZQBuAHQAKQAgAEQAZQB0AGUAcgBtAGkAbgBhAHQAaQBvAG4AIAAyADAAMAA4AFwAbgAtAC0ALQAtAC0ALQAtAC0ALQAtAC0ALQAtAC0ALQAtAC0ALQAtAC0ALQAtAC0ALQAtAC0ALQAtAC0ALQAtAC0ALQAtAC0ALQAtAC0AXABuACoALwBcAG4AXABuAEMAbwBtAG0AbwBuAF8AUwBvAHUAcgBjAGUARABhAHQAYQBfAEQAZQBuAHMAaQB0AHkATwBmAE0AZQB0AGgAYQBuAGUAXwBUAGkAdABsAGUAXABuACAAIAA9AEwAQQBNAEIARABBACgAXAAiAHAAIAA9ACAAZABlAG4AcwBpAHQAeQAgAG8AZgAgAG0AZQB0AGgAYQBuAGUAXAAiACkAOwBcAG4AXABuAEMAbwBtAG0AbwBuAF8AUwBvAHUAcgBjAGUARABhAHQAYQBfAEQAZQBuAHMAaQB0AHkATwBmAE0AZQB0AGgAYQBuAGUAXwBVAG4AaQB0AFwAbgAgACAAPQBMAEEATQBCAEQAQQAoAFwAIgBrAGcALwBtADMAXAAiACkAOwBcAG4AXABuAEMAbwBtAG0AbwBuAF8AUwBvAHUAcgBjAGUARABhAHQAYQBfAEQAZQBuAHMAaQB0AHkATwBmAE0AZQB0AGgAYQBuAGUAXwBTAG8AdQByAGMAZQBcAG4AIAAgAD0ATABBAE0AQgBEAEEAKABcACIATgBhAHQAaQBvAG4AYQBsACAASQBuAHYAZQBuAHQAbwByAHkAIABSAGUAcABvAHIAdAAgADIAMAAyADMAIABWAG8AbAB1AG0AZQAgADEAOgAgAEUAcQB1AGEAdABpAG8AbgBzACAAMwAuAEIALgAxAGEAXwAyACwAIAAzAC4AQgAuADEAYwBfADIALAAgADMALgBCAC4AMwBfADEALAAgADMALgBCAC4ANABnAF8AMgBcACIAKQA7AFwAbgBcAG4AQwBvAG0AbQBvAG4AXwBTAG8AdQByAGMAZQBEAGEAdABhAF8ARABlAG4AcwBpAHQAeQBPAGYATQBlAHQAaABhAG4AZQBfAEQAYQB0AGEAXABuACAAIAA9AEwAQQBNAEIARABBACgAMAAuADYANwA4ADQAKQA7AFwAbgBcAG4ALwAqACAAXABuAC0ALQAtAC0ALQAtAC0ALQAtAC0ALQAtAC0ALQAtAC0ALQAtAC0ALQAtAC0ALQAtAC0ALQAtAC0ALQAtAC0ALQAtAC0ALQAtAC0ALQBcAG4AQwBvAG0AbQBvAG4AXwBTAG8AdQByAGMAZQBEAGEAdABhAF8AQwBvAG4AdgBlAHIAdABOADIAbwBFAGwAZQBtAGUAbgB0AGEAbABUAG8ATQBvAGwAZQBjAHUAbABhAHIAQwBnAFwAbgBDAGcAIAA9ACAANAA0AC8AMgA4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QwBvAG0AbQBvAG4AXwBTAG8AdQByAGMAZQBEAGEAdABhAF8AQwBvAG4AdgBlAHIAdABOADIAbwBFAGwAZQBtAGUAbgB0AGEAbABUAG8ATQBvAGwAZQBjAHUAbABhAHIAQwBnAF8AVABpAHQAbABlAFwAbgAgACAAPQBMAEEATQBCAEQAQQAoAFwAIgBGAGEAYwB0AG8AcgAgAHQAbwAgAGMAbwBuAHYAZQByAHQAIABlAGwAZQBtAGUAbgB0AGEAbAAgAG0AYQBzAHMAIABvAGYAIABOADIATwAgAHQAbwAgAG0AbwBsAGUAYwB1AGwAYQByACAAbQBhAHMAcwBcACIAKQA7AFwAbgBcAG4AQwBvAG0AbQBvAG4AXwBTAG8AdQByAGMAZQBEAGEAdABhAF8AQwBvAG4AdgBlAHIAdABOADIAbwBFAGwAZQBtAGUAbgB0AGEAbABUAG8ATQBvAGwAZQBjAHUAbABhAHIAQwBnAF8AVgBhAHIAaQBhAGIAbABlAFwAbgAgACAAPQBMAEEATQBCAEQAQQAoAFwAIgBDAGcATgAyAE8AXAAiACkAOwBcAG4AXABuAEMAbwBtAG0AbwBuAF8AUwBvAHUAcgBjAGUARABhAHQAYQBfAEMAbwBuAHYAZQByAHQATgAyAG8ARQBsAGUAbQBlAG4AdABhAGwAVABvAE0AbwBsAGUAYwB1AGwAYQByAEMAZwBfAFUAbgBpAHQAXABuACAAIAA9AEwAQQBNAEIARABBACgAXAAiAGYAYQBjAHQAbwByAFwAIgApADsAXABuAFwAbgBDAG8AbQBtAG8AbgBfAFMAbwB1AHIAYwBlAEQAYQB0AGEAXwBDAG8AbgB2AGUAcgB0AE4AMgBvAEUAbABlAG0AZQBuAHQAYQBsAFQAbwBNAG8AbABlAGMAdQBsAGEAcgBDAGcAXwBTAG8AdQByAGMAZQBcAG4AIAAgAD0ATABBAE0AQgBEAEEAKABcACIATgBhAHQAaQBvAG4AYQBsACAASQBuAHYAZQBuAHQAbwByAHkAIABSAGUAcABvAHIAdAAgADIAMAAyADMAIABWAG8AbAB1AG0AZQAgADEAXAAiACkAOwBcAG4AXABuAEMAbwBtAG0AbwBuAF8AUwBvAHUAcgBjAGUARABhAHQAYQBfAEMAbwBuAHYAZQByAHQATgAyAG8ARQBsAGUAbQBlAG4AdABhAGwAVABvAE0AbwBsAGUAYwB1AGwAYQByAEMAZwBfAEQAYQB0AGEAXABuACAAIAA9AEwAQQBNAEIARABBACgANAA0AC8AMgA4ACkAOwBcAG4AXABuAC8AKgAgAFwAbgAtAC0ALQAtAC0ALQAtAC0ALQAtAC0ALQAtAC0ALQAtAC0ALQAtAC0ALQAtAC0ALQAtAC0ALQAtAC0ALQAtAC0ALQAtAC0ALQAtAC0AXABuAEMAbwBtAG0AbwBuAF8AUwBvAHUAcgBjAGUARABhAHQAYQBfAEMAbwBuAHYAZQByAHQARwBhAHMARQBsAGUAbQBlAG4AdABhAGwAVABvAE0AbwBsAGUAYwB1AGwAYQByAFwAbgBGAGEAYwB0AG8AcgAgAHQAbwAgAGMAbwBuAHYAZQByAHQAIABlAGwAZQBtAGUAbgB0AGEAbAAgAG0AYQBzAHMAIABvAGYAIABnAGEAcwAgAHQAbwAgAG0AbwBsAGUAYwB1AGwAYQByACAAbQBhAHMAcwBcAG4ALQAtAC0ALQAtAC0ALQAtAC0ALQAtAC0ALQAtAC0ALQAtAC0ALQAtAC0ALQAtAC0ALQAtAC0ALQAtAC0ALQAtAC0ALQAtAC0ALQAtAFwAbgAqAC8AXABuAFwAbgBDAG8AbQBtAG8AbgBfAFMAbwB1AHIAYwBlAEQAYQB0AGEAXwBDAG8AbgB2AGUAcgB0AEcAYQBzAEUAbABlAG0AZQBuAHQAYQBsAFQAbwBNAG8AbABlAGMAdQBsAGEAcgBfAFQAaQB0AGwAZQBcAG4AIAAgAD0ATABBAE0AQgBEAEEAKABcACIARgBhAGMAdABvAHIAIAB0AG8AIABjAG8AbgB2AGUAcgB0ACAAZQBsAGUAbQBlAG4AdABhAGwAIABtAGEAcwBzACAAbwBmACAAZwBhAHMAIAB0AG8AIABtAG8AbABlAGMAdQBsAGEAcgAgAG0AYQBzAHMAXAAiACkAOwBcAG4AXABuAEMAbwBtAG0AbwBuAF8AUwBvAHUAcgBjAGUARABhAHQAYQBfAEMAbwBuAHYAZQByAHQARwBhAHMARQBsAGUAbQBlAG4AdABhAGwAVABvAE0AbwBsAGUAYwB1AGwAYQByAF8AVgBhAHIAaQBhAGIAbABlAFwAbgAgACAAPQBMAEEATQBCAEQAQQAoAFwAIgBDAGcAXAAiACkAOwBcAG4AXABuAEMAbwBtAG0AbwBuAF8AUwBvAHUAcgBjAGUARABhAHQAYQBfAEMAbwBuAHYAZQByAHQARwBhAHMARQBsAGUAbQBlAG4AdABhAGwAVABvAE0AbwBsAGUAYwB1AGwAYQByAF8AVQBuAGkAdABcAG4AIAAgAD0ATABBAE0AQgBEAEEAKABcACIAZgBhAGMAdABvAHIAXAAiACkAOwBcAG4AXABuAEMAbwBtAG0AbwBuAF8AUwBvAHUAcgBjAGUARABhAHQAYQBfAEMAbwBuAHYAZQByAHQARwBhAHMARQBsAGUAbQBlAG4AdABhAGwAVABvAE0AbwBsAGUAYwB1AGwAYQByAF8AUwBvAHUAcgBjAGUAXABuACAAIAA9AEwAQQBNAEIARABBACgAXAAiAFgAWABYAFgAWABYAFgAXAAiACkAOwBcAG4AXABuAEMAbwBtAG0AbwBuAF8AUwBvAHUAcgBjAGUARABhAHQAYQBfAEMAbwBuAHYAZQByAHQARwBhAHMARQBsAGUAbQBlAG4AdABhAGwAVABvAE0AbwBsAGUAYwB1AGwAYQByAF8ARABhAHQAYQBcAG4AIAAgAD0ATABBAE0AQgBEAEEAKABcAG4AIAAgACAAIABNAEEASwBFAEEAUgBSAEEAWQAoADgALAAgADQALAAgAFwAbgAgACAAIAAgACAAIABMAEEATQBCAEQAQQAoAHIALABjACwAIABcAG4AIAAgACAAIAAgACAAIAAgAEkATgBEAEUAWAAoAHsAXABuACAAIAAgACAAIAAgACAAIAAgACAAXAAiAEcAYQBzAFwAIgAsACAAXAAiAEMAbwBuAHYAZQByAHMAaQBvAG4AIABmAGEAYwB0AG8AcgBcACIALAAgAFwAIgBDAG8AbgB2AGUAcgBzAGkAbwBuACAAZgBhAGMAdABvAHIAIAAxAFwAIgAsACAAXAAiAEMAbwBuAHYAZQByAHMAaQBvAG4AIABmAGEAYwB0AG8AcgAgADIAXAAiADsAXABuACAAIAAgACAAIAAgACAAIAAgACAAXAAiAEMATwAyAFwAIgAsACAAXAAiADQANAAvADEAMgBcACIALAAgADQANAAsACAAMQAyADsAXABuACAAIAAgACAAIAAgACAAIAAgACAAXAAiAEMASAA0AFwAIgAsACAAXAAiADEANgAvADEAMgBcACIALAAgADEANgAsACAAMQAyADsAXABuACAAIAAgACAAIAAgACAAIAAgACAAXAAiAE4AMgBPAFwAIgAsACAAXAAiADQANAAvADIAOABcACIALAAgADQANAAsACAAMgA4ADsAXABuACAAIAAgACAAIAAgACAAIAAgACAAXAAiAE4AbwB4AFwAIgAsACAAXAAiADQANgAvADEANABcACIALAAgADQANgAsACAAMQA0ADsAXABuACAAIAAgACAAIAAgACAAIAAgACAAXAAiAEMATwBcACIALAAgAFwAIgAyADgALwAxADIAXAAiACwAIAAyADgALAAgADEAMgA7AFwAbgAgACAAIAAgACAAIAAgACAAIAAgAFwAIgBDAE8AMgAgAEwAaQBtAGUAXAAiACwAIABcACIANAA0AC8AMQAyAFwAIgAsACAANAA0ACwAIAAxADIAOwBcAG4AIAAgACAAIAAgACAAIAAgACAAIABcACIATgBNAFYATwBDAFwAIgAsACAAXAAiADEANAAvADEAMgBcACIALAAgADEANAAsACAAMQAy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HAFcAUABOADIATwBcAG4ARwBsAG8AYgBhAGwAIAB3AGEAcgBtAGkAbgBnACAAcABvAHQAZQBuAHQAaQBhAGwAIABmAG8AcgAgAGcAcgBlAGUAbgBoAG8AdQBzAGUAIABnAGEAcwBlAHMAXABuAC0ALQAtAC0ALQAtAC0ALQAtAC0ALQAtAC0ALQAtAC0ALQAtAC0ALQAtAC0ALQAtAC0ALQAtAC0ALQAtAC0ALQAtAC0ALQAtAC0ALQBcAG4AKgAvAFwAbgBcAG4AQwBvAG0AbQBvAG4AXwBTAG8AdQByAGMAZQBEAGEAdABhAF8ARwBXAFAAXwBUAGkAdABsAGUAXABuACAAIAA9AEwAQQBNAEIARABBACgAXAAiAEcAbABvAGIAYQBsACAAdwBhAHIAbQBpAG4AZwAgAHAAbwB0AGUAbgB0AGkAYQBsACAAZgBvAHIAIABnAHIAZQBlAG4AaABvAHUAcwBlACAAZwBhAHMAZQBzAFwAIgApADsAXABuAFwAbgBDAG8AbQBtAG8AbgBfAFMAbwB1AHIAYwBlAEQAYQB0AGEAXwBHAFcAUABfAFYAYQByAGkAYQBiAGwAZQBcAG4AIAAgAD0ATABBAE0AQgBEAEEAKABcACIARwBXAFAATgAyAE8AXAAiACkAOwBcAG4AXABuAEMAbwBtAG0AbwBuAF8AUwBvAHUAcgBjAGUARABhAHQAYQBfAEcAVwBQAF8AVQBuAGkAdABcAG4AIAAgAD0ATABBAE0AQgBEAEEAKABcACIAZgBhAGMAdABvAHIAXAAiACkAOwBcAG4AXABuAEMAbwBtAG0AbwBuAF8AUwBvAHUAcgBjAGUARABhAHQAYQBfAEcAVwBQAF8AUwBvAHUAcgBjAGUAXABuACAAIAA9AEwAQQBNAEIARABBACgAXAAiAFgAWABYAFgAWABYAFgAXAAiACkAOwBcAG4AXABuAEMAbwBtAG0AbwBuAF8AUwBvAHUAcgBjAGUARABhAHQAYQBfAEcAVwBQAF8ARABhAHQAYQBcAG4AIAAgAD0ATABBAE0AQgBEAEEAKABcAG4AIAAgACAAIABNAEEASwBFAEEAUgBSAEEAWQAoADgALAAgADIALAAgAFwAbgAgACAAIAAgACAAIABMAEEATQBCAEQAQQAoAHIALABjACwAIABcAG4AIAAgACAAIAAgACAAIAAgAEkATgBEAEUAWAAoAHsAXABuACAAIAAgACAAIAAgACAAIAAgACAAXAAiAEcAYQBzAFwAIgAsACAAXAAiAEMATwAyAC0AZQAgAGYAYQBjAHQAbwByAFwAIgA7AFwAbgAgACAAIAAgACAAIAAgACAAIAAgAFwAIgBDAE8AMgBcACIALAAgADEAOwBcAG4AIAAgACAAIAAgACAAIAAgACAAIABcACIAQwBIADQAXAAiACwAIAAyADgAOwBcAG4AIAAgACAAIAAgACAAIAAgACAAIABcACIATgAyAE8AXAAiACwAIAAyADYANQA7AFwAbgAgACAAIAAgACAAIAAgACAAIAAgAFwAIgBDAEYANABcACIALAAgADYANgAzADAAOwBcAG4AIAAgACAAIAAgACAAIAAgACAAIABcACIAQwAyAEYANgBcACIALAAgADEAMgAyADAAMAA7AFwAbgAgACAAIAAgACAAIAAgACAAIAAgAFwAIgBTAEYANgBcACIALAAgADIAMgA4ADAAMAA7AFwAbgAgACAAIAAgACAAIAAgACAAIAAgAFwAIgBOAEYAMwBcACIALAAgADEANwAyADAAMA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EEAdQBzAHQAcgBhAGwAaQBhAG4AUwB0AGEAdABlAHMAVABlAHIAcgBpAHQAbwByAGkAZQBzAFwAbgAtAC0ALQAtAC0ALQAtAC0ALQAtAC0ALQAtAC0ALQAtAC0ALQAtAC0ALQAtAC0ALQAtAC0ALQAtAC0ALQAtAC0ALQAtAC0ALQAtAC0AXABuACoALwBcAG4AXABuAEMAbwBtAG0AbwBuAF8AUwBvAHUAcgBjAGUARABhAHQAYQBfAEEAdQBzAHQAcgBhAGwAaQBhAG4AUwB0AGEAdABlAHMAVABlAHIAcgBpAHQAbwByAGkAZQBzAF8AVABpAHQAbABlAFwAbgAgACAAPQBMAEEATQBCAEQAQQAoAFwAIgBBAHUAcwB0AHIAYQBsAGkAYQBuACAAcwB0AGEAdABlAHMAIABhAG4AZAAgAHQAZQByAHIAaQB0AG8AcgBpAGUAcwBcACIAKQA7AFwAbgBcAG4AQwBvAG0AbQBvAG4AXwBTAG8AdQByAGMAZQBEAGEAdABhAF8AQQB1AHMAdAByAGEAbABpAGEAbgBTAHQAYQB0AGUAcwBUAGUAcgByAGkAdABvAHIAaQBlAHMAXwBWAGEAcgBpAGEAYgBsAGUAXABuACAAIAA9AEwAQQBNAEIARABBACgAXAAiAFwAIgApADsAXABuAFwAbgBDAG8AbQBtAG8AbgBfAFMAbwB1AHIAYwBlAEQAYQB0AGEAXwBBAHUAcwB0AHIAYQBsAGkAYQBuAFMAdABhAHQAZQBzAFQAZQByAHIAaQB0AG8AcgBpAGUAcwBfAFUAbgBpAHQAXABuACAAIAA9AEwAQQBNAEIARABBACgAXAAiAFwAIgApADsAXABuAFwAbgBDAG8AbQBtAG8AbgBfAFMAbwB1AHIAYwBlAEQAYQB0AGEAXwBBAHUAcwB0AHIAYQBsAGkAYQBuAFMAdABhAHQAZQBzAFQAZQByAHIAaQB0AG8AcgBpAGUAcwBfAFMAbwB1AHIAYwBlAFwAbgAgACAAPQBMAEEATQBCAEQAQQAoAFwAIgBcACIAKQA7AFwAbgBcAG4AQwBvAG0AbQBvAG4AXwBTAG8AdQByAGMAZQBEAGEAdABhAF8AQQB1AHMAdAByAGEAbABpAGEAbgBTAHQAYQB0AGUAcwBUAGUAcgByAGkAdABvAHIAaQBlAHMAXwBEAGEAdABhAFwAbgAgACAAIAA9AEwAQQBNAEIARABBACgAXABuACAAIAAgACAATQBBAEsARQBBAFIAUgBBAFkAKAA5ACwAIAAzACwAIABcAG4AIAAgACAAIAAgACAATABBAE0AQgBEAEEAKAByACwAYwAsACAAXABuACAAIAAgACAAIAAgACAAIABJAE4ARABFAFgAKAB7AFwAbgAgACAAIAAgACAAIAAgACAAIAAgAFwAIgBTAHQAYQB0AGUALwBUAGUAcgByAGkAdABvAHIAeQBcACIALAAgAFwAIgBDAG8AbQBtAG8AbgAgAE4AYQBtAGUAXAAiACwAIABcACIAQQBiAGIAcgBlAHYAaQBhAHQAaQBvAG4AXAAiADsAXABuACAAIAAgACAAIAAgACAAIAAgACAAXAAiAE4AZQB3ACAAUwBvAHUAdABoACAAVwBhAGwAZQBzAFwAIgAsACAAXAAiAE4AZQB3ACAAUwBvAHUAdABoACAAVwBhAGwAZQBzAFwAIgAsACAAXAAiAE4AUwBXAFwAIgA7AFwAbgAgACAAIAAgACAAIAAgACAAIAAgAFwAIgBBAHUAcwB0AHIAYQBsAGkAYQBuACAAQwBhAHAAaQB0AGEAbAAgAFQAZQByAHIAaQB0AG8AcgB5AFwAIgAsACAAXAAiAEEAQwBUAFwAIgAsACAAXAAiAEEAQwBUAFwAIgA7AFwAbgAgACAAIAAgACAAIAAgACAAIAAgAFwAIgBWAGkAYwB0AG8AcgBpAGEAXAAiACwAIABcACIAVgBpAGMAdABvAHIAaQBhAFwAIgAsACAAXAAiAFYASQBDAFwAIgA7AFwAbgAgACAAIAAgACAAIAAgACAAIAAgAFwAIgBRAHUAZQBlAG4AcwBsAGEAbgBkAFwAIgAsACAAXAAiAFEAdQBlAGUAbgBzAGwAYQBuAGQAXAAiACwAIABcACIAUQBMAEQAXAAiADsAXABuACAAIAAgACAAIAAgACAAIAAgACAAXAAiAFMAbwB1AHQAaAAgAEEAdQBzAHQAcgBhAGwAaQBhAFwAIgAsACAAXAAiAFMAbwB1AHQAaAAgAEEAdQBzAHQAcgBhAGwAaQBhAFwAIgAsACAAXAAiAFMAQQBcACIAOwBcAG4AIAAgACAAIAAgACAAIAAgACAAIABcACIAVwBlAHMAdABlAHIAbgAgAEEAdQBzAHQAcgBhAGwAaQBhAFwAIgAsACAAXAAiAFcAZQBzAHQAZQByAG4AIABBAHUAcwB0AHIAYQBsAGkAYQBcACIALAAgAFwAIgBXAEEAXAAiADsAXABuACAAIAAgACAAIAAgACAAIAAgACAAXAAiAFQAYQBzAG0AYQBuAGkAYQBcACIALAAgAFwAIgBUAGEAcwBtAGEAbgBpAGEAXAAiACwAIABcACIAVABBAFMAXAAiADsAXABuACAAIAAgACAAIAAgACAAIAAgACAAXAAiAE4AbwByAHQAaABlAHIAbgAgAFQAZQByAHIAaQB0AG8AcgB5AFwAIgAsACAAXAAiAE4AbwByAHQAaABlAHIAbgAgAFQAZQByAHIAaQB0AG8AcgB5AFwAIgAsACAAXAAiAE4AVA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QQBTAEEANABBAHIAZQBhAHMAXABuAC0ALQAtAC0ALQAtAC0ALQAtAC0ALQAtAC0ALQAtAC0ALQAtAC0ALQAtAC0ALQAtAC0ALQAtAC0ALQAtAC0ALQAtAC0ALQAtAC0ALQBcAG4AKgAvAFwAbgBcAG4AQwBvAG0AbQBvAG4AXwBTAG8AdQByAGMAZQBEAGEAdABhAF8AVwBBAFMAQQA0AEEAcgBlAGEAcwBfAFQAaQB0AGwAZQBcAG4AIAAgAD0ATABBAE0AQgBEAEEAKABcACIAQQBCAFMAIABTAHQAYQB0AGkAcwB0AGMAYQBsACAAQQByAGUAYQBzACAATABlAHYAZQBsACAANAAgAC0AIABXAGUAcwB0AGUAcgBuACAAQQB1AHMAdAByAGEAbABpAGEAXAAiACkAOwBcAG4AXABuAEMAbwBtAG0AbwBuAF8AUwBvAHUAcgBjAGUARABhAHQAYQBfAFcAQQBTAEEANABBAHIAZQBhAHMAXwBWAGEAcgBpAGEAYgBsAGUAXABuACAAIAA9AEwAQQBNAEIARABBACgAXAAiAFwAIgApADsAXABuAFwAbgBDAG8AbQBtAG8AbgBfAFMAbwB1AHIAYwBlAEQAYQB0AGEAXwBXAEEAUwBBADQAQQByAGUAYQBzAF8AVQBuAGkAdABcAG4AIAAgAD0ATABBAE0AQgBEAEEAKABcACIAXAAiACkAOwBcAG4AXABuAEMAbwBtAG0AbwBuAF8AUwBvAHUAcgBjAGUARABhAHQAYQBfAFcAQQBTAEEANABBAHIAZQBhAHMAXwBTAG8AdQByAGMAZQBcAG4AIAAgAD0ATABBAE0AQgBEAEEAKABcACIAQQB1AHMAdAByAGEAbABpAGEAbgAgAEIAdQByAGUAYQB1ACAAbwBmACAAUwB0AGEAdABpAHMAdABpAGMAcwAgACgAQQBCAFMAKQAgAC0AIABTAHQAYQB0AGkAcwB0AGkAYwBhAGwAIABBAHIAZQBhAHMAIABMAGUAdgBlAGwAIAAyACAALQAgADIAMAAyADEAIAAtACAAUwBoAGEAcABlAGYAaQBsAGUAXAAiACkAOwBcAG4AXABuAEMAbwBtAG0AbwBuAF8AUwBvAHUAcgBjAGUARABhAHQAYQBfAFcAQQBTAEEANABBAHIAZQBhAHMAXwBEAGEAdABhAFwAbgAgACAAIAA9AEwAQQBNAEIARABBACgAXABuACAAIAAgACAATQBBAEsARQBBAFIAUgBBAFkAKAAxADEALAAgADEALAAgAFwAbgAgACAAIAAgACAAIABMAEEATQBCAEQAQQAoAHIALABjACwAIABcAG4AIAAgACAAIAAgACAAIAAgAEkATgBEAEUAWAAoAHsAXABuACAAIAAgACAAIAAgACAAIAAgACAAXAAiAFMAQQAgADQAIABOAGEAbQBlAFwAIgA7AFwAbgAgACAAIAAgACAAIAAgACAAIAAgAFwAIgBCAHUAbgBiAHUAcgB5AFwAIgA7AFwAbgAgACAAIAAgACAAIAAgACAAIAAgAFwAIgBNAGEAbgBkAHUAcgBhAGgAXAAiADsAXABuACAAIAAgACAAIAAgACAAIAAgACAAXAAiAFAAZQByAHQAaAAgAC0AIABJAG4AbgBlAHIAXAAiADsAXABuACAAIAAgACAAIAAgACAAIAAgACAAXAAiAFAAZQByAHQAaAAgAC0AIABOAG8AcgB0AGgAIABFAGEAcwB0AFwAIgA7AFwAbgAgACAAIAAgACAAIAAgACAAIAAgAFwAIgBQAGUAcgB0AGgAIAAtACAATgBvAHIAdABoACAAVwBlAHMAdABcACIAOwBcAG4AIAAgACAAIAAgACAAIAAgACAAIABcACIAUABlAHIAdABoACAALQAgAFMAbwB1AHQAaAAgAEUAYQBzAHQAXAAiADsAXABuACAAIAAgACAAIAAgACAAIAAgACAAXAAiAFAAZQByAHQAaAAgAC0AIABTAG8AdQB0AGgAIABXAGUAcwB0AFwAIgA7AFwAbgAgACAAIAAgACAAIAAgACAAIAAgAFwAIgBXAGUAcwB0AGUAcgBuACAAQQB1AHMAdAByAGEAbABpAGEAIAAtACAAVwBoAGUAYQB0ACAAQgBlAGwAdABcACIAOwBcAG4AIAAgACAAIAAgACAAIAAgACAAIABcACIAVwBlAHMAdABlAHIAbgAgAEEAdQBzAHQAcgBhAGwAaQBhACAALQAgAE8AdQB0AGIAYQBjAGsAIAAoAE4AbwByAHQAaAApAFwAIgA7AFwAbgAgACAAIAAgACAAIAAgACAAIAAgAFwAIgBXAGUAcwB0AGUAcgBuACAAQQB1AHMAdAByAGEAbABpAGEAIAAtACAATwB1AHQAYgBhAGMAawAgACgAUwBvAHUAdABoACk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XAGUAdABBAG4AZABEAHIAeQBaAG8AbgBlAHMAXABuAC0ALQAtAC0ALQAtAC0ALQAtAC0ALQAtAC0ALQAtAC0ALQAtAC0ALQAtAC0ALQAtAC0ALQAtAC0ALQAtAC0ALQAtAC0ALQAtAC0ALQBcAG4AKgAvAFwAbgBcAG4AQwBvAG0AbQBvAG4AXwBTAG8AdQByAGMAZQBEAGEAdABhAF8AVwBlAHQAQQBuAGQARAByAHkAWgBvAG4AZQBzAF8AVABpAHQAbABlAFwAbgAgACAAPQBMAEEATQBCAEQAQQAoAFwAIgBWAEUARQBSAEcAIABBAHUAcwB0AHIAYQBsAGkAYQBuACAAdwBlAHQAIABhAG4AZAAgAGQAcgB5ACAAegBvAG4AZQBzAFwAIgApADsAXABuAFwAbgBDAG8AbQBtAG8AbgBfAFMAbwB1AHIAYwBlAEQAYQB0AGEAXwBXAGUAdABBAG4AZABEAHIAeQBaAG8AbgBlAHMAXwBWAGEAcgBpAGEAYgBsAGUAXABuACAAIAA9AEwAQQBNAEIARABBACgAXAAiAFwAIgApADsAXABuAFwAbgBDAG8AbQBtAG8AbgBfAFMAbwB1AHIAYwBlAEQAYQB0AGEAXwBXAGUAdABBAG4AZABEAHIAeQBaAG8AbgBlAHMAXwBVAG4AaQB0AFwAbgAgACAAPQBMAEEATQBCAEQAQQAoAFwAIgBcACIAKQA7AFwAbgBcAG4AQwBvAG0AbQBvAG4AXwBTAG8AdQByAGMAZQBEAGEAdABhAF8AVwBlAHQAQQBuAGQARAByAHkAWgBvAG4AZQBzAF8AUwBvAHUAcgBjAGUAXABuACAAIAA9AEwAQQBNAEIARABBACgAXAAiAFYARQBFAFIARwAgADIAMAAyADYAOgAgAFQAYQBiAGwAZQAgADEALgAyADoAIABUAHIAYQBuAHMAbABhAHQAaQBuAGcAIABjAGwAaQBtAGEAdABlACAAegBvAG4AZQBzACAAdABvACAAdwBlAHQAIABhAG4AZAAgAGQAcgB5ACAAegBvAG4AZQBzAFwAIgApADsAXABuAFwAbgBDAG8AbQBtAG8AbgBfAFMAbwB1AHIAYwBlAEQAYQB0AGEAXwBXAGUAdABBAG4AZABEAHIAeQBaAG8AbgBlAHMAXwBWAGEAcgBpAGEAdABpAG8AbgBcAG4AIAAgACAAPQBMAEEATQBCAEQAQQAoAFwAbgAgACAAIAAgAE0AQQBLAEUAQQBSAFIAQQBZACgAMwAsACAAMQAsACAAXABuACAAIAAgACAAIAAgAEwAQQBNAEIARABBACgAcgAsAGMALAAgAFwAbgAgACAAIAAgACAAIAAgACAASQBOAEQARQBYACgAewBcAG4AIAAgACAAIAAgACAAIAAgACAAIABcACIAVgBBAFIASQBBAFQASQBPAE4AIABPAEYAIABTAE8AVQBSAEMARQAgAEQAQQBUAEEAOgBcACIAOwBcAG4AIAAgACAAIAAgACAAIAAgACAAIABcACIAQQBkAGQAZQBkACAAdwBhAHIAbQAgAC8AIABjAG8AbwBsACAAdABlAG0AcABlAHIAYQB0AGUAIABtAG8AaQBzAHQAIAAvACAAZAByAHkAIAAtACAAbABvAHcAIABmAHIAbwBzAHQAIABhAG4AZAAgAGgAaQBnAGgAIAB0AGUAbQBwACAAYwBsAGEAcwBzAGUAcwAgAHQAbwAgAGEAYwBjAG8AbQBtAG8AZABhAHQAZQAgAGMAbABpAG0AYQB0AGUAIABzAGMAZQBuAGEAcgBpAG8AcwAgAGUAeABjAGwAdQBkAGUAZAAgAGIAeQAgAFYARQBFAFIARwAgAGMAcgBpAHQAZQByAGkAYQAuAFwAIgA7AFwAbgAgACAAIAAgACAAIAAgACAAIAAgAFwAIgBGAGkAeABlAGQAIAB0AHkAcABvACAALQAgAEMAaABhAG4AZwBlAGQAIAAnAEYAcgB5ACcAIAB0AG8AIAAnAEQAcgB5AC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PgAgADEAOAAgAEMAXAAiACwAIABcACIAQQBuAHkAXAAiACwAIABcACIAZCIgADcAXAAiACwAIABcACIAPgAgADEAMAAwADAAIABtAFwAIgAsACAAXAAiAEEAbgB5AFwAIgAsACAAMQA4AC4AMAAwADEALAAgADkAOQA5ADkAOQA5ACwAIAAtADkAOQA5ADkAOQA5ACwAIAA5ADkAOQA5ADkAOQAsACAALQA5ADkAOQA5ADkAOQAsACAANwAsACAAMQAwADAAMAAsACAAOQA5ADkAOQA5ADkALAAgAC0AOQA5ADkAOQA5ADkALAAgADkAOQA5ADkAOQA5ADsAXABuACAAIAAgACAAIAAgACAAIAAgACAAXAAiAFQAcgBvAHAAaQBjAGEAbAAgAHcAZQB0AFwAIgAsACAAXAAiAD4AIAAxADgAIABDAFwAIgAsACAAXAAiAD4AIAAyADAAMAAwACAAbQBtAFwAIgAsACAAXAAiAGQiIAA3AFwAIgAsACAAXAAiAGQiIAAxADAAMAAwACAAbQBcACIALAAgAFwAIgBBAG4AeQBcACIALAAgADEAOAAuADAAMAAxACwAIAA5ADkAOQA5ADkAOQAsACAAMgAwADAAMAAuADAAMAAxACwAIAA5ADkAOQA5ADkAOQAsACAALQA5ADkAOQA5ADkAOQAsACAANwAsACAALQA5ADkAOQA5ADkAOQAsACAAOQA5ADkALgA5ADkAOQAsACAAIAAtADkAOQA5ADkAOQA5ACwAIAA5ADkAOQA5ADkAOQA7AFwAbgAgACAAIAAgACAAIAAgACAAIAAgAFwAIgBUAHIAbwBwAGkAYwBhAGwAIABtAG8AaQBzAHQAXAAiACwAIABcACIAPgAgADEAOAAgAEMAXAAiACwAIABcACIAPg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PgAgADEAOAAgAEMAXAAiACwAIABcACIAZCIgADEAMAAwADAAIABtAG0AXAAiACwAIABcACIAZCIgADcAXAAiACwAIABcACIAZCIgADEAMAAwADAAIABtAFwAIgAsACAAXAAiAEEAbgB5AFwAIgAsACAAMQA4AC4AMAAwADEALAAgADkAOQA5ADkAOQA5ACwAIAAtADkAOQA5ADkAOQA5ACwAIAAxADAAMAAwACwAIAAtADkAOQA5ADkAOQA5ACwAIAA3ACwAIAAtADkAOQA5ADkAOQA5ACwAIAA5ADkAOQAuADkAOQA5ACwAIAAgAC0AOQA5ADkAOQA5ADkALAAgADkAOQA5ADkAOQA5ADsAXABuACAAIAAgACAAIAAgACAAIAAgACAAXAAiAFcAYQByAG0AIAB0AGUAbQBwAGUAcgBhAHQAZQAgAG0AbwBpAHMAdABcACIALAAgAFwAIgA+ACAAMQAwACAAQwBcACIALAAgAFwAIgBBAG4AeQBcACIALAAgAFwAIgBBAG4AeQBcACIALAAgAFwAIgBBAG4AeQBcACIALAAgAFwAIgA+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A+ACAAMQAwACAAQwBcACIALAAgAFwAIgBBAG4AeQBcACIALAAgAFwAIgBBAG4AeQBcACIALAAgAFwAIgBBAG4AeQBcACIALAAgAFwAIgBkIiAAMQBcACIALAAgADEAMAAuADAAMAAxACwAIAA5ADkAOQA5ADkAOQAsACAALQA5ADkAOQA5ADkAOQAsACAAOQA5ADkAOQA5ADkALAAgAC0AOQA5ADkAOQA5ADkALAAgADkAOQA5ADkAOQA5ACwAIAAtADkAOQA5ADkAOQA5ACwAIAA5ADkAOQA5ADkAOQAsACAAIAAtADkAOQA5ADkAOQA5ACwAIAAxADsAXABuACAAIAAgACAAIAAgACAAIAAgACAAXAAiAEMAbwBvAGwAIAB0AGUAbQBwAGUAcgBhAHQAZQAgAG0AbwBpAHMAdABcACIALAAgAFwAIgA+ACAAMAAgAEMAIAAtACAAZCIgADEAMAAgAEMAXAAiACwAIABcACIAQQBuAHkAXAAiACwAIABcACIAQQBuAHkAXAAiACwAIABcACIAQQBuAHkAXAAiACwAIABcACIAPg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PgAgADAAIABDACAALQAgAGQiIAAxADAAIABDAFwAIgAsACAAXAAiAEEAbgB5AFwAIgAsACAAXAAiAEEAbgB5AFwAIgAsACAAXAAiAEEAbgB5AFwAIgAsACAAXAAiAGQiIAAxAFwAIgAsACAALQA5ADkAOQA5ADkAOQAsACAAMQAwACwAIAAtADkAOQA5ADkAOQA5ACwAIAA5ADkAOQA5ADkAOQAsACAALQA5ADkAOQA5ADkAOQAsACAAOQA5ADkAOQA5ADkALAAgAC0AOQA5ADkAOQA5ADkALAAgADkAOQA5ADkAOQA5ACwAIAAgAC0AOQA5ADkAOQA5ADkALAAgADEAXABuACAAIAAgACAAIAAgACAAIAB9ACwAIAByACwAIABjACkAXABuACAAIAAgACAAIAAgACkAXABuACAAIAAgACAAKQBcAG4AIAAgACkAOwBcAG4AXABuAEMAbwBtAG0AbwBuAF8AUwBvAHUAcgBjAGUARABhAHQAYQBfAEMAbABpAG0AYQB0AGUAWgBvAG4AZQBzAF8AQQBwAHAAZQBuAGQAaQBjAGUAcwBcAG4AIAAgACAAPQBMAEEATQBCAEQAQQAoAFwAbgAgACAAIAAgAE0AQQBLAEUAQQBSAFIAQQBZACgANAAsACAAMQAsACAAXABuACAAIAAgACAAIAAgAEwAQQBNAEIARABBACgAcgAsAGMALAAgAFwAbgAgACAAIAAgACAAIAAgACAASQBOAEQARQBYACgAewBcAG4AIAAgACAAIAAgACAAIAAgACAAIABcACIATgBvAHQAZQA6AFwAIgA7AFwAbgAgACAAIAAgACAAIAAgACAAIAAgAFwAIgBNAEEAVAAgAD0AIABtAGUAYQBuACAAYQBuAG4AdQBhAGwAIAB0AGUAbQBwAGUAcgBhAHQAdQByAGUAXAAiADsAXABuACAAIAAgACAAIAAgACAAIAAgACAAXAAiAE0AQQBQACAAPQAgAG0AZQBhAG4AIABhAG4AbgB1AGEAbAAgAHAAcgBlAGMAaQBwAGkAdABhAHQAaQBvAG4AXAAiADsAXABuACAAIAAgACAAIAAgACAAIAAgACAAXAAiAFAARQBUACAAPQAgAHAAbwB0AGUAbgB0AGkAYQBsACAAZQB2AGEAcABvAHQAcgBhAG4AcwBwAGkAcgBhAHQAaQBvAG4AXAAi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VABlAG0AcABlAHIAYQB0AHUAcgBlAFoAbwBuAGUAcwBcAG4ALQAtAC0ALQAtAC0ALQAtAC0ALQAtAC0ALQAtAC0ALQAtAC0ALQAtAC0ALQAtAC0ALQAtAC0ALQAtAC0ALQAtAC0ALQAtAC0ALQAtAFwAbgAqAC8AXABuAFwAbgBDAG8AbQBtAG8AbgBfAFMAbwB1AHIAYwBlAEQAYQB0AGEAXwBUAGUAbQBwAGUAcgBhAHQAdQByAGUAWgBvAG4AZQBzAF8AVABpAHQAbABlAFwAbgAgACAAPQBMAEEATQBCAEQAQQAoAFwAIgBWAEUARQBSAEcAIABBAHUAcwB0AHIAYQBsAGkAYQBuACAAdABlAG0AcABlAHIAYQB0AHUAcgBlACAAegBvAG4AZQBzAFwAIgApADsAXABuAFwAbgBDAG8AbQBtAG8AbgBfAFMAbwB1AHIAYwBlAEQAYQB0AGEAXwBUAGUAbQBwAGUAcgBhAHQAdQByAGUAWgBvAG4AZQBzAF8AVgBhAHIAaQBhAGIAbABlAFwAbgAgACAAPQBMAEEATQBCAEQAQQAoAFwAIgBcACIAKQA7AFwAbgBcAG4AQwBvAG0AbQBvAG4AXwBTAG8AdQByAGMAZQBEAGEAdABhAF8AVABlAG0AcABlAHIAYQB0AHUAcgBlAFoAbwBuAGUAcwBfAFUAbgBpAHQAXABuACAAIAA9AEwAQQBNAEIARABBACgAXAAiAFwAIgApADsAXABuAFwAbgBDAG8AbQBtAG8AbgBfAFMAbwB1AHIAYwBlAEQAYQB0AGEAXwBUAGUAbQBwAGUAcgBhAHQAdQBy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VABlAG0AcABlAHIAYQB0AHUAcgBlAFoAbwBuAGUAcwBfAFYAYQByAGkAYQB0AGkAbwBuAFwAbgAgACAAPQBMAEEATQBCAEQAQQAoAFwAIgBWAEEAUgBJAEEAVABJAE8ATgAgAE8ARgAgAFMATwBVAFIAQwBFACAARABBAFQAQQA6ACAAQQBkAGQAZQBkACAAZQB4AHQAcgBhACAATQBBAFQAIABtAGkAbgAgAGEAbgBkACAATQBBAFQAIABtAGEAeAAgAGMAbwBsAHUAbQBuAHMAIAB0AG8AIABjAGEAbABjAHUAbABhAHQAZQAgAHoAbwBuAGUAIABmAHIAbwBtACAAcgBlAGEAbAAgAHQAZQBtAHAAZQByAGEAdAB1AHIAZQAgAGQAYQB0AGEALgBcACIAKQA7AFwAbgBcAG4AQwBvAG0AbQBvAG4AXwBTAG8AdQByAGMAZQBEAGEAdABhAF8AVABlAG0AcABlAHIAYQB0AHUAcgBlAFoAbwBuAGUAcwBfAEQAYQB0AGEAXABuACAAIAAgAD0ATABBAE0AQgBEAEEAKABcAG4AIAAgACAAIABNAEEASwBFAEEAUgBSAEEAWQAoADQALAAgADQALAAgAFwAbgAgACAAIAAgACAAIABMAEEATQBCAEQAQQAoAHIALABjACwAIABcAG4AIAAgACAAIAAgACAAIAAgAEkATgBEAEUAWAAoAHsAXABuACAAIAAgACAAIAAgACAAIAAgACAAXAAiAFQAZQBtAHAAZQByAGEAdAB1AHIAZQAgAFoAbwBuAGUAXAAiACwAIABcACIATQBlAGQAaQBhAG4AIABBAG4AbgB1AGEAbAAgAFQAZQBtAHAAZQByAGEAdAB1AHIAZQAgACgATQBBAFQAKQBcACIALAAgAFwAIgBNAGkAbgAgAE0AQQBUAFwAIgAsACAAXAAiAE0AYQB4ACAATQBBAFQAXAAiADsAXABuACAAIAAgACAAIAAgACAAIAAgACAAXAAiAFcAYQByAG0AXAAiACwAIABcACIAZSIgADIANgAgAEMAXAAiACwAIAAyADYALAAgADkAOQA5ADkAOQA5ADsAXABuACAAIAAgACAAIAAgACAAIAAgACAAXAAiAFQAZQBtAHAAZQByAGEAdABlAFwAIgAsACAAXAAiADEANQAgAC0AIAAyADUAIABDAFwAIgAsACAAMQA1ACwAIAAyADUALgA5ADkAOQA7AFwAbgAgACAAIAAgACAAIAAgACAAIAAgAFwAIgBDAG8AbwBsAFwAIgAsACAAXAAiAGQiIAAxADQAIABDAFwAIgAsACAALQA5ADkAOQA5ADkAOQAsACAAMQA0AC4AOQA5ADk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IAYQBpAG4AZgBhAGwAbABaAG8AbgBlAHMAXABuAC0ALQAtAC0ALQAtAC0ALQAtAC0ALQAtAC0ALQAtAC0ALQAtAC0ALQAtAC0ALQAtAC0ALQAtAC0ALQAtAC0ALQAtAC0ALQAtAC0ALQBcAG4AKgAvAFwAbgBcAG4AQwBvAG0AbQBvAG4AXwBTAG8AdQByAGMAZQBEAGEAdABhAF8AUgBhAGkAbgBmAGEAbABsAFoAbwBuAGUAcwBfAFQAaQB0AGwAZQBcAG4AIAAgAD0ATABBAE0AQgBEAEEAKABcACIAVgBFAEUAUgBHACAAQQB1AHMAdAByAGEAbABpAGEAbgAgAHIAYQBpAG4AZgBhAGwAbAAgAHoAbwBuAGUAcwBcACIAKQA7AFwAbgBcAG4AQwBvAG0AbQBvAG4AXwBTAG8AdQByAGMAZQBEAGEAdABhAF8AUgBhAGkAbgBmAGEAbABsAFoAbwBuAGUAcwBfAFYAYQByAGkAYQBiAGwAZQBcAG4AIAAgAD0ATABBAE0AQgBEAEEAKABcACIAXAAiACkAOwBcAG4AXABuAEMAbwBtAG0AbwBuAF8AUwBvAHUAcgBjAGUARABhAHQAYQBfAFIAYQBpAG4AZgBhAGwAbABaAG8AbgBlAHMAXwBVAG4AaQB0AFwAbgAgACAAPQBMAEEATQBCAEQAQQAoAFwAIgBcACIAKQA7AFwAbgBcAG4AQwBvAG0AbQBvAG4AXwBTAG8AdQByAGMAZQBEAGEAdABhAF8AUgBhAGkAbgBmAGEAbABs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IAYQBpAG4AZgBhAGwAbABaAG8AbgBlAHMAXwBWAGEAcgBpAGEAdABpAG8AbgBcAG4AIAAgAD0ATABBAE0AQgBEAEEAKABcACIAVgBBAFIASQBBAFQASQBPAE4AIABPAEYAIABTAE8AVQBSAEMARQAgAEQAQQBUAEEAOgAgAEEAZABkAGUAZAAgAGUAeAB0AHIAYQAgAFIAYQBpAG4AZgBhAGwAbAAgAG0AaQBuACAAYQBuAGQAIABSAGEAaQBuAGYAYQBsAGwAIABtAGEAeAAgAGMAbwBsAHUAbQBuAHMAIAB0AG8AIABjAGEAbABjAHUAbABhAHQAZQAgAHoAbwBuAGUAIABmAHIAbwBtACAAcgBlAGEAbAAgAHIAYQBpAG4AZgBhAGwAbAAgAGQAYQB0AGEALgBcACIAKQA7AFwAbgBcAG4AQwBvAG0AbQBvAG4AXwBTAG8AdQByAGMAZQBEAGEAdABhAF8AUgBhAGkAbgBmAGEAbABsAFoAbwBuAGUAcwBfAEQAYQB0AGEAXABuACAAIAAgAD0ATABBAE0AQgBEAEEAKABcAG4AIAAgACAAIABNAEEASwBFAEEAUgBSAEEAWQAoADMALAAgADQALAAgAFwAbgAgACAAIAAgACAAIABMAEEATQBCAEQAQQAoAHIALABjACwAIABcAG4AIAAgACAAIAAgACAAIAAgAEkATgBEAEUAWAAoAHsAXABuACAAIAAgACAAIAAgACAAIAAgACAAXAAiAFIAYQBpAG4AZgBhAGwAbAAgAFoAbwBuAGUAXAAiACwAIABcACIAQQBuAG4AdQBhAGwAIAByAGEAaQBuAGYAYQBsAGwAXAAiACwAIABcACIAUgBhAGkAbgBmAGEAbABsACAAbQBpAG4AXAAiACwAIABcACIAUgBhAGkAbgBmAGEAbABsACAAbQBhAHgAXAAiADsAXABuACAAIAAgACAAIAAgACAAIAAgACAAXAAiAEgAaQBnAGgAIAByAGEAaQBuAGYAYQBsAGwAXAAiACwAIABcACIAQQBuAG4AdQBhAGwAIAByAGEAaQBuAGYAYQBsAGwAIAA+ACAANgAwADAAbQBtAFwAIgAsACAANgAwADAALgAwADAAMQAsACAAOQA5ADkAOQA5ADkAOwBcAG4AIAAgACAAIAAgACAAIAAgACAAIABcACIATABvAHcAIAByAGEAaQBuAGYAYQBsAGwAXAAiACwAIABcACIAQQBuAG4AdQBhAGwAIAByAGEAaQBuAGYAYQBsAGwAIABkIiAANgAwADAAbQBtAFwAIgAsACAALQA5ADkAOQA5ADkAOQAsACAANgAwADA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wAZQBhAGMAaABpAG4AZwBaAG8AbgBlAHMAXABuAC0ALQAtAC0ALQAtAC0ALQAtAC0ALQAtAC0ALQAtAC0ALQAtAC0ALQAtAC0ALQAtAC0ALQAtAC0ALQAtAC0ALQAtAC0ALQAtAC0ALQBcAG4AKgAvAFwAbgBcAG4AQwBvAG0AbQBvAG4AXwBTAG8AdQByAGMAZQBEAGEAdABhAF8ATABlAGEAYwBoAGkAbgBnAFoAbwBuAGUAcwBfAFQAaQB0AGwAZQBcAG4AIAAgAD0ATABBAE0AQgBEAEEAKABcACIAVgBFAEUAUgBHACAAQQB1AHMAdAByAGEAbABpAGEAbgAgAGwAZQBhAGMAaABpAG4AZwAgAHoAbwBuAGUAcwBcACIAKQA7AFwAbgBcAG4AQwBvAG0AbQBvAG4AXwBTAG8AdQByAGMAZQBEAGEAdABhAF8ATABlAGEAYwBoAGkAbgBnAFoAbwBuAGUAcwBfAFYAYQByAGkAYQBiAGwAZQBcAG4AIAAgAD0ATABBAE0AQgBEAEEAKABcACIAXAAiACkAOwBcAG4AXABuAEMAbwBtAG0AbwBuAF8AUwBvAHUAcgBjAGUARABhAHQAYQBfAEwAZQBhAGMAaABpAG4AZwBaAG8AbgBlAHMAXwBVAG4AaQB0AFwAbgAgACAAPQBMAEEATQBCAEQAQQAoAFwAIgBcACIAKQA7AFwAbgBcAG4AQwBvAG0AbQBvAG4AXwBTAG8AdQByAGMAZQBEAGEAdABhAF8ATABlAGEAYwBoAGkAbgBn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wAZQBhAGMAaABpAG4AZwBaAG8AbgBlAHMAXwBWAGEAcgBpAGEAdABpAG8AbgBcAG4AIAAgAD0ATABBAE0AQgBEAEEAKABcACIAXAAiACkAOwBcAG4AXABuAEMAbwBtAG0AbwBuAF8AUwBvAHUAcgBjAGUARABhAHQAYQBfAEwAZQBhAGMAaABpAG4AZwBaAG8AbgBlAHMAXwBEAGEAdABhAFwAbgAgACAAIAA9AEwAQQBNAEIARABBACgAXABuACAAIAAgACAATQBBAEsARQBBAFIAUgBBAFkAKAA0ACwAIAAyACwAIABcAG4AIAAgACAAIAAgACAATABBAE0AQgBEAEEAKAByACwAYwAsACAAXABuACAAIAAgACAAIAAgACAAIABJAE4ARABFAFgAKAB7AFwAbgAgACAAIAAgACAAIAAgACAAIAAgAFwAIgBMAGUAYQBjAGgAaQBuAGcAIABaAG8AbgBlAFwAIgAsACAAXAAiAEwAZQBhAGMAaABpAG4AZwAgAGMAcgBpAHQAZQByAGkAYQBcACIAOwBcAG4AIAAgACAAIAAgACAAIAAgACAAIABcACIATABlAGEAYwBoAGkAbgBnACAAbwBjAGMAdQByAHMAXAAiACwAIABcACIAowMoADXYX9w12E7cNdhW3DXYW9wpAD4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U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CcAQQBxAHUAYQBjAHUAbAB0AHUAcgBlACcAIAByAG8AdwAuAFwAIgA7AFwAbgAgACAAIAAgACAAIAAgACAAIAAgAFwAIgBSAGUAbQBvAHYAZQBkACAAYQBzAHQAZQByAGkAcwBrAHMAIAB0AG8AIABhAGkAZAAgAGwAbwBvAGsAdQBwAC4AXAAiADsAXABuACAAIAAgACAAIAAgACAAIAAgACAAXAAiAEEAZABkAGUAZAAgACcAcAByAG8AZAB1AGMAdABpAG8AbgAgAHMAeQBzAHQAZQBtACAAbwBuAGwAeQAnACwAIAAnAHIAYQBpAG4AZgBhAGwAbAAgAHoAbwBuAGUAJwAgAGEAbgBkACAAJwBpAHIAcgBpAGcAYQB0AGkAbwBuACAAbQBlAHQAaABvAGQAJwAgAGMAbwBsAHUAbQBuAHMAIAB0AG8AIABhAGkAZAAgAGwAbwBvAGsAdQBwAC4AXAAiADsAXABuACAAIAAgACAAIAAgACAAIAAgACAAXAAiAEQAdQBwAGwAaQBjAGEAdABlAGQAIAAnAG4AbwBuAC0AaQByAHIAaQBnAGEAdABlAGQAIABwAGEAcwB0AHUAcgBlACcAIAByAG8AdwAgAHcAaQB0AGgAIABzAGEAbQBlACAARQBGACAAZgBvAHIAIABsAG8AdwAgAGEAbgBkACAAaABpAGcAaAAgAHIAYQBpAG4AZgBhAGwAbAAgAHoAbwBuAGUAcwAgAHQAbwAgAGEAaQBkACAAbABvAG8AawB1AHAALg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YAcgBhAGMAVwBFAFQASQByAHIAaQBnAGEAdABpAG8AbgBcAG4AVgBFAEUAUgBHACAAMgAwADIANgA6ACAAQwBoAGEAcAB0AGUAcgAgADEALAAgAHMAZQBjAHQAaQBvAG4AIAAxAC4AOAAuADIAIABMAGUAYQBjAGgAaQBuAGcALAAgAGMAbABpAG0AYQB0AGUAIABhAG4AZAAgAHIAYQBpAG4AZgBhAGwAbAAgAHoAbwBuAGUAcwBcAG4ASQBQAEMAQwA6ACAATgAyAE8AIABFAE0ASQBTAFMASQBPAE4AUwAgAEYAUgBPAE0AIABNAEEATgBBAEcARQBEACAAUwBPAEkATABTACwAIABBAE4ARAAgAEMATwAyACAARQBNAEkAUwBTAEkATwBOAFMAIABGAFIATwBNACAATABJAE0ARQAgAEEATgBEACAAVQBSAEUAQQAgAEEAUABQAEwASQBDAEEAVABJAE8ATgBcAG4ALQAtAC0ALQAtAC0ALQAtAC0ALQAtAC0ALQAtAC0ALQAtAC0ALQAtAC0ALQAtAC0ALQAtAC0ALQAtAC0ALQAtAC0ALQAtAC0ALQAtAFwAbgAqAC8AXABuAFwAbgBDAG8AbQBtAG8AbgBfAFMAbwB1AHIAYwBlAEQAYQB0AGEAXwBGAHIAYQBjAFcARQBUAEkAcgByAGkAZwBhAHQAaQBvAG4AXwBUAGkAdABsAGUAXABuACAAIAA9AEwAQQBNAEIARABBACgAXAAiAEYAcgBhAGMAVwBFAFQAIABmAG8AcgAgAGkAcgByAGkAZwBhAHQAaQBvAG4AIAB0AHkAcABlAHMAXAAiACkAOwBcAG4AXABuAEMAbwBtAG0AbwBuAF8AUwBvAHUAcgBjAGUARABhAHQAYQBfAEYAcgBhAGMAVwBFAFQASQByAHIAaQBnAGEAdABpAG8AbgBfAFUAbgBpAHQAXABuACAAIAA9AEwAQQBNAEIARABBACgAXAAiAGQAaQBtAGUAbgBzAGkAbwBuAGwAZQBzAHMAXAAiACkAOwBcAG4AXABuAEMAbwBtAG0AbwBuAF8AUwBvAHUAcgBjAGUARABhAHQAYQBfAEYAcgBhAGMAVwBFAFQASQByAHIAaQBnAGEAdABpAG8AbgBfAFMAbwB1AHIAYwBlAFwAbgAgACAAPQBMAEEATQBCAEQAQQAoAFwAIgBWAEUARQBSAEcAIAAyADAAMgA2ADoAIABDAGgAYQBwAHQAZQByACAAMQAsACAAcwBlAGMAdABpAG8AbgAgADEALgA4AC4AMgAgAEwAZQBhAGMAaABpAG4AZwAsACAAYwBsAGkAbQBhAHQAZQAgAGEAbgBkACAAcgBhAGkAbgBmAGEAbABsACAAegBvAG4AZQBzAFwAIgApADsAXABuAFwAbgBDAG8AbQBtAG8AbgBfAFMAbwB1AHIAYwBlAEQAYQB0AGEAXwBGAHIAYQBjAFcARQBUAEkAcgByAGkAZwBhAHQAaQBvAG4AXwBOAEkAUgBSAGUAZgBlAHIAZQBuAGMAZQBcAG4AIAAgAD0ATABBAE0AQgBEAEEAKABcACIASQBQAEMAQwAgADIAMAAxADkAIABSAGUAZgBpAG4AZQBtAGUAbgB0ACAAVgBvAGwAdQBtAGUAIAA0ADoAIABDAGgAYQBwAHQAZQByACAAMQAxADoAIABOADIATwAgAEUAbQBpAHMAcwBpAG8AbgBzACAAZgByAG8AbQAgAE0AYQBuAGEAZwBlAGQAIABTAG8AaQBsAHMALAAgAGEAbgBkACAAQwBPADIAIABFAG0AaQBzAHMAaQBvAG4AcwAgAGYAcgBvAG0AIABMAGkAbQBlACAAYQBuAGQAIABVAHIAZQBhACAAQQBwAHAAbABpAGMAYQB0AGkAbwBuAFwAIgApADsAXABuAFwAbgBDAG8AbQBtAG8AbgBfAFMAbwB1AHIAYwBlAEQAYQB0AGEAXwBGAHIAYQBjAFcARQBUAEkAcgByAGkAZwBhAHQAaQBvAG4AXwBEAGEAdABhAFwAbgAgACAAPQBMAEEATQBCAEQAQQAoAFwAbgAgACAAIAAgAE0AQQBLAEUAQQBSAFIAQQBZACgANgAsACAAMgAsACAAXABuACAAIAAgACAAIAAgAEwAQQBNAEIARABBACgAcgAsAGMALAAgAFwAbgAgACAAIAAgACAAIAAgACAASQBOAEQARQBYACgAewBcAG4AIAAgACAAIAAgACAAIAAgACAAIABcACIASQByAHIAaQBnAGEAdABpAG8AbgAgAHQAeQBwAGUAIABpAHIAXAAiACwAXAAiAEYAcgBhAGMAVwBFAFQAXAAiADsAXABuACAAIAAgACAAIAAgACAAIAAgACAAXAAiAE4AbwB0ACAAaQByAHIAaQBnAGEAdABlAGQAXAAiACwAIAAwADsAXABuACAAIAAgACAAIAAgACAAIAAgACAAXAAiAEQAcgBpAHAAIABpAHIAcgBpAGcAYQB0AGkAbwBuAFwAIgAsACAAMAA7AFwAbgAgACAAIAAgACAAIAAgACAAIAAgAFwAIgBTAHAAcgBpAG4AawBsAGUAcgAgAGkAcgByAGkAZwBhAHQAaQBvAG4AXAAiACwAIAAxADsAXABuACAAIAAgACAAIAAgACAAIAAgACAAXAAiAFMAdQByAGYAYQBjAGUAIABpAHIAcgBpAGcAYQB0AGkAbwBuAFwAIgAsACAAMQA7AFwAbgAgACAAIAAgACAAIAAgACAAIAAgAFwAIgBPAHQAaABlAHIAIABpAHIAcgBpAGcAYQB0AGkAbwBuAFwAIgAsACAAMQBcAG4AIAAgACAAIAAgACAAIAAgAH0ALAAgAHIALAAgAGMAKQBcAG4AIAAgACAAIAAgACAAKQBcAG4AIAAgACAAIAApAFwAbgAgACAAKQA7AFwAbgBcAG4AIAAgAEMAbwBtAG0AbwBuAF8AUwBvAHUAcgBjAGUARABhAHQAYQBfAEYAcgBhAGMAVwBFAFQASQByAHIAaQBnAGEAdABpAG8AbgBfAFYAYQByAGkAYQB0AGkAbwBuAFwAbgAgACAAPQBMAEEATQBCAEQAQQAoAFwAIgBWAEEAUgBJAEEAVABJAE8ATgAgAEYAUgBPAE0AIABTAE8AVQBSAEMARQAgAEQAQQBUAEEAOgAgAFQAYQBiAGwAZQAgAGMAcgBlAGEAdABlAGQAIABiAGEAcwBlAGQAIABvAG4AIABWAEUARQBSAEcAIAB0AGUAeAB0ACAAJwBBAHIAZQBhAHMAIABhAHIAZQAgAHMAdQBiAGoAZQBjAHQAIAB0AG8AIABsAGUAYQBjAGgAaQBuAGcAIAAoAGkALgBlAC4ALAAgAGkAbgAgAHQAaABlACAAbABlAGEAYwBoAGkAbgBnACAAegBvAG4AZQApACAAdwBoAGUAbgAuAC4ALgAgAHQAaABlACAAbABhAG4AZAAgAGkAcwAgAGkAcgByAGkAZwBhAHQAZQBkACAAKABlAHgAYwBlAHAAdAAgAGQAcgBpAHAAIABpAHIAcgBpAGcAYQB0AGkAbwBuACkALgAn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AnAEQAcgB5ACAAYwBsAGkAbQBhAHQAZQAgAHoAbwBuAGUAcwAnACAAdABvACAAcwBpAG4AZwB1AGwAYQByACAAJwBEAHIAeQAgAGMAbABpAG0AYQB0AGUAIAB6AG8AbgBlACcAIAB0AG8AIABhAGkAZAAgAGwAbwBvAGsAdQBwAC4AXAAiACkAOwBcAG4AXABuAFwAbgAvACoAIABcAG4ALQAtAC0ALQAtAC0ALQAtAC0ALQAtAC0ALQAtAC0ALQAtAC0ALQAtAC0ALQAtAC0ALQAtAC0ALQAtAC0ALQAtAC0ALQAtAC0ALQAtAFwAbgBDAG8AbQBtAG8AbgBfAFMAbwB1AHIAYwBlAEQAYQB0AGEAXwBNAG8AbgB0AGgAcwBUAG8AUwBlAGEAcwBvAG4AcwBcAG4ALQAtAC0ALQAtAC0ALQAtAC0ALQAtAC0ALQAtAC0ALQAtAC0ALQAtAC0ALQAtAC0ALQAtAC0ALQAtAC0ALQAtAC0ALQAtAC0ALQAtAFwAbgAqAC8AXABuAFwAbgBDAG8AbQBtAG8AbgBfAFMAbwB1AHIAYwBlAEQAYQB0AGEAXwBNAG8AbgB0AGgAcwBUAG8AUwBlAGEAcwBvAG4AcwBfAFQAaQB0AGwAZQBcAG4AIAAgAD0ATABBAE0AQgBEAEEAKABcACIATQBvAG4AdABoAHMAIAB0AG8AIABTAGUAYQBzAG8AbgBzACAATQBhAHAAcABpAG4AZwBcACIAKQA7AFwAbgBcAG4AQwBvAG0AbQBvAG4AXwBTAG8AdQByAGMAZQBEAGEAdABhAF8ATQBvAG4AdABoAHMAVABvAFMAZQBhAHMAbwBuAHMAXwBVAG4AaQB0AFwAbgAgACAAPQBMAEEATQBCAEQAQQAoAFwAIgBcACIAKQA7AFwAbgBcAG4AQwBvAG0AbQBvAG4AXwBTAG8AdQByAGMAZQBEAGEAdABhAF8ATQBvAG4AdABoAHMAVABvAFMAZQBhAHMAbwBuAHMAXwBTAG8AdQByAGMAZQBcAG4AIAAgAD0ATABBAE0AQgBEAEEAKABcACIAXAAiACkAOwBcAG4AXABuAEMAbwBtAG0AbwBuAF8AUwBvAHUAcgBjAGUARABhAHQAYQBfAE0AbwBuAHQAaABzAFQAbwBTAGUAYQBzAG8AbgBzAF8ATgBJAFIAUgBlAGYAZQByAGUAbgBjAGUAXABuACAAIAA9AEwAQQBNAEIARABBACgAXAAiAFwAIgApADsAXABuAFwAbgBDAG8AbQBtAG8AbgBfAFMAbwB1AHIAYwBlAEQAYQB0AGEAXwBNAG8AbgB0AGgAcwBUAG8AUwBlAGEAcwBvAG4AcwBfAEQAYQB0AGEAXABuACAAIAA9AEwAQQBNAEIARABBACgAXABuACAAIAAgACAATQBBAEsARQBBAFIAUgBBAFkAKAAxADMALAAgADIALAAgAFwAbgAgACAAIAAgACAAIABMAEEATQBCAEQAQQAoAHIALABjACwAIABcAG4AIAAgACAAIAAgACAAIAAgAEkATgBEAEUAWAAoAHsAXABuACAAIAAgACAAIAAgACAAIAAgACAAXAAiAE0AbwBuAHQAaABcACIALAAgAFwAIgBTAGUAYQBzAG8AbgBcACIAOwBcAG4AIAAgACAAIAAgACAAIAAgACAAIABcACIASgBhAG4AdQBhAHIAeQBcACIALAAgAFwAIgBTAHUAbQBtAGUAcgBcACIAOwBcAG4AIAAgACAAIAAgACAAIAAgACAAIABcACIARgBlAGIAcgB1AGEAcgB5AFwAIgAsACAAXAAiAFMAdQBtAG0AZQByAFwAIgA7AFwAbgAgACAAIAAgACAAIAAgACAAIAAgAFwAIgBNAGEAcgBjAGgAXAAiACwAIABcACIAQQB1AHQAdQBtAG4AXAAiADsAXABuACAAIAAgACAAIAAgACAAIAAgACAAXAAiAEEAcAByAGkAbABcACIALAAgAFwAIgBBAHUAdAB1AG0AbgBcACIAOwBcAG4AIAAgACAAIAAgACAAIAAgACAAIABcACIATQBhAHkAXAAiACwAIABcACIAQQB1AHQAdQBtAG4AXAAiADsAXABuACAAIAAgACAAIAAgACAAIAAgACAAXAAiAEoAdQBuAGUAXAAiACwAIABcACIAVwBpAG4AdABlAHIAXAAiADsAXABuACAAIAAgACAAIAAgACAAIAAgACAAXAAiAEoAdQBsAHkAXAAiACwAIABcACIAVwBpAG4AdABlAHIAXAAiADsAXABuACAAIAAgACAAIAAgACAAIAAgACAAXAAiAEEAdQBnAHUAcwB0AFwAIgAsACAAXAAiAFcAaQBuAHQAZQByAFwAIgA7AFwAbgAgACAAIAAgACAAIAAgACAAIAAgAFwAIgBTAGUAcAB0AGUAbQBiAGUAcgBcACIALAAgAFwAIgBTAHAAcgBpAG4AZwBcACIAOwBcAG4AIAAgACAAIAAgACAAIAAgACAAIABcACIATwBjAHQAbwBiAGUAcgBcACIALAAgAFwAIgBTAHAAcgBpAG4AZwBcACIAOwBcAG4AIAAgACAAIAAgACAAIAAgACAAIABcACIATgBvAHYAZQBtAGIAZQByAFwAIgAsACAAXAAiAFMAcAByAGkAbgBnAFwAIgA7AFwAbgAgACAAIAAgACAAIAAgACAAIAAgAFwAIgBEAGUAYwBlAG0AYgBlAHIAXAAiACwAIABcACIAUwB1AG0AbQBlAHIAXAAiAFwAbgAgACAAIAAgACAAIAAgACAAfQAsACAAcgAsACAAYwApAFwAbgAgACAAIAAgACAAIAApAFwAbgAgACAAIAAgACkAXABuACAAIAApADsAXABuAFwAbgAgACAAQwBvAG0AbQBvAG4AXwBTAG8AdQByAGMAZQBEAGEAdABhAF8ATQBvAG4AdABoAHMAVABvAFMAZQBhAHMAbwBuAHMAXwBWAGEAcgBpAGEAdABpAG8AbgBcAG4AIAAgAD0ATABBAE0AQgBEAEEAKABcACIAXAAiACkAOwBcAG4AXABuAFwAbgBcAG4ALwAqACAAXABuAC0ALQAtAC0ALQAtAC0ALQAtAC0ALQAtAC0ALQAtAC0ALQAtAC0ALQAtAC0ALQAtAC0ALQAtAC0ALQAtAC0ALQAtAC0ALQAtAC0ALQBcAG4AQwBvAG0AbQBvAG4AXwBTAG8AdQByAGMAZQBEAGEAdABhAF8ATQBDAEYAVABlAG0AcABlAHIAYQB0AHUAcgBlAFoAbwBuAGUAXABuAC0ALQAtAC0ALQAtAC0ALQAtAC0ALQAtAC0ALQAtAC0ALQAtAC0ALQAtAC0ALQAtAC0ALQAtAC0ALQAtAC0ALQAtAC0ALQAtAC0ALQBcAG4AKgAvAFwAbgBcAG4AQwBvAG0AbQBvAG4AXwBTAG8AdQByAGMAZQBEAGEAdABhAF8ATQBDAEYAVABlAG0AcABlAHIAYQB0AHUAcgBlAFoAbwBuAGUAXwBUAGkAdABsAGUAXABuACAAIAA9AEwAQQBNAEIARABBACgAXAAiAE0AYQBuAHUAcgBlACAATQBhAG4AYQBnAGUAbQBlAG4AdAAgABMgIABNAGUAdABoAGEAbgBlACAAYwBvAG4AdgBlAHIAcwBpAG8AbgAgAGYAYQBjAHQAbwByACAAcABlAHIAIAB0AGUAbQBwAGUAcgBhAHQAdQByAGUAIAB6AG8AbgBlACAAKABmAHIAYQBjAHQAaQBvAG4AKQAgACgATQBDAEYAaQBtACkAXAAiACkAOwBcAG4AXABuAEMAbwBtAG0AbwBuAF8AUwBvAHUAcgBjAGUARABhAHQAYQBfAE0AQwBGAFQAZQBtAHAAZQByAGEAdAB1AHIAZQBaAG8AbgBlAF8AVQBuAGkAdABcAG4AIAAgAD0ATABBAE0AQgBEAEEAKABcACIAZgByAGEAYwB0AGkAbwBuAFwAIgApADsAXABuAFwAbgBDAG8AbQBtAG8AbgBfAFMAbwB1AHIAYwBlAEQAYQB0AGEAXwBNAEMARgBUAGUAbQBwAGUAcgBhAHQAdQByAGUAWgBvAG4AZQBfAFMAbwB1AHIAYwBlAFwAbgAgACAAPQBMAEEATQBCAEQAQQAoAFwAIgBWAEUARQBSAEcAIAAyADAAMgA2ADoAIABUAGEAYgBsAGUAIABBAC4AMQAuADgALgAxAFwAIgApADsAXABuAFwAbgBDAG8AbQBtAG8AbgBfAFMAbwB1AHIAYwBlAEQAYQB0AGEAXwBNAEMARgBUAGUAbQBwAGUAcgBhAHQAdQByAGUAWgBvAG4AZQBfAEQAYQB0AGEAXABuACAAIAA9AEwAQQBNAEIARABBACgAXABuACAAIAAgACAATQBBAEsARQBBAFIAUgBBAFkAKAAyADIALAAgADEANgAsACAAXABuACAAIAAgACAAIAAgAEwAQQBNAEIARABBACgAcgAsAGMALAAgAFwAbgAgACAAIAAgACAAIAAgACAASQBOAEQARQBYACgAewBcAG4AIAAgACAAIAAgACAAIAAgACAAIABcACIAVABlAG0AcABlAHIAYQB0AHUAcgBlACAAegBvAG4AZQBcACIALAAgAFwAIgBNAEEAVAAgACgAugBDACkAXAAiACwAIABcACIAVQBuAGMAbwB2AGUAcgBlAGQAIABhAG4AZQByAG8AYgBpAGMAIABsAGEAZwBvAG8AbgBcACIALAAgAFwAIgBDAG8AdgBlAHIAZQBkACAAbABhAGcAbwBvAG4AXAAiACwAIABcACIATABpAHEAdQBpAGQAIABTAGwAdQByAHIAeQAgACgAdwBpAHQAaABvAHUAdAAgAG4AYQB0AHUAcgBhAGwAIABjAHIAdQBzAHQAKQBcACIALAAgAFwAIgBEAGEAaQBsAHkAIABzAHAAcgBlAGEAZAAgACgAYgApAFwAIgAsACAAXAAiAEMAbwBtAHAAbwBzAHQAaQBuAGcAIAAoAHAAYQBzAHMAaQB2AGUAIAB3AGkAbgBkAHIAbwB3ACkAXAAiACwAIABcACIAUwBvAGwAaQBkACAAUwB0AG8AcgBhAGcAZQBcACIALAAgAFwAIgBQAGkAdAAgAFMAdABvAHIAYQBnAGUAIAA8ADEAIABtAG8AbgB0AGgAXAAiACwAIABcACIARABlAGUAcAAgAEwAaQB0AHQAZQByAFwAIgAsACAAXAAiAFAAbwB1AGwAdAByAHkAIABNAGEAbgB1AHIAZQAgACgAdwBpAHQAaAAvAHcAaQB0AGgAbwB1AHQAIABsAGkAdAB0AGUAcgApAFwAIgAsACAAXAAiAFwAIgAsACAAXAAiAEQAaQByAGUAYwB0ACAAcAByAG8AYwBlAHMAcwBpAG4AZwAgAGkAbgB0AG8AIABwAGUAbABsAGUAdABpAHoAZQBkACAAZgBlAHIAdABpAGwAaQBzAGUAcgBcACIALAAgAFwAIgBEAGkAcgBlAGMAdAAgAGEAcABwAGwAaQBjAGEAdABpAG8AbgAgAHQAbwAgAHMAbwBpAGwAXAAiACwAIABcACIAUABhAHMAdAB1AHIAZQAsACAAUgBhAG4AZwBlACAAYQBuAGQAIABQAGEAZABkAG8AYwBrACAAKABjACkAKABkACkAXAAiACwAIABcACIATQBBAFQAIAByAGEAdwBcACIAOwBcAG4AIAAgACAAIAAgACAAIAAgACAAIABcACIAQwBvAG8AbABcACIALAAgAFwAIgBkIjEAMABcACIALAAgADAALgA2ADYALAAgADAALgAxACwAIAAwAC4AMQAsACAAMAAuADAAMAAxACwAIAAwAC4AMAAwADUALAAgADAALgAwADIALAAgADAALgAwADMALAAgADAALgAwADQALAAgADAALgAwADEANQAsACAAMAAuADAAMQA1ACwAIAAwACwAIAAwACwAIAAwAC4AMAAwADQANwAsACAAMQAwADsAXABuACAAIAAgACAAIAAgACAAIAAgACAAXAAiAEMAbwBvAGwAXAAiACwAIAAxADEALAAgADAALgA2ADgALAAgADAALgAxACwAIAAwAC4AMQAxACwAIAAwAC4AMAAwADEALAAgADAALgAwADAANQAsACAAMAAuADAAMgAsACAAMAAuADAAMwAsACAAMAAuADAANAAsACAAMAAuADAAMQA1ACwAIAAwAC4AMAAxADUALAAgADAALAAgADAALAAgADAALgAwADAANAA3ACwAIAAxADEAOwBcAG4AIAAgACAAIAAgACAAIAAgACAAIABcACIAQwBvAG8AbABcACIALAAgADEAMgAsACAAMAAuADcALAAgADAALgAxACwAIAAwAC4AMQAzACwAIAAwAC4AMAAwADEALAAgADAALgAwADAANQAsACAAMAAuADAAMgAsACAAMAAuADAAMwAsACAAMAAuADAANAAsACAAMAAuADAAMQA1ACwAIAAwAC4AMAAxADUALAAgADAALAAgADAALAAgADAALgAwADAANAA3ACwAIAAxADIAOwBcAG4AIAAgACAAIAAgACAAIAAgACAAIABcACIAQwBvAG8AbABcACIALAAgADEAMwAsACAAMAAuADcAMQAsACAAMAAuADEALAAgADAALgAxADQALAAgADAALgAwADAAMQAsACAAMAAuADAAMAA1ACwAIAAwAC4AMAAyACwAIAAwAC4AMAAzACwAIAAwAC4AMAA0ACwAIAAwAC4AMAAxADUALAAgADAALgAwADEANQAsACAAMAAsACAAMAAsACAAMAAuADAAMAA0ADcALAAgADEAMwA7AFwAbgAgACAAIAAgACAAIAAgACAAIAAgAFwAIgBDAG8AbwBsAFwAIgAsACAAMQA0ACwAIAAwAC4ANwAzACwAIAAwAC4AMQAsACAAMAAuADEANQAsACAAMAAuADAAMAAxACwAIAAwAC4AMAAwADUALAAgADAALgAwADIALAAgADAALgAwADMALAAgADAALgAwADQALAAgADAALgAwADEANQAsACAAMAAuADAAMQA1ACwAIAAwACwAIAAwACwAIAAwAC4AMAAwADQANwAsACAAMQA0ADsAXABuACAAIAAgACAAIAAgACAAIAAgACAAXAAiAFQAZQBtAHAAZQByAGEAdABlAFwAIgAsACAAMQA1ACwAIAAwAC4ANwA0ACwAIAAwAC4AMQAsACAAMAAuADEANwAsACAAMAAuADAAMAA1ACwAIAAwAC4AMAAxACwAIAAwAC4AMAAyACwAIAAwAC4AMAAzACwAIAAwAC4AMAA0ACwAIAAwAC4AMAAxADUALAAgADAALgAwADEANQAsACAAMAAsACAAMAAsACAAMAAuADAAMAA0ADcALAAgADEANQA7AFwAbgAgACAAIAAgACAAIAAgACAAIAAgAFwAIgBUAGUAbQBwAGUAcgBhAHQAZQBcACIALAAgADEANgAsACAAMAAuADcANQAsACAAMAAuADEALAAgADAALgAxADgALAAgADAALgAwADAANQAsACAAMAAuADAAMQAsACAAMAAuADAAMgAsACAAMAAuADAAMwAsACAAMAAuADAANAAsACAAMAAuADAAMQA1ACwAIAAwAC4AMAAxADUALAAgADAALAAgADAALAAgADAALgAwADAANAA3ACwAIAAxADYAOwBcAG4AIAAgACAAIAAgACAAIAAgACAAIABcACIAVABlAG0AcABlAHIAYQB0AGUAXAAiACwAIAAxADcALAAgADAALgA3ADYALAAgADAALgAxACwAIAAwAC4AMgAsACAAMAAuADAAMAA1ACwAIAAwAC4AMAAxACwAIAAwAC4AMAAyACwAIAAwAC4AMAAzACwAIAAwAC4AMAA0ACwAIAAwAC4AMAAxADUALAAgADAALgAwADEANQAsACAAMAAsACAAMAAsACAAMAAuADAAMAA0ADcALAAgADEANwA7AFwAbgAgACAAIAAgACAAIAAgACAAIAAgAFwAIgBUAGUAbQBwAGUAcgBhAHQAZQBcACIALAAgADEAOAAsACAAMAAuADcANwAsACAAMAAuADEALAAgADAALgAyADIALAAgADAALgAwADAANQAsACAAMAAuADAAMQAsACAAMAAuADAAMgAsACAAMAAuADAAMwAsACAAMAAuADAANAAsACAAMAAuADAAMQA1ACwAIAAwAC4AMAAxADUALAAgADAALAAgADAALAAgADAALgAwADAANAA3ACwAIAAxADgAOwBcAG4AIAAgACAAIAAgACAAIAAgACAAIABcACIAVABlAG0AcABlAHIAYQB0AGUAXAAiACwAIAAxADkALAAgADAALgA3ADcALAAgADAALgAxACwAIAAwAC4AMgA0ACwAIAAwAC4AMAAwADUALAAgADAALgAwADEALAAgADAALgAwADIALAAgADAALgAwADMALAAgADAALgAwADQALAAgADAALgAwADEANQAsACAAMAAuADAAMQA1ACwAIAAwACwAIAAwACwAIAAwAC4AMAAwADQANwAsACAAMQA5ADsAXABuACAAIAAgACAAIAAgACAAIAAgACAAXAAiAFQAZQBtAHAAZQByAGEAdABlAFwAIgAsACAAMgAwACwAIAAwAC4ANwA4ACwAIAAwAC4AMQAsACAAMAAuADIANgAsACAAMAAuADAAMAA1ACwAIAAwAC4AMAAxACwAIAAwAC4AMAAyACwAIAAwAC4AMAAzACwAIAAwAC4AMAA0ACwAIAAwAC4AMAAxADUALAAgADAALgAwADEANQAsACAAMAAsACAAMAAsACAAMAAuADAAMAA0ADcALAAgADIAMAA7AFwAbgAgACAAIAAgACAAIAAgACAAIAAgAFwAIgBUAGUAbQBwAGUAcgBhAHQAZQBcACIALAAgADIAMQAsACAAMAAuADcAOAAsACAAMAAuADEALAAgADAALgAyADkALAAgADAALgAwADAANQAsACAAMAAuADAAMQAsACAAMAAuADAAMgAsACAAMAAuADAAMwAsACAAMAAuADAANAAsACAAMAAuADAAMQA1ACwAIAAwAC4AMAAxADUALAAgADAALAAgADAALAAgADAALgAwADAANAA3ACwAIAAyADEAOwBcAG4AIAAgACAAIAAgACAAIAAgACAAIABcACIAVABlAG0AcABlAHIAYQB0AGUAXAAiACwAIAAyADIALAAgADAALgA3ADgALAAgADAALgAxACwAIAAwAC4AMwAxACwAIAAwAC4AMAAwADUALAAgADAALgAwADEALAAgADAALgAwADIALAAgADAALgAwADMALAAgADAALgAwADQALAAgADAALgAwADEANQAsACAAMAAuADAAMQA1ACwAIAAwACwAIAAwACwAIAAwAC4AMAAwADQANwAsACAAMgAyADsAXABuACAAIAAgACAAIAAgACAAIAAgACAAXAAiAFQAZQBtAHAAZQByAGEAdABlAFwAIgAsACAAMgAzACwAIAAwAC4ANwA5ACwAIAAwAC4AMQAsACAAMAAuADMANAAsACAAMAAuADAAMAA1ACwAIAAwAC4AMAAxACwAIAAwAC4AMAAyACwAIAAwAC4AMAAzACwAIAAwAC4AMAA0ACwAIAAwAC4AMAAxADUALAAgADAALgAwADEANQAsACAAMAAsACAAMAAsACAAMAAuADAAMAA0ADcALAAgADIAMwA7AFwAbgAgACAAIAAgACAAIAAgACAAIAAgAFwAIgBUAGUAbQBwAGUAcgBhAHQAZQBcACIALAAgADIANAAsACAAMAAuADcAOQAsACAAMAAuADEALAAgADAALgAzADcALAAgADAALgAwADAANQAsACAAMAAuADAAMQAsACAAMAAuADAAMgAsACAAMAAuADAAMwAsACAAMAAuADAANAAsACAAMAAuADAAMQA1ACwAIAAwAC4AMAAxADUALAAgADAALAAgADAALAAgADAALgAwADAANAA3ACwAIAAyADQAOwBcAG4AIAAgACAAIAAgACAAIAAgACAAIABcACIAVABlAG0AcABlAHIAYQB0AGUAXAAiACwAIAAyADUALAAgADAALgA3ADkALAAgADAALgAxACwAIAAwAC4ANAAxACwAIAAwAC4AMAAwADUALAAgADAALgAwADEALAAgADAALgAwADIALAAgADAALgAwADMALAAgADAALgAwADQALAAgADAALgAwADEANQAsACAAMAAuADAAMQA1ACwAIAAwACwAIAAwACwAIAAwAC4AMAAwADQANwAsACAAMgA1ADsAXABuACAAIAAgACAAIAAgACAAIAAgACAAXAAiAFcAYQByAG0AXAAiACwAIAAyADYALAAgADAALgA3ADkALAAgADAALgAxACwAIAAwAC4ANAA0ACwAIAAwAC4AMAAxACwAIAAwAC4AMAAxADUALAAgADAALgAwADIALAAgADAALgAwADMALAAgADAALgAwADQALAAgADAALgAwADEANQAsACAAMAAuADAAMQA1ACwAIAAwACwAIAAwACwAIAAwAC4AMAAwADQANwAsACAAMgA2ADsAXABuACAAIAAgACAAIAAgACAAIAAgACAAXAAiAFcAYQByAG0AXAAiACwAIAAyADcALAAgADAALgA4ACwAIAAwAC4AMQAsACAAMAAuADQAOAAsACAAMAAuADAAMQAsACAAMAAuADAAMQA1ACwAIAAwAC4AMAAyACwAIAAwAC4AMAAzACwAIAAwAC4AMAA0ACwAIAAwAC4AMAAxADUALAAgADAALgAwADEANQAsACAAMAAsACAAMAAsACAAMAAuADAAMAA0ADcALAAgADIANwA7AFwAbgAgACAAIAAgACAAIAAgACAAIAAgAFwAIgBXAGEAcgBtAFwAIgAsACAAXAAiAGUiMgA4AFwAIgAsACAAMAAuADgALAAgADAALgAxACwAIAAwAC4ANQAsACAAMAAuADAAMQAsACAAMAAuADAAMQA1ACwAIAAwAC4AMAAyACwAIAAwAC4AMAAzACwAIAAwAC4AMAA0ACwAIAAwAC4AMAAxADUALAAgADAALgAwADEANQAsACAAMAAsACAAMAAsACAAMAAuADAAMAA0ADcALAAgADIAOAA7AFwAbgAgACAAIAAgACAAIAAgACAAIAAgAFwAIgBcACIALAAgAFwAIgBcACIALAAgAFwAIgBBAG4AYQBlAHIAbwBiAGkAYwAgAGwAYQBnAG8AbwBuAFwAIgAsACAAXAAiAEQAaQBnAGUAcwB0AGUAcgAgAC8AIABjAG8AdgBlAHIAZQBkACAAbABhAGcAbwBvAG4AcwBcACIALAAgAFwAIgBMAGkAcQB1AGkAZAAgAHMAeQBzAHQAZQBtAHMAXAAiACwAIABcACIARABhAGkAbAB5ACAAcwBwAHIAZQBhAGQAXAAiACwAIABcACIAQwBvAG0AcABvAHMAdABpAG4AZwAgACgAcABhAHMAcwBpAHYAZQAgAHcAaQBuAGQAcgBvAHcAKQBcACIALAAgAFwAIgBTAG8AbABpAGQAIABzAHQAbwByAGEAZwBlAFwAIgAsACAAXAAiAFAAaQB0ACAAcwB0AG8AcgBhAGcAZQBcACIALAAgAFwAIgBEAGUAZQBwACAAbABpAHQAdABlAHIAXAAiACwAIABcACIAUABvAHUAbAB0AHIAeQAgAG0AYQBuAHUAcgBlACAAdwBpAHQAaAAgAGIAZQBkAGQAaQBuAGcAXAAiACwAIABcACIAUABvAHUAbAB0AHIAeQAgAG0AYQBuAHUAcgBlACAAdwBpAHQAaABvAHUAdAAgAGIAZQBkAGQAaQBuAGcAXAAiACwAIABcACIARABpAHIAZQBjAHQAIABwAHIAbwBjAGUAcwBzAGkAbgBnAFwAIgAsACAAXAAiAEQAaQByAGUAYwB0ACAAYQBwAHAAbABpAGMAYQB0AGkAbwBuAFwAIgAsACAAXAAiAFAAYQBzAHQAdQByAGUAIAByAGEAbgBnAGUAIABhAG4AZAAgAHAAYQBkAGQAbwBjAGsAXAAiACwAIABcACIATQBBAFQAIAByAGEAdwBcACIAIABcAG4AIAAgACAAIAAgACAAIAAgAH0ALAAgAHIALAAgAGMAKQBcAG4AIAAgACAAIAAgACAAKQBcAG4AIAAgACAAIAApAFwAbgAgACAAKQA7AFwAbgBcAG4AQwBvAG0AbQBvAG4AXwBTAG8AdQByAGMAZQBEAGEAdABhAF8ATQBDAEYAVABlAG0AcABlAHIAYQB0AHUAcgBlAFoAbwBuAGUAXwBWAGEAcgBpAGEAdABpAG8AbgBcAG4AIAAgAD0ATABBAE0AQgBEAEEAKABcACIAVgBBAFIASQBBAFQASQBPAE4AIABGAFIATwBNACAAUwBPAFUAUgBDAEUAOgAgAEEAZABkAGUAZAAgAHIAbwB3ACAAbwBmACAATgBJAFIAIABNAE0AQQAgAGQAZQBmAGkAbgBpAHQAaQBvAG4AcwAgAHQAbwAgAGEAaQBkACAAbABvAG8AawB1AHAALgAgAEQAdQBwAGwAaQBjAGEAdABlAGQAIAAnAFAAbwB1AGwAdAByAHkAIAB3AGkAdABoACAAYQBuAGQAIAB3AGkAdABoAG8AdQB0ACAAbABpAHQAdABlAHIAJwAgAGMAbwBsAHUAbQBuACAAdwBpAHQAaAAgAHMAZQBwAGEAcgBhAHQAZQAgAE4ASQBSACAAZABlAGYAaQBuAGkAdABpAG8AbgBzACAAdABvACAAYQBpAGQAIABsAG8AbwBrAHUAcAAuACAAQQBkAGQAZQBkACAAJwBNAEEAVAAgAHIAYQB3AC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JgAgAEUARgBOADIATwBpAFwAIgApADsAXABuAFwAbgBDAG8AbQBtAG8AbgBfAFMAbwB1AHIAYwBlAEQAYQB0AGEAXwBFAEYATwByAGcAYQBuAGkAYwBGAGUAcgB0AGkAbABpAHMAZQByAEEAbgBkAEMAcgBvAHAAUgBlAHMAaQBkAHUAZQBzAF8AVQBuAGkAdABcAG4AIAAgAD0ATABBAE0AQgBEAEEAKABcACIAawBnACAATgAyAE8AIAAtACAATgAgAC8AIABrAGcAIABOAFwAIgApADsAXABuAFwAbgBDAG8AbQBtAG8AbgBfAFMAbwB1AHIAYwBlAEQAYQB0AGEAXwBFAEYATwByAGcAYQBuAGkAYwBGAGUAcgB0AGkAbABpAHMAZQByAEEAbgBkAEMAcgBvAHAAUgBlAHMAaQBkAHUAZQBzAF8AUwBvAHUAcgBjAGUAXABuACAAIAA9AEwAQQBNAEIARABBACgAXAAiAFYARQBFAFIARwAgADIAMAAyADYAOgAgAFQAYQBiAGwAZQAgAEEALgAyAC4AMQAuADQAXAAiACkAOwBcAG4AXABuAEMAbwBtAG0AbwBuAF8AUwBvAHUAcgBjAGUARABhAHQAYQBfAEUARgBPAHIAZwBhAG4AaQBjAEYAZQByAHQAaQBsAGkAcwBlAHIAQQBuAGQAQwByAG8AcABSAGUAcwBpAGQAdQBlAHMAXwBOAEkAUgBSAGUAZgBlAHIAZQBuAGMAZQBcAG4AIAAgAD0ATABBAE0AQgBEAEEAKABcACIAXAAiACkAOwBcAG4AXABuAEMAbwBtAG0AbwBuAF8AUwBvAHUAcgBjAGUARABhAHQAYQBfAEUARgBPAHIAZwBhAG4AaQBjAEYAZQByAHQAaQBsAGkAcwBlAHIAQQBuAGQAQwByAG8AcABSAGUAcwBpAGQAdQBlAHM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E4AaQAgACYAIABFAEYATgAyAE8AXAAiADsAXABuACAAIAAgACAAIAAgACAAIAAgACAAXAAiAFcAZQB0ACAAYwBsAGkAbQBhAHQAZQAgAHoAbwBuAGUAXAAiACwAIAAwAC4AMAAwADYAOwBcAG4AIAAgACAAIAAgACAAIAAgACAAIABcACIARAByAHkAIABjAGwAaQBtAGEAdABlACAAegBvAG4AZQBcACIALAAgADAALgAwADAANQBcAG4AIAAgACAAIAAgACAAIAAgAH0ALAAgAHIALAAgAGMAKQBcAG4AIAAgACAAIAAgACAAKQBcAG4AIAAgACAAIAApAFwAbgAgACAAKQA7AFwAbgBcAG4AQwBvAG0AbQBvAG4AXwBTAG8AdQByAGMAZQBEAGEAdABhAF8ARQBGAE8AcgBnAGEAbgBpAGMARgBlAHIAdABpAGwAaQBzAGUAcgBBAG4AZABDAHIAbwBwAFIAZQBzAGkAZAB1AGUAcwBfAFYAYQByAGkAYQB0AGkAbwBuAFwAbgAgACAAPQBMAEEATQBCAEQAQQAoAFwAIgBcACIAKQA7AFwAbgBcAG4AXABuAFwAbgBcAG4AXABuAFwAbgBcAG4AXABuAFwAbgBcAG4AXABuAFwAbgBcAG4AXABuAFwAbgBcAG4AIgB9ACwAewAiAHAAYQB0AGgAIgA6ACIALwBwAHIAbwBqAGUAYwB0AHMALwBDAG8AbQBtAG8AbgBfAEUAcQB1AGEAdABpAG8AbgBzACIALAAiAHQAZQB4AHQAIgA6ACIAXABuAC8AKgAgAFwAbgAtAC0ALQAtAC0ALQAtAC0ALQAtAC0ALQAtAC0ALQAtAC0ALQAtAC0ALQAtAC0ALQAtAC0ALQAtAC0ALQAtAC0ALQAtAC0ALQAtAC0AXABuAEMAbwBtAG0AbwBuAF8AQwBvAG4AdgBlAHIAdABOADIATwBUAG8AQwBPADIAZQBcAG4AQwBvAG4AdgBlAHIAdAAgAG4AaQB0AHIAbwB1AHMAIABvAHgAaQBkAGUAIABlAG0AaQBzAHMAaQBvAG4AcwAgAHQAbwAgAGMAYQByAGIAbwBuACAAZABpAG8AeABpAGQAZQAgAGUAcQB1AGkAdgBhAGwAZQBuAHQAIABlAG0AaQBzAHMAaQBvAG4AcwBcAG4ARQBOADIATwAgAEMATwAyAGUAXABuAHQAIABDAE8AMgBlAFwAbgBFAE4AMgBPADoAIABuAGkAdAByAG8AdQBzACAAbwB4AGkAZABlACAAZQBtAGkAcwBzAGkAbwBuAHMAIAAoAHQAIABOADIATwApAFwAbgBHAFcAUABOADIATwA6ACAAZwBsAG8AYgBhAGwAIAB3AGEAcgBtAGkAbgBnACAAcABvAHQAZQBuAHQAaQBhAGwAIABmAG8AcgAgAG4AaQB0AHIAbwB1AHMAIABvAHgAaQBkAGUAIAAoAHQAIABDAE8AMgAtAGUAIAAvACAAdAAgAE4AMgBPACkAXABuAC0ALQAtAC0ALQAtAC0ALQAtAC0ALQAtAC0ALQAtAC0ALQAtAC0ALQAtAC0ALQAtAC0ALQAtAC0ALQAtAC0ALQAtAC0ALQAtAC0ALQBcAG4AKgAvAFwAbgBcAG4AXABuAEMAbwBtAG0AbwBuAF8AQwBvAG4AdgBlAHIAdABOADIATwBUAG8AQwBPADIAZQBcAG4AIAAgAD0ATABBAE0AQgBEAEEAKABcAG4AIAAgACAAIABFAF8ATgAyAE8ALAAgAEcAVwBQAF8ATgAyAE8ALABcAG4AIAAgACAAIABFAF8ATgAyAE8AIAAqACAARwBXAFAAXwBOADIATwBcAG4AIAAgACkAXABuADsAXABuAFwAbgBDAG8AbQBtAG8AbgBfAEMAbwBuAHYAZQByAHQATgAyAE8AVABvAEMATwAyAGUAXwBUAGkAdABsAGUAXABuACAAIAA9AEwAQQBNAEIARABBACgAXAAiAEMAbwBuAHYAZQByAHQAIABuAGkAdAByAG8AdQBzACAAbwB4AGkAZABlACAAZQBtAGkAcwBzAGkAbwBuAHMAIAB0AG8AIABjAGEAcgBiAG8AbgAgAGQAaQBvAHgAaQBkAGUAIABlAHEAdQBpAHYAYQBsAGUAbgB0ACAAZQBtAGkAcwBzAGkAbwBuAHMAXAAiACkAOwBcAG4AXABuAEMAbwBtAG0AbwBuAF8AQwBvAG4AdgBlAHIAdABOADIATwBUAG8AQwBPADIAZQBfAFYAYQByAGkAYQBiAGwAZQBcAG4AIAAgAD0ATABBAE0AQgBEAEEAKABcACIARQBOADIATwAgAEMATwAyAGUAXAAiACkAOwBcAG4AXABuAEMAbwBtAG0AbwBuAF8AQwBvAG4AdgBlAHIAdABOADIATwBUAG8AQwBPADIAZQBfAFUAbgBpAHQAXABuACAAIAA9AEwAQQBNAEIARABBACgAXAAiAHQAIABDAE8AMgBlAFwAIgApADsAXABuAFwAbgBDAG8AbQBtAG8AbgBfAEMAbwBuAHYAZQByAHQATgAyAE8AVABvAEMATwAyAGUAXwBOAEkAUgBSAGUAZgBlAHIAZQBuAGMAZQBcAG4AIAAgAD0ATABBAE0AQgBEAEEAKABcACIAXAAiACkAOwBcAG4AXABuAEMAbwBtAG0AbwBuAF8AQwBvAG4AdgBlAHIAdABOADIATwBUAG8AQwBPADIAZQBfAEwAYQB0AGUAeABFAHEAdQBhAHQAaQBvAG4AXABuACAAIAA9AEwAQQBNAEIARABBACgAXAAiAEMATwAyAF8AZQAgAD0AIABFAF8AewBOADIATwB9ACAAXABcAHQAaQBtAGUAcwAgAEcAVwBQAF8AewBOADIATwB9AFwAIgApADsAXABuAFwAbgBDAG8AbQBtAG8AbgBfAEMAbwBuAHYAZQByAHQATgAyAE8AVABvAEMATwAyAGUAXwBBAHIAZwB1AG0AZQBuAHQAcwBcAG4AIAAgAD0ATABBAE0AQgBEAEEAKABcAG4AIAAgACAAIABNAEEASwBFAEEAUgBSAEEAWQAoADIALAAgADIALAAgAFwAbgAgACAAIAAgACAAIABMAEEATQBCAEQAQQAoAHIALABjACwAIABcAG4AIAAgACAAIAAgACAAIAAgAEkATgBEAEUAWAAoAHsAXABuACAAIAAgACAAIAAgACAAIAAgACAAXAAiAEUATgAyAE8AXAAiACwAXAAiAE4AaQB0AHIAbwB1AHMAIABvAHgAaQBkAGUAIABlAG0AaQBzAHMAaQBvAG4AcwAgACgAdAAgAE4AMgBPACkAXAAiADsAXABuACAAIAAgACAAIAAgACAAIAAgACAAXAAiAEcAVwBQAE4AMgBPAFwAIgAsAFwAIgBHAGwAbwBiAGEAbAAgAHcAYQByAG0AaQBuAGcAIABwAG8AdABlAG4AdABpAGEAbAAgAGYAbwByACAAbgBpAHQAcgBvAHUAcwAgAG8AeABpAGQAZQAgACgAdAAgAEMATwAyAC0AZQAgAC8AIAB0ACAATgAyAE8AKQBcACIAXABuACAAIAAgACAAIAAgACAAIAB9ACwAIAByACwAIABjACkAXABuACAAIAAgACAAIAAgACkAXABuACAAIAAgACAAKQBcAG4AIAAgACkAOwBcAG4AXABuAC8AKgAgAFwAbgAtAC0ALQAtAC0ALQAtAC0ALQAtAC0ALQAtAC0ALQAtAC0ALQAtAC0ALQAtAC0ALQAtAC0ALQAtAC0ALQAtAC0ALQAtAC0ALQAtAC0AXABuAEMAbwBtAG0AbwBuAF8AQwBvAG4AdgBlAHIAdABDAEgANABUAG8AQwBPADIAZQBcAG4AQwBvAG4AdgBlAHIAdAAgAG0AZQB0AGgAYQBuAGUAIABlAG0AaQBzAHMAaQBvAG4AcwAgAHQAbwAgAGMAYQByAGIAbwBuACAAZABpAG8AeABpAGQAZQAgAGUAcQB1AGkAdgBhAGwAZQBuAHQAIABlAG0AaQBzAHMAaQBvAG4AcwBcAG4ARQBDAEgANAAgAEMATwAyAGUAXABuAHQAIABDAE8AMgBlAFwAbgBFAEMASAA0ADoAIABtAGUAdABoAGEAbgBlACAAZQBtAGkAcwBzAGkAbwBuAHMAIAAoAHQAIABDAEgANAApAFwAbgBHAFcAUABDAEgANAA6ACAAZwBsAG8AYgBhAGwAIAB3AGEAcgBtAGkAbgBnACAAcABvAHQAZQBuAHQAaQBhAGwAIABmAG8AcgAgAG0AZQB0AGgAYQBuAGUAIAAoAHQAIABDAE8AMgAtAGUAIAAvACAAdAAgAEMASAA0ACkAXABuAC0ALQAtAC0ALQAtAC0ALQAtAC0ALQAtAC0ALQAtAC0ALQAtAC0ALQAtAC0ALQAtAC0ALQAtAC0ALQAtAC0ALQAtAC0ALQAtAC0ALQBcAG4AKgAvAFwAbgBcAG4AXABuAEMAbwBtAG0AbwBuAF8AQwBvAG4AdgBlAHIAdABDAEgANABUAG8AQwBPADIAZQBcAG4AIAAgAD0ATABBAE0AQgBEAEEAKABcAG4AIAAgACAAIABFAF8AQwBIADQALAAgAEcAVwBQAF8AQwBIADQALABcAG4AIAAgACAAIABFAF8AQwBIADQAIAAqACAARwBXAFAAXwBDAEgANABcAG4AIAAgACkAXABuADsAXABuAFwAbgBDAG8AbQBtAG8AbgBfAEMAbwBuAHYAZQByAHQAQwBIADQAVABvAEMATwAyAGUAXwBUAGkAdABsAGUAXABuACAAIAA9AEwAQQBNAEIARABBACgAXAAiAEMAbwBuAHYAZQByAHQAIABtAGUAdABoAGEAbgBlACAAZQBtAGkAcwBzAGkAbwBuAHMAIAB0AG8AIABjAGEAcgBiAG8AbgAgAGQAaQBvAHgAaQBkAGUAIABlAHEAdQBpAHYAYQBsAGUAbgB0ACAAZQBtAGkAcwBzAGkAbwBuAHMAXAAiACkAOwBcAG4AXABuAEMAbwBtAG0AbwBuAF8AQwBvAG4AdgBlAHIAdABDAEgANABUAG8AQwBPADIAZQBfAFYAYQByAGkAYQBiAGwAZQBcAG4AIAAgAD0ATABBAE0AQgBEAEEAKABcACIARQBDAEgANAAgAEMATwAyAGUAXAAiACkAOwBcAG4AXABuAEMAbwBtAG0AbwBuAF8AQwBvAG4AdgBlAHIAdABDAEgANABUAG8AQwBPADIAZQBfAFUAbgBpAHQAXABuACAAIAA9AEwAQQBNAEIARABBACgAXAAiAHQAIABDAE8AMgBlAFwAIgApADsAXABuAFwAbgBDAG8AbQBtAG8AbgBfAEMAbwBuAHYAZQByAHQAQwBIADQAVABvAEMATwAyAGUAXwBOAEkAUgBSAGUAZgBlAHIAZQBuAGMAZQBcAG4AIAAgAD0ATABBAE0AQgBEAEEAKABcACIAXAAiACkAOwBcAG4AXABuAEMAbwBtAG0AbwBuAF8AQwBvAG4AdgBlAHIAdABDAEgANABUAG8AQwBPADIAZQBfAEwAYQB0AGUAeABFAHEAdQBhAHQAaQBvAG4AXABuACAAIAA9AEwAQQBNAEIARABBACgAXAAiAEMATwAyAF8AZQAgAD0AIABFAF8AewBDAEgANAB9ACAAXABcAHQAaQBtAGUAcwAgAEcAVwBQAF8AewBDAEgANAB9AFwAIgApADsAXABuAFwAbgBDAG8AbQBtAG8AbgBfAEMAbwBuAHYAZQByAHQAQwBIADQAVABvAEMATwAyAGUAXwBBAHIAZwB1AG0AZQBuAHQAcwBcAG4AIAAgAD0ATABBAE0AQgBEAEEAKABcAG4AIAAgACAAIABNAEEASwBFAEEAUgBSAEEAWQAoADIALAAgADIALAAgAFwAbgAgACAAIAAgACAAIABMAEEATQBCAEQAQQAoAHIALABjACwAIABcAG4AIAAgACAAIAAgACAAIAAgAEkATgBEAEUAWAAoAHsAXABuACAAIAAgACAAIAAgACAAIAAgACAAXAAiAEUAQwBIADQAXAAiACwAXAAiAE0AZQB0AGgAYQBuAGUAIABlAG0AaQBzAHMAaQBvAG4AcwAgACgAdAAgAEMASAA0ACkAXAAiADsAXABuACAAIAAgACAAIAAgACAAIAAgACAAXAAiAEcAVwBQAEMASAA0AFwAIgAsAFwAIgBHAGwAbwBiAGEAbAAgAHcAYQByAG0AaQBuAGcAIABwAG8AdABlAG4AdABpAGEAbAAgAGYAbwByACAAbQBlAHQAaABhAG4AZQAgACgAdAAgAEMATwAyAC0AZQAgAC8AIAB0ACAAQwBIADQAKQBcACIAXABuACAAIAAgACAAIAAgACAAIAB9ACwAIAByACwAIABjACkAXABuACAAIAAgACAAIAAgACkAXABuACAAIAAgACAAKQBcAG4AIAAgACkAOwAiAH0ALAB7ACIAcABhAHQAaAAiADoAIgAvAHAAcgBvAGoAZQBjAHQAcwAvAEMAbwBtAG0AbwBuAF8ASQBuAHAAdQB0AEYAdQBuAGMAdABpAG8AbgBzACIALAAiAHQAZQB4AHQAIgA6ACIAVQB0AGkAbABpAHQAeQBfAEcAZQB0AEEAcgByAGEAeQBUAGEAYgBsAGUAUgBvAHcAUwB0AGEAcgB0AE4AdQBtAGIAZQByAFwAbgA9AEwAQQBNAEIARABBACgAXABuACAAIAAgACAAVABhAGIAbABlAGgAZQBhAGQAZQByAEMAZQBsAGwALABSAG8AdwBzAEIAZQB0AHcAZQBlAG4ASABlAGEAZABlAHIAYQBuAGQAQQByAHIAYQB5ACwAXABuACAAIAAgACAAUgBPAFcAKABUAGEAYgBsAGUAaABlAGEAZABlAHIAQwBlAGwAbAApACAAKwAgAFIAbwB3AHMAQgBlAHQAdwBlAGUAbgBIAGUAYQBkAGUAcgBhAG4AZABBAHIAcgBhAHkAIAAtACAAMQBcAG4AKQA7AFwAbgBcAG4AVQB0AGkAbABpAHQAeQBfAEcAZQB0AEEAcgByAGEAeQBUAGEAYgBsAGUAQwBvAGwAdQBtAG4AUwB0AGEAcgB0AE4AdQBtAGIAZQByAFwAbgA9AEwAQQBNAEIARABBACgAXABuACAAIABUAGEAYgBsAGUASABlAGEAZABlAHIAQwBlAGwAbAAsAFwAbgAgACAAQwBPAEwAVQBNAE4AKABUAGEAYgBsAGUASABlAGEAZABlAHIAQwBlAGwAbAApAFwAbgApADsAXABuAFwAbgBVAHQAaQBsAGkAdAB5AF8ARABpAHMAcABsAGEAeQBBAHIAcgBhAHkASQBuAFQAYQBiAGwAZQBcAG4APQBMAEEATQBCAEQAQQAoAFwAbgAgAEEAcgByAGEAeQBEAGEAdABhACwAIABUAGEAYgBsAGUAaABlAGEAZABlAHIAQwBlAGwAbAAsACAAUgBvAHcAcwBCAGUAdAB3AGUAZQBuAEgAZQBhAGQAZQByAGEAbgBkAEEAcgByAGEAeQAsACAAWwBDAG8AbAB1AG0AbgBzAEIAZQB0AHcAZQBlAG4ASABlAGEAZABlAHIAQQBuAGQAQQByAHIAYQB5AF0ALABcAG4AIABJAEYARQBSAFIATwBSACgAXABuACAAIAAgACAAIABJAE4ARABFAFgAKABcAG4AIAAgACAAIAAgACAAIAAgACAAIAAgACAAVQBOAEkAUQBVAEUAKABBAHIAcgBhAHkARABhAHQAYQApACwAIABcAG4AIAAgACAAIAAgACAAIAAgACAAIAAgACAAUgBPAFcAKAApAC0AVQB0AGkAbABpAHQAeQBfAEcAZQB0AEEAcgByAGEAeQBUAGEAYgBsAGUAUgBvAHcAUwB0AGEAcgB0AE4AdQBtAGIAZQByACgAVABhAGIAbABlAGgAZQBhAGQAZQByAEMAZQBsAGwALAAgAFIAbwB3AHMAQgBlAHQAdwBlAGUAbgBIAGUAYQBkAGUAcgBhAG4AZABBAHIAcgBhAHkAKQAsACAAXABuACAAIAAgACAAIAAgACAAIAAgACAAIAAgAEMATwBMAFUATQBOACgAKQAtAFUAdABpAGwAaQB0AHkAXwBHAGUAdABBAHIAcgBhAHkAVABhAGIAbABlAEMAbwBsAHUAbQBuAFMAdABhAHIAdABOAHUAbQBiAGUAcgAoAFQAYQBiAGwAZQBoAGUAYQBkAGUAcgBDAGUAbABsACkAIAArAFwAbgAgACAAIAAgACAAIAAgACAAIAAgACAAIABJAEYAKABJAFMATwBNAEkAVABUAEUARAAoAEMAbwBsAHUAbQBuAHMAQgBlAHQAdwBlAGUAbgBIAGUAYQBkAGUAcgBBAG4AZABBAHIAcgBhAHkAKQAsACAAMQAsACAAQwBvAGwAdQBtAG4AcwBCAGUAdAB3AGUAZQBuAEgAZQBhAGQAZQByAEEAbgBkAEEAcgByAGEAeQApAFwAbgAgACAAIAAgACAAIAAgACAAKQAsACAAXAAiAFwAIgBcAG4AIAAgACAAIAApAFwAbgApADsAXABuAFwAbgBVAHQAaQBsAGkAdAB5AF8ATABvAG8AawB1AHAAVgBhAGwAdQBlAEkAbgBUAGEAYgBsAGUAXABuAD0ATABBAE0AQgBEAEEAKABcAG4AIAAgACAAIABMAG8AbwBrAHUAcABWAGEAbAB1AGUALAAgAEwAbwBvAGsAdQBwAEEAcgByAGEAeQAsACAAUgBlAHQAdQByAG4AQQByAHIAYQB5ACwAXABuACAAIAAgACAAWABMAE8ATwBLAFUAUAAoAEwAbwBvAGsAdQBwAFYAYQBsAHUAZQAsACAATABvAG8AawB1AHAAQQByAHIAYQB5ACwAIABSAGUAdAB1AHIAbgBBAHIAcgBhAHkALAAgAFwAIgBcACIAKQBcAG4AKQA7AFwAbgBcAG4AVQB0AGkAbABpAHQAeQBfAEwAbwBvAGsAdQBwAFYAYQBsAHUAZQBJAG4AVABhAGIAbABlAE4AdQBtAGIAZQByAFwAbgA9AEwAQQBNAEIARABBACgAXABuACAAIAAgACAATABvAG8AawB1AHAAVgBhAGwAdQBlACwAIABMAG8AbwBrAHUAcABBAHIAcgBhAHkALAAgAFIAZQB0AHUAcgBuAEEAcgByAGEAeQAsAFwAbgAgACAAIAAgAEkARgAoAEkAUwBOAFUATQBCAEUAUgAoAFwAbgAgACAAIAAgACAAIAAgACAAWABMAE8ATwBLAFUAUAAoAEwAbwBvAGsAdQBwAFYAYQBsAHUAZQAsACAATABvAG8AawB1AHAAQQByAHIAYQB5ACwAIABSAGUAdAB1AHIAbgBBAHIAcgBhAHkALAAgAFwAIgBcACIAKQBcAG4AIAAgACAAIAApACwAIABYAEwATwBPAEsAVQBQACgATABvAG8AawB1AHAAVgBhAGwAdQBlACwAIABMAG8AbwBrAHUAcABBAHIAcgBhAHkALAAgAFIAZQB0AHUAcgBuAEEAcgByAGEAeQAsACAAXAAiAFwAIgApACwAIAAwACkAXABuACkAOwBcAG4AXABuAFUAdABpAGwAaQB0AHkAXwBMAG8AbwBrAHUAcABWAGEAbAB1AGUASQBuAFQAYQBiAGwAZQBUAHcAbwBDAG8AbAB1AG0AbgBzAFwAbgA9AEwAQQBNAEIARABBACgAXABuACAAIAAgACAATABvAG8AawB1AHAAVgBhAGwAdQBlADEALAAgAEwAbwBvAGsAdQBwAFYAYQBsAHUAZQAyACwAIABMAG8AbwBrAHUAcABBAHIAcgBhAHkAMQAsACAATABvAG8AawB1AHAAQQByAHIAYQB5ADIALAAgAFIAZQB0AHUAcgBuAEEAcgByAGEAeQAsACAAWwBWAGEAbAB1AGUASQBGAEYAYQBsAHMAZQBdACwAXABuACAAIAAgACAAWABMAE8ATwBLAFUAUAAoADEALAAgACgATABvAG8AawB1AHAAQQByAHIAYQB5ADEAPQBMAG8AbwBrAHUAcABWAGEAbAB1AGUAMQApACoAKABMAG8AbwBrAHUAcABBAHIAcgBhAHkAMgA9AEwAbwBvAGsAdQBwAFYAYQBsAHUAZQAyACkALAAgAFIAZQB0AHUAcgBuAEEAcgByAGEAeQAsACAASQBGACgASQBTAE8ATQBJAFQAVABFAEQAKABWAGEAbAB1AGUASQBGAEYAYQBsAHMAZQApACwAIABcACIAXAAiACwAIABWAGEAbAB1AGUASQBGAEYAYQBsAHMAZQApACkAXABuACkAOwBcAG4AXABuAFUAdABpAGwAaQB0AHkAXwBMAG8AbwBrAHUAcABWAGEAbAB1AGUASQBuAFQAYQBiAGwAZQBPAG4AZQBDAG8AbAB1AG0AbgBBAG4AZABIAGUAYQBkAGUAcgBcAG4APQBMAEEATQBCAEQAQQAoAFwAbgAgACAAIAAgAEwAbwBvAGsAdQBwAFYAYQBsAHUAZQAxACwAIABMAG8AbwBrAHUAcABWAGEAbAB1AGUAMgAsACAATABvAG8AawB1AHAAQQByAHIAYQB5ADEALAAgAEwAbwBvAGsAdQBwAEEAcgByAGEAeQAyACwAIABSAGUAdAB1AHIAbgBBAHIAcgBhAHkALAAgAFsAVgBhAGwAdQBlAEkAZgBGAGEAbABzAGUAXQAsAFwAbgAgACAAIAAgAEkARgBFAFIAUgBPAFIAKABcAG4AIAAgACAAIAAgACAAIAAgAFgATABPAE8ASwBVAFAAKABMAG8AbwBrAHUAcABWAGEAbAB1AGUAMQAsACAATABvAG8AawB1AHAAQQByAHIAYQB5ADEALABcAG4AIAAgACAAIAAgACAAIAAgACAAIAAgACAAWABMAE8ATwBLAFUAUAAoAEwAbwBvAGsAdQBwAFYAYQBsAHUAZQAyACwAIABMAG8AbwBrAHUAcABBAHIAcgBhAHkAMgAsACAAUgBlAHQAdQByAG4AQQByAHIAYQB5ACkAXABuACAAIAAgACAAIAAgACAAIAApACwAXABuACAAIAAgACAAIAAgACAAIABJAEYAKABJAFMATwBNAEkAVABUAEUARAAoAFYAYQBsAHUAZQBJAGYARgBhAGwAcwBlACkALAAgAFwAIgBcACIALAAgAFYAYQBsAHUAZQBJAGYARgBhAGwAcwBlACkAXABuACAAIAAgACAAKQBcAG4AKQA7AFwAbgBcAG4AVQB0AGkAbABpAHQAeQBfAFMAcABsAGkAdABTAHQAcgBpAG4AZwBJAG4AdABvAEEAcgByAGEAeQBcAG4APQBMAEEATQBCAEQAQQAoAFwAbgAgACAAIAAgAEMAZQBsAGwALAAgAEQAZQBsAGkAbQBpAHQAZQByACwAIABbAEMAaABhAHIAYQBjAHQAZQByAFQAbwBSAGUAbQBvAHYAZQAxAF0ALAAgAFsAQwBoAGEAcgBhAGMAdABlAHIAVABvAFIAZQBtAG8AdgBlADIAXQAsAFwAbgAgACAAIAAgACAAIAAgACAARgBJAEwAVABFAFIAWABNAEwAKABcAG4AIAAgACAAIAAgACAAIAAgAFwAIgA8AHQAPgA8AHMAPgBcACIAIAAm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DwALwBzAD4APABzAD4AXAAiAFwAbgAgACAAIAAgACAAIAAgACAAKQAgACYAXABuACAAIAAgACAAIAAgACAAIABcACIAPAAvAHMAPgA8AC8AdAA+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A8AD0AYQB2AGcAVABlAG0AcAApACoAXABuACAAIAAgACAAIAAgACAAIAAoAFYAQQBMAFUARQAoAG0AYQB4AFQAZQBtAHAAQQByAHIAYQB5ACkAPgA9AGEAdgBnAFQAZQBtAHAAKQAqAFwAbgAgACAAIAAgACAAIAAgACAAKABWAEEATABVAEUAKABtAGkAbgBSAGEAaQBuAGYAYQBsAGwAQQByAHIAYQB5ACkAPAA9AGEAdgBnAFIAYQBpAG4AKQAqAFwAbgAgACAAIAAgACAAIAAgACAAKABWAEEATABVAEUAKABtAGEAeABSAGEAaQBuAGYAYQBsAGwAQQByAHIAYQB5ACkAPgA9AGEAdgBnAFIAYQBpAG4AKQAqAFwAbgAgACAAIAAgACAAIAAgACAAKABWAEEATABVAEUAKABtAGkAbgBGAHIAbwBzAHQAQQByAHIAYQB5ACkAPAA9AGYAcgBvAHMAdABEAGEAeQBzACkAKgBcAG4AIAAgACAAIAAgACAAIAAgACgAVgBBAEwAVQBFACgAbQBhAHgARgByAG8AcwB0AEEAcgByAGEAeQApAD4APQBmAHIAbwBzAHQARABhAHkAcwApACoAXABuACAAIAAgACAAIAAgACAAIAAoAFYAQQBMAFUARQAoAG0AaQBuAEUAbABlAHYAYQB0AGkAbwBuAEEAcgByAGEAeQApADwAPQBlAGwAZQB2ACkAKgBcAG4AIAAgACAAIAAgACAAIAAgACgAVgBBAEwAVQBFACgAbQBhAHgARQBsAGUAdgBhAHQAaQBvAG4AQQByAHIAYQB5ACkAPgA9AGUAbABlAHYAKQAqAFwAbgAgACAAIAAgACAAIAAgACAAKABWAEEATABVAEUAKABtAGkAbgBQAEUAVABBAHIAcgBhAHkAKQA8AD0AbQBhAHAAXwBwAGUAdAApACoAXABuACAAIAAgACAAIAAgACAAIAAoAFYAQQBMAFUARQAoAG0AYQB4AFAARQBUAEEAcgByAGEAeQApAD4APQBtAGEAcABfAHAAZQB0ACkALABcAG4AIAAgACAAIAAgACAAIAAgAFQAQQBLAEUAKABcAG4AIAAgACAAIAAgACAAIAAgACAAIAAgACAARgBJAEwAVABFAFIAKABjAGwAaQBtAGEAdABlAFoAbwBuAGUAQQByAHIAYQB5ACwAbQBhAHMAawAsACAAXAAiAE4AbwAgAG0AYQB0AGMAaABcACIAKQAsAFwAbgAgACAAIAAgACAAIAAgACAAIAAgACAAIAAxAFwAbgAgACAAIAAgACAAIAAgACAAKQBcAG4AIAAgACAAIAApAFwAbgApADsAXABuAFwAbgBVAHQAaQBsAGkAdAB5AF8ATABvAG8AawB1AHAASQB0AGUAbQBGAHIAbwBtAE0AaQBuAE0AYQB4AFwAbgA9AEwAQQBNAEIARABBACgAXABuACAAIAAgACAATABvAG8AawB1AHAAVgBhAGwAdQBlACwAIABNAGkAbgBBAHIAcgBhAHkALAAgAE0AYQB4AEEAcgByAGEAeQAsACAASQB0AGUAbQBBAHIAcgBhAHkALABcAG4AIAAgACAAIABMAEUAVAAoAFwAbgAgACAAIAAgACAAIAAgACAAbQBhAHMAawAsAFwAbgAgACAAIAAgACAAIAAgACAAKABWAEEATABVAEUAKABNAGkAbgBBAHIAcgBhAHkAKQA8AD0ATABvAG8AawB1AHAAVgBhAGwAdQBlACkAKgBcAG4AIAAgACAAIAAgACAAIAAgACgAVgBBAEwAVQBFACgATQBhAHgAQQByAHIAYQB5ACkAPg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PAAgAFMAKQAsAFwAbgAgACAAIAAgACAAIAAgACAAbABhAHMAdABZAGUAYQByACwAeQBiAC0AKABEAEEAVABFACgAeQBiACwAbQAsAGQAKQA+ACAARQApACwAXABuACAAIAAgACAAIAAgACAAIABNAEEAWAAoADAALABsAGEAcwB0AFkAZQBhAHIALQBmAGkAcgBzAHQAWQBlAGEAcgArADEAKQBcAG4AIAAgACAAIAApAFwAbgApADsAXABuAFwAbgBnAGUAdABPAHYAZQByAGwAYQBwAHAAaQBuAGcAUgBlAHAAbwByAHQAaQBuAGcAUABlAHIAaQBvAGQ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CAALwAqAGgAZQBsAHAAZQByADoAIABlAG4AZAAgAGQAYQB0AGUAIABmAG8AcgAgAGEAIAByAGUAcABvAHIAdABpAG4AZwAgAHAAZQByAGkAbwBkACAAcwB0AGEAcgB0AGkAbgBnACAAYQB0ACAAYQAgAGcAaQB2AGUAbgAgAGQAYQB0AGUAKgAvAFwAbgAgACAAIAAgACAAIAAgACAAUABlAHIAaQBvAGQARQBuAGQALABMAEEATQBCAEQAQQAoAHMAdAAsAEUARABBAFQARQAoAHMAdAAsADEAMgApAC0AMQApACwAIAAvACoAbwBuAGwAeQAgAG4AZQBlAGQAIAB0AG8AIABsAG8AbwBrACAAYgBhAGMAawAgADMANgA1ACAAZABhAHkAcwAoAG0AYQB4ACAAbwB2AGUAcgBsAGEAcAAgAHcAaQBuAGQAbwB3ACkAKgAvAFwAbgAgACAAIAAgACAAIAAgACAAQQAsAFMALQAzADYANQAsAFwAbgAgACAAIAAgACAAIAAgACAAeQBhACwAWQBFAEEAUgAoAEEAKQAsAFwAbgAgACAAIAAgACAAIAAgACAAeQBiACwAWQBFAEEAUgAoAEUAKQAsACAALwAqAGkAZgAgAHQAaABlACAAYQBuAGMAaABvAHIAIABmAG8AcgAgAHkAYQAgAGUAbgBkAHMAIABiAGUAZgBvAHIAZQAgAFMALABpAHQAIABjAGEAbgAnAHQAIABvAHYAZQByAGwAYQBwADsAIABtAG8AdgBlACAAdABvACAAbgBlAHgAdAAgAHkAZQBhAHIAKgAvAFwAbgAgACAAIAAgACAAIAAgACAAZgBpAHIAcwB0AFkAZQBhAHIALAB5AGEAKwAoAFAAZQByAGkAbwBkAEUAbgBkACgARABBAFQARQAoAHkAYQAsAG0ALABkACkAKQA8AFMAKQAsACAALwAqAGkAZgAgAHQAaABlACAAYQBuAGMAaABvAHIAIABmAG8AcgAgAHkAYgAgAHMAdABhAHIAdABzACAAYQBmAHQAZQByACAARQAsAGkAdAAgAGMAYQBuACcAdAAgAG8AdgBlAHIAbABhAHAAOwAgAG0AbwB2AGUAIAB0AG8AIABwAHIAZQB2AGkAbwB1AHMAIAB5AGUAYQByACoALwBcAG4AIAAgACAAIAAgACAAIAAgAGwAYQBzAHQAWQBlAGEAcgAsAHkAYgAtACgARABBAFQARQAoAHkAYgAsAG0ALABkACkAPg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JgAgAFwAIgAgAHQAbwAgAFwAIgAgACYAIABlAG4AZABzAFQAZQB4AHQAIAAm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PgAwACwAIAAxACwAIAAwACkAXABuACAAIAAgACAAKQApADsAXABuAFwAbgBcAG4AVQB0AGkAbABpAHQAeQBfAEMAbwBuAHYAZQByAHQAUwB0AGEAdABlAEMAbwBtAG0AbwBuAE4AYQBtAGUAVABvAEEAYgBiAHIAZQB2AGkAYQB0AGkAbwBuAFwAbgA9AEwAQQBNAEIARABBACgAXABuACAAIAAgACAAUwB0AGEAdABlAEMAbwBtAG0AbwBuAE4AYQBtAGUALABcAG4AIAAgACAAIABTAHQAYQB0AGUAQwBvAG0AbQBvAG4ATgBhAG0AZQBBAHIAcgBhAHkALAAgAFMAdABhAHQAZQBBAGIAYgByAGUAdgBpAGEAdABpAG8AbgBBAHIAcgBhAHkALABcAG4AIAAgACAAIABYAEwATwBPAEsAVQBQACgAUwB0AGEAdABlAEMAbwBtAG0AbwBuAE4AYQBtAGUALAAgAFMAdABhAHQAZQBDAG8AbQBtAG8AbgBOAGEAbQBlAEEAcgByAGEAeQAsACAAUwB0AGEAdABlAEEAYgBiAHIAZQB2AGkAYQB0AGkAbwBuAEEAcgByAGEAeQAsACAAXAAiAFwAIgApAFwAbgApADsAXABuAFwAbgBVAHQAaQBsAGkAdAB5AF8AUwBvAHUAcgBjAGUASAB5AHAAZQByAGwAaQBuAGs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AnAFwAIgAgACYAIABzAGgAIAAmACAAXAAiACcAIQBcACIAIAAmACAAYQBkAGQAcgBcAG4AIAAgACkAXABuACkAOwBcAG4AXABuAFUAdABpAGwAaQB0AHkAXwBTAG8AdQByAGMAZQBIAHkAcABlAHIAbABpAG4AawBEAGkAZgBmAGUAcgBlAG4AdABTAGgAZQBlAHQ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CIAIAAmACAAYQBkAGQAcgBcAG4AIAAgACkAXABuACkAOwBcAG4AXABuAFUAdABpAGwAaQB0AHkAXwBEAGkAcwBwAGwAYQB5AEEAcgBnAHUAbQBlAG4AdABzAF8AMQBfADIAXABuAD0ATABBAE0AQgBEAEEAKABcAG4AIAAgACAAIABBAHIAZwB1AG0AZQBuAHQAcwBBAHIAcgBhAHkALABcAG4AIAAgACAAIABDAEgATwBPAFMARQBDAE8ATABTACgAQQByAGcAdQBtAGUAbgB0AHMAQQByAHIAYQB5ACwAIAAxACwAIAAyACkAXABuACkAOwBcAG4AXABuAFUAdABpAGwAaQB0AHkAXwBEAGkAcwBwAGwAYQB5AEEAcgBnAHUAbQBlAG4AdABzAF8AMwBfADQAXABuAD0ATABBAE0AQgBEAEEAKABcAG4AIAAgACAAIABBAHIAZwB1AG0AZQBuAHQAcwBBAHIAcgBhAHkALABcAG4AIAAgACAAIABDAEgATwBPAFMARQBDAE8ATABTACgAQQByAGcAdQBtAGUAbgB0AHMAQQByAHIAYQB5ACwAIAAzACwAIAA0ACkAXABuACkAOwBcAG4AXABuAEMAbwBtAG0AbwBuAF8ARwBlAHQATQBDAEYAVABlAG0AcABlAHIAYQB0AHUAcgBlAFoAbwBuAGUAXABuAD0ATABBAE0AQgBEAEEAKABcAG4AIAAgACAAIABUAGUAbQBwAGUAcgBhAHQAdQByAGUALAAgAE0ATQBTACwAIABUAGUAbQBwAGUAcgBhAHQAdQByAGUAQQByAHIAYQB5ACwAIABNAE0AUwBBAHIAcgBhAHkALAAgAFIAZQB0AHUAcgBuAEEAcgByAGEAeQAsAFwAbgAgACAAIAAgAFgATABPAE8ASwBVAFAAKABcAG4AIAAgACAAIAAgACAAIAAgAE0ARQBEAEkAQQBOACgAXABuACAAIAAgACAAIAAgACAAIAAgACAAIAAgAFQAZQBtAHAAZQByAGEAdAB1AHIAZQAsACAAXABuACAAIAAgACAAIAAgACAAIAAgACAAIAAgAE0ASQBOACgAVABlAG0AcABlAHIAYQB0AHUAcgBlAEEAcgByAGEAeQApACwAIABcAG4AIAAgACAAIAAgACAAIAAgACAAIAAgACAATQBBAFgAKABUAGUAbQBwAGUAcgBhAHQAdQByAGUAQQByAHIAYQB5ACkAXABuACAAIAAgACAAIAAgACAAIAApACwAXABuACAAIAAgACAAIAAgACAAIABUAGUAbQBwAGUAcgBhAHQAdQByAGUAQQByAHIAYQB5ACwAXABuACAAIAAgACAAIAAgACAAIABYAEwATwBPAEsAVQBQACgATQBNAFMALAAgAE0ATQBTAEEAcgByAGEAeQAsACAAUgBlAHQAdQByAG4AQQByAHIAYQB5ACkAXABuACAAIAAgACAAKQBcAG4AKQA7AFwAbgBcAG4AXABuAFUAdABpAGwAaQB0AHkAXwBSAGUAcwB1AGwAdABzAEkAdABlAG0ARgByAG8AbQBFAHEAdQBhAHQAaQBvAG4AVABpAHQAbABlAEEAbgBkAFMAbwB1AHIAYwBlAFwAbgA9AEwAQQBNAEIARABBACgAXABuACAAIAAgACAAVABpAHQAbABlAEMAZQBsAGwALAAgAFMAbwB1AHIAYwBlAEMAZQBsAGwALABcAG4AIAAgACAAIABTAFUAQgBTAFQASQBUAFUAVABFACgATABFAEYAVAAoAFMAbwB1AHIAYwBlAEMAZQBsAGwALAAgAEYASQBOAEQAKABcACIALABcACIALAAgAFMAbwB1AHIAYwBlAEMAZQBsAGwAKQAgAC0AMQApACwAIABcACIAVgBFAEUAUgBHACAAMgAwADIANgA6ACAAXAAiACwAIABcACIAXAAiACkAIAAmACAAXAAiACAAXAAiACAAJgAgAFQAaQB0AGwAZQBDAGUAbABsAFwAbgApADsAIgB9ACwAewAiAHAAYQB0AGgAIgA6ACIALwBwAHIAbwBqAGUAYwB0AHMALwBXAGEAcwB0AGUAUwBvAGwAaQBkAF8ARQBxAHUAYQB0AGkAbwBuAHMAIgAsACIAdABlAHgAdAAiADoAIgAvACoAXABuAD0APQA9AD0APQA9AD0APQA9AD0APQA9AD0APQA9AD0APQA9AD0APQA9AD0APQA9AD0APQA9AD0APQA9AD0APQA9AD0APQA9AD0APQA9AD0APQA9AD0APQA9AD0APQA9AD0APQA9AD0APQA9AD0APQA9AD0APQA9AD0APQA9AD0APQA9AD0APQA9AD0APQA9AD0APQA9AD0AXABuADEAMAAuADEAOgAgAFcAYQBzAHQAZQBcAG4APQA9AD0APQA9AD0APQA9AD0APQA9AD0APQA9AD0APQA9AD0APQA9AD0APQA9AD0APQA9AD0APQA9AD0APQA9AD0APQA9AD0APQA9AD0APQA9AD0APQA9AD0APQA9AD0APQA9AD0APQA9AD0APQA9AD0APQA9AD0APQA9AD0APQA9AD0APQA9AD0APQA9AD0APQA9AD0APQBcAG4AMQAwAC4AMQAuADEALgAxACAATQBlAHQAaABvAGQAIAAxACAALQAgAFMAbwBsAGkAZAAgAFcAYQBzAHQAZQAgAFQAcgBlAGEAdABtAGUAbgB0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MQAwAF8AMQBfADEAXwAxAF8AXwAxAF8ARQBtAGkAcwBzAGkAbwBuAHMARgByAG8AbQBXAGEAcwB0AGUATQBhAG4AYQBnAGUAbQBlAG4AdABcAG4ARQBtAGkAcwBzAGkAbwBuAHMAIABmAHIAbwBtACAAdwBhAHMAdABlACAAbQBhAG4AYQBnAGUAbQBlAG4AdAAgAGIAeQAgAGcAcgBlAGUAbgBoAG8AdQBzAGUAIABnAGEAcwBcAG4ARQBfAGcAXABuAHQAIABDAE8AMgBlAFwAbgBFAF8AZwA9AFwAXABzAHUAbQBfAHQAXABcAHMAdQBtAF8AdwAoAFEAXwB3AHQAXABcAHQAaQBtAGUAcwAgAEUARgBfAHcAdABnACkAXABuAFEAXwB3AHQAIAA9ACAAcQB1AGEAbgB0AGkAdAB5ACAAbwBmACAAcwBvAGwAaQBkACAAdwBhAHMAdABlACAAbwBmACAAdAB5AHAAZQAgAHcAIABiAGUAaQBuAGcAIABzAGUAbgB0ACAAdABvACAAdAByAGUAYQB0AG0AZQBuAHQAIABmAGEAYwBpAGwAaQB0AHkAIAB0ACwAIABvAG4AIABhACAAdwBlAHQAIAB3AGUAaQBnAGgAdAAgAGIAYQBzAGkAcwAgACgAdAApAFwAbgBFAEYAXwB3AHQAZwAgAD0AIABlAG0AaQBzAHMAaQBvAG4AIABmAGEAYwB0AG8AcgAgAGYAbwByACAAZwByAGUAZQBuAGgAbwB1AHMAZQAgAGcAYQBzACAAZwAgAGYAbwByACAAdABoAGUAIABtAGEAbgBhAGcAZQBtAGUAbgB0ACAAbwBmACAAdwBhAHMAdABlACAAYQB0ACAAdAByAGUAYQB0AG0AZQBuAHQAIABmAGEAYwBpAGwAaQB0AHkAIAB0ACAAKAB0ACAAQwBPADIAZQAvAHQAKQBcAG4ALQAtAC0ALQAtAC0ALQAtAC0ALQAtAC0ALQAtAC0ALQAtAC0ALQAtAC0ALQAtAC0ALQAtAC0ALQAtAC0ALQAtAC0ALQAtAC0ALQAtAFwAbgAqAC8AXABuAFwAbgBWAEUARQBSAEcAXwAxADAAXwAxAF8AMQBfADEAXwBfADEAXwBFAG0AaQBzAHMAaQBvAG4AcwBGAHIAbwBtAFcAYQBzAHQAZQBNAGEAbgBhAGcAZQBtAGUAbgB0AFwAbgAgACAAPQBMAEEATQBCAEQAQQAoAFwAbgAgACAAIAAgAFEAXwB3AHQALAAgAEUARgBfAHcAdABnACwAXABuACAAIAAgACAAUQBfAHcAdAAgACoAIABFAEYAXwB3AHQAZwBcAG4AIAAgACkAOwBcAG4AXABuAFYARQBFAFIARwBfADEAMABfADEAXwAxAF8AMQBfAF8AMQBfAEUAbQBpAHMAcwBpAG8AbgBzAEYAcgBvAG0AVwBhAHMAdABlAE0AYQBuAGEAZwBlAG0AZQBuAHQAXwBUAGkAdABsAGUAXABuACAAIAA9AEwAQQBNAEIARABBACgAXAAiAEUAbQBpAHMAcwBpAG8AbgBzACAAZgByAG8AbQAgAHcAYQBzAHQAZQAgAG0AYQBuAGEAZwBlAG0AZQBuAHQAIABiAHkAIABnAHIAZQBlAG4AaABvAHUAcwBlACAAZwBhAHMAXAAiACkAOwBcAG4AXABuAFYARQBFAFIARwBfADEAMABfADEAXwAxAF8AMQBfAF8AMQBfAEUAbQBpAHMAcwBpAG8AbgBzAEYAcgBvAG0AVwBhAHMAdABlAE0AYQBuAGEAZwBlAG0AZQBuAHQAXwBWAGEAcgBpAGEAYgBsAGUAXABuACAAIAA9AEwAQQBNAEIARABBACgAXAAiAEUAXwBnAFwAIgApADsAXABuAFwAbgBWAEUARQBSAEcAXwAxADAAXwAxAF8AMQBfADEAXwBfADEAXwBFAG0AaQBzAHMAaQBvAG4AcwBGAHIAbwBtAFcAYQBzAHQAZQBNAGEAbgBhAGcAZQBtAGUAbgB0AF8AVQBuAGkAdABcAG4AIAAgAD0ATABBAE0AQgBEAEEAKABcACIAdAAgAEMATwAyAGUAXAAiACkAOwBcAG4AXABuAFYARQBFAFIARwBfADEAMABfADEAXwAxAF8AMQBfAF8AMQBfAEUAbQBpAHMAcwBpAG8AbgBzAEYAcgBvAG0AVwBhAHMAdABlAE0AYQBuAGEAZwBlAG0AZQBuAHQAXwBTAG8AdQByAGMAZQBcAG4AIAAgAD0ATABBAE0AQgBEAEEAKABcACIAVgBFAEUAUgBHACAAMgAwADIANgA6ACAAMQAwAC4AMQAuADEALgAxACwAIABFAHEAdQBhAHQAaQBvAG4AIAAoADEAKQBcACIAKQA7AFwAbgBcAG4AVgBFAEUAUgBHAF8AMQAwAF8AMQBfADEAXwAxAF8AXwAxAF8ARQBtAGkAcwBzAGkAbwBuAHMARgByAG8AbQBXAGEAcwB0AGUATQBhAG4AYQBnAGUAbQBlAG4AdABfAE4ASQBSAFIAZQBmAGUAcgBlAG4AYwBlAFwAbgAgACAAPQBMAEEATQBCAEQAQQAoAFwAIgBcACIAKQA7AFwAbgBcAG4AVgBFAEUAUgBHAF8AMQAwAF8AMQBfADEAXwAxAF8AXwAxAF8ARQBtAGkAcwBzAGkAbwBuAHMARgByAG8AbQBXAGEAcwB0AGUATQBhAG4AYQBnAGUAbQBlAG4AdABfAEwAYQB0AGUAeABFAHEAdQBhAHQAaQBvAG4AXABuACAAIAA9AEwAQQBNAEIARABBACgAXAAiAEUAXwBnAD0AXABcAHMAdQBtAFwAXABuAG8AbABpAG0AaQB0AHMAXwB0AFwAXABzAHUAbQBcAFwAbgBvAGwAaQBtAGkAdABzAF8AdwAoAFEAXwB7AHcAdAB9AFwAXAB0AGkAbQBlAHMAIABFAEYAXwB7AHcAdABnAH0AKQBcACIAKQA7AFwAbgBcAG4AVgBFAEUAUgBHAF8AMQAwAF8AMQBfADEAXwAxAF8AXwAxAF8ARQBtAGkAcwBzAGkAbwBuAHMARgByAG8AbQBXAGEAcwB0AGUATQBhAG4AYQBnAGUAbQBlAG4AdABfAEEAcgBnAHUAbQBlAG4AdABzAFwAbgAgACAAPQBMAEEATQBCAEQAQQAoAFwAbgAgACAAIAAgAE0AQQBLAEUAQQBSAFIAQQBZACgANwAsACAANAAsAFwAbgAgACAAIAAgACAAIABMAEEATQBCAEQAQQAoAHIALABjACwAXABuACAAIAAgACAAIAAgACAAIABJAE4ARABFAFgAKAB7AFwAbgAgACAAIAAgACAAIAAgACAAIAAgAFwAIgBRAF8AdwB0AFwAIgAsACAAXAAiAHEAdQBhAG4AdABpAHQAeQAgAG8AZgAgAHMAbwBsAGkAZAAgAHcAYQBzAHQAZQAgAG8AZgAgAHQAeQBwAGUAIAB3ACAAYgBlAGkAbgBnACAAcwBlAG4AdAAgAHQAbwAgAHQAcgBlAGEAdABtAGUAbgB0ACAAZgBhAGMAaQBsAGkAdAB5ACAAdAAsACAAbwBuACAAYQAgAHcAZQB0ACAAdwBlAGkAZwBoAHQAIABiAGEAcwBpAHMAXAAiACwAIABcACIAdABcACIALAAgAFwAIgBTAHUAbQAgAG8AZgAgAFEAXwB2AG8AbAB3AHQAIABhAG4AZAAgAFEAXwBtAGEAcwBzAHcAdABcACIAOwBcAG4AIAAgACAAIAAgACAAIAAgACAAIABcACIARQBGAF8AdwB0AGcAXAAiACwAIABcACIAZQBtAGkAcwBzAGkAbwBuACAAZgBhAGMAdABvAHIAIABmAG8AcgAgAGcAcgBlAGUAbgBoAG8AdQBzAGUAIABnAGEAcwAgAGcAIABmAG8AcgAgAHQAaABlACAAbQBhAG4AYQBnAGUAbQBlAG4AdAAgAG8AZgAgAHcAYQBzAHQAZQAgAGEAdAAgAHQAcgBlAGEAdABtAGUAbgB0ACAAZgBhAGMAaQBsAGkAdAB5ACAAdABcACIALAAgAFwAIgB0ACAAQwBPADIAZQAvAHQAXAAiACwAIABcACIAQwBvAG4AcwB0AGEAbgB0AFwAIgA7AFwAbgAgACAAIAAgACAAIAAgACAAIAAgAFwAIgB3AFwAIgAsACAAXAAiAHcAYQBzAHQAZQAgAHQAeQBwAGUAXAAiACwAIABcACIAXAAiACwAIABcACIASQBuAHAAdQB0AFwAIgA7AFwAbgAgACAAIAAgACAAIAAgACAAIAAgAFwAIgB0AFwAIgAsACAAXAAiAHQAcgBlAGEAdABtAGUAbgB0ACAAZgBhAGMAaQBsAGkAdAB5AFwAIgAsACAAXAAiAFwAIgAsACAAXAAiAEkAbgBwAHUAdABcACIAOwBcAG4AIAAgACAAIAAgACAAIAAgACAAIABcACIAZwBcACIALAAgAFwAIgBnAHIAZQBlAG4AaABvAHUAcwBlACAAZwBhAHMAXAAiACwAIABcACIAXAAiACwAIABcACIASQBuAHAAdQB0AFwAIgA7AFwAbgAgACAAIAAgACAAIAAgACAAIAAgAFwAIgBRAF8AdgBvAGwAdwB0AFwAIgAsACAAXAAiAHEAdQBhAG4AdABpAHQAeQAgAG8AZgAgAHMAbwBsAGQAIAB3AGEAcwB0AGUAIABpAG4AcAB1AHQAIABhAHMAIAB2AG8AbAB1AG0AZQAgAGEAbgBkACAAYwBvAG4AdgBlAHIAdABlAGQAIAB0AG8AIAB0AG8AbgBuAGUAcwBcACIALAAgAFwAIgB0AG8AbgBuAGUAcwBcACIALAAgAFwAIgBDAGEAbABjAHUAbABhAHQAZQBkACAAZgByAG8AbQAgADEAMAAuADEALgAxAC4AMQAgACgAMgApAFwAIgA7AFwAbgAgACAAIAAgACAAIAAgACAAIAAgAFwAIgBRAF8AbQBhAHMAcwB3AHQAXAAiACwAIABcACIAcQB1AGEAbgB0AGkAdAB5ACAAbwBmACAAcwBvAGwAaQBkACAAdwBhAHMAdABlACAAaQBuAHAAdQB0ACAAYQBzACAAbQBhAHMAcwBcACIALAAgAFwAIgB0AG8AbgBuAGUAcwBcACIALAAgAFwAIgBJAG4AcAB1AHQAXAAiAFwAbgAgACAAIAAgACAAIAAgACAAfQAsACAAcgAsACAAYwApAFwAbgAgACAAIAAgACAAIAApAFwAbgAgACAAIAAgACkAXABuACAAIAApADsAXABuAFwAbgBWAEUARQBSAEcAXwAxADAAXwAxAF8AMQBfADEAXwBfADEAXwBFAG0AaQBzAHMAaQBvAG4AcwBGAHIAbwBtAFcAYQBzAHQAZQBNAGEAbgBhAGcAZQBtAGUAbgB0AF8AVgBhAHIAaQBhAHQAaQBvAG4AXABuACAAIAA9AEwAQQBNAEIARABBACgAXAAiAFYAQQBSAEkAQQBUAEkATwBOACAATwBOACAAUwBPAFUAUgBDAEUAOgAgAEEAZABkAGUAZAAgAFEAXwB2AG8AbAB3AHQAIABhAG4AZAAgAFEAXwBtAGEAcwBzAHcAdAAgAHYAYQByAGkAYQBiAGwAZQBzACAAdABvACAAYwBsAGUAYQByAGwAeQAgAHQAcgBhAGMAawAgAGkAbgBwAHUAdAAgAG8AcgAgAGMAYQBsAGMAdQBsAGEAdABlAGQAIABRACAAdgBhAGwAdQBlAHMAXAAiACkAOwBcAG4AXABuAC8AKgBcAG4ALQAtAC0ALQAtAC0ALQAtAC0ALQAtAC0ALQAtAC0ALQAtAC0ALQAtAC0ALQAtAC0ALQAtAC0ALQAtAC0ALQAtAC0ALQAtAC0ALQAtAFwAbgBWAEUARQBSAEcAXwAxADAAXwAxAF8AMQBfADEAXwBfADIAXwBNAGEAcwBzAE8AZgBXAGEAcwB0AGUARgByAG8AbQBWAG8AbAB1AG0AZQBcAG4ATQBhAHMAcwAgAG8AZgAgAHcAYQBzAHQAZQAgAGYAcgBvAG0AIAB3AGEAcwB0AGUAIAB2AG8AbAB1AG0AZQBcAG4AUQBfAHcAdABcAG4AdABcAG4AUQBfAHcAdAA9AFYAXwB3AHQAXABcAHQAaQBtAGUAcwAgAFYAVABNAF8AdwBcAG4AVgBfAHcAdAAgAD0AIAB2AG8AbAB1AG0AZQAgAG8AZgAgAHMAbwBsAGkAZAAgAHcAYQBzAHQAZQAgAHQAeQBwAGUAIAB3ACAAYgBlAGkAbgBnACAAcwBlAG4AdAAgAHQAbwAgAHQAcgBlAGEAdABtAGUAbgB0ACAAZgBhAGMAaQBsAGkAdAB5ACAAdAAgACgAbQAzACkAXABuAFYAVABNAF8AdwAgAD0AIABjAG8AbgB2AGUAcgBzAGkAbwBuACAAZgBhAGMAdABvAHIAIABvAGYAIAB2AG8AbAB1AG0AZQAgAHQAbwAgAG0AYQBzAHMAIABmAG8AcgAgAHcAYQBzAHQAZQAgAHQAeQBwAGUAIAB3ACAAKAB0AC8AbQAzACkAXABuAC0ALQAtAC0ALQAtAC0ALQAtAC0ALQAtAC0ALQAtAC0ALQAtAC0ALQAtAC0ALQAtAC0ALQAtAC0ALQAtAC0ALQAtAC0ALQAtAC0ALQBcAG4AKgAvAFwAbgBcAG4AVgBFAEUAUgBHAF8AMQAwAF8AMQBfADEAXwAxAF8AXwAyAF8ATQBhAHMAcwBPAGYAVwBhAHMAdABlAEYAcgBvAG0AVgBvAGwAdQBtAGUAXABuACAAIAA9AEwAQQBNAEIARABBACgAXABuACAAIAAgACAAVgBfAHcAdAAsACAAVgBUAE0AXwB3ACwAXABuACAAIAAgACAAVgBfAHcAdAAgACoAIABWAFQATQBfAHcAXABuACAAIAApADsAXABuAFwAbgBWAEUARQBSAEcAXwAxADAAXwAxAF8AMQBfADEAXwBfADIAXwBNAGEAcwBzAE8AZgBXAGEAcwB0AGUARgByAG8AbQBWAG8AbAB1AG0AZQBfAFQAaQB0AGwAZQBcAG4AIAAgAD0ATABBAE0AQgBEAEEAKABcACIATQBhAHMAcwAgAG8AZgAgAHcAYQBzAHQAZQAgAGYAcgBvAG0AIAB3AGEAcwB0AGUAIAB2AG8AbAB1AG0AZQBcACIAKQA7AFwAbgBcAG4AVgBFAEUAUgBHAF8AMQAwAF8AMQBfADEAXwAxAF8AXwAyAF8ATQBhAHMAcwBPAGYAVwBhAHMAdABlAEYAcgBvAG0AVgBvAGwAdQBtAGUAXwBWAGEAcgBpAGEAYgBsAGUAXABuACAAIAA9AEwAQQBNAEIARABBACgAXAAiAFEAXwB3AHQAXAAiACkAOwBcAG4AXABuAFYARQBFAFIARwBfADEAMABfADEAXwAxAF8AMQBfAF8AMgBfAE0AYQBzAHMATwBmAFcAYQBzAHQAZQBGAHIAbwBtAFYAbwBsAHUAbQBlAF8AVQBuAGkAdABcAG4AIAAgAD0ATABBAE0AQgBEAEEAKABcACIAdABcACIAKQA7AFwAbgBcAG4AVgBFAEUAUgBHAF8AMQAwAF8AMQBfADEAXwAxAF8AXwAyAF8ATQBhAHMAcwBPAGYAVwBhAHMAdABlAEYAcgBvAG0AVgBvAGwAdQBtAGUAXwBTAG8AdQByAGMAZQBcAG4AIAAgAD0ATABBAE0AQgBEAEEAKABcACIAVgBFAEUAUgBHACAAMgAwADIANgA6ACAAMQAwAC4AMQAuADEALgAxACwAIABFAHEAdQBhAHQAaQBvAG4AIAAoADIAKQBcACIAKQA7AFwAbgBcAG4AVgBFAEUAUgBHAF8AMQAwAF8AMQBfADEAXwAxAF8AXwAyAF8ATQBhAHMAcwBPAGYAVwBhAHMAdABlAEYAcgBvAG0AVgBvAGwAdQBtAGUAXwBOAEkAUgBSAGUAZgBlAHIAZQBuAGMAZQBcAG4AIAAgAD0ATABBAE0AQgBEAEEAKABcACIAXAAiACkAOwBcAG4AXABuAFYARQBFAFIARwBfADEAMABfADEAXwAxAF8AMQBfAF8AMgBfAE0AYQBzAHMATwBmAFcAYQBzAHQAZQBGAHIAbwBtAFYAbwBsAHUAbQBlAF8ATABhAHQAZQB4AEUAcQB1AGEAdABpAG8AbgBcAG4AIAAgAD0ATABBAE0AQgBEAEEAKABcACIAUQBfAHsAdwB0AH0APQBWAF8AewB3AHQAfQBcAFwAdABpAG0AZQBzACAAVgBUAE0AXwB3AFwAIgApADsAXABuAFwAbgBWAEUARQBSAEcAXwAxADAAXwAxAF8AMQBfADEAXwBfADIAXwBNAGEAcwBzAE8AZgBXAGEAcwB0AGUARgByAG8AbQBWAG8AbAB1AG0AZQBfAEEAcgBnAHUAbQBlAG4AdABzAFwAbgAgACAAPQBMAEEATQBCAEQAQQAoAFwAbgAgACAAIAAgAE0AQQBLAEUAQQBSAFIAQQBZACgANAAsACAANAAsAFwAbgAgACAAIAAgACAAIABMAEEATQBCAEQAQQAoAHIALABjACwAXABuACAAIAAgACAAIAAgACAAIABJAE4ARABFAFgAKAB7AFwAbgAgACAAIAAgACAAIAAgACAAIAAgAFwAIgBWAF8AdwB0AFwAIgAsACAAXAAiAHYAbwBsAHUAbQBlACAAbwBmACAAcwBvAGwAaQBkACAAdwBhAHMAdABlACAAdAB5AHAAZQAgAHcAIABiAGUAaQBuAGcAIABzAGUAbgB0ACAAdABvACAAdAByAGUAYQB0AG0AZQBuAHQAIABmAGEAYwBpAGwAaQB0AHkAIAB0AFwAIgAsACAAXAAiAG0AMwBcACIALAAgAFwAIgBJAG4AcAB1AHQAXAAiADsAXABuACAAIAAgACAAIAAgACAAIAAgACAAXAAiAFYAVABNAF8AdwBcACIALAAgAFwAIgBjAG8AbgB2AGUAcgBzAGkAbwBuACAAZgBhAGMAdABvAHIAIABvAGYAIAB2AG8AbAB1AG0AZQAgAHQAbwAgAG0AYQBzAHMAIABmAG8AcgAgAHcAYQBzAHQAZQAgAHQAeQBwAGUAIAB3AFwAIgAsACAAXAAiAHQALwBtADMAXAAiACwAIABcACIAQwBvAG4AcwB0AGEAbgB0AFwAIgA7AFwAbgAgACAAIAAgACAAIAAgACAAIAAgAFwAIgB3AFwAIgAsACAAXAAiAHcAYQBzAHQAZQAgAHQAeQBwAGUAXAAiACwAIABcACIAXAAiACwAIABcACIASQBuAHAAdQB0AFwAIgA7AFwAbgAgACAAIAAgACAAIAAgACAAIAAgAFwAIgB0AFwAIgAsACAAXAAiAHQAcgBlAGEAdABtAGUAbgB0ACAAZgBhAGMAaQBsAGkAdAB5AFwAIgAsACAAXAAiAFwAIgAsACAAXAAiAEkAbgBwAHUAdABcACIAXABuACAAIAAgACAAIAAgACAAIAB9ACwAIAByACwAIABjACkAXABuACAAIAAgACAAIAAgACkAXABuACAAIAAgACAAKQBcAG4AIAAgACkAOwBcAG4AIgB9ACwAewAiAHAAYQB0AGgAIgA6ACIALwBwAHIAbwBqAGUAYwB0AHMALwBXAGEAcwB0AGUAUwBvAGwAaQBkAF8AUwBvAHUAcgBjAGUARABhAHQAYQAiACwAIgB0AGUAeAB0ACIAOgAiAC8AKgBcAG4APQA9AD0APQA9AD0APQA9AD0APQA9AD0APQA9AD0APQA9AD0APQA9AD0APQA9AD0APQA9AD0APQA9AD0APQA9AD0APQA9AD0APQA9AD0APQA9AD0APQA9AD0APQA9AD0APQA9AD0APQA9AD0APQA9AD0APQA9AD0APQA9AD0APQA9AD0APQA9AD0APQA9AD0APQA9AD0APQBcAG4ARQBtAGkAcwBzAGkAbwBuACAAZgBhAGMAdABvAHIAcwAgAGYAbwByACAAdwBhAHMAdABlAHMAIABkAGkAcwBwAG8AcwBlAGQAIABvAGYAIABhAHQAIABkAGkAZgBmAGUAcgBlAG4AdAAgAHQAcgBlAGEAdABtAGUAbgB0ACAAZgBhAGMAaQBsAGkAdABpAGUAcwBcAG4APQA9AD0APQA9AD0APQA9AD0APQA9AD0APQA9AD0APQA9AD0APQA9AD0APQA9AD0APQA9AD0APQA9AD0APQA9AD0APQA9AD0APQA9AD0APQA9AD0APQA9AD0APQA9AD0APQA9AD0APQA9AD0APQA9AD0APQA9AD0APQA9AD0APQA9AD0APQA9AD0APQA9AD0APQA9AD0APQBcAG4AKgAvAFwAbgBcAG4AVwBhAHMAdABlAF8ARQBtAGkAcwBzAGkAbwBuAEYAYQBjAHQAbwByAHMARgBvAHIAVwBhAHMAdABlAFQAcgBlAGEAdABtAGUAbgB0AF8AVABpAHQAbABlAFwAbgA9AEwAQQBNAEIARABBACgAKABcACIARQBtAGkAcwBzAGkAbwBuACAAZgBhAGMAdABvAHIAcwAgAGYAbwByACAAdwBhAHMAdABlAHMAIABkAGkAcwBwAG8AcwBlAGQAIABvAGYAIABhAHQAIABkAGkAZgBmAGUAcgBlAG4AdAAgAHQAcgBlAGEAdABtAGUAbgB0ACAAZgBhAGMAaQBsAGkAdABpAGUAcwBcACIAKQApADsAXABuAFwAbgBXAGEAcwB0AGUAXwBFAG0AaQBzAHMAaQBvAG4ARgBhAGMAdABvAHIAcwBGAG8AcgBXAGEAcwB0AGUAVAByAGUAYQB0AG0AZQBuAHQAXwBWAGEAcgBpAGEAYgBsAGUAXABuAD0ATABBAE0AQgBEAEEAKAAoAFwAIgBFAEYAdwB0AFwAIgApACkAOwBcAG4AXABuAFcAYQBzAHQAZQBfAEUAbQBpAHMAcwBpAG8AbgBGAGEAYwB0AG8AcgBzAEYAbwByAFcAYQBzAHQAZQBUAHIAZQBhAHQAbQBlAG4AdABfAFUAbgBpAHQAXABuAD0ATABBAE0AQgBEAEEAKAAoAFwAIgB0ACAAQwBPADIAZQAgAC8AIAB0AFwAIgApACkAOwBcAG4AXABuAFcAYQBzAHQAZQBfAEUAbQBpAHMAcwBpAG8AbgBGAGEAYwB0AG8AcgBzAEYAbwByAFcAYQBzAHQAZQBUAHIAZQBhAHQAbQBlAG4AdABfAFMAbwB1AHIAYwBlAFwAbgA9AEwAQQBNAEIARABBACgAKABcACIAVgBFAEUAUgBHACAAMgAwADIANgA6ACAAVABhAGIAbABlACAAQQAuADQALgAxAC4AMQBcACIAKQApADsAXABuAFwAbgBXAGEAcwB0AGUAXwBFAG0AaQBzAHMAaQBvAG4ARgBhAGMAdABvAHIAcwBGAG8AcgBXAGEAcwB0AGUAVAByAGUAYQB0AG0AZQBuAHQAXwBEAGEAdABhAFwAbgA9AEwAQQBNAEIARABBACgAXABuACAAIABNAEEASwBFAEEAUgBSAEEAWQAoADMANQAsACAANAAsAFwAbgAgACAAIAAgAEwAQQBNAEIARABBACgAcgAsAGMALABcAG4AIAAgACAAIAAgACAASQBOAEQARQBYACgAewBcAG4AIAAgACAAIAAgACAAIAAgAFwAIgBUAHIAZQBhAHQAbQBlAG4AdAAgAHQAeQBwAGUAIAB0AFwAIgAsACAAXAAiAFcAYQBzAHQAZQAgAHQAeQBwAGUAIAB3AFwAIgAsACAAXAAiAEUARgB3AHQAXAAiACwAIABcACIARQBGACAAcwBvAHUAcgBjAGUAXAAiADsAXABuACAAIAAgACAAIAAgACAAIABcACIATABhAG4AZABmAGkAbABsAFwAIgAsACAAXAAiAEYAbwBvAGQAIAB3AGEAcwB0AGUAIAAoAGkAbgBjAGwAdQBkAGkAbgBnACAAYQBuAGkAbQBhAGwAIABjAGEAcgBjAGEAcwBzAGUAcwAsACAAcwBwAG8AaQBsAGUAZAAgAGEAbgBpAG0AYQBsACAAZgBlAGUAZAAgAG8AcgAgAGMAcgBvAHAAKQBcACIALAAgADIALgAxACwAIABcACIATgBHAEEARgAgADIAMAAyADUAIAB0AGEAYgBsAGUAIAAxADUAXAAiADsAXABuACAAIAAgACAAIAAgACAAIABcACIATABhAG4AZABmAGkAbABsAFwAIgAsACAAXAAiAFAAYQBwAGUAcgAgAGEAbgBkACAAYwBhAHIAZABiAG8AYQByAGQAXAAiACwAIAAzAC4AMwAsACAAXAAiAE4ARwBBAEYAIAAyADAAMgA1ACAAdABhAGIAbABlACAAMQA1AFwAIgA7AFwAbgAgACAAIAAgACAAIAAgACAAXAAiAEwAYQBuAGQAZgBpAGwAbABcACIALAAgAFwAIgBHAHIAZQBlAG4AIAB3AGEAcwB0AGUAIAAoAGkAbgBjAGwAdQBkAGkAbgBnACAAYwByAG8AcAAgAHIAZQBzAGkAZAB1AGUAcwAgAG8AcgAgAHAAcgB1AG4AaQBuAGcAcwApAFwAIgAsACAAMQAuADYALAAgAFwAIgBOAEcAQQBGACAAMgAwADIANQAgAHQAYQBiAGwAZQAgADEANQBcACIAOwBcAG4AIAAgACAAIAAgACAAIAAgAFwAIgBMAGEAbgBkAGYAaQBsAGwAXAAiACwAIABcACIAVwBvAG8AZABcACIALAAgADAALgA3ACwAIABcACIATgBHAEEARgAgADIAMAAyADUAIAB0AGEAYgBsAGUAIAAxADUAXAAiADsAXABuACAAIAAgACAAIAAgACAAIABcACIATABhAG4AZABmAGkAbABsAFwAIgAsACAAXAAiAFQAZQB4AHQAaQBsAGUAcwBcACIALAAgADIALgAwACwAIABcACIATgBHAEEARgAgADIAMAAyADUAIAB0AGEAYgBsAGUAIAAxADUAXAAiADsAXABuACAAIAAgACAAIAAgACAAIABcACIATABhAG4AZABmAGkAbABsAFwAIgAsACAAXAAiAFMAbAB1AGQAZwBlAFwAIgAsACAAMAAuADQALAAgAFwAIgBOAEcAQQBGACAAMgAwADIANQAgAHQAYQBiAGwAZQAgADEANQBcACIAOwBcAG4AIAAgACAAIAAgACAAIAAgAFwAIgBMAGEAbgBkAGYAaQBsAGwAXAAiACwAIABcACIAUgB1AGIAYgBlAHIAIABhAG4AZAAgAGwAZQBhAHQAaABlAHIAXAAiACwAIAAzAC4AMwAsACAAXAAiAE4ARwBBAEYAIAAyADAAMgA1ACAAdABhAGIAbABlACAAMQA1AFwAIgA7AFwAbgAgACAAIAAgACAAIAAgACAAXAAiAEwAYQBuAGQAZgBpAGwAbABcACIALAAgAFwAIgBJAG4AZQByAHQAIAB3AGEAcwB0AGUAIAAoAGkAbgBjAGwAdQBkAGkAbgBnACAAYwBvAG4AYwByAGUAdABlACwAIABtAGUAdABhAGwALAAgAHAAbABhAHMAdABpAGMAIABvAHIAIABnAGwAYQBzAHMAKQBcACIALAAgADAALAAgAFwAIgBOAEcAQQBGACAAMgAwADIANQAgAHQAYQBiAGwAZQAgADEANQBcACIAOwBcAG4AIAAgACAAIAAgACAAIAAgAFwAIgBMAGEAbgBkAGYAaQBsAGwAXAAiACwAIABcACIATQB1AG4AaQBjAGkAcABhAGwAIABzAG8AbABpAGQAIAB3AGEAcwB0AGUAXAAiACwAIAAxAC4ANgAsACAAXAAiAE4ARwBBAEYAIAAyADAAMgA1ACAAdABhAGIAbABlACAAMQA1AFwAIgA7AFwAbgAgACAAIAAgACAAIAAgACAAXAAiAEwAYQBuAGQAZgBpAGwAbABcACIALAAgAFwAIgBDAG8AbQBtAGUAcgBjAGkAYQBsACAAYQBuAGQAIABpAG4AZAB1AHMAdAByAGkAYQBsACAAdwBhAHMAdABlAFwAIgAsACAAMQAuADMALAAgAFwAIgBOAEcAQQBGACAAMgAwADIANQAgAHQAYQBiAGwAZQAgADEANQBcACIAOwBcAG4AIAAgACAAIAAgACAAIAAgAFwAIgBMAGEAbgBkAGYAaQBsAGwAXAAiACwAIABcACIAQwBvAG4AcwB0AHIAdQBjAHQAaQBvAG4AIABhAG4AZAAgAGQAZQBtAG8AbABpAHQAaQBvAG4AIAB3AGEAcwB0AGUAXAAiACwAIAAwAC4AMgAsACAAXAAiAE4ARwBBAEYAIAAyADAAMgA1ACAAdABhAGIAbABlACAAMQA1AFwAIgA7AFwAbgAgACAAIAAgACAAIAAgACAAXABuACAAIAAgACAAIAAgACAAIABcACIASQBuAGMAaQBuAGUAcgBhAHQAaQBvAG4AXAAiACwAIABcACIARgBvAG8AZAAgAHcAYQBzAHQAZQAsACAAZwByAGUAZQBuACAAdwBhAHMAdABlACwAIAB3AG8AbwBkACwAIABzAGwAdQBkAGcAZQBcACIALAAgADAALAAgAFwAIgBcACIAOwBcAG4AIAAgACAAIAAgACAAIAAgAFwAIgBJAG4AYwBpAG4AZQByAGEAdABpAG8AbgBcACIALAAgAFwAIgBGAG8AbwBkACAAdwBhAHMAdABlACAAKABpAG4AYwBsAHUAZABpAG4AZwAgAGEAbgBpAG0AYQBsACAAYwBhAHIAYwBhAHMAcwBlAHMALAAgAHMAcABvAGkAbABlAGQAIABhAG4AaQBtAGEAbAAgAGYAZQBlAGQAIABvAHIAIABjAHIAbwBwACkAXAAiACwAIABcACIAXAAiACwAIABcACIAXAAiADsAXABuACAAIAAgACAAIAAgACAAIABcACIASQBuAGMAaQBuAGUAcgBhAHQAaQBvAG4AXAAiACwAIABcACIARwByAGUAZQBuACAAdwBhAHMAdABlACAAKABpAG4AYwBsAHUAZABpAG4AZwAgAGMAcgBvAHAAIAByAGUAcwBpAGQAdQBlAHMAIABvAHIAIABwAHIAdQBuAGkAbgBnAHMAKQBcACIALAAgAFwAIgBcACIALAAgAFwAIgBcACIAOwBcAG4AIAAgACAAIAAgACAAIAAgAFwAIgBJAG4AYwBpAG4AZQByAGEAdABpAG8AbgBcACIALAAgAFwAIgBXAG8AbwBkAFwAIgAsACAAXAAiAFwAIgAsACAAXAAiAFwAIgA7AFwAbgAgACAAIAAgACAAIAAgACAAXAAiAEkAbgBjAGkAbgBlAHIAYQB0AGkAbwBuAFwAIgAsACAAXAAiAFMAbAB1AGQAZwBlAFwAIgAsACAAXAAiAFwAIgAsACAAXAAiAFwAIgA7AFwAbgAgACAAIAAgACAAIAAgACAAXAAiAEkAbgBjAGkAbgBlAHIAYQB0AGkAbwBuAFwAIgAsACAAXAAiAFAAYQBwAGUAcgAgAGEAbgBkACAAYwBhAHIAZABiAG8AYQByAGQAXAAiACwAIAAwAC4AMAAxADYAOQAsACAAXAAiAFwAIgA7AFwAbgAgACAAIAAgACAAIAAgACAAXAAiAEkAbgBjAGkAbgBlAHIAYQB0AGkAbwBuAFwAIgAsACAAXAAiAFQAZQB4AHQAaQBsAGUAcwBcACIALAAgADAALgAzADYANgA3ACwAIABcACIAXAAiADsAXABuACAAIAAgACAAIAAgACAAIABcACIASQBuAGMAaQBuAGUAcgBhAHQAaQBvAG4AXAAiACwAIABcACIAUgB1AGIAYgBlAHIAIABhAG4AZAAgAGwAZQBhAHQAaABlAHIAXAAiACwAIAAwAC4ANAA5ADEAOQAsACAAXAAiAFwAIgA7AFwAbgAgACAAIAAgACAAIAAgACAAXAAiAEkAbgBjAGkAbgBlAHIAYQB0AGkAbwBuAFwAIgAsACAAXAAiAEkAbgBlAHIAdAAgAHcAYQBzAHQAZQAgACgAaQBuAGMAbAB1AGQAaQBuAGcAIABjAG8AbgBjAHIAZQB0AGUALAAgAG0AZQB0AGEAbAAsACAAcABsAGEAcwB0AGkAYwAgAG8AcgAgAGcAbABhAHMAcwApAFwAIgAsACAAMAAuADEAMQAwADAALAAgAFwAIgBcACIAOwBcAG4AIAAgACAAIAAgACAAIAAgAFwAIgBJAG4AYwBpAG4AZQByAGEAdABpAG8AbgBcACIALAAgAFwAIgBNAHUAbgBpAGMAaQBwAGEAbAAgAHMAbwBsAGkAZAAgAHcAYQBzAHQAZQBcACIALAAgADAALgAwADUAMwA3ACwAIABcACIATgBHAEEARgAgADIAMAAyADUAIABUAGEAYgBsAGUAIAAxADgAXAAiADsAXABuACAAIAAgACAAIAAgACAAIABcACIASQBuAGMAaQBuAGUAcgBhAHQAaQBvAG4AXAAiACwAIABcACIAQwBvAG0AbQBlAHIAYwBpAGEAbAAgAGEAbgBkACAAaQBuAGQAdQBzAHQAcgBpAGEAbAAgAHcAYQBzAHQAZQBcACIALAAgADEALgA2ADQAOQAsACAAXAAiAE4ARwBBAEYAIAAyADAAMgA1ACAAVABhAGIAbABlACAAMQA4AFwAIgA7AFwAbgBcAG4AIAAgACAAIAAgACAAIAAgAFwAIgBDAG8AbQBwAG8AcwB0AGkAbgBnAFwAIgAsACAAXAAiAEEAbABsACAAbwByAGcAYQBuAGkAYwAgAHcAYQBzAHQAZQBcACIALAAgADAALgAwADQANgAsACAAXAAiAE4ARwBBAEYAIAAyADAAMgA1ACAAVABhAGIAbABlACAAMQA5AFwAIgA7AFwAbgAgACAAIAAgACAAIAAgACAAXAAiAEMAbwBtAHAAbwBzAHQAaQBuAGcAXAAiACwAIABcACIARgBvAG8AZAAgAHcAYQBzAHQAZQAgACgAaQBuAGMAbAB1AGQAaQBuAGcAIABhAG4AaQBtAGEAbAAgAGMAYQByAGMAYQBzAHMAZQBzACwAIABzAHAAbwBpAGwAZQBkACAAYQBuAGkAbQBhAGwAIABmAGUAZQBkACAAbwByACAAYwByAG8AcAApAFwAIgAsACAAXAAiAFwAIgAsACAAXAAiAFwAIgA7AFwAbgAgACAAIAAgACAAIAAgACAAXAAiAEMAbwBtAHAAbwBzAHQAaQBuAGcAXAAiACwAIABcACIARwByAGUAZQBuACAAdwBhAHMAdABlACAAKABpAG4AYwBsAHUAZABpAG4AZwAgAGMAcgBvAHAAIAByAGUAcwBpAGQAdQBlAHMAIABvAHIAIABwAHIAdQBuAGkAbgBnAHMAKQBcACIALAAgAFwAIgBcACIALAAgAFwAIgBcACIAOwBcAG4AIAAgACAAIAAgACAAIAAgAFwAIgBDAG8AbQBwAG8AcwB0AGkAbgBnAFwAIgAsACAAXAAiAFcAbwBvAGQAXAAiACwAIABcACIAXAAiACwAIABcACIAXAAiADsAXABuACAAIAAgACAAIAAgACAAIABcACIAQwBvAG0AcABvAHMAdABpAG4AZwBcACIALAAgAFwAIgBTAGwAdQBkAGcAZQBcACIALAAgAFwAIgBcACIALAAgAFwAIgBcACIAOwBcAG4AIAAgACAAIAAgACAAIAAgAFwAIgBDAG8AbQBwAG8AcwB0AGkAbgBnAFwAIgAsACAAXAAiAFAAYQBwAGUAcgAgAGEAbgBkACAAYwBhAHIAZABiAG8AYQByAGQAXAAiACwAIABcACIAXAAiACwAIABcACIAXAAiADsAXABuAFwAbgAgACAAIAAgACAAIAAgACAAXAAiAEEAbgBhAGUAcgBvAGIAaQBjACAAZABpAGcAZQBzAHQAaQBvAG4AXAAiACwAIABcACIAQQBsAGwAIABvAHIAZwBhAG4AaQBjACAAdwBhAHMAdABlAFwAIgAsACAAMAAuADAAMgA4ACwAIABcACIATgBHAEEARgAgADIAMAAyADUAIABUAGEAYgBsAGUAIAAxADkAXAAiADsAXABuACAAIAAgACAAIAAgACAAIABcACIAQQBuAGEAZQByAG8AYgBpAGMAIABkAGkAZwBlAHMAdABpAG8AbgBcACIALAAgAFwAIgBGAG8AbwBkACAAdwBhAHMAdABlACAAKABpAG4AYwBsAHUAZABpAG4AZwAgAGEAbgBpAG0AYQBsACAAYwBhAHIAYwBhAHMAcwBlAHMALAAgAHMAcABvAGkAbABlAGQAIABhAG4AaQBtAGEAbAAgAGYAZQBlAGQAIABvAHIAIABjAHIAbwBwACkAXAAiACwAIABcACIAXAAiACwAIABcACIAXAAiADsAXABuACAAIAAgACAAIAAgACAAIABcACIAQQBuAGEAZQByAG8AYgBpAGMAIABkAGkAZwBlAHMAdABpAG8AbgBcACIALAAgAFwAIgBHAHIAZQBlAG4AIAB3AGEAcwB0AGUAIAAoAGkAbgBjAGwAdQBkAGkAbgBnACAAYwByAG8AcAAgAHIAZQBzAGkAZAB1AGUAcwAgAG8AcgAgAHAAcgB1AG4AaQBuAGcAcwApAFwAIgAsACAAXAAiAFwAIgAsACAAXAAiAFwAIgA7AFwAbgAgACAAIAAgACAAIAAgACAAXAAiAEEAbgBhAGUAcgBvAGIAaQBjACAAZABpAGcAZQBzAHQAaQBvAG4AXAAiACwAIABcACIAVwBvAG8AZABcACIALAAgAFwAIgBcACIALAAgAFwAIgBcACIAOwBcAG4AIAAgACAAIAAgACAAIAAgAFwAIgBBAG4AYQBlAHIAbwBiAGkAYwAgAGQAaQBnAGUAcwB0AGkAbwBuAFwAIgAsACAAXAAiAFMAbAB1AGQAZwBlAFwAIgAsACAAXAAiAFwAIgAsACAAXAAiAFwAIgA7AFwAbgAgACAAIAAgACAAIAAgACAAXAAiAEEAbgBhAGUAcgBvAGIAaQBjACAAZABpAGcAZQBzAHQAaQBvAG4AXAAiACwAIABcACIAUABhAHAAZQByACAAYQBuAGQAIABjAGEAcgBkAGIAbwBhAHIAZABcACIALAAgAFwAIgBcACIALAAgAFwAIgBcACIAXABuACAAIAAgACAAIAAgAH0ALAAgAHIALAAgAGMAKQBcAG4AKQApACkAOwBcAG4AXABuAFcAYQBzAHQAZQBfAEUAbQBpAHMAcwBpAG8AbgBGAGEAYwB0AG8AcgBzAEYAbwByAFcAYQBzAHQAZQBUAHIAZQBhAHQAbQBlAG4AdABfAFYAYQByAGkAYQB0AGkAbwBuAFwAbgA9AEwAQQBNAEIARABBACgAXABuACAAIABNAEEASwBFAEEAUgBSAEEAWQAoADcALAAgADEALABcAG4AIAAgACAAIABMAEEATQBCAEQAQQAoAHIALABjACwAXABuACAAIAAgACAAIAAgAEkATgBEAEUAWAAoAHsAXABuACAAIAAgACAAIAAgACAAIABcACIAVgBBAFIASQBBAFQASQBPAE4AIABPAE4AIABTAE8AVQBSAEMARQA6AFwAIgA7AFwAbgAgACAAIAAgACAAIAAgACAAXAAiAEYAaQB4AGUAZAAgAHQAeQBwAG8AIAAnAHAAYQBwAGUAcgAgAGEAbgBkACAAYwBhAHIAYgBvAGEAcgBkACcAIAB0AG8AIAAnAHAAYQBwAGUAcgAgAGEAbgBkACAAYwBhAHIAZABiAG8AYQByAGQAJwBcACIAOwBcAG4AIAAgACAAIAAgACAAIAAgAFwAIgBGAGkAeABlAGQAIAB0AHkAcABvACAAJwBwAHIAdQBuAG4AaQBuAGcAcwAnACAAdABvACAAJwBwAHIAdQBuAGkAbgBnAHMAJwBcACIAOwBcAG4AIAAgACAAIAAgACAAIAAgAFwAIgBBAGQAZABlAGQAIABFAEYAIABzAG8AdQByAGMAZQAgAGMAbwBsAHUAbQBuACAAdwBpAHQAaAAgAHMAcABlAGMAaQBmAGkAYwAgAHIAZQBmAGUAcgBlAG4AYwBlAHMAXAAiADsAXABuACAAIAAgACAAIAAgACAAIABcACIAQQBkAGQAZQBkACAAcwB1AGIALQBjAGEAdABlAGcAbwByAGkAZQBzACAAZgBvAHIAIAAnAEkAbgBjAGkAbgBlAHIAYQB0AGkAbwBuADoAIABGAG8AbwBkACAAdwBhAHMAdABlACwAIABnAHIAZQBlAG4AIAB3AGEAcwB0AGUALAAgAHcAbwBvAGQALAAgAHMAbAB1AGQAZwBlACcAIABpAG4AIABvAHIAZABlAHIAIAB0AG8AIAB1AHMAZQAgAHYAbwBsAHUAbQBlACAAdABvACAAbQBhAHMAcwAgAGMAbwBuAHYAZQByAHMAaQBvAG4AIABmAGEAYwB0AG8AcgAgAHYAYQBsAHUAZQBzAFwAIgA7AFwAbgAgACAAIAAgACAAIAAgACAAXAAiAEEAZABkAGUAZAAgAHMAdQBiAC0AYwBhAHQAZQBnAG8AcgBpAGUAcwAgAGYAbwByACAAJwBDAG8AbQBwAG8AcwB0AGkAbgBnADoAIABBAGwAbAAgAG8AcgBnAGEAbgBpAGMAIAB3AGEAcwB0AGUAJwAgAGkAbgAgAG8AcgBkAGUAcgAgAHQAbwAgAHUAcwBlACAAdgBvAGwAdQBtAGUAIAB0AG8AIABtAGEAcwBzACAAYwBvAG4AdgBlAHIAcwBpAG8AbgAgAGYAYQBjAHQAbwByACAAdgBhAGwAdQBlAHMAXAAiADsAXABuACAAIAAgACAAIAAgACAAIABcACIAQQBkAGQAZQBkACAAcwB1AGIALQBjAGEAdABlAGcAbwByAGkAZQBzACAAZgBvAHIAIAAnAEEAbgBhAGUAcgBvAGIAaQBjACAAZABpAGcAZQBzAHQAaQBvAG4AOgAgAEEAbABsACAAbwByAGcAYQBuAGkAYwAgAHcAYQBzAHQAZQAnACAAaQBuACAAbwByAGQAZQByACAAdABvACAAdQBzAGUAIAB2AG8AbAB1AG0AZQAgAHQAbwAgAG0AYQBzAHMAIABjAG8AbgB2AGUAcgBzAGkAbwBuACAAZgBhAGMAdABvAHIAIAB2AGEAbAB1AGUAcw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FQAYQBiAGwAZQAgAEEALgA0AC4AMQAuADIAOgAgAFYAbwBsAHUAbQBlACAAdABvACAAbQBhAHMAcwAgAGMAbwBuAHYAZQByAHMAaQBvAG4AIABmAGEAYwB0AG8AcgAgAGYAbwByACAAdgBhAHIAaQBvAHUAcwAgAHcAYQBzAHQAZQAgAHQAeQBwAGUAcwAgACgAdAAvAG0AMwApACAAKABWAFQATQB3ACkAXABuAD0APQA9AD0APQA9AD0APQA9AD0APQA9AD0APQA9AD0APQA9AD0APQA9AD0APQA9AD0APQA9AD0APQA9AD0APQA9AD0APQA9AD0APQA9AD0APQA9AD0APQA9AD0APQA9AD0APQA9AD0APQA9AD0APQA9AD0APQA9AD0APQA9AD0APQA9AD0APQA9AD0APQA9AD0APQA9AD0AXABuACoALwBcAG4AXABuAFcAYQBzAHQAZQBfAFcAYQBzAHQAZQBWAG8AbAB1AG0AZQBUAG8ATQBhAHMAcwBDAG8AbgB2AGUAcgBzAGkAbwBuAF8AVABpAHQAbABlAFwAbgA9AEwAQQBNAEIARABBACgAKABcACIAVgBvAGwAdQBtAGUAIAB0AG8AIABtAGEAcwBzACAAYwBvAG4AdgBlAHIAcwBpAG8AbgAgAGYAYQBjAHQAbwByACAAZgBvAHIAIAB2AGEAcgBpAG8AdQBzACAAdwBhAHMAdABlACAAdAB5AHAAZQBzAFwAIgApACkAOwBcAG4AXABuAFcAYQBzAHQAZQBfAFcAYQBzAHQAZQBWAG8AbAB1AG0AZQBUAG8ATQBhAHMAcwBDAG8AbgB2AGUAcgBzAGkAbwBuAF8AVgBhAHIAaQBhAGIAbABlAFwAbgA9AEwAQQBNAEIARABBACgAKABcACIAVgBUAE0AdwBcACIAKQApADsAXABuAFwAbgBXAGEAcwB0AGUAXwBXAGEAcwB0AGUAVgBvAGwAdQBtAGUAVABvAE0AYQBzAHMAQwBvAG4AdgBlAHIAcwBpAG8AbgBfAFUAbgBpAHQAXABuAD0ATABBAE0AQgBEAEEAKAAoAFwAIgB0AC8AbQAzAFwAIgApACkAOwBcAG4AXABuAFcAYQBzAHQAZQBfAFcAYQBzAHQAZQBWAG8AbAB1AG0AZQBUAG8ATQBhAHMAcwBDAG8AbgB2AGUAcgBzAGkAbwBuAF8AUwBvAHUAcgBjAGUAXABuAD0ATABBAE0AQgBEAEEAKAAoAFwAIgBWAEUARQBSAEcAIAAyADAAMgA2ADoAIABUAGEAYgBsAGUAIABBAC4ANAAuADEALgAyAFwAIgApACkAOwBcAG4AXABuAFcAYQBzAHQAZQBfAFcAYQBzAHQAZQBWAG8AbAB1AG0AZQBUAG8ATQBhAHMAcwBDAG8AbgB2AGUAcgBzAGkAbwBuAF8ARABhAHQAYQBcAG4APQBMAEEATQBCAEQAQQAoAFwAbgAgACAATQBBAEsARQBBAFIAUgBBAFkAKAAxADIALAAgADIALABcAG4AIAAgACAAIABMAEEATQBCAEQAQQAoAHIALABjACwAXABuACAAIAAgACAAIAAgAEkATgBEAEUAWAAoAHsAXABuACAAIAAgACAAIAAgACAAIABcACIAVwBhAHMAdABlACAAdAB5AHAAZQAgAHcAXAAiACwAIABcACIAVgBUAE0AdwBcACIAOwBcAG4AIAAgACAAIAAgACAAIAAgAFwAIgBGAG8AbwBkACAAdwBhAHMAdABlACAAKABpAG4AYwBsAHUAZABpAG4AZwAgAGEAbgBpAG0AYQBsACAAYwBhAHIAYwBhAHMAcwBlAHMALAAgAHMAcABvAGkAbABlAGQAIABhAG4AaQBtAGEAbAAgAGYAZQBlAGQAIABvAHIAIABjAHIAbwBwACkAXAAiACwAIAAwAC4ANQAwADsAXABuACAAIAAgACAAIAAgACAAIABcACIAUABhAHAAZQByACAAYQBuAGQAIABjAGEAcgBkAGIAbwBhAHIAZABcACIALAAgADAALgAwADkAOwBcAG4AIAAgACAAIAAgACAAIAAgAFwAIgBHAHIAZQBlAG4AIAB3AGEAcwB0AGUAIAAoAGkAbgBjAGwAdQBkAGkAbgBnACAAYwByAG8AcAAgAHIAZQBzAGkAZAB1AGUAcwAgAG8AcgAgAHAAcgB1AG4AaQBuAGcAcwApAFwAIgAsACAAMAAuADIANAA7AFwAbgAgACAAIAAgACAAIAAgACAAXAAiAFcAbwBvAGQAXAAiACwAIAAwAC4AMQA1ADsAXABuACAAIAAgACAAIAAgACAAIABcACIAVABlAHgAdABpAGwAZQBzAFwAIgAsACAAMAAuADEANAA7AFwAbgAgACAAIAAgACAAIAAgACAAXAAiAFMAbAB1AGQAZwBlAFwAIgAsACAAMAAuADcAMgA7AFwAbgAgACAAIAAgACAAIAAgACAAXAAiAFIAdQBiAGIAZQByACAAYQBuAGQAIABsAGUAYQB0AGgAZQByAFwAIgAsACAAMAAuADEANAA7AFwAbgAgACAAIAAgACAAIAAgACAAXAAiAEkAbgBlAHIAdAAgAHcAYQBzAHQAZQAgACgAaQBuAGMAbAB1AGQAaQBuAGcAIABjAG8AbgBjAHIAZQB0AGUALAAgAG0AZQB0AGEAbAAsACAAcABsAGEAcwB0AGkAYwAgAG8AcgAgAGcAbABhAHMAcwApAFwAIgAsACAAMAAuADQAMgA7AFwAbgAgACAAIAAgACAAIAAgACAAXAAiAE0AdQBuAGkAYwBpAHAAYQBsACAAcwBvAGwAaQBkACAAdwBhAHMAdABlAFwAIgAsACAAMAAuADMANgA7AFwAbgAgACAAIAAgACAAIAAgACAAXAAiAEMAbwBtAG0AZQByAGMAaQBhAGwAIABhAG4AZAAgAGkAbgBkAHUAcwB0AHIAaQBhAGwAIAB3AGEAcwB0AGUAXAAiACwAIAAwAC4AMwAzADsAXABuACAAIAAgACAAIAAgACAAIABcACIAQwBvAG4AcwB0AHIAdQBjAHQAaQBvAG4AIABhAG4AZAAgAGQAZQBtAG8AbABpAHQAaQBvAG4AIAB3AGEAcwB0AGUAXAAiACwAIAAwAC4AMwA5AFwAbgAgACAAIAAgACAAIAB9ACwAIAByACwAIABjACkAXABuACkAKQApADsAXABuAFwAbgBXAGEAcwB0AGUAXwBXAGEAcwB0AGUAVgBvAGwAdQBtAGUAVABvAE0AYQBzAHMAQwBvAG4AdgBlAHIAcwBpAG8AbgBfAFYAYQByAGkAYQB0AGkAbwBuAFwAbgA9AEwAQQBNAEIARABBACgAKABcACIAVgBBAFIASQBBAFQASQBPAE4AIABPAEYAIABTAE8AVQBSAEMARQA6ACAAQwBoAGEAbgBnAGUAZAAgAGMAbwBsAHUAbQBuACAAaABlAGEAZABlAHIAIABDAEYAdwAgAHQAbwAgAFYAVABNAHcAIAB0AG8AIABtAGEAdABjAGgAIAB0AGkAdABsAGUAIAB2AGEAcgBpAGEAYgBsAGUALgBcACIAKQApADsAXABuAFwAbgBcAG4AIgB9ACwAewAiAHAAYQB0AGgAIgA6ACIALwBwAHIAbwBqAGUAYwB0AHMALwBXAGEAcwB0AGUAUwBvAGwAaQBkAF8ASQBuAHAAdQB0AEYAdQBuAGMAdABpAG8AbgBzACIALAAiAHQAZQB4AHQAIgA6ACIAXABuAFcAYQBzAHQAZQBTAG8AbABpAGQAXwBJAG4AcAB1AHQARgB1AG4AYwB0AGkAbwBuAHMAXwBTAHUAbQBXAGEAcwB0AGUAVAByAGUAYQB0AG0AZQBuAHQAXABuAD0ATABBAE0AQgBEAEEAKABcAG4AIAAgAFQAcgBlAGEAdABtAGUAbgB0AEEAcgByAGEAeQAsACAAVwBhAHMAdABlAEEAcgByAGEAeQAsACAAVAByAGUAYQB0AG0AZQBuAHQATABvAGMAYQB0AGkAbwBuAEEAcgByAGEAeQAsACAAVQBuAGkAdABBAHIAcgBhAHkALAAgAEEAbQBvAHUAbgB0AEEAcgByAGEAeQAsAFwAbgAgACAAVAByAGUAYQB0AG0AZQBuAHQAVAB5AHAAZQAsACAAVwBhAHMAdABlAFQAeQBwAGUALAAgAFQAcgBlAGEAdABtAGUAbgB0AEwAbwBjAGEAdABpAG8AbgBUAHkAcABlACwAIABVAG4AaQB0AFQAeQBwAGUALABcAG4AIAAgAFMAVQBNAEkARgBTACgAXABuACAAIAAgACAAQQBtAG8AdQBuAHQAQQByAHIAYQB5ACwAXABuACAAIAAgAFQAcgBlAGEAdABtAGUAbgB0AEEAcgByAGEAeQAsACAAVAByAGUAYQB0AG0AZQBuAHQAVAB5AHAAZQAsAFwAbgAgACAAIAAgAFcAYQBzAHQAZQBBAHIAcgBhAHkALAAgAFcAYQBzAHQAZQBUAHkAcABlACwAXABuACAAIAAgACAAVAByAGUAYQB0AG0AZQBuAHQATABvAGMAYQB0AGkAbwBuAEEAcgByAGEAeQAsACAAVAByAGUAYQB0AG0AZQBuAHQATABvAGMAYQB0AGkAbwBuAFQAeQBwAGUALAAgAFwAbgAgACAAIAAgAFUAbgBpAHQAQQByAHIAYQB5ACwAIABVAG4AaQB0AFQAeQBwAGUAXABuACAAIAApAFwAbgApADsAIgB9AF0ALAAiAHAAcgBvAGoAZQBjAHQATgBhAG0AZQBzACIAOgBbACIAQwBvAG0AbQBvAG4AXwBTAG8AdQByAGMAZQBEAGEAdABhAC4AQwBvAG0AbQBvAG4AXwBTAG8AdQByAGMAZQBEAGEAdABhAF8ARABlAG4AcwBpAHQAeQBPAGYATQBlAHQAaABhAG4AZQBfAFQAaQB0AGwAZQAiACwAIgBDAG8AbQBtAG8AbgBfAFMAbwB1AHIAYwBlAEQAYQB0AGEALgBDAG8AbQBtAG8AbgBfAFMAbwB1AHIAYwBlAEQAYQB0AGEAXwBEAGUAbgBzAGkAdAB5AE8AZgBNAGUAdABoAGEAbgBlAF8AVQBuAGkAdAAiACwAIgBDAG8AbQBtAG8AbgBfAFMAbwB1AHIAYwBlAEQAYQB0AGEALgBDAG8AbQBtAG8AbgBfAFMAbwB1AHIAYwBlAEQAYQB0AGEAXwBEAGUAbgBzAGkAdAB5AE8AZgBNAGUAdABoAGEAbgBlAF8AUwBvAHUAcgBjAGUAIgAsACIAQwBvAG0AbQBvAG4AXwBTAG8AdQByAGMAZQBEAGEAdABhAC4AQwBvAG0AbQBvAG4AXwBTAG8AdQByAGMAZQBEAGEAdABhAF8ARABlAG4AcwBpAHQAeQBPAGYATQBlAHQAaABhAG4AZQBfAEQAYQB0AGEAIgAsACIAQwBvAG0AbQBvAG4AXwBTAG8AdQByAGMAZQBEAGEAdABhAC4AQwBvAG0AbQBvAG4AXwBTAG8AdQByAGMAZQBEAGEAdABhAF8AQwBvAG4AdgBlAHIAdABOADIAbwBFAGwAZQBtAGUAbgB0AGEAbABUAG8ATQBvAGwAZQBjAHUAbABhAHIAQwBnAF8AVABpAHQAbABlACIALAAiAEMAbwBtAG0AbwBuAF8AUwBvAHUAcgBjAGUARABhAHQAYQAuAEMAbwBtAG0AbwBuAF8AUwBvAHUAcgBjAGUARABhAHQAYQBfAEMAbwBuAHYAZQByAHQATgAyAG8ARQBsAGUAbQBlAG4AdABhAGwAVABvAE0AbwBsAGUAYwB1AGwAYQByAEMAZwBfAFYAYQByAGkAYQBiAGwAZQAiACwAIgBDAG8AbQBtAG8AbgBfAFMAbwB1AHIAYwBlAEQAYQB0AGEALgBDAG8AbQBtAG8AbgBfAFMAbwB1AHIAYwBlAEQAYQB0AGEAXwBDAG8AbgB2AGUAcgB0AE4AMgBvAEUAbABlAG0AZQBuAHQAYQBsAFQAbwBNAG8AbABlAGMAdQBsAGEAcgBDAGcAXwBVAG4AaQB0ACIALAAiAEMAbwBtAG0AbwBuAF8AUwBvAHUAcgBjAGUARABhAHQAYQAuAEMAbwBtAG0AbwBuAF8AUwBvAHUAcgBjAGUARABhAHQAYQBfAEMAbwBuAHYAZQByAHQATgAyAG8ARQBsAGUAbQBlAG4AdABhAGwAVABvAE0AbwBsAGUAYwB1AGwAYQByAEMAZwBfAFMAbwB1AHIAYwBlACIALAAiAEMAbwBtAG0AbwBuAF8AUwBvAHUAcgBjAGUARABhAHQAYQAuAEMAbwBtAG0AbwBuAF8AUwBvAHUAcgBjAGUARABhAHQAYQBfAEMAbwBuAHYAZQByAHQATgAyAG8ARQBsAGUAbQBlAG4AdABhAGwAVABvAE0AbwBsAGUAYwB1AGwAYQByAEMAZwBfAEQAYQB0AGEAIgAsACIAQwBvAG0AbQBvAG4AXwBTAG8AdQByAGMAZQBEAGEAdABhAC4AQwBvAG0AbQBvAG4AXwBTAG8AdQByAGMAZQBEAGEAdABhAF8AQwBvAG4AdgBlAHIAdABHAGEAcwBFAGwAZQBtAGUAbgB0AGEAbABUAG8ATQBvAGwAZQBjAHUAbABhAHIAXwBUAGkAdABsAGUAIgAsACIAQwBvAG0AbQBvAG4AXwBTAG8AdQByAGMAZQBEAGEAdABhAC4AQwBvAG0AbQBvAG4AXwBTAG8AdQByAGMAZQBEAGEAdABhAF8AQwBvAG4AdgBlAHIAdABHAGEAcwBFAGwAZQBtAGUAbgB0AGEAbABUAG8ATQBvAGwAZQBjAHUAbABhAHIAXwBWAGEAcgBpAGEAYgBsAGUAIgAsACIAQwBvAG0AbQBvAG4AXwBTAG8AdQByAGMAZQBEAGEAdABhAC4AQwBvAG0AbQBvAG4AXwBTAG8AdQByAGMAZQBEAGEAdABhAF8AQwBvAG4AdgBlAHIAdABHAGEAcwBFAGwAZQBtAGUAbgB0AGEAbABUAG8ATQBvAGwAZQBjAHUAbABhAHIAXwBVAG4AaQB0ACIALAAiAEMAbwBtAG0AbwBuAF8AUwBvAHUAcgBjAGUARABhAHQAYQAuAEMAbwBtAG0AbwBuAF8AUwBvAHUAcgBjAGUARABhAHQAYQBfAEMAbwBuAHYAZQByAHQARwBhAHMARQBsAGUAbQBlAG4AdABhAGwAVABvAE0AbwBsAGUAYwB1AGwAYQByAF8AUwBvAHUAcgBjAGUAIgAsACIAQwBvAG0AbQBvAG4AXwBTAG8AdQByAGMAZQBEAGEAdABhAC4AQwBvAG0AbQBvAG4AXwBTAG8AdQByAGMAZQBEAGEAdABhAF8AQwBvAG4AdgBlAHIAdABHAGEAcwBFAGwAZQBtAGUAbgB0AGEAbABUAG8ATQBvAGwAZQBjAHUAbABhAHIAXwBEAGEAdABhACIALAAiAEMAbwBtAG0AbwBuAF8AUwBvAHUAcgBjAGUARABhAHQAYQAuAEMAbwBtAG0AbwBuAF8AUwBvAHUAcgBjAGUARABhAHQAYQBfAEcAVwBQAF8AVABpAHQAbABlACIALAAiAEMAbwBtAG0AbwBuAF8AUwBvAHUAcgBjAGUARABhAHQAYQAuAEMAbwBtAG0AbwBuAF8AUwBvAHUAcgBjAGUARABhAHQAYQBfAEcAVwBQAF8AVgBhAHIAaQBhAGIAbABlACIALAAiAEMAbwBtAG0AbwBuAF8AUwBvAHUAcgBjAGUARABhAHQAYQAuAEMAbwBtAG0AbwBuAF8AUwBvAHUAcgBjAGUARABhAHQAYQBfAEcAVwBQAF8AVQBuAGkAdAAiACwAIgBDAG8AbQBtAG8AbgBfAFMAbwB1AHIAYwBlAEQAYQB0AGEALgBDAG8AbQBtAG8AbgBfAFMAbwB1AHIAYwBlAEQAYQB0AGEAXwBHAFcAUABfAFMAbwB1AHIAYwBlACIALAAiAEMAbwBtAG0AbwBuAF8AUwBvAHUAcgBjAGUARABhAHQAYQAuAEMAbwBtAG0AbwBuAF8AUwBvAHUAcgBjAGUARABhAHQAYQBfAEcAVwBQAF8ARABhAHQAYQAiACwAIgBDAG8AbQBtAG8AbgBfAFMAbwB1AHIAYwBlAEQAYQB0AGEALgBDAG8AbQBtAG8AbgBfAFMAbwB1AHIAYwBlAEQAYQB0AGEAXwBBAHUAcwB0AHIAYQBsAGkAYQBuAFMAdABhAHQAZQBzAFQAZQByAHIAaQB0AG8AcgBpAGUAcwBfAFQAaQB0AGwAZQAiACwAIgBDAG8AbQBtAG8AbgBfAFMAbwB1AHIAYwBlAEQAYQB0AGEALgBDAG8AbQBtAG8AbgBfAFMAbwB1AHIAYwBlAEQAYQB0AGEAXwBBAHUAcwB0AHIAYQBsAGkAYQBuAFMAdABhAHQAZQBzAFQAZQByAHIAaQB0AG8AcgBpAGUAcwBfAFYAYQByAGkAYQBiAGwAZQAiACwAIgBDAG8AbQBtAG8AbgBfAFMAbwB1AHIAYwBlAEQAYQB0AGEALgBDAG8AbQBtAG8AbgBfAFMAbwB1AHIAYwBlAEQAYQB0AGEAXwBBAHUAcwB0AHIAYQBsAGkAYQBuAFMAdABhAHQAZQBzAFQAZQByAHIAaQB0AG8AcgBpAGUAcwBfAFUAbgBpAHQAIgAsACIAQwBvAG0AbQBvAG4AXwBTAG8AdQByAGMAZQBEAGEAdABhAC4AQwBvAG0AbQBvAG4AXwBTAG8AdQByAGMAZQBEAGEAdABhAF8AQQB1AHMAdAByAGEAbABpAGEAbgBTAHQAYQB0AGUAcwBUAGUAcgByAGkAdABvAHIAaQBlAHMAXwBTAG8AdQByAGMAZQAiACwAIgBDAG8AbQBtAG8AbgBfAFMAbwB1AHIAYwBlAEQAYQB0AGEALgBDAG8AbQBtAG8AbgBfAFMAbwB1AHIAYwBlAEQAYQB0AGEAXwBBAHUAcwB0AHIAYQBsAGkAYQBuAFMAdABhAHQAZQBzAFQAZQByAHIAaQB0AG8AcgBpAGUAcwBfAEQAYQB0AGEAIgAsACIAQwBvAG0AbQBvAG4AXwBTAG8AdQByAGMAZQBEAGEAdABhAC4AQwBvAG0AbQBvAG4AXwBTAG8AdQByAGMAZQBEAGEAdABhAF8AVwBBAFMAQQA0AEEAcgBlAGEAcwBfAFQAaQB0AGwAZQAiACwAIgBDAG8AbQBtAG8AbgBfAFMAbwB1AHIAYwBlAEQAYQB0AGEALgBDAG8AbQBtAG8AbgBfAFMAbwB1AHIAYwBlAEQAYQB0AGEAXwBXAEEAUwBBADQAQQByAGUAYQBzAF8AVgBhAHIAaQBhAGIAbABlACIALAAiAEMAbwBtAG0AbwBuAF8AUwBvAHUAcgBjAGUARABhAHQAYQAuAEMAbwBtAG0AbwBuAF8AUwBvAHUAcgBjAGUARABhAHQAYQBfAFcAQQBTAEEANABBAHIAZQBhAHMAXwBVAG4AaQB0ACIALAAiAEMAbwBtAG0AbwBuAF8AUwBvAHUAcgBjAGUARABhAHQAYQAuAEMAbwBtAG0AbwBuAF8AUwBvAHUAcgBjAGUARABhAHQAYQBfAFcAQQBTAEEANABBAHIAZQBhAHMAXwBTAG8AdQByAGMAZQAiACwAIgBDAG8AbQBtAG8AbgBfAFMAbwB1AHIAYwBlAEQAYQB0AGEALgBDAG8AbQBtAG8AbgBfAFMAbwB1AHIAYwBlAEQAYQB0AGEAXwBXAEEAUwBBADQAQQByAGUAYQBzAF8ARABhAHQAYQAiACwAIgBDAG8AbQBtAG8AbgBfAFMAbwB1AHIAYwBlAEQAYQB0AGEALgBDAG8AbQBtAG8AbgBfAFMAbwB1AHIAYwBlAEQAYQB0AGEAXwBXAGUAdABBAG4AZABEAHIAeQBaAG8AbgBlAHMAXwBUAGkAdABsAGUAIgAsACIAQwBvAG0AbQBvAG4AXwBTAG8AdQByAGMAZQBEAGEAdABhAC4AQwBvAG0AbQBvAG4AXwBTAG8AdQByAGMAZQBEAGEAdABhAF8AVwBlAHQAQQBuAGQARAByAHkAWgBvAG4AZQBzAF8AVgBhAHIAaQBhAGIAbABlACIALAAiAEMAbwBtAG0AbwBuAF8AUwBvAHUAcgBjAGUARABhAHQAYQAuAEMAbwBtAG0AbwBuAF8AUwBvAHUAcgBjAGUARABhAHQAYQBfAFcAZQB0AEEAbgBkAEQAcgB5AFoAbwBuAGUAcwBfAFUAbgBpAHQAIgAsACIAQwBvAG0AbQBvAG4AXwBTAG8AdQByAGMAZQBEAGEAdABhAC4AQwBvAG0AbQBvAG4AXwBTAG8AdQByAGMAZQBEAGEAdABhAF8AVwBlAHQAQQBuAGQARAByAHkAWgBvAG4AZQBzAF8AUwBvAHUAcgBjAGUAIgAsACIAQwBvAG0AbQBvAG4AXwBTAG8AdQByAGMAZQBEAGEAdABhAC4AQwBvAG0AbQBvAG4AXwBTAG8AdQByAGMAZQBEAGEAdABhAF8AVwBlAHQAQQBuAGQARAByAHkAWgBvAG4AZQBzAF8AVgBhAHIAaQBhAHQAaQBvAG4AIgAsACIAQwBvAG0AbQBvAG4AXwBTAG8AdQByAGMAZQBEAGEAdABhAC4AQwBvAG0AbQBvAG4AXwBTAG8AdQByAGMAZQBEAGEAdABhAF8AVwBlAHQAQQBuAGQARAByAHkAWgBvAG4AZQBzAF8ARABhAHQAYQAiACwAIgBDAG8AbQBtAG8AbgBfAFMAbwB1AHIAYwBlAEQAYQB0AGEALgBDAG8AbQBtAG8AbgBfAFMAbwB1AHIAYwBlAEQAYQB0AGEAXwBDAGwAaQBtAGEAdABlAFoAbwBuAGUAcwBfAFQAaQB0AGwAZQAiACwAIgBDAG8AbQBtAG8AbgBfAFMAbwB1AHIAYwBlAEQAYQB0AGEALgBDAG8AbQBtAG8AbgBfAFMAbwB1AHIAYwBlAEQAYQB0AGEAXwBDAGwAaQBtAGEAdABlAFoAbwBuAGUAcwBfAFYAYQByAGkAYQBiAGwAZQAiACwAIgBDAG8AbQBtAG8AbgBfAFMAbwB1AHIAYwBlAEQAYQB0AGEALgBDAG8AbQBtAG8AbgBfAFMAbwB1AHIAYwBlAEQAYQB0AGEAXwBDAGwAaQBtAGEAdABlAFoAbwBuAGUAcwBfAFUAbgBpAHQAIgAsACIAQwBvAG0AbQBvAG4AXwBTAG8AdQByAGMAZQBEAGEAdABhAC4AQwBvAG0AbQBvAG4AXwBTAG8AdQByAGMAZQBEAGEAdABhAF8AQwBsAGkAbQBhAHQAZQBaAG8AbgBlAHMAXwBTAG8AdQByAGMAZQAiACwAIgBDAG8AbQBtAG8AbgBfAFMAbwB1AHIAYwBlAEQAYQB0AGEALgBDAG8AbQBtAG8AbgBfAFMAbwB1AHIAYwBlAEQAYQB0AGEAXwBDAGwAaQBtAGEAdABlAFoAbwBuAGUAcwBfAFYAYQByAGkAYQB0AGkAbwBuACIALAAiAEMAbwBtAG0AbwBuAF8AUwBvAHUAcgBjAGUARABhAHQAYQAuAEMAbwBtAG0AbwBuAF8AUwBvAHUAcgBjAGUARABhAHQAYQBfAEMAbABpAG0AYQB0AGUAWgBvAG4AZQBzAF8ARABhAHQAYQAiACwAIgBDAG8AbQBtAG8AbgBfAFMAbwB1AHIAYwBlAEQAYQB0AGEALgBDAG8AbQBtAG8AbgBfAFMAbwB1AHIAYwBlAEQAYQB0AGEAXwBDAGwAaQBtAGEAdABlAFoAbwBuAGUAcwBfAEEAcABwAGUAbgBkAGkAYwBlAHMAIgAsACIAQwBvAG0AbQBvAG4AXwBTAG8AdQByAGMAZQBEAGEAdABhAC4AQwBvAG0AbQBvAG4AXwBTAG8AdQByAGMAZQBEAGEAdABhAF8AVABlAG0AcABlAHIAYQB0AHUAcgBlAFoAbwBuAGUAcwBfAFQAaQB0AGwAZQAiACwAIgBDAG8AbQBtAG8AbgBfAFMAbwB1AHIAYwBlAEQAYQB0AGEALgBDAG8AbQBtAG8AbgBfAFMAbwB1AHIAYwBlAEQAYQB0AGEAXwBUAGUAbQBwAGUAcgBhAHQAdQByAGUAWgBvAG4AZQBzAF8AVgBhAHIAaQBhAGIAbABlACIALAAiAEMAbwBtAG0AbwBuAF8AUwBvAHUAcgBjAGUARABhAHQAYQAuAEMAbwBtAG0AbwBuAF8AUwBvAHUAcgBjAGUARABhAHQAYQBfAFQAZQBtAHAAZQByAGEAdAB1AHIAZQBaAG8AbgBlAHMAXwBVAG4AaQB0ACIALAAiAEMAbwBtAG0AbwBuAF8AUwBvAHUAcgBjAGUARABhAHQAYQAuAEMAbwBtAG0AbwBuAF8AUwBvAHUAcgBjAGUARABhAHQAYQBfAFQAZQBtAHAAZQByAGEAdAB1AHIAZQBaAG8AbgBlAHMAXwBTAG8AdQByAGMAZQAiACwAIgBDAG8AbQBtAG8AbgBfAFMAbwB1AHIAYwBlAEQAYQB0AGEALgBDAG8AbQBtAG8AbgBfAFMAbwB1AHIAYwBlAEQAYQB0AGEAXwBUAGUAbQBwAGUAcgBhAHQAdQByAGUAWgBvAG4AZQBzAF8AVgBhAHIAaQBhAHQAaQBvAG4AIgAsACIAQwBvAG0AbQBvAG4AXwBTAG8AdQByAGMAZQBEAGEAdABhAC4AQwBvAG0AbQBvAG4AXwBTAG8AdQByAGMAZQBEAGEAdABhAF8AVABlAG0AcABlAHIAYQB0AHUAcgBlAFoAbwBuAGUAcwBfAEQAYQB0AGEAIgAsACIAQwBvAG0AbQBvAG4AXwBTAG8AdQByAGMAZQBEAGEAdABhAC4AQwBvAG0AbQBvAG4AXwBTAG8AdQByAGMAZQBEAGEAdABhAF8AUgBhAGkAbgBmAGEAbABsAFoAbwBuAGUAcwBfAFQAaQB0AGwAZQAiACwAIgBDAG8AbQBtAG8AbgBfAFMAbwB1AHIAYwBlAEQAYQB0AGEALgBDAG8AbQBtAG8AbgBfAFMAbwB1AHIAYwBlAEQAYQB0AGEAXwBSAGEAaQBuAGYAYQBsAGwAWgBvAG4AZQBzAF8AVgBhAHIAaQBhAGIAbABlACIALAAiAEMAbwBtAG0AbwBuAF8AUwBvAHUAcgBjAGUARABhAHQAYQAuAEMAbwBtAG0AbwBuAF8AUwBvAHUAcgBjAGUARABhAHQAYQBfAFIAYQBpAG4AZgBhAGwAbABaAG8AbgBlAHMAXwBVAG4AaQB0ACIALAAiAEMAbwBtAG0AbwBuAF8AUwBvAHUAcgBjAGUARABhAHQAYQAuAEMAbwBtAG0AbwBuAF8AUwBvAHUAcgBjAGUARABhAHQAYQBfAFIAYQBpAG4AZgBhAGwAbABaAG8AbgBlAHMAXwBTAG8AdQByAGMAZQAiACwAIgBDAG8AbQBtAG8AbgBfAFMAbwB1AHIAYwBlAEQAYQB0AGEALgBDAG8AbQBtAG8AbgBfAFMAbwB1AHIAYwBlAEQAYQB0AGEAXwBSAGEAaQBuAGYAYQBsAGwAWgBvAG4AZQBzAF8AVgBhAHIAaQBhAHQAaQBvAG4AIgAsACIAQwBvAG0AbQBvAG4AXwBTAG8AdQByAGMAZQBEAGEAdABhAC4AQwBvAG0AbQBvAG4AXwBTAG8AdQByAGMAZQBEAGEAdABhAF8AUgBhAGkAbgBmAGEAbABsAFoAbwBuAGUAcwBfAEQAYQB0AGEAIgAsACIAQwBvAG0AbQBvAG4AXwBTAG8AdQByAGMAZQBEAGEAdABhAC4AQwBvAG0AbQBvAG4AXwBTAG8AdQByAGMAZQBEAGEAdABhAF8ATABlAGEAYwBoAGkAbgBnAFoAbwBuAGUAcwBfAFQAaQB0AGwAZQAiACwAIgBDAG8AbQBtAG8AbgBfAFMAbwB1AHIAYwBlAEQAYQB0AGEALgBDAG8AbQBtAG8AbgBfAFMAbwB1AHIAYwBlAEQAYQB0AGEAXwBMAGUAYQBjAGgAaQBuAGcAWgBvAG4AZQBzAF8AVgBhAHIAaQBhAGIAbABlACIALAAiAEMAbwBtAG0AbwBuAF8AUwBvAHUAcgBjAGUARABhAHQAYQAuAEMAbwBtAG0AbwBuAF8AUwBvAHUAcgBjAGUARABhAHQAYQBfAEwAZQBhAGMAaABpAG4AZwBaAG8AbgBlAHMAXwBVAG4AaQB0ACIALAAiAEMAbwBtAG0AbwBuAF8AUwBvAHUAcgBjAGUARABhAHQAYQAuAEMAbwBtAG0AbwBuAF8AUwBvAHUAcgBjAGUARABhAHQAYQBfAEwAZQBhAGMAaABpAG4AZwBaAG8AbgBlAHMAXwBTAG8AdQByAGMAZQAiACwAIgBDAG8AbQBtAG8AbgBfAFMAbwB1AHIAYwBlAEQAYQB0AGEALgBDAG8AbQBtAG8AbgBfAFMAbwB1AHIAYwBlAEQAYQB0AGEAXwBMAGUAYQBjAGgAaQBuAGcAWgBvAG4AZQBzAF8AVgBhAHIAaQBhAHQAaQBvAG4AIgAsACIAQwBvAG0AbQBvAG4AXwBTAG8AdQByAGMAZQBEAGEAdABhAC4AQwBvAG0AbQBvAG4AXwBTAG8AdQByAGMAZQBEAGEAdABhAF8ATABlAGEAYwBoAGkAbgBnAFoAbwBuAGUAcwBfAEQAYQB0AGEAIgAsACIAQwBvAG0AbQBvAG4AXwBTAG8AdQByAGMAZQBEAGEAdABhAC4AQwBvAG0AbQBvAG4AXwBTAG8AdQByAGMAZQBEAGEAdABhAF8ARgByAGEAYwBXAEUAVABfAFQAaQB0AGwAZQAiACwAIgBDAG8AbQBtAG8AbgBfAFMAbwB1AHIAYwBlAEQAYQB0AGEALgBDAG8AbQBtAG8AbgBfAFMAbwB1AHIAYwBlAEQAYQB0AGEAXwBGAHIAYQBjAFcARQBUAF8AVQBuAGkAdAAiACwAIgBDAG8AbQBtAG8AbgBfAFMAbwB1AHIAYwBlAEQAYQB0AGEALgBDAG8AbQBtAG8AbgBfAFMAbwB1AHIAYwBlAEQAYQB0AGEAXwBGAHIAYQBjAFcARQBUAF8AUwBvAHUAcgBjAGUAIgAsACIAQwBvAG0AbQBvAG4AXwBTAG8AdQByAGMAZQBEAGEAdABhAC4AQwBvAG0AbQBvAG4AXwBTAG8AdQByAGMAZQBEAGEAdABhAF8ARgByAGEAYwBXAEUAVABfAE4ASQBSAFIAZQBmAGUAcgBlAG4AYwBlACIALAAiAEMAbwBtAG0AbwBuAF8AUwBvAHUAcgBjAGUARABhAHQAYQAuAEMAbwBtAG0AbwBuAF8AUwBvAHUAcgBjAGUARABhAHQAYQBfAEYAcgBhAGMAVwBFAFQAXwBEAGEAdABhACIALAAiAEMAbwBtAG0AbwBuAF8AUwBvAHUAcgBjAGUARABhAHQAYQAuAEMAbwBtAG0AbwBuAF8AUwBvAHUAcgBjAGUARABhAHQAYQBfAEYAcgBhAGMAVwBFAFQAXwBWAGEAcgBpAGEAdABpAG8AbgAiACwAIgBDAG8AbQBtAG8AbgBfAFMAbwB1AHIAYwBlAEQAYQB0AGEALgBDAG8AbQBtAG8AbgBfAFMAbwB1AHIAYwBlAEQAYQB0AGEAXwBEAGEAdABhAFMAYwBvAHIAZQBzAF8AUwBjAG8AcABlADMAXwBUAGkAdABsAGUAIgAsACIAQwBvAG0AbQBvAG4AXwBTAG8AdQByAGMAZQBEAGEAdABhAC4AQwBvAG0AbQBvAG4AXwBTAG8AdQByAGMAZQBEAGEAdABhAF8ARABhAHQAYQBTAGMAbwByAGUAcwBfAFMAYwBvAHAAZQAzAF8AVgBhAHIAaQBhAGIAbABlACIALAAiAEMAbwBtAG0AbwBuAF8AUwBvAHUAcgBjAGUARABhAHQAYQAuAEMAbwBtAG0AbwBuAF8AUwBvAHUAcgBjAGUARABhAHQAYQBfAEQAYQB0AGEAUwBjAG8AcgBlAHMAXwBTAGMAbwBwAGUAMwBfAFUAbgBpAHQAIgAsACIAQwBvAG0AbQBvAG4AXwBTAG8AdQByAGMAZQBEAGEAdABhAC4AQwBvAG0AbQBvAG4AXwBTAG8AdQByAGMAZQBEAGEAdABhAF8ARABhAHQAYQBTAGMAbwByAGUAcwBfAFMAYwBvAHAAZQAzAF8AUwBvAHUAcgBjAGUAIgAsACIAQwBvAG0AbQBvAG4AXwBTAG8AdQByAGMAZQBEAGEAdABhAC4AQwBvAG0AbQBvAG4AXwBTAG8AdQByAGMAZQBEAGEAdABhAF8ARABhAHQAYQBTAGMAbwByAGUAcwBfAFMAYwBvAHAAZQAzAF8AVgBhAHIAaQBhAHQAaQBvAG4AIgAsACIAQwBvAG0AbQBvAG4AXwBTAG8AdQByAGMAZQBEAGEAdABhAC4AQwBvAG0AbQBvAG4AXwBTAG8AdQByAGMAZQBEAGEAdABhAF8ARABhAHQAYQBTAGMAbwByAGUAcwBfAFMAYwBvAHAAZQAzAF8ARABhAHQAYQAiACwAIgBDAG8AbQBtAG8AbgBfAFMAbwB1AHIAYwBlAEQAYQB0AGEALgBDAG8AbQBtAG8AbgBfAFMAbwB1AHIAYwBlAEQAYQB0AGEAXwBGAHIAYQBjAEwARQBBAEMASABfAFQAaQB0AGwAZQAiACwAIgBDAG8AbQBtAG8AbgBfAFMAbwB1AHIAYwBlAEQAYQB0AGEALgBDAG8AbQBtAG8AbgBfAFMAbwB1AHIAYwBlAEQAYQB0AGEAXwBGAHIAYQBjAEwARQBBAEMASABfAFUAbgBpAHQAIgAsACIAQwBvAG0AbQBvAG4AXwBTAG8AdQByAGMAZQBEAGEAdABhAC4AQwBvAG0AbQBvAG4AXwBTAG8AdQByAGMAZQBEAGEAdABhAF8ARgByAGEAYwBMAEUAQQBDAEgAXwBTAG8AdQByAGMAZQAiACwAIgBDAG8AbQBtAG8AbgBfAFMAbwB1AHIAYwBlAEQAYQB0AGEALgBDAG8AbQBtAG8AbgBfAFMAbwB1AHIAYwBlAEQAYQB0AGEAXwBGAHIAYQBjAEwARQBBAEMASABfAE4ASQBSAFIAZQBmAGUAcgBlAG4AYwBlACIALAAiAEMAbwBtAG0AbwBuAF8AUwBvAHUAcgBjAGUARABhAHQAYQAuAEMAbwBtAG0AbwBuAF8AUwBvAHUAcgBjAGUARABhAHQAYQBfAEYAcgBhAGMATABFAEEAQwBIAF8ARABhAHQAYQAiACwAIgBDAG8AbQBtAG8AbgBfAFMAbwB1AHIAYwBlAEQAYQB0AGEALgBDAG8AbQBtAG8AbgBfAFMAbwB1AHIAYwBlAEQAYQB0AGEAXwBGAHIAYQBjAEwARQBBAEMASABfAFYAYQByAGkAYQB0AGkAbwBuACIALAAiAEMAbwBtAG0AbwBuAF8AUwBvAHUAcgBjAGUARABhAHQAYQAuAEMAbwBtAG0AbwBuAF8AUwBvAHUAcgBjAGUARABhAHQAYQBfAEUARgBsAGUAYQBjAGgAXwBUAGkAdABsAGUAIgAsACIAQwBvAG0AbQBvAG4AXwBTAG8AdQByAGMAZQBEAGEAdABhAC4AQwBvAG0AbQBvAG4AXwBTAG8AdQByAGMAZQBEAGEAdABhAF8ARQBGAGwAZQBhAGMAaABfAFUAbgBpAHQAIgAsACIAQwBvAG0AbQBvAG4AXwBTAG8AdQByAGMAZQBEAGEAdABhAC4AQwBvAG0AbQBvAG4AXwBTAG8AdQByAGMAZQBEAGEAdABhAF8ARQBGAGwAZQBhAGMAaABfAFMAbwB1AHIAYwBlACIALAAiAEMAbwBtAG0AbwBuAF8AUwBvAHUAcgBjAGUARABhAHQAYQAuAEMAbwBtAG0AbwBuAF8AUwBvAHUAcgBjAGUARABhAHQAYQBfAEUARgBsAGUAYQBjAGgAXwBOAEkAUgBSAGUAZgBlAHIAZQBuAGMAZQAiACwAIgBDAG8AbQBtAG8AbgBfAFMAbwB1AHIAYwBlAEQAYQB0AGEALgBDAG8AbQBtAG8AbgBfAFMAbwB1AHIAYwBlAEQAYQB0AGEAXwBFAEYAbABlAGEAYwBoAF8ARABhAHQAYQAiACwAIgBDAG8AbQBtAG8AbgBfAFMAbwB1AHIAYwBlAEQAYQB0AGEALgBDAG8AbQBtAG8AbgBfAFMAbwB1AHIAYwBlAEQAYQB0AGEAXwBFAEYAbABlAGEAYwBoAF8AVgBhAHIAaQBhAHQAaQBvAG4AIgAsACIAQwBvAG0AbQBvAG4AXwBTAG8AdQByAGMAZQBEAGEAdABhAC4AQwBvAG0AbQBvAG4AXwBTAG8AdQByAGMAZQBEAGEAdABhAF8ARQBGAE4AMgBPAF8AVABpAHQAbABlACIALAAiAEMAbwBtAG0AbwBuAF8AUwBvAHUAcgBjAGUARABhAHQAYQAuAEMAbwBtAG0AbwBuAF8AUwBvAHUAcgBjAGUARABhAHQAYQBfAEUARgBOADIATwBfAFUAbgBpAHQAIgAsACIAQwBvAG0AbQBvAG4AXwBTAG8AdQByAGMAZQBEAGEAdABhAC4AQwBvAG0AbQBvAG4AXwBTAG8AdQByAGMAZQBEAGEAdABhAF8ARQBGAE4AMgBPAF8AUwBvAHUAcgBjAGUAIgAsACIAQwBvAG0AbQBvAG4AXwBTAG8AdQByAGMAZQBEAGEAdABhAC4AQwBvAG0AbQBvAG4AXwBTAG8AdQByAGMAZQBEAGEAdABhAF8ARQBGAE4AMgBPAF8ATgBJAFIAUgBlAGYAZQByAGUAbgBjAGUAIgAsACIAQwBvAG0AbQBvAG4AXwBTAG8AdQByAGMAZQBEAGEAdABhAC4AQwBvAG0AbQBvAG4AXwBTAG8AdQByAGMAZQBEAGEAdABhAF8ARQBGAE4AMgBPAF8ARABhAHQAYQAiACwAIgBDAG8AbQBtAG8AbgBfAFMAbwB1AHIAYwBlAEQAYQB0AGEALgBDAG8AbQBtAG8AbgBfAFMAbwB1AHIAYwBlAEQAYQB0AGEAXwBFAEYATgAyAE8AXwBWAGEAcgBpAGEAdABpAG8AbgAiACwAIgBDAG8AbQBtAG8AbgBfAFMAbwB1AHIAYwBlAEQAYQB0AGEALgBDAG8AbQBtAG8AbgBfAFMAbwB1AHIAYwBlAEQAYQB0AGEAXwBGAHIAYQBjAFcARQBUAEkAcgByAGkAZwBhAHQAaQBvAG4AXwBUAGkAdABsAGUAIgAsACIAQwBvAG0AbQBvAG4AXwBTAG8AdQByAGMAZQBEAGEAdABhAC4AQwBvAG0AbQBvAG4AXwBTAG8AdQByAGMAZQBEAGEAdABhAF8ARgByAGEAYwBXAEUAVABJAHIAcgBpAGcAYQB0AGkAbwBuAF8AVQBuAGkAdAAiACwAIgBDAG8AbQBtAG8AbgBfAFMAbwB1AHIAYwBlAEQAYQB0AGEALgBDAG8AbQBtAG8AbgBfAFMAbwB1AHIAYwBlAEQAYQB0AGEAXwBGAHIAYQBjAFcARQBUAEkAcgByAGkAZwBhAHQAaQBvAG4AXwBTAG8AdQByAGMAZQAiACwAIgBDAG8AbQBtAG8AbgBfAFMAbwB1AHIAYwBlAEQAYQB0AGEALgBDAG8AbQBtAG8AbgBfAFMAbwB1AHIAYwBlAEQAYQB0AGEAXwBGAHIAYQBjAFcARQBUAEkAcgByAGkAZwBhAHQAaQBvAG4AXwBOAEkAUgBSAGUAZgBlAHIAZQBuAGMAZQAiACwAIgBDAG8AbQBtAG8AbgBfAFMAbwB1AHIAYwBlAEQAYQB0AGEALgBDAG8AbQBtAG8AbgBfAFMAbwB1AHIAYwBlAEQAYQB0AGEAXwBGAHIAYQBjAFcARQBUAEkAcgByAGkAZwBhAHQAaQBvAG4AXwBEAGEAdABhACIALAAiAEMAbwBtAG0AbwBuAF8AUwBvAHUAcgBjAGUARABhAHQAYQAuAEMAbwBtAG0AbwBuAF8AUwBvAHUAcgBjAGUARABhAHQAYQBfAEYAcgBhAGMAVwBFAFQASQByAHIAaQBnAGEAdABpAG8AbgBfAFYAYQByAGkAYQB0AGkAbwBuACIALAAiAEMAbwBtAG0AbwBuAF8AUwBvAHUAcgBjAGUARABhAHQAYQAuAEMAbwBtAG0AbwBuAF8AUwBvAHUAcgBjAGUARABhAHQAYQBfAEUARgBQAGEAcwB0AHUAcgBlAFIAYQBuAGcAZQBBAG4AZABQAGEAZABkAG8AYwBrAF8AVABpAHQAbABlACIALAAiAEMAbwBtAG0AbwBuAF8AUwBvAHUAcgBjAGUARABhAHQAYQAuAEMAbwBtAG0AbwBuAF8AUwBvAHUAcgBjAGUARABhAHQAYQBfAEUARgBQAGEAcwB0AHUAcgBlAFIAYQBuAGcAZQBBAG4AZABQAGEAZABkAG8AYwBrAF8AVQBuAGkAdAAiACwAIgBDAG8AbQBtAG8AbgBfAFMAbwB1AHIAYwBlAEQAYQB0AGEALgBDAG8AbQBtAG8AbgBfAFMAbwB1AHIAYwBlAEQAYQB0AGEAXwBFAEYAUABhAHMAdAB1AHIAZQBSAGEAbgBnAGUAQQBuAGQAUABhAGQAZABvAGMAawBfAFMAbwB1AHIAYwBlACIALAAiAEMAbwBtAG0AbwBuAF8AUwBvAHUAcgBjAGUARABhAHQAYQAuAEMAbwBtAG0AbwBuAF8AUwBvAHUAcgBjAGUARABhAHQAYQBfAEUARgBQAGEAcwB0AHUAcgBlAFIAYQBuAGcAZQBBAG4AZABQAGEAZABkAG8AYwBrAF8ATgBJAFIAUgBlAGYAZQByAGUAbgBjAGUAIgAsACIAQwBvAG0AbQBvAG4AXwBTAG8AdQByAGMAZQBEAGEAdABhAC4AQwBvAG0AbQBvAG4AXwBTAG8AdQByAGMAZQBEAGEAdABhAF8ARQBGAFAAYQBzAHQAdQByAGUAUgBhAG4AZwBlAEEAbgBkAFAAYQBkAGQAbwBjAGsAXwBEAGEAdABhACIALAAiAEMAbwBtAG0AbwBuAF8AUwBvAHUAcgBjAGUARABhAHQAYQAuAEMAbwBtAG0AbwBuAF8AUwBvAHUAcgBjAGUARABhAHQAYQBfAEUARgBQAGEAcwB0AHUAcgBlAFIAYQBuAGcAZQBBAG4AZABQAGEAZABkAG8AYwBrAF8AVgBhAHIAaQBhAHQAaQBvAG4AIgAsACIAQwBvAG0AbQBvAG4AXwBTAG8AdQByAGMAZQBEAGEAdABhAC4AQwBvAG0AbQBvAG4AXwBTAG8AdQByAGMAZQBEAGEAdABhAF8ATQBvAG4AdABoAHMAVABvAFMAZQBhAHMAbwBuAHMAXwBUAGkAdABsAGUAIgAsACIAQwBvAG0AbQBvAG4AXwBTAG8AdQByAGMAZQBEAGEAdABhAC4AQwBvAG0AbQBvAG4AXwBTAG8AdQByAGMAZQBEAGEAdABhAF8ATQBvAG4AdABoAHMAVABvAFMAZQBhAHMAbwBuAHMAXwBVAG4AaQB0ACIALAAiAEMAbwBtAG0AbwBuAF8AUwBvAHUAcgBjAGUARABhAHQAYQAuAEMAbwBtAG0AbwBuAF8AUwBvAHUAcgBjAGUARABhAHQAYQBfAE0AbwBuAHQAaABzAFQAbwBTAGUAYQBzAG8AbgBzAF8AUwBvAHUAcgBjAGUAIgAsACIAQwBvAG0AbQBvAG4AXwBTAG8AdQByAGMAZQBEAGEAdABhAC4AQwBvAG0AbQBvAG4AXwBTAG8AdQByAGMAZQBEAGEAdABhAF8ATQBvAG4AdABoAHMAVABvAFMAZQBhAHMAbwBuAHMAXwBOAEkAUgBSAGUAZgBlAHIAZQBuAGMAZQAiACwAIgBDAG8AbQBtAG8AbgBfAFMAbwB1AHIAYwBlAEQAYQB0AGEALgBDAG8AbQBtAG8AbgBfAFMAbwB1AHIAYwBlAEQAYQB0AGEAXwBNAG8AbgB0AGgAcwBUAG8AUwBlAGEAcwBvAG4AcwBfAEQAYQB0AGEAIgAsACIAQwBvAG0AbQBvAG4AXwBTAG8AdQByAGMAZQBEAGEAdABhAC4AQwBvAG0AbQBvAG4AXwBTAG8AdQByAGMAZQBEAGEAdABhAF8ATQBvAG4AdABoAHMAVABvAFMAZQBhAHMAbwBuAHMAXwBWAGEAcgBpAGEAdABpAG8AbgAiACwAIgBDAG8AbQBtAG8AbgBfAFMAbwB1AHIAYwBlAEQAYQB0AGEALgBDAG8AbQBtAG8AbgBfAFMAbwB1AHIAYwBlAEQAYQB0AGEAXwBFAEYATwByAGcAYQBuAGkAYwBGAGUAcgB0AGkAbABpAHMAZQByAEEAbgBkAEMAcgBvAHAAUgBlAHMAaQBkAHUAZQBzAF8AVABpAHQAbABlACIALAAiAEMAbwBtAG0AbwBuAF8AUwBvAHUAcgBjAGUARABhAHQAYQAuAEMAbwBtAG0AbwBuAF8AUwBvAHUAcgBjAGUARABhAHQAYQBfAEUARgBPAHIAZwBhAG4AaQBjAEYAZQByAHQAaQBsAGkAcwBlAHIAQQBuAGQAQwByAG8AcABSAGUAcwBpAGQAdQBlAHMAXwBWAGEAcgBpAGEAYgBsAGUAIgAsACIAQwBvAG0AbQBvAG4AXwBTAG8AdQByAGMAZQBEAGEAdABhAC4AQwBvAG0AbQBvAG4AXwBTAG8AdQByAGMAZQBEAGEAdABhAF8ARQBGAE8AcgBnAGEAbgBpAGMARgBlAHIAdABpAGwAaQBzAGUAcgBBAG4AZABDAHIAbwBwAFIAZQBzAGkAZAB1AGUAcwBfAFUAbgBpAHQAIgAsACIAQwBvAG0AbQBvAG4AXwBTAG8AdQByAGMAZQBEAGEAdABhAC4AQwBvAG0AbQBvAG4AXwBTAG8AdQByAGMAZQBEAGEAdABhAF8ARQBGAE8AcgBnAGEAbgBpAGMARgBlAHIAdABpAGwAaQBzAGUAcgBBAG4AZABDAHIAbwBwAFIAZQBzAGkAZAB1AGUAcwBfAFMAbwB1AHIAYwBlACIALAAiAEMAbwBtAG0AbwBuAF8AUwBvAHUAcgBjAGUARABhAHQAYQAuAEMAbwBtAG0AbwBuAF8AUwBvAHUAcgBjAGUARABhAHQAYQBfAEUARgBPAHIAZwBhAG4AaQBjAEYAZQByAHQAaQBsAGkAcwBlAHIAQQBuAGQAQwByAG8AcABSAGUAcwBpAGQAdQBlAHMAXwBOAEkAUgBSAGUAZgBlAHIAZQBuAGMAZQAiACwAIgBDAG8AbQBtAG8AbgBfAFMAbwB1AHIAYwBlAEQAYQB0AGEALgBDAG8AbQBtAG8AbgBfAFMAbwB1AHIAYwBlAEQAYQB0AGEAXwBFAEYATwByAGcAYQBuAGkAYwBGAGUAcgB0AGkAbABpAHMAZQByAEEAbgBkAEMAcgBvAHAAUgBlAHMAaQBkAHUAZQBzAF8ARABhAHQAYQAiACwAIgBDAG8AbQBtAG8AbgBfAFMAbwB1AHIAYwBlAEQAYQB0AGEALgBDAG8AbQBtAG8AbgBfAFMAbwB1AHIAYwBlAEQAYQB0AGEAXwBFAEYATwByAGcAYQBuAGkAYwBGAGUAcgB0AGkAbABpAHMAZQByAEEAbgBkAEMAcgBvAHAAUgBlAHMAaQBkAHUAZQBzAF8AVgBhAHIAaQBhAHQAaQBvAG4AIgAsACIAQwBvAG0AbQBvAG4AXwBFAHEAdQBhAHQAaQBvAG4AcwAuAEMAbwBtAG0AbwBuAF8AQwBvAG4AdgBlAHIAdABOADIATwBUAG8AQwBPADIAZQAiACwAIgBDAG8AbQBtAG8AbgBfAEUAcQB1AGEAdABpAG8AbgBzAC4AQwBvAG0AbQBvAG4AXwBDAG8AbgB2AGUAcgB0AE4AMgBPAFQAbwBDAE8AMgBlAF8AVABpAHQAbABlACIALAAiAEMAbwBtAG0AbwBuAF8ARQBxAHUAYQB0AGkAbwBuAHMALgBDAG8AbQBtAG8AbgBfAEMAbwBuAHYAZQByAHQATgAyAE8AVABvAEMATwAyAGUAXwBWAGEAcgBpAGEAYgBsAGUAIgAsACIAQwBvAG0AbQBvAG4AXwBFAHEAdQBhAHQAaQBvAG4AcwAuAEMAbwBtAG0AbwBuAF8AQwBvAG4AdgBlAHIAdABOADIATwBUAG8AQwBPADIAZQBfAFUAbgBpAHQAIgAsACIAQwBvAG0AbQBvAG4AXwBFAHEAdQBhAHQAaQBvAG4AcwAuAEMAbwBtAG0AbwBuAF8AQwBvAG4AdgBlAHIAdABOADIATwBUAG8AQwBPADIAZQBfAE4ASQBSAFIAZQBmAGUAcgBlAG4AYwBlACIALAAiAEMAbwBtAG0AbwBuAF8ARQBxAHUAYQB0AGkAbwBuAHMALgBDAG8AbQBtAG8AbgBfAEMAbwBuAHYAZQByAHQATgAyAE8AVABvAEMATwAyAGUAXwBMAGEAdABlAHgARQBxAHUAYQB0AGkAbwBuACIALAAiAEMAbwBtAG0AbwBuAF8ARQBxAHUAYQB0AGkAbwBuAHMALgBDAG8AbQBtAG8AbgBfAEMAbwBuAHYAZQByAHQATgAyAE8AVABvAEMATwAyAGUAXwBBAHIAZwB1AG0AZQBuAHQAcwAiACwAIgBDAG8AbQBtAG8AbgBfAEUAcQB1AGEAdABpAG8AbgBzAC4AQwBvAG0AbQBvAG4AXwBDAG8AbgB2AGUAcgB0AEMASAA0AFQAbwBDAE8AMgBlACIALAAiAEMAbwBtAG0AbwBuAF8ARQBxAHUAYQB0AGkAbwBuAHMALgBDAG8AbQBtAG8AbgBfAEMAbwBuAHYAZQByAHQAQwBIADQAVABvAEMATwAyAGUAXwBUAGkAdABsAGUAIgAsACIAQwBvAG0AbQBvAG4AXwBFAHEAdQBhAHQAaQBvAG4AcwAuAEMAbwBtAG0AbwBuAF8AQwBvAG4AdgBlAHIAdABDAEgANABUAG8AQwBPADIAZQBfAFYAYQByAGkAYQBiAGwAZQAiACwAIgBDAG8AbQBtAG8AbgBfAEUAcQB1AGEAdABpAG8AbgBzAC4AQwBvAG0AbQBvAG4AXwBDAG8AbgB2AGUAcgB0AEMASAA0AFQAbwBDAE8AMgBlAF8AVQBuAGkAdAAiACwAIgBDAG8AbQBtAG8AbgBfAEUAcQB1AGEAdABpAG8AbgBzAC4AQwBvAG0AbQBvAG4AXwBDAG8AbgB2AGUAcgB0AEMASAA0AFQAbwBDAE8AMgBlAF8ATgBJAFIAUgBlAGYAZQByAGUAbgBjAGUAIgAsACIAQwBvAG0AbQBvAG4AXwBFAHEAdQBhAHQAaQBvAG4AcwAuAEMAbwBtAG0AbwBuAF8AQwBvAG4AdgBlAHIAdABDAEgANABUAG8AQwBPADIAZQBfAEwAYQB0AGUAeABFAHEAdQBhAHQAaQBvAG4AIgAsACIAQwBvAG0AbQBvAG4AXwBFAHEAdQBhAHQAaQBvAG4AcwAuAEMAbwBtAG0AbwBuAF8AQwBvAG4AdgBlAHIAdABDAEgANABUAG8AQwBPADIAZQBfAEEAcgBnAHUAbQBlAG4AdABzACIALAAiAEMAbwBtAG0AbwBuAF8ASQBuAHAAdQB0AEYAdQBuAGMAdABpAG8AbgBzAC4AVQB0AGkAbABpAHQAeQBfAEcAZQB0AEEAcgByAGEAeQBUAGEAYgBsAGUAUgBvAHcAUwB0AGEAcgB0AE4AdQBtAGIAZQByACIALAAiAEMAbwBtAG0AbwBuAF8ASQBuAHAAdQB0AEYAdQBuAGMAdABpAG8AbgBzAC4AVQB0AGkAbABpAHQAeQBfAEcAZQB0AEEAcgByAGEAeQBUAGEAYgBsAGUAQwBvAGwAdQBtAG4AUwB0AGEAcgB0AE4AdQBtAGIAZQByACIALAAiAEMAbwBtAG0AbwBuAF8ASQBuAHAAdQB0AEYAdQBuAGMAdABpAG8AbgBzAC4AVQB0AGkAbABpAHQAeQBfAEQAaQBzAHAAbABhAHkAQQByAHIAYQB5AEkAbgBUAGEAYgBsAGUAIgAsACIAQwBvAG0AbQBvAG4AXwBJAG4AcAB1AHQARgB1AG4AYwB0AGkAbwBuAHMALgBVAHQAaQBsAGkAdAB5AF8ATABvAG8AawB1AHAAVgBhAGwAdQBlAEkAbgBUAGEAYgBsAGUAIgAsACIAQwBvAG0AbQBvAG4AXwBJAG4AcAB1AHQARgB1AG4AYwB0AGkAbwBuAHMALgBVAHQAaQBsAGkAdAB5AF8ATABvAG8AawB1AHAAVgBhAGwAdQBlAEkAbgBUAGEAYgBsAGUATgB1AG0AYgBlAHIAIgAsACIAQwBvAG0AbQBvAG4AXwBJAG4AcAB1AHQARgB1AG4AYwB0AGkAbwBuAHMALgBVAHQAaQBsAGkAdAB5AF8ATABvAG8AawB1AHAAVgBhAGwAdQBlAEkAbgBUAGEAYgBsAGUAVAB3AG8AQwBvAGwAdQBtAG4AcwAiACwAIgBDAG8AbQBtAG8AbgBfAEkAbgBwAHUAdABGAHUAbgBjAHQAaQBvAG4AcwAuAFUAdABpAGwAaQB0AHkAXwBMAG8AbwBrAHUAcABWAGEAbAB1AGUASQBuAFQAYQBiAGwAZQBPAG4AZQBDAG8AbAB1AG0AbgBBAG4AZABIAGUAYQBkAGUAcgAiACwAIgBDAG8AbQBtAG8AbgBfAEkAbgBwAHUAdABGAHUAbgBjAHQAaQBvAG4AcwAuAFUAdABpAGwAaQB0AHkAXwBTAHAAbABpAHQAUwB0AHIAaQBuAGcASQBuAHQAbwBBAHIAcgBhAHkAIgAsACIAQwBvAG0AbQBvAG4AXwBJAG4AcAB1AHQARgB1AG4AYwB0AGkAbwBuAHMALgBVAHQAaQBsAGkAdAB5AF8ARwBlAHQAQwBsAGkAbQBhAHQAZQBaAG8AbgBlACIALAAiAEMAbwBtAG0AbwBuAF8ASQBuAHAAdQB0AEYAdQBuAGMAdABpAG8AbgBzAC4AVQB0AGkAbABpAHQAeQBfAEwAbwBvAGsAdQBwAEkAdABlAG0ARgByAG8AbQBNAGkAbgBNAGEAeAAiACwAIgBDAG8AbQBtAG8AbgBfAEkAbgBwAHUAdABGAHUAbgBjAHQAaQBvAG4AcwAuAFUAdABpAGwAaQB0AHkAXwBTAHUAbQBRAHUAYQBuAHQAaQB0AHkARgByAG8AbQBDAHIAaQB0AGUAcgBpAGEAIgAsACIAQwBvAG0AbQBvAG4AXwBJAG4AcAB1AHQARgB1AG4AYwB0AGkAbwBuAHMALgBnAGUAdABPAHYAZQByAGwAYQBwAHAAaQBuAGcAUgBlAHAAbwByAHQAaQBuAGcAQwB5AGMAbABlAHMAIgAsACIAQwBvAG0AbQBvAG4AXwBJAG4AcAB1AHQARgB1AG4AYwB0AGkAbwBuAHMALgBnAGUAdABPAHYAZQByAGwAYQBwAHAAaQBuAGcAUgBlAHAAbwByAHQAaQBuAGcAUABlAHIAaQBvAGQAcwAiACwAIgBDAG8AbQBtAG8AbgBfAEkAbgBwAHUAdABGAHUAbgBjAHQAaQBvAG4AcwAuAFUAdABpAGwAaQB0AHkAXwBEAGkAcwBwAGwAYQB5AEYAdQBuAGMAdABpAG8AbgBOAGEAbQBlACIALAAiAEMAbwBtAG0AbwBuAF8ASQBuAHAAdQB0AEYAdQBuAGMAdABpAG8AbgBzAC4AVQB0AGkAbABpAHQAeQBfAEwAbwBvAGsAdQBwAE4AMgBPAEUARgBGAHIAbwBtAFAAcgBvAGQASQByAHIAaQBnAGEAdABpAG8AbgBSAGEAaQBuAGYAYQBsAGwAIgAsACIAQwBvAG0AbQBvAG4AXwBJAG4AcAB1AHQARgB1AG4AYwB0AGkAbwBuAHMALgBDAG8AbQBtAG8AbgBDAHIAbwBwAHAAaQBuAGcAXwBHAGUAdABGAHIAYQBjAFcARQBUACIALAAiAEMAbwBtAG0AbwBuAF8ASQBuAHAAdQB0AEYAdQBuAGMAdABpAG8AbgBzAC4AVQB0AGkAbABpAHQAeQBfAEMAbwBuAHYAZQByAHQAUwB0AGEAdABlAEMAbwBtAG0AbwBuAE4AYQBtAGUAVABvAEEAYgBiAHIAZQB2AGkAYQB0AGkAbwBuACIALAAiAEMAbwBtAG0AbwBuAF8ASQBuAHAAdQB0AEYAdQBuAGMAdABpAG8AbgBzAC4AVQB0AGkAbABpAHQAeQBfAFMAbwB1AHIAYwBlAEgAeQBwAGUAcgBsAGkAbgBrAEQAaQBmAGYAZQByAGUAbgB0AFMAaABlAGUAdAAiACwAIgBDAG8AbQBtAG8AbgBfAEkAbgBwAHUAdABGAHUAbgBjAHQAaQBvAG4AcwAuAFUAdABpAGwAaQB0AHkAXwBSAGUAcwB1AGwAdABzAEkAdABlAG0ARgByAG8AbQBFAHEAdQBhAHQAaQBvAG4AVABpAHQAbABlAEEAbgBkAFMAbwB1AHIAYwBlACIALAAiAFcAYQBzAHQAZQBTAG8AbABpAGQAXwBFAHEAdQBhAHQAaQBvAG4AcwAuAFYARQBFAFIARwBfADEAMABfADEAXwAxAF8AMQBfAF8AMQBfAEUAbQBpAHMAcwBpAG8AbgBzAEYAcgBvAG0AVwBhAHMAdABlAE0AYQBuAGEAZwBlAG0AZQBuAHQAIgAsACIAVwBhAHMAdABlAFMAbwBsAGkAZABfAEUAcQB1AGEAdABpAG8AbgBzAC4AVgBFAEUAUgBHAF8AMQAwAF8AMQBfADEAXwAxAF8AXwAxAF8ARQBtAGkAcwBzAGkAbwBuAHMARgByAG8AbQBXAGEAcwB0AGUATQBhAG4AYQBnAGUAbQBlAG4AdABfAFQAaQB0AGwAZQAiACwAIgBXAGEAcwB0AGUAUwBvAGwAaQBkAF8ARQBxAHUAYQB0AGkAbwBuAHMALgBWAEUARQBSAEcAXwAxADAAXwAxAF8AMQBfADEAXwBfADEAXwBFAG0AaQBzAHMAaQBvAG4AcwBGAHIAbwBtAFcAYQBzAHQAZQBNAGEAbgBhAGcAZQBtAGUAbgB0AF8AVgBhAHIAaQBhAGIAbABlACIALAAiAFcAYQBzAHQAZQBTAG8AbABpAGQAXwBFAHEAdQBhAHQAaQBvAG4AcwAuAFYARQBFAFIARwBfADEAMABfADEAXwAxAF8AMQBfAF8AMQBfAEUAbQBpAHMAcwBpAG8AbgBzAEYAcgBvAG0AVwBhAHMAdABlAE0AYQBuAGEAZwBlAG0AZQBuAHQAXwBVAG4AaQB0ACIALAAiAFcAYQBzAHQAZQBTAG8AbABpAGQAXwBFAHEAdQBhAHQAaQBvAG4AcwAuAFYARQBFAFIARwBfADEAMABfADEAXwAxAF8AMQBfAF8AMQBfAEUAbQBpAHMAcwBpAG8AbgBzAEYAcgBvAG0AVwBhAHMAdABlAE0AYQBuAGEAZwBlAG0AZQBuAHQAXwBTAG8AdQByAGMAZQAiACwAIgBXAGEAcwB0AGUAUwBvAGwAaQBkAF8ARQBxAHUAYQB0AGkAbwBuAHMALgBWAEUARQBSAEcAXwAxADAAXwAxAF8AMQBfADEAXwBfADEAXwBFAG0AaQBzAHMAaQBvAG4AcwBGAHIAbwBtAFcAYQBzAHQAZQBNAGEAbgBhAGcAZQBtAGUAbgB0AF8ATgBJAFIAUgBlAGYAZQByAGUAbgBjAGUAIgAsACIAVwBhAHMAdABlAFMAbwBsAGkAZABfAEUAcQB1AGEAdABpAG8AbgBzAC4AVgBFAEUAUgBHAF8AMQAwAF8AMQBfADEAXwAxAF8AXwAxAF8ARQBtAGkAcwBzAGkAbwBuAHMARgByAG8AbQBXAGEAcwB0AGUATQBhAG4AYQBnAGUAbQBlAG4AdABfAEwAYQB0AGUAeABFAHEAdQBhAHQAaQBvAG4AIgAsACIAVwBhAHMAdABlAFMAbwBsAGkAZABfAEUAcQB1AGEAdABpAG8AbgBzAC4AVgBFAEUAUgBHAF8AMQAwAF8AMQBfADEAXwAxAF8AXwAxAF8ARQBtAGkAcwBzAGkAbwBuAHMARgByAG8AbQBXAGEAcwB0AGUATQBhAG4AYQBnAGUAbQBlAG4AdABfAEEAcgBnAHUAbQBlAG4AdABzACIALAAiAFcAYQBzAHQAZQBTAG8AbABpAGQAXwBFAHEAdQBhAHQAaQBvAG4AcwAuAFYARQBFAFIARwBfADEAMABfADEAXwAxAF8AMQBfAF8AMQBfAEUAbQBpAHMAcwBpAG8AbgBzAEYAcgBvAG0AVwBhAHMAdABlAE0AYQBuAGEAZwBlAG0AZQBuAHQAXwBWAGEAcgBpAGEAdABpAG8AbgAiACwAIgBXAGEAcwB0AGUAUwBvAGwAaQBkAF8ARQBxAHUAYQB0AGkAbwBuAHMALgBWAEUARQBSAEcAXwAxADAAXwAxAF8AMQBfADEAXwBfADIAXwBNAGEAcwBzAE8AZgBXAGEAcwB0AGUARgByAG8AbQBWAG8AbAB1AG0AZQAiACwAIgBXAGEAcwB0AGUAUwBvAGwAaQBkAF8ARQBxAHUAYQB0AGkAbwBuAHMALgBWAEUARQBSAEcAXwAxADAAXwAxAF8AMQBfADEAXwBfADIAXwBNAGEAcwBzAE8AZgBXAGEAcwB0AGUARgByAG8AbQBWAG8AbAB1AG0AZQBfAFQAaQB0AGwAZQAiACwAIgBXAGEAcwB0AGUAUwBvAGwAaQBkAF8ARQBxAHUAYQB0AGkAbwBuAHMALgBWAEUARQBSAEcAXwAxADAAXwAxAF8AMQBfADEAXwBfADIAXwBNAGEAcwBzAE8AZgBXAGEAcwB0AGUARgByAG8AbQBWAG8AbAB1AG0AZQBfAFYAYQByAGkAYQBiAGwAZQAiACwAIgBXAGEAcwB0AGUAUwBvAGwAaQBkAF8ARQBxAHUAYQB0AGkAbwBuAHMALgBWAEUARQBSAEcAXwAxADAAXwAxAF8AMQBfADEAXwBfADIAXwBNAGEAcwBzAE8AZgBXAGEAcwB0AGUARgByAG8AbQBWAG8AbAB1AG0AZQBfAFUAbgBpAHQAIgAsACIAVwBhAHMAdABlAFMAbwBsAGkAZABfAEUAcQB1AGEAdABpAG8AbgBzAC4AVgBFAEUAUgBHAF8AMQAwAF8AMQBfADEAXwAxAF8AXwAyAF8ATQBhAHMAcwBPAGYAVwBhAHMAdABlAEYAcgBvAG0AVgBvAGwAdQBtAGUAXwBTAG8AdQByAGMAZQAiACwAIgBXAGEAcwB0AGUAUwBvAGwAaQBkAF8ARQBxAHUAYQB0AGkAbwBuAHMALgBWAEUARQBSAEcAXwAxADAAXwAxAF8AMQBfADEAXwBfADIAXwBNAGEAcwBzAE8AZgBXAGEAcwB0AGUARgByAG8AbQBWAG8AbAB1AG0AZQBfAE4ASQBSAFIAZQBmAGUAcgBlAG4AYwBlACIALAAiAFcAYQBzAHQAZQBTAG8AbABpAGQAXwBFAHEAdQBhAHQAaQBvAG4AcwAuAFYARQBFAFIARwBfADEAMABfADEAXwAxAF8AMQBfAF8AMgBfAE0AYQBzAHMATwBmAFcAYQBzAHQAZQBGAHIAbwBtAFYAbwBsAHUAbQBlAF8ATABhAHQAZQB4AEUAcQB1AGEAdABpAG8AbgAiACwAIgBXAGEAcwB0AGUAUwBvAGwAaQBkAF8ARQBxAHUAYQB0AGkAbwBuAHMALgBWAEUARQBSAEcAXwAxADAAXwAxAF8AMQBfADEAXwBfADIAXwBNAGEAcwBzAE8AZgBXAGEAcwB0AGUARgByAG8AbQBWAG8AbAB1AG0AZQBfAEEAcgBnAHUAbQBlAG4AdABzACIALAAiAFcAYQBzAHQAZQBTAG8AbABpAGQAXwBTAG8AdQByAGMAZQBEAGEAdABhAC4AVwBhAHMAdABlAF8ARQBtAGkAcwBzAGkAbwBuAEYAYQBjAHQAbwByAHMARgBvAHIAVwBhAHMAdABlAFQAcgBlAGEAdABtAGUAbgB0AF8AVABpAHQAbABlACIALAAiAFcAYQBzAHQAZQBTAG8AbABpAGQAXwBTAG8AdQByAGMAZQBEAGEAdABhAC4AVwBhAHMAdABlAF8ARQBtAGkAcwBzAGkAbwBuAEYAYQBjAHQAbwByAHMARgBvAHIAVwBhAHMAdABlAFQAcgBlAGEAdABtAGUAbgB0AF8AVgBhAHIAaQBhAGIAbABlACIALAAiAFcAYQBzAHQAZQBTAG8AbABpAGQAXwBTAG8AdQByAGMAZQBEAGEAdABhAC4AVwBhAHMAdABlAF8ARQBtAGkAcwBzAGkAbwBuAEYAYQBjAHQAbwByAHMARgBvAHIAVwBhAHMAdABlAFQAcgBlAGEAdABtAGUAbgB0AF8AVQBuAGkAdAAiACwAIgBXAGEAcwB0AGUAUwBvAGwAaQBkAF8AUwBvAHUAcgBjAGUARABhAHQAYQAuAFcAYQBzAHQAZQBfAEUAbQBpAHMAcwBpAG8AbgBGAGEAYwB0AG8AcgBzAEYAbwByAFcAYQBzAHQAZQBUAHIAZQBhAHQAbQBlAG4AdABfAFMAbwB1AHIAYwBlACIALAAiAFcAYQBzAHQAZQBTAG8AbABpAGQAXwBTAG8AdQByAGMAZQBEAGEAdABhAC4AVwBhAHMAdABlAF8ARQBtAGkAcwBzAGkAbwBuAEYAYQBjAHQAbwByAHMARgBvAHIAVwBhAHMAdABlAFQAcgBlAGEAdABtAGUAbgB0AF8ARABhAHQAYQAiACwAIgBXAGEAcwB0AGUAUwBvAGwAaQBkAF8AUwBvAHUAcgBjAGUARABhAHQAYQAuAFcAYQBzAHQAZQBfAEUAbQBpAHMAcwBpAG8AbgBGAGEAYwB0AG8AcgBzAEYAbwByAFcAYQBzAHQAZQBUAHIAZQBhAHQAbQBlAG4AdABfAFYAYQByAGkAYQB0AGkAbwBuACIALAAiAFcAYQBzAHQAZQBTAG8AbABpAGQAXwBTAG8AdQByAGMAZQBEAGEAdABhAC4AVwBhAHMAdABlAF8AVwBhAHMAdABlAFYAbwBsAHUAbQBlAFQAbwBNAGEAcwBzAEMAbwBuAHYAZQByAHMAaQBvAG4AXwBUAGkAdABsAGUAIgAsACIAVwBhAHMAdABlAFMAbwBsAGkAZABfAFMAbwB1AHIAYwBlAEQAYQB0AGEALgBXAGEAcwB0AGUAXwBXAGEAcwB0AGUAVgBvAGwAdQBtAGUAVABvAE0AYQBzAHMAQwBvAG4AdgBlAHIAcwBpAG8AbgBfAFYAYQByAGkAYQBiAGwAZQAiACwAIgBXAGEAcwB0AGUAUwBvAGwAaQBkAF8AUwBvAHUAcgBjAGUARABhAHQAYQAuAFcAYQBzAHQAZQBfAFcAYQBzAHQAZQBWAG8AbAB1AG0AZQBUAG8ATQBhAHMAcwBDAG8AbgB2AGUAcgBzAGkAbwBuAF8AVQBuAGkAdAAiACwAIgBXAGEAcwB0AGUAUwBvAGwAaQBkAF8AUwBvAHUAcgBjAGUARABhAHQAYQAuAFcAYQBzAHQAZQBfAFcAYQBzAHQAZQBWAG8AbAB1AG0AZQBUAG8ATQBhAHMAcwBDAG8AbgB2AGUAcgBzAGkAbwBuAF8AUwBvAHUAcgBjAGUAIgAsACIAVwBhAHMAdABlAFMAbwBsAGkAZABfAFMAbwB1AHIAYwBlAEQAYQB0AGEALgBXAGEAcwB0AGUAXwBXAGEAcwB0AGUAVgBvAGwAdQBtAGUAVABvAE0AYQBzAHMAQwBvAG4AdgBlAHIAcwBpAG8AbgBfAEQAYQB0AGEAIgAsACIAVwBhAHMAdABlAFMAbwBsAGkAZABfAFMAbwB1AHIAYwBlAEQAYQB0AGEALgBXAGEAcwB0AGUAXwBXAGEAcwB0AGUAVgBvAGwAdQBtAGUAVABvAE0AYQBzAHMAQwBvAG4AdgBlAHIAcwBpAG8AbgBfAFYAYQByAGkAYQB0AGkAbwBuACIALAAiAFcAYQBzAHQAZQBTAG8AbABpAGQAXwBJAG4AcAB1AHQARgB1AG4AYwB0AGkAbwBuAHMALgBXAGEAcwB0AGUAUwBvAGwAaQBkAF8ASQBuAHAAdQB0AEYAdQBuAGMAdABpAG8AbgBzAF8AUwB1AG0AVwBhAHMAdABlAFQAcgBlAGEAdABtAGUAbgB0AC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B9AA==</AFEJSONBlob>
</file>

<file path=customXml/itemProps1.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2.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3.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7</vt:i4>
      </vt:variant>
      <vt:variant>
        <vt:lpstr>Named Ranges</vt:lpstr>
      </vt:variant>
      <vt:variant>
        <vt:i4>2</vt:i4>
      </vt:variant>
    </vt:vector>
  </HeadingPairs>
  <TitlesOfParts>
    <vt:vector size="9" baseType="lpstr">
      <vt:lpstr>Home</vt:lpstr>
      <vt:lpstr>Overview</vt:lpstr>
      <vt:lpstr>Results</vt:lpstr>
      <vt:lpstr>Input - Solid waste</vt:lpstr>
      <vt:lpstr>10.1.1-2 Solid waste treatment</vt:lpstr>
      <vt:lpstr>Constants - Solid Waste</vt:lpstr>
      <vt:lpstr>Constants - Common</vt:lpstr>
      <vt:lpstr>VEERG_10_1_1_1__1_EmissionsFromWasteManagement_Scope1_Result_Method1</vt:lpstr>
      <vt:lpstr>VEERG_10_1_1_1__1_EmissionsFromWasteManagement_Scope3_Result_Method1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2026-06-18T00:35:24Z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