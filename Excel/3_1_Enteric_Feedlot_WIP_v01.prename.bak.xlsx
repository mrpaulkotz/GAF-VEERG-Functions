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B374F2E-B517-461B-B56C-691E81C77A76}" xr6:coauthVersionLast="47" xr6:coauthVersionMax="47" xr10:uidLastSave="{00000000-0000-0000-0000-000000000000}"/>
  <bookViews>
    <workbookView xWindow="780" yWindow="780" windowWidth="28800" windowHeight="15345" firstSheet="7" activeTab="7"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5" r:id="rId8"/>
    <sheet name="Constants - Livestock" sheetId="43" r:id="rId9"/>
    <sheet name="Acknowledgements" sheetId="72" r:id="rId10"/>
    <sheet name="Tab template" sheetId="74" r:id="rId11"/>
  </sheets>
  <externalReferences>
    <externalReference r:id="rId12"/>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Table_D_j">'3.1.1.1-2 Enteric Methane'!$D$54:$F$55</definedName>
    <definedName name="Table_N_j">'3.1.1.1-2 Enteric Methane'!$D$59:$F$60</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5" a="1"/>
  <c r="E259" i="105" s="1"/>
  <c r="D259" i="105" a="1"/>
  <c r="D259" i="105" s="1"/>
  <c r="E258" i="105" a="1"/>
  <c r="E258" i="105" s="1"/>
  <c r="D258" i="105" a="1"/>
  <c r="D258" i="105" s="1"/>
  <c r="D256" i="105" a="1"/>
  <c r="D256" i="105" s="1"/>
  <c r="D255" i="105" a="1"/>
  <c r="D255" i="105" s="1"/>
  <c r="D254" i="105" a="1"/>
  <c r="D254" i="105" s="1"/>
  <c r="D253" i="105" a="1"/>
  <c r="D253" i="105" s="1"/>
  <c r="S250" i="105" a="1"/>
  <c r="S250" i="105" s="1"/>
  <c r="R250" i="105" a="1"/>
  <c r="R250" i="105" s="1"/>
  <c r="Q250" i="105" a="1"/>
  <c r="Q250" i="105" s="1"/>
  <c r="P250" i="105" a="1"/>
  <c r="P250" i="105" s="1"/>
  <c r="O250" i="105" a="1"/>
  <c r="O250" i="105" s="1"/>
  <c r="N250" i="105" a="1"/>
  <c r="N250" i="105" s="1"/>
  <c r="M250" i="105" a="1"/>
  <c r="M250" i="105" s="1"/>
  <c r="L250" i="105" a="1"/>
  <c r="L250" i="105" s="1"/>
  <c r="K250" i="105" a="1"/>
  <c r="K250" i="105" s="1"/>
  <c r="J250" i="105" a="1"/>
  <c r="J250" i="105" s="1"/>
  <c r="I250" i="105" a="1"/>
  <c r="I250" i="105" s="1"/>
  <c r="H250" i="105" a="1"/>
  <c r="H250" i="105" s="1"/>
  <c r="G250" i="105" a="1"/>
  <c r="G250" i="105" s="1"/>
  <c r="F250" i="105" a="1"/>
  <c r="F250" i="105" s="1"/>
  <c r="E250" i="105" a="1"/>
  <c r="E250" i="105" s="1"/>
  <c r="D250" i="105" a="1"/>
  <c r="D250" i="105" s="1"/>
  <c r="S249" i="105" a="1"/>
  <c r="S249" i="105" s="1"/>
  <c r="R249" i="105" a="1"/>
  <c r="R249" i="105" s="1"/>
  <c r="Q249" i="105" a="1"/>
  <c r="Q249" i="105" s="1"/>
  <c r="P249" i="105" a="1"/>
  <c r="P249" i="105" s="1"/>
  <c r="O249" i="105" a="1"/>
  <c r="O249" i="105" s="1"/>
  <c r="N249" i="105" a="1"/>
  <c r="N249" i="105" s="1"/>
  <c r="M249" i="105" a="1"/>
  <c r="M249" i="105" s="1"/>
  <c r="L249" i="105" a="1"/>
  <c r="L249" i="105" s="1"/>
  <c r="K249" i="105" a="1"/>
  <c r="K249" i="105" s="1"/>
  <c r="J249" i="105" a="1"/>
  <c r="J249" i="105" s="1"/>
  <c r="I249" i="105" a="1"/>
  <c r="I249" i="105" s="1"/>
  <c r="H249" i="105" a="1"/>
  <c r="H249" i="105" s="1"/>
  <c r="G249" i="105" a="1"/>
  <c r="G249" i="105" s="1"/>
  <c r="F249" i="105" a="1"/>
  <c r="F249" i="105" s="1"/>
  <c r="E249" i="105" a="1"/>
  <c r="E249" i="105" s="1"/>
  <c r="D249" i="105" a="1"/>
  <c r="D249" i="105" s="1"/>
  <c r="S248" i="105" a="1"/>
  <c r="S248" i="105" s="1"/>
  <c r="R248" i="105" a="1"/>
  <c r="R248" i="105" s="1"/>
  <c r="Q248" i="105" a="1"/>
  <c r="Q248" i="105" s="1"/>
  <c r="P248" i="105" a="1"/>
  <c r="P248" i="105" s="1"/>
  <c r="O248" i="105" a="1"/>
  <c r="O248" i="105" s="1"/>
  <c r="N248" i="105" a="1"/>
  <c r="N248" i="105" s="1"/>
  <c r="M248" i="105" a="1"/>
  <c r="M248" i="105" s="1"/>
  <c r="L248" i="105" a="1"/>
  <c r="L248" i="105" s="1"/>
  <c r="K248" i="105" a="1"/>
  <c r="K248" i="105" s="1"/>
  <c r="J248" i="105" a="1"/>
  <c r="J248" i="105" s="1"/>
  <c r="I248" i="105" a="1"/>
  <c r="I248" i="105" s="1"/>
  <c r="H248" i="105" a="1"/>
  <c r="H248" i="105" s="1"/>
  <c r="G248" i="105" a="1"/>
  <c r="G248" i="105" s="1"/>
  <c r="F248" i="105" a="1"/>
  <c r="F248" i="105" s="1"/>
  <c r="E248" i="105" a="1"/>
  <c r="E248" i="105" s="1"/>
  <c r="D248" i="105" a="1"/>
  <c r="D248" i="105" s="1"/>
  <c r="S247" i="105" a="1"/>
  <c r="S247" i="105" s="1"/>
  <c r="R247" i="105" a="1"/>
  <c r="R247" i="105" s="1"/>
  <c r="Q247" i="105" a="1"/>
  <c r="Q247" i="105" s="1"/>
  <c r="P247" i="105" a="1"/>
  <c r="P247" i="105" s="1"/>
  <c r="O247" i="105" a="1"/>
  <c r="O247" i="105" s="1"/>
  <c r="N247" i="105" a="1"/>
  <c r="N247" i="105" s="1"/>
  <c r="M247" i="105" a="1"/>
  <c r="M247" i="105" s="1"/>
  <c r="L247" i="105" a="1"/>
  <c r="L247" i="105" s="1"/>
  <c r="K247" i="105" a="1"/>
  <c r="K247" i="105" s="1"/>
  <c r="J247" i="105" a="1"/>
  <c r="J247" i="105" s="1"/>
  <c r="I247" i="105" a="1"/>
  <c r="I247" i="105" s="1"/>
  <c r="H247" i="105" a="1"/>
  <c r="H247" i="105" s="1"/>
  <c r="G247" i="105" a="1"/>
  <c r="G247" i="105" s="1"/>
  <c r="F247" i="105" a="1"/>
  <c r="F247" i="105" s="1"/>
  <c r="E247" i="105" a="1"/>
  <c r="E247" i="105" s="1"/>
  <c r="D247" i="105" a="1"/>
  <c r="D247" i="105" s="1"/>
  <c r="S246" i="105" a="1"/>
  <c r="S246" i="105" s="1"/>
  <c r="R246" i="105" a="1"/>
  <c r="R246" i="105" s="1"/>
  <c r="Q246" i="105" a="1"/>
  <c r="Q246" i="105" s="1"/>
  <c r="P246" i="105" a="1"/>
  <c r="P246" i="105" s="1"/>
  <c r="O246" i="105" a="1"/>
  <c r="O246" i="105" s="1"/>
  <c r="N246" i="105" a="1"/>
  <c r="N246" i="105" s="1"/>
  <c r="M246" i="105" a="1"/>
  <c r="M246" i="105" s="1"/>
  <c r="L246" i="105" a="1"/>
  <c r="L246" i="105" s="1"/>
  <c r="K246" i="105" a="1"/>
  <c r="K246" i="105" s="1"/>
  <c r="J246" i="105" a="1"/>
  <c r="J246" i="105" s="1"/>
  <c r="I246" i="105" a="1"/>
  <c r="I246" i="105" s="1"/>
  <c r="H246" i="105" a="1"/>
  <c r="H246" i="105" s="1"/>
  <c r="G246" i="105" a="1"/>
  <c r="G246" i="105" s="1"/>
  <c r="F246" i="105" a="1"/>
  <c r="F246" i="105" s="1"/>
  <c r="E246" i="105" a="1"/>
  <c r="E246" i="105" s="1"/>
  <c r="D246" i="105" a="1"/>
  <c r="D246" i="105" s="1"/>
  <c r="S245" i="105" a="1"/>
  <c r="S245" i="105" s="1"/>
  <c r="R245" i="105" a="1"/>
  <c r="R245" i="105" s="1"/>
  <c r="Q245" i="105" a="1"/>
  <c r="Q245" i="105" s="1"/>
  <c r="P245" i="105" a="1"/>
  <c r="P245" i="105" s="1"/>
  <c r="O245" i="105" a="1"/>
  <c r="O245" i="105" s="1"/>
  <c r="N245" i="105" a="1"/>
  <c r="N245" i="105" s="1"/>
  <c r="M245" i="105" a="1"/>
  <c r="M245" i="105" s="1"/>
  <c r="L245" i="105" a="1"/>
  <c r="L245" i="105" s="1"/>
  <c r="K245" i="105" a="1"/>
  <c r="K245" i="105" s="1"/>
  <c r="J245" i="105" a="1"/>
  <c r="J245" i="105" s="1"/>
  <c r="I245" i="105" a="1"/>
  <c r="I245" i="105" s="1"/>
  <c r="H245" i="105" a="1"/>
  <c r="H245" i="105" s="1"/>
  <c r="G245" i="105" a="1"/>
  <c r="G245" i="105" s="1"/>
  <c r="F245" i="105" a="1"/>
  <c r="F245" i="105" s="1"/>
  <c r="E245" i="105" a="1"/>
  <c r="E245" i="105" s="1"/>
  <c r="D245" i="105" a="1"/>
  <c r="D245" i="105" s="1"/>
  <c r="S244" i="105" a="1"/>
  <c r="S244" i="105" s="1"/>
  <c r="R244" i="105" a="1"/>
  <c r="R244" i="105" s="1"/>
  <c r="Q244" i="105" a="1"/>
  <c r="Q244" i="105" s="1"/>
  <c r="P244" i="105" a="1"/>
  <c r="P244" i="105" s="1"/>
  <c r="O244" i="105" a="1"/>
  <c r="O244" i="105" s="1"/>
  <c r="N244" i="105" a="1"/>
  <c r="N244" i="105" s="1"/>
  <c r="M244" i="105" a="1"/>
  <c r="M244" i="105" s="1"/>
  <c r="L244" i="105" a="1"/>
  <c r="L244" i="105" s="1"/>
  <c r="K244" i="105" a="1"/>
  <c r="K244" i="105" s="1"/>
  <c r="J244" i="105" a="1"/>
  <c r="J244" i="105" s="1"/>
  <c r="I244" i="105" a="1"/>
  <c r="I244" i="105" s="1"/>
  <c r="H244" i="105" a="1"/>
  <c r="H244" i="105" s="1"/>
  <c r="G244" i="105" a="1"/>
  <c r="G244" i="105" s="1"/>
  <c r="F244" i="105" a="1"/>
  <c r="F244" i="105" s="1"/>
  <c r="E244" i="105" a="1"/>
  <c r="E244" i="105" s="1"/>
  <c r="D244" i="105" a="1"/>
  <c r="D244" i="105" s="1"/>
  <c r="S243" i="105" a="1"/>
  <c r="S243" i="105" s="1"/>
  <c r="R243" i="105" a="1"/>
  <c r="R243" i="105" s="1"/>
  <c r="Q243" i="105" a="1"/>
  <c r="Q243" i="105" s="1"/>
  <c r="P243" i="105" a="1"/>
  <c r="P243" i="105" s="1"/>
  <c r="O243" i="105" a="1"/>
  <c r="O243" i="105" s="1"/>
  <c r="N243" i="105" a="1"/>
  <c r="N243" i="105" s="1"/>
  <c r="M243" i="105" a="1"/>
  <c r="M243" i="105" s="1"/>
  <c r="L243" i="105" a="1"/>
  <c r="L243" i="105" s="1"/>
  <c r="K243" i="105" a="1"/>
  <c r="K243" i="105" s="1"/>
  <c r="J243" i="105" a="1"/>
  <c r="J243" i="105" s="1"/>
  <c r="I243" i="105" a="1"/>
  <c r="I243" i="105" s="1"/>
  <c r="H243" i="105" a="1"/>
  <c r="H243" i="105" s="1"/>
  <c r="G243" i="105" a="1"/>
  <c r="G243" i="105" s="1"/>
  <c r="F243" i="105" a="1"/>
  <c r="F243" i="105" s="1"/>
  <c r="E243" i="105" a="1"/>
  <c r="E243" i="105" s="1"/>
  <c r="D243" i="105" a="1"/>
  <c r="D243" i="105" s="1"/>
  <c r="S242" i="105" a="1"/>
  <c r="S242" i="105" s="1"/>
  <c r="R242" i="105" a="1"/>
  <c r="R242" i="105" s="1"/>
  <c r="Q242" i="105" a="1"/>
  <c r="Q242" i="105" s="1"/>
  <c r="P242" i="105" a="1"/>
  <c r="P242" i="105" s="1"/>
  <c r="O242" i="105" a="1"/>
  <c r="O242" i="105" s="1"/>
  <c r="N242" i="105" a="1"/>
  <c r="N242" i="105" s="1"/>
  <c r="M242" i="105" a="1"/>
  <c r="M242" i="105" s="1"/>
  <c r="L242" i="105" a="1"/>
  <c r="L242" i="105" s="1"/>
  <c r="K242" i="105" a="1"/>
  <c r="K242" i="105" s="1"/>
  <c r="J242" i="105" a="1"/>
  <c r="J242" i="105" s="1"/>
  <c r="I242" i="105" a="1"/>
  <c r="I242" i="105" s="1"/>
  <c r="H242" i="105" a="1"/>
  <c r="H242" i="105" s="1"/>
  <c r="G242" i="105" a="1"/>
  <c r="G242" i="105" s="1"/>
  <c r="F242" i="105" a="1"/>
  <c r="F242" i="105" s="1"/>
  <c r="E242" i="105" a="1"/>
  <c r="E242" i="105" s="1"/>
  <c r="D242" i="105" a="1"/>
  <c r="D242" i="105" s="1"/>
  <c r="S241" i="105" a="1"/>
  <c r="S241" i="105" s="1"/>
  <c r="R241" i="105" a="1"/>
  <c r="R241" i="105" s="1"/>
  <c r="Q241" i="105" a="1"/>
  <c r="Q241" i="105" s="1"/>
  <c r="P241" i="105" a="1"/>
  <c r="P241" i="105" s="1"/>
  <c r="O241" i="105" a="1"/>
  <c r="O241" i="105" s="1"/>
  <c r="N241" i="105" a="1"/>
  <c r="N241" i="105" s="1"/>
  <c r="M241" i="105" a="1"/>
  <c r="M241" i="105" s="1"/>
  <c r="L241" i="105" a="1"/>
  <c r="L241" i="105" s="1"/>
  <c r="K241" i="105" a="1"/>
  <c r="K241" i="105" s="1"/>
  <c r="J241" i="105" a="1"/>
  <c r="J241" i="105" s="1"/>
  <c r="I241" i="105" a="1"/>
  <c r="I241" i="105" s="1"/>
  <c r="H241" i="105" a="1"/>
  <c r="H241" i="105" s="1"/>
  <c r="G241" i="105" a="1"/>
  <c r="G241" i="105" s="1"/>
  <c r="F241" i="105" a="1"/>
  <c r="F241" i="105" s="1"/>
  <c r="E241" i="105" a="1"/>
  <c r="E241" i="105" s="1"/>
  <c r="D241" i="105" a="1"/>
  <c r="D241" i="105" s="1"/>
  <c r="S240" i="105" a="1"/>
  <c r="S240" i="105" s="1"/>
  <c r="R240" i="105" a="1"/>
  <c r="R240" i="105" s="1"/>
  <c r="Q240" i="105" a="1"/>
  <c r="Q240" i="105" s="1"/>
  <c r="P240" i="105" a="1"/>
  <c r="P240" i="105" s="1"/>
  <c r="O240" i="105" a="1"/>
  <c r="O240" i="105" s="1"/>
  <c r="N240" i="105" a="1"/>
  <c r="N240" i="105" s="1"/>
  <c r="M240" i="105" a="1"/>
  <c r="M240" i="105" s="1"/>
  <c r="L240" i="105" a="1"/>
  <c r="L240" i="105" s="1"/>
  <c r="K240" i="105" a="1"/>
  <c r="K240" i="105" s="1"/>
  <c r="J240" i="105" a="1"/>
  <c r="J240" i="105" s="1"/>
  <c r="I240" i="105" a="1"/>
  <c r="I240" i="105" s="1"/>
  <c r="H240" i="105" a="1"/>
  <c r="H240" i="105" s="1"/>
  <c r="G240" i="105" a="1"/>
  <c r="G240" i="105" s="1"/>
  <c r="F240" i="105" a="1"/>
  <c r="F240" i="105" s="1"/>
  <c r="E240" i="105" a="1"/>
  <c r="E240" i="105" s="1"/>
  <c r="D240" i="105" a="1"/>
  <c r="D240" i="105" s="1"/>
  <c r="S239" i="105" a="1"/>
  <c r="S239" i="105" s="1"/>
  <c r="R239" i="105" a="1"/>
  <c r="R239" i="105" s="1"/>
  <c r="Q239" i="105" a="1"/>
  <c r="Q239" i="105" s="1"/>
  <c r="P239" i="105" a="1"/>
  <c r="P239" i="105" s="1"/>
  <c r="O239" i="105" a="1"/>
  <c r="O239" i="105" s="1"/>
  <c r="N239" i="105" a="1"/>
  <c r="N239" i="105" s="1"/>
  <c r="M239" i="105" a="1"/>
  <c r="M239" i="105" s="1"/>
  <c r="L239" i="105" a="1"/>
  <c r="L239" i="105" s="1"/>
  <c r="K239" i="105" a="1"/>
  <c r="K239" i="105" s="1"/>
  <c r="J239" i="105" a="1"/>
  <c r="J239" i="105" s="1"/>
  <c r="I239" i="105" a="1"/>
  <c r="I239" i="105" s="1"/>
  <c r="H239" i="105" a="1"/>
  <c r="H239" i="105" s="1"/>
  <c r="G239" i="105" a="1"/>
  <c r="G239" i="105" s="1"/>
  <c r="F239" i="105" a="1"/>
  <c r="F239" i="105" s="1"/>
  <c r="E239" i="105" a="1"/>
  <c r="E239" i="105" s="1"/>
  <c r="D239" i="105" a="1"/>
  <c r="D239" i="105" s="1"/>
  <c r="S238" i="105" a="1"/>
  <c r="S238" i="105" s="1"/>
  <c r="R238" i="105" a="1"/>
  <c r="R238" i="105" s="1"/>
  <c r="Q238" i="105" a="1"/>
  <c r="Q238" i="105" s="1"/>
  <c r="P238" i="105" a="1"/>
  <c r="P238" i="105" s="1"/>
  <c r="O238" i="105" a="1"/>
  <c r="O238" i="105" s="1"/>
  <c r="N238" i="105" a="1"/>
  <c r="N238" i="105" s="1"/>
  <c r="M238" i="105" a="1"/>
  <c r="M238" i="105" s="1"/>
  <c r="L238" i="105" a="1"/>
  <c r="L238" i="105" s="1"/>
  <c r="K238" i="105" a="1"/>
  <c r="K238" i="105" s="1"/>
  <c r="J238" i="105" a="1"/>
  <c r="J238" i="105" s="1"/>
  <c r="I238" i="105" a="1"/>
  <c r="I238" i="105" s="1"/>
  <c r="H238" i="105" a="1"/>
  <c r="H238" i="105" s="1"/>
  <c r="G238" i="105" a="1"/>
  <c r="G238" i="105" s="1"/>
  <c r="F238" i="105" a="1"/>
  <c r="F238" i="105" s="1"/>
  <c r="E238" i="105" a="1"/>
  <c r="E238" i="105" s="1"/>
  <c r="D238" i="105" a="1"/>
  <c r="D238" i="105" s="1"/>
  <c r="S237" i="105" a="1"/>
  <c r="S237" i="105" s="1"/>
  <c r="R237" i="105" a="1"/>
  <c r="R237" i="105" s="1"/>
  <c r="Q237" i="105" a="1"/>
  <c r="Q237" i="105" s="1"/>
  <c r="P237" i="105" a="1"/>
  <c r="P237" i="105" s="1"/>
  <c r="O237" i="105" a="1"/>
  <c r="O237" i="105" s="1"/>
  <c r="N237" i="105" a="1"/>
  <c r="N237" i="105" s="1"/>
  <c r="M237" i="105" a="1"/>
  <c r="M237" i="105" s="1"/>
  <c r="L237" i="105" a="1"/>
  <c r="L237" i="105" s="1"/>
  <c r="K237" i="105" a="1"/>
  <c r="K237" i="105" s="1"/>
  <c r="J237" i="105" a="1"/>
  <c r="J237" i="105" s="1"/>
  <c r="I237" i="105" a="1"/>
  <c r="I237" i="105" s="1"/>
  <c r="H237" i="105" a="1"/>
  <c r="H237" i="105" s="1"/>
  <c r="G237" i="105" a="1"/>
  <c r="G237" i="105" s="1"/>
  <c r="F237" i="105" a="1"/>
  <c r="F237" i="105" s="1"/>
  <c r="E237" i="105" a="1"/>
  <c r="E237" i="105" s="1"/>
  <c r="D237" i="105" a="1"/>
  <c r="D237" i="105" s="1"/>
  <c r="S236" i="105" a="1"/>
  <c r="S236" i="105" s="1"/>
  <c r="R236" i="105" a="1"/>
  <c r="R236" i="105" s="1"/>
  <c r="Q236" i="105" a="1"/>
  <c r="Q236" i="105" s="1"/>
  <c r="P236" i="105" a="1"/>
  <c r="P236" i="105" s="1"/>
  <c r="O236" i="105" a="1"/>
  <c r="O236" i="105" s="1"/>
  <c r="N236" i="105" a="1"/>
  <c r="N236" i="105" s="1"/>
  <c r="M236" i="105" a="1"/>
  <c r="M236" i="105" s="1"/>
  <c r="L236" i="105" a="1"/>
  <c r="L236" i="105" s="1"/>
  <c r="K236" i="105" a="1"/>
  <c r="K236" i="105" s="1"/>
  <c r="J236" i="105" a="1"/>
  <c r="J236" i="105" s="1"/>
  <c r="I236" i="105" a="1"/>
  <c r="I236" i="105" s="1"/>
  <c r="H236" i="105" a="1"/>
  <c r="H236" i="105" s="1"/>
  <c r="G236" i="105" a="1"/>
  <c r="G236" i="105" s="1"/>
  <c r="F236" i="105" a="1"/>
  <c r="F236" i="105" s="1"/>
  <c r="E236" i="105" a="1"/>
  <c r="E236" i="105" s="1"/>
  <c r="D236" i="105" a="1"/>
  <c r="D236" i="105" s="1"/>
  <c r="S235" i="105" a="1"/>
  <c r="S235" i="105" s="1"/>
  <c r="R235" i="105" a="1"/>
  <c r="R235" i="105" s="1"/>
  <c r="Q235" i="105" a="1"/>
  <c r="Q235" i="105" s="1"/>
  <c r="P235" i="105" a="1"/>
  <c r="P235" i="105" s="1"/>
  <c r="O235" i="105" a="1"/>
  <c r="O235" i="105" s="1"/>
  <c r="N235" i="105" a="1"/>
  <c r="N235" i="105" s="1"/>
  <c r="M235" i="105" a="1"/>
  <c r="M235" i="105" s="1"/>
  <c r="L235" i="105" a="1"/>
  <c r="L235" i="105" s="1"/>
  <c r="K235" i="105" a="1"/>
  <c r="K235" i="105" s="1"/>
  <c r="J235" i="105" a="1"/>
  <c r="J235" i="105" s="1"/>
  <c r="I235" i="105" a="1"/>
  <c r="I235" i="105" s="1"/>
  <c r="H235" i="105" a="1"/>
  <c r="H235" i="105" s="1"/>
  <c r="G235" i="105" a="1"/>
  <c r="G235" i="105" s="1"/>
  <c r="F235" i="105" a="1"/>
  <c r="F235" i="105" s="1"/>
  <c r="E235" i="105" a="1"/>
  <c r="E235" i="105" s="1"/>
  <c r="D235" i="105" a="1"/>
  <c r="D235" i="105" s="1"/>
  <c r="S234" i="105" a="1"/>
  <c r="S234" i="105" s="1"/>
  <c r="R234" i="105" a="1"/>
  <c r="R234" i="105" s="1"/>
  <c r="Q234" i="105" a="1"/>
  <c r="Q234" i="105" s="1"/>
  <c r="P234" i="105" a="1"/>
  <c r="P234" i="105" s="1"/>
  <c r="O234" i="105" a="1"/>
  <c r="O234" i="105" s="1"/>
  <c r="N234" i="105" a="1"/>
  <c r="N234" i="105" s="1"/>
  <c r="M234" i="105" a="1"/>
  <c r="M234" i="105" s="1"/>
  <c r="L234" i="105" a="1"/>
  <c r="L234" i="105" s="1"/>
  <c r="K234" i="105" a="1"/>
  <c r="K234" i="105" s="1"/>
  <c r="J234" i="105" a="1"/>
  <c r="J234" i="105" s="1"/>
  <c r="I234" i="105" a="1"/>
  <c r="I234" i="105" s="1"/>
  <c r="H234" i="105" a="1"/>
  <c r="H234" i="105" s="1"/>
  <c r="G234" i="105" a="1"/>
  <c r="G234" i="105" s="1"/>
  <c r="F234" i="105" a="1"/>
  <c r="F234" i="105" s="1"/>
  <c r="E234" i="105" a="1"/>
  <c r="E234" i="105" s="1"/>
  <c r="D234" i="105" a="1"/>
  <c r="D234" i="105" s="1"/>
  <c r="S233" i="105" a="1"/>
  <c r="S233" i="105" s="1"/>
  <c r="R233" i="105" a="1"/>
  <c r="R233" i="105" s="1"/>
  <c r="Q233" i="105" a="1"/>
  <c r="Q233" i="105" s="1"/>
  <c r="P233" i="105" a="1"/>
  <c r="P233" i="105" s="1"/>
  <c r="O233" i="105" a="1"/>
  <c r="O233" i="105" s="1"/>
  <c r="N233" i="105" a="1"/>
  <c r="N233" i="105" s="1"/>
  <c r="M233" i="105" a="1"/>
  <c r="M233" i="105" s="1"/>
  <c r="L233" i="105" a="1"/>
  <c r="L233" i="105" s="1"/>
  <c r="K233" i="105" a="1"/>
  <c r="K233" i="105" s="1"/>
  <c r="J233" i="105" a="1"/>
  <c r="J233" i="105" s="1"/>
  <c r="I233" i="105" a="1"/>
  <c r="I233" i="105" s="1"/>
  <c r="H233" i="105" a="1"/>
  <c r="H233" i="105" s="1"/>
  <c r="G233" i="105" a="1"/>
  <c r="G233" i="105" s="1"/>
  <c r="F233" i="105" a="1"/>
  <c r="F233" i="105" s="1"/>
  <c r="E233" i="105" a="1"/>
  <c r="E233" i="105" s="1"/>
  <c r="D233" i="105" a="1"/>
  <c r="D233" i="105" s="1"/>
  <c r="S232" i="105" a="1"/>
  <c r="S232" i="105" s="1"/>
  <c r="R232" i="105" a="1"/>
  <c r="R232" i="105" s="1"/>
  <c r="Q232" i="105" a="1"/>
  <c r="Q232" i="105" s="1"/>
  <c r="P232" i="105" a="1"/>
  <c r="P232" i="105" s="1"/>
  <c r="O232" i="105" a="1"/>
  <c r="O232" i="105" s="1"/>
  <c r="N232" i="105" a="1"/>
  <c r="N232" i="105" s="1"/>
  <c r="M232" i="105" a="1"/>
  <c r="M232" i="105" s="1"/>
  <c r="L232" i="105" a="1"/>
  <c r="L232" i="105" s="1"/>
  <c r="K232" i="105" a="1"/>
  <c r="K232" i="105" s="1"/>
  <c r="J232" i="105" a="1"/>
  <c r="J232" i="105" s="1"/>
  <c r="I232" i="105" a="1"/>
  <c r="I232" i="105" s="1"/>
  <c r="H232" i="105" a="1"/>
  <c r="H232" i="105" s="1"/>
  <c r="G232" i="105" a="1"/>
  <c r="G232" i="105" s="1"/>
  <c r="F232" i="105" a="1"/>
  <c r="F232" i="105" s="1"/>
  <c r="E232" i="105" a="1"/>
  <c r="E232" i="105" s="1"/>
  <c r="D232" i="105" a="1"/>
  <c r="D232" i="105" s="1"/>
  <c r="D229" i="105"/>
  <c r="D229" i="105" a="1"/>
  <c r="D228" i="105" a="1"/>
  <c r="D228" i="105" s="1"/>
  <c r="D227" i="105" a="1"/>
  <c r="D227" i="105" s="1"/>
  <c r="E224" i="105" a="1"/>
  <c r="E224" i="105" s="1"/>
  <c r="D224" i="105" a="1"/>
  <c r="D224" i="105" s="1"/>
  <c r="E223" i="105" a="1"/>
  <c r="E223" i="105" s="1"/>
  <c r="D223" i="105" a="1"/>
  <c r="D223" i="105" s="1"/>
  <c r="E222" i="105" a="1"/>
  <c r="E222" i="105" s="1"/>
  <c r="D222" i="105" a="1"/>
  <c r="D222" i="105" s="1"/>
  <c r="E221" i="105" a="1"/>
  <c r="E221" i="105" s="1"/>
  <c r="D221" i="105" a="1"/>
  <c r="D221" i="105" s="1"/>
  <c r="E220" i="105" a="1"/>
  <c r="E220" i="105" s="1"/>
  <c r="D220" i="105" a="1"/>
  <c r="D220" i="105" s="1"/>
  <c r="E219" i="105" a="1"/>
  <c r="E219" i="105" s="1"/>
  <c r="D219" i="105" a="1"/>
  <c r="D219" i="105" s="1"/>
  <c r="E218" i="105" a="1"/>
  <c r="E218" i="105" s="1"/>
  <c r="D218" i="105" a="1"/>
  <c r="D218" i="105" s="1"/>
  <c r="E217" i="105" a="1"/>
  <c r="E217" i="105" s="1"/>
  <c r="D217" i="105" a="1"/>
  <c r="D217" i="105" s="1"/>
  <c r="E216" i="105" a="1"/>
  <c r="E216" i="105" s="1"/>
  <c r="D216" i="105" a="1"/>
  <c r="D216" i="105" s="1"/>
  <c r="E215" i="105" a="1"/>
  <c r="E215" i="105" s="1"/>
  <c r="D215" i="105" a="1"/>
  <c r="D215" i="105" s="1"/>
  <c r="E214" i="105" a="1"/>
  <c r="E214" i="105" s="1"/>
  <c r="D214" i="105" a="1"/>
  <c r="D214" i="105" s="1"/>
  <c r="E213" i="105" a="1"/>
  <c r="E213" i="105" s="1"/>
  <c r="D213" i="105" a="1"/>
  <c r="D213" i="105" s="1"/>
  <c r="D211" i="105"/>
  <c r="D211" i="105" a="1"/>
  <c r="E208" i="105" a="1"/>
  <c r="E208" i="105" s="1"/>
  <c r="D208" i="105" a="1"/>
  <c r="D208" i="105" s="1"/>
  <c r="E207" i="105" a="1"/>
  <c r="E207" i="105" s="1"/>
  <c r="D207" i="105" a="1"/>
  <c r="D207" i="105" s="1"/>
  <c r="D205" i="105" a="1"/>
  <c r="D205" i="105" s="1"/>
  <c r="D204" i="105" a="1"/>
  <c r="D204" i="105" s="1"/>
  <c r="D203" i="105"/>
  <c r="D203" i="105" a="1"/>
  <c r="D202" i="105" a="1"/>
  <c r="D202" i="105" s="1"/>
  <c r="H199" i="105" a="1"/>
  <c r="H199" i="105" s="1"/>
  <c r="G199" i="105" a="1"/>
  <c r="G199" i="105" s="1"/>
  <c r="F199" i="105" a="1"/>
  <c r="F199" i="105" s="1"/>
  <c r="E199" i="105" a="1"/>
  <c r="E199" i="105" s="1"/>
  <c r="D199" i="105" a="1"/>
  <c r="D199" i="105" s="1"/>
  <c r="H198" i="105" a="1"/>
  <c r="H198" i="105" s="1"/>
  <c r="G198" i="105" a="1"/>
  <c r="G198" i="105" s="1"/>
  <c r="F198" i="105" a="1"/>
  <c r="F198" i="105" s="1"/>
  <c r="E198" i="105" a="1"/>
  <c r="E198" i="105" s="1"/>
  <c r="D198" i="105" a="1"/>
  <c r="D198" i="105" s="1"/>
  <c r="H197" i="105" a="1"/>
  <c r="H197" i="105" s="1"/>
  <c r="G197" i="105" a="1"/>
  <c r="G197" i="105" s="1"/>
  <c r="F197" i="105" a="1"/>
  <c r="F197" i="105" s="1"/>
  <c r="E197" i="105" a="1"/>
  <c r="E197" i="105" s="1"/>
  <c r="D197" i="105" a="1"/>
  <c r="D197" i="105" s="1"/>
  <c r="H196" i="105" a="1"/>
  <c r="H196" i="105" s="1"/>
  <c r="G196" i="105" a="1"/>
  <c r="G196" i="105" s="1"/>
  <c r="F196" i="105" a="1"/>
  <c r="F196" i="105" s="1"/>
  <c r="E196" i="105" a="1"/>
  <c r="E196" i="105" s="1"/>
  <c r="D196" i="105" a="1"/>
  <c r="D196" i="105" s="1"/>
  <c r="H195" i="105" a="1"/>
  <c r="H195" i="105" s="1"/>
  <c r="G195" i="105" a="1"/>
  <c r="G195" i="105" s="1"/>
  <c r="F195" i="105" a="1"/>
  <c r="F195" i="105" s="1"/>
  <c r="E195" i="105" a="1"/>
  <c r="E195" i="105" s="1"/>
  <c r="D195" i="105" a="1"/>
  <c r="D195" i="105" s="1"/>
  <c r="H194" i="105" a="1"/>
  <c r="H194" i="105" s="1"/>
  <c r="G194" i="105"/>
  <c r="G194" i="105" a="1"/>
  <c r="F194" i="105" a="1"/>
  <c r="F194" i="105" s="1"/>
  <c r="E194" i="105" a="1"/>
  <c r="E194" i="105" s="1"/>
  <c r="D194" i="105" a="1"/>
  <c r="D194" i="105" s="1"/>
  <c r="H193" i="105" a="1"/>
  <c r="H193" i="105" s="1"/>
  <c r="G193" i="105" a="1"/>
  <c r="G193" i="105" s="1"/>
  <c r="F193" i="105" a="1"/>
  <c r="F193" i="105" s="1"/>
  <c r="E193" i="105" a="1"/>
  <c r="E193" i="105" s="1"/>
  <c r="D193" i="105" a="1"/>
  <c r="D193" i="105" s="1"/>
  <c r="H192" i="105" a="1"/>
  <c r="H192" i="105" s="1"/>
  <c r="G192" i="105" a="1"/>
  <c r="G192" i="105" s="1"/>
  <c r="F192" i="105" a="1"/>
  <c r="F192" i="105" s="1"/>
  <c r="E192" i="105" a="1"/>
  <c r="E192" i="105" s="1"/>
  <c r="D192" i="105" a="1"/>
  <c r="D192" i="105" s="1"/>
  <c r="H191" i="105" a="1"/>
  <c r="H191" i="105" s="1"/>
  <c r="G191" i="105" a="1"/>
  <c r="G191" i="105" s="1"/>
  <c r="F191" i="105" a="1"/>
  <c r="F191" i="105" s="1"/>
  <c r="E191" i="105" a="1"/>
  <c r="E191" i="105" s="1"/>
  <c r="D191" i="105" a="1"/>
  <c r="D191" i="105" s="1"/>
  <c r="H190" i="105" a="1"/>
  <c r="H190" i="105" s="1"/>
  <c r="G190" i="105" a="1"/>
  <c r="G190" i="105" s="1"/>
  <c r="F190" i="105" a="1"/>
  <c r="F190" i="105" s="1"/>
  <c r="E190" i="105" a="1"/>
  <c r="E190" i="105" s="1"/>
  <c r="D190" i="105" a="1"/>
  <c r="D190" i="105" s="1"/>
  <c r="H189" i="105" a="1"/>
  <c r="H189" i="105" s="1"/>
  <c r="G189" i="105" a="1"/>
  <c r="G189" i="105" s="1"/>
  <c r="F189" i="105" a="1"/>
  <c r="F189" i="105" s="1"/>
  <c r="E189" i="105" a="1"/>
  <c r="E189" i="105" s="1"/>
  <c r="D189" i="105" a="1"/>
  <c r="D189" i="105" s="1"/>
  <c r="H188" i="105" a="1"/>
  <c r="H188" i="105" s="1"/>
  <c r="G188" i="105" a="1"/>
  <c r="G188" i="105" s="1"/>
  <c r="F188" i="105" a="1"/>
  <c r="F188" i="105" s="1"/>
  <c r="E188" i="105" a="1"/>
  <c r="E188" i="105" s="1"/>
  <c r="D188" i="105" a="1"/>
  <c r="D188" i="105" s="1"/>
  <c r="H187" i="105" a="1"/>
  <c r="H187" i="105" s="1"/>
  <c r="G187" i="105" a="1"/>
  <c r="G187" i="105" s="1"/>
  <c r="F187" i="105" a="1"/>
  <c r="F187" i="105" s="1"/>
  <c r="E187" i="105" a="1"/>
  <c r="E187" i="105" s="1"/>
  <c r="D187" i="105" a="1"/>
  <c r="D187" i="105" s="1"/>
  <c r="D181" i="105" a="1"/>
  <c r="D181" i="105" s="1"/>
  <c r="D180" i="105" a="1"/>
  <c r="D180" i="105" s="1"/>
  <c r="D179" i="105" a="1"/>
  <c r="D179" i="105" s="1"/>
  <c r="D178" i="105" a="1"/>
  <c r="D178" i="105" s="1"/>
  <c r="E175" i="105" a="1"/>
  <c r="E175" i="105" s="1"/>
  <c r="D175" i="105" a="1"/>
  <c r="D175" i="105" s="1"/>
  <c r="D174" i="105" a="1"/>
  <c r="D174" i="105" s="1"/>
  <c r="D173" i="105" a="1"/>
  <c r="D173" i="105" s="1"/>
  <c r="D170" i="105" a="1"/>
  <c r="D170" i="105" s="1"/>
  <c r="D169" i="105" a="1"/>
  <c r="D169" i="105" s="1"/>
  <c r="D168" i="105" a="1"/>
  <c r="D168" i="105" s="1"/>
  <c r="D167" i="105"/>
  <c r="D167" i="105" a="1"/>
  <c r="D164" i="105" a="1"/>
  <c r="D164" i="105" s="1"/>
  <c r="D163" i="105" a="1"/>
  <c r="D163" i="105" s="1"/>
  <c r="D162" i="105" a="1"/>
  <c r="D162" i="105" s="1"/>
  <c r="D161" i="105" a="1"/>
  <c r="D161" i="105" s="1"/>
  <c r="E158" i="105" a="1"/>
  <c r="E158" i="105" s="1"/>
  <c r="D158" i="105" a="1"/>
  <c r="D158" i="105" s="1"/>
  <c r="E157" i="105" a="1"/>
  <c r="E157" i="105" s="1"/>
  <c r="D157" i="105" a="1"/>
  <c r="D157" i="105" s="1"/>
  <c r="E156" i="105" a="1"/>
  <c r="E156" i="105" s="1"/>
  <c r="D156" i="105" a="1"/>
  <c r="D156" i="105" s="1"/>
  <c r="E155" i="105" a="1"/>
  <c r="E155" i="105" s="1"/>
  <c r="D155" i="105" a="1"/>
  <c r="D155" i="105" s="1"/>
  <c r="E154" i="105" a="1"/>
  <c r="E154" i="105" s="1"/>
  <c r="D154" i="105" a="1"/>
  <c r="D154" i="105" s="1"/>
  <c r="D151" i="105" a="1"/>
  <c r="D151" i="105" s="1"/>
  <c r="D150" i="105" a="1"/>
  <c r="D150" i="105" s="1"/>
  <c r="E147" i="105" a="1"/>
  <c r="E147" i="105" s="1"/>
  <c r="D147" i="105" a="1"/>
  <c r="D147" i="105" s="1"/>
  <c r="E146" i="105" a="1"/>
  <c r="E146" i="105" s="1"/>
  <c r="D146" i="105" a="1"/>
  <c r="D146" i="105" s="1"/>
  <c r="E145" i="105" a="1"/>
  <c r="E145" i="105" s="1"/>
  <c r="D145" i="105" a="1"/>
  <c r="D145" i="105" s="1"/>
  <c r="E144" i="105" a="1"/>
  <c r="E144" i="105" s="1"/>
  <c r="D144" i="105" a="1"/>
  <c r="D144" i="105" s="1"/>
  <c r="E143" i="105" a="1"/>
  <c r="E143" i="105" s="1"/>
  <c r="D143" i="105" a="1"/>
  <c r="D143" i="105" s="1"/>
  <c r="D141" i="105" a="1"/>
  <c r="D141" i="105" s="1"/>
  <c r="D140" i="105" a="1"/>
  <c r="D140" i="105" s="1"/>
  <c r="D139" i="105" a="1"/>
  <c r="D139" i="105" s="1"/>
  <c r="E136" i="105" a="1"/>
  <c r="E136" i="105" s="1"/>
  <c r="D136" i="105" a="1"/>
  <c r="D136" i="105" s="1"/>
  <c r="E135" i="105" a="1"/>
  <c r="E135" i="105" s="1"/>
  <c r="D135" i="105" a="1"/>
  <c r="D135" i="105" s="1"/>
  <c r="D133" i="105" a="1"/>
  <c r="D133" i="105" s="1"/>
  <c r="D132" i="105" a="1"/>
  <c r="D132" i="105" s="1"/>
  <c r="E129" i="105" a="1"/>
  <c r="E129" i="105" s="1"/>
  <c r="D129" i="105" a="1"/>
  <c r="D129" i="105" s="1"/>
  <c r="E128" i="105" a="1"/>
  <c r="E128" i="105" s="1"/>
  <c r="D128" i="105" a="1"/>
  <c r="D128" i="105" s="1"/>
  <c r="D125" i="105" a="1"/>
  <c r="D125" i="105" s="1"/>
  <c r="D124" i="105" a="1"/>
  <c r="D124" i="105" s="1"/>
  <c r="G121" i="105" a="1"/>
  <c r="G121" i="105" s="1"/>
  <c r="F121" i="105" a="1"/>
  <c r="F121" i="105" s="1"/>
  <c r="E121" i="105" a="1"/>
  <c r="E121" i="105" s="1"/>
  <c r="D121" i="105" a="1"/>
  <c r="D121" i="105" s="1"/>
  <c r="G120" i="105" a="1"/>
  <c r="G120" i="105" s="1"/>
  <c r="F120" i="105" a="1"/>
  <c r="F120" i="105" s="1"/>
  <c r="E120" i="105" a="1"/>
  <c r="E120" i="105" s="1"/>
  <c r="D120" i="105" a="1"/>
  <c r="D120" i="105" s="1"/>
  <c r="D117" i="105" a="1"/>
  <c r="D117" i="105" s="1"/>
  <c r="D116" i="105" a="1"/>
  <c r="D116" i="105" s="1"/>
  <c r="D115" i="105" a="1"/>
  <c r="D115" i="105" s="1"/>
  <c r="G112" i="105" a="1"/>
  <c r="G112" i="105" s="1"/>
  <c r="F112" i="105" a="1"/>
  <c r="F112" i="105" s="1"/>
  <c r="E112" i="105" a="1"/>
  <c r="E112" i="105" s="1"/>
  <c r="D112" i="105" a="1"/>
  <c r="D112" i="105" s="1"/>
  <c r="G111" i="105" a="1"/>
  <c r="G111" i="105" s="1"/>
  <c r="F111" i="105" a="1"/>
  <c r="F111" i="105" s="1"/>
  <c r="E111" i="105" a="1"/>
  <c r="E111" i="105" s="1"/>
  <c r="D111" i="105" a="1"/>
  <c r="D111" i="105" s="1"/>
  <c r="G110" i="105" a="1"/>
  <c r="G110" i="105" s="1"/>
  <c r="F110" i="105" a="1"/>
  <c r="F110" i="105" s="1"/>
  <c r="E110" i="105" a="1"/>
  <c r="E110" i="105" s="1"/>
  <c r="D110" i="105" a="1"/>
  <c r="D110" i="105" s="1"/>
  <c r="D107" i="105" a="1"/>
  <c r="D107" i="105" s="1"/>
  <c r="D106" i="105" a="1"/>
  <c r="D106" i="105" s="1"/>
  <c r="D105" i="105" a="1"/>
  <c r="D105" i="105" s="1"/>
  <c r="D99" i="105" a="1"/>
  <c r="D99" i="105" s="1"/>
  <c r="S97" i="105" a="1"/>
  <c r="S97" i="105" s="1"/>
  <c r="R97" i="105" a="1"/>
  <c r="R97" i="105" s="1"/>
  <c r="Q97" i="105" a="1"/>
  <c r="Q97" i="105" s="1"/>
  <c r="P97" i="105" a="1"/>
  <c r="P97" i="105" s="1"/>
  <c r="O97" i="105" a="1"/>
  <c r="O97" i="105" s="1"/>
  <c r="N97" i="105" a="1"/>
  <c r="N97" i="105" s="1"/>
  <c r="M97" i="105" a="1"/>
  <c r="M97" i="105" s="1"/>
  <c r="L97" i="105" a="1"/>
  <c r="L97" i="105" s="1"/>
  <c r="K97" i="105" a="1"/>
  <c r="K97" i="105" s="1"/>
  <c r="J97" i="105" a="1"/>
  <c r="J97" i="105" s="1"/>
  <c r="I97" i="105" a="1"/>
  <c r="I97" i="105" s="1"/>
  <c r="H97" i="105" a="1"/>
  <c r="H97" i="105" s="1"/>
  <c r="G97" i="105" a="1"/>
  <c r="G97" i="105" s="1"/>
  <c r="F97" i="105" a="1"/>
  <c r="F97" i="105" s="1"/>
  <c r="E97" i="105" a="1"/>
  <c r="E97" i="105" s="1"/>
  <c r="D97" i="105" a="1"/>
  <c r="D97" i="105" s="1"/>
  <c r="S96" i="105" a="1"/>
  <c r="S96" i="105" s="1"/>
  <c r="R96" i="105" a="1"/>
  <c r="R96" i="105" s="1"/>
  <c r="Q96" i="105" a="1"/>
  <c r="Q96" i="105" s="1"/>
  <c r="P96" i="105" a="1"/>
  <c r="P96" i="105" s="1"/>
  <c r="O96" i="105" a="1"/>
  <c r="O96" i="105" s="1"/>
  <c r="N96" i="105" a="1"/>
  <c r="N96" i="105" s="1"/>
  <c r="M96" i="105" a="1"/>
  <c r="M96" i="105" s="1"/>
  <c r="L96" i="105" a="1"/>
  <c r="L96" i="105" s="1"/>
  <c r="K96" i="105" a="1"/>
  <c r="K96" i="105" s="1"/>
  <c r="J96" i="105" a="1"/>
  <c r="J96" i="105" s="1"/>
  <c r="I96" i="105" a="1"/>
  <c r="I96" i="105" s="1"/>
  <c r="H96" i="105" a="1"/>
  <c r="H96" i="105" s="1"/>
  <c r="G96" i="105" a="1"/>
  <c r="G96" i="105" s="1"/>
  <c r="F96" i="105" a="1"/>
  <c r="F96" i="105" s="1"/>
  <c r="E96" i="105" a="1"/>
  <c r="E96" i="105" s="1"/>
  <c r="D96" i="105" a="1"/>
  <c r="D96" i="105" s="1"/>
  <c r="S95" i="105" a="1"/>
  <c r="S95" i="105" s="1"/>
  <c r="R95" i="105" a="1"/>
  <c r="R95" i="105" s="1"/>
  <c r="Q95" i="105" a="1"/>
  <c r="Q95" i="105" s="1"/>
  <c r="P95" i="105" a="1"/>
  <c r="P95" i="105" s="1"/>
  <c r="O95" i="105" a="1"/>
  <c r="O95" i="105" s="1"/>
  <c r="N95" i="105" a="1"/>
  <c r="N95" i="105" s="1"/>
  <c r="M95" i="105" a="1"/>
  <c r="M95" i="105" s="1"/>
  <c r="L95" i="105" a="1"/>
  <c r="L95" i="105" s="1"/>
  <c r="K95" i="105" a="1"/>
  <c r="K95" i="105" s="1"/>
  <c r="J95" i="105" a="1"/>
  <c r="J95" i="105" s="1"/>
  <c r="I95" i="105" a="1"/>
  <c r="I95" i="105" s="1"/>
  <c r="H95" i="105" a="1"/>
  <c r="H95" i="105" s="1"/>
  <c r="G95" i="105" a="1"/>
  <c r="G95" i="105" s="1"/>
  <c r="F95" i="105" a="1"/>
  <c r="F95" i="105" s="1"/>
  <c r="E95" i="105" a="1"/>
  <c r="E95" i="105" s="1"/>
  <c r="D95" i="105" a="1"/>
  <c r="D95" i="105" s="1"/>
  <c r="S94" i="105" a="1"/>
  <c r="S94" i="105" s="1"/>
  <c r="R94" i="105" a="1"/>
  <c r="R94" i="105" s="1"/>
  <c r="Q94" i="105" a="1"/>
  <c r="Q94" i="105" s="1"/>
  <c r="P94" i="105" a="1"/>
  <c r="P94" i="105" s="1"/>
  <c r="O94" i="105" a="1"/>
  <c r="O94" i="105" s="1"/>
  <c r="N94" i="105" a="1"/>
  <c r="N94" i="105" s="1"/>
  <c r="M94" i="105" a="1"/>
  <c r="M94" i="105" s="1"/>
  <c r="L94" i="105" a="1"/>
  <c r="L94" i="105" s="1"/>
  <c r="K94" i="105" a="1"/>
  <c r="K94" i="105" s="1"/>
  <c r="J94" i="105" a="1"/>
  <c r="J94" i="105" s="1"/>
  <c r="I94" i="105" a="1"/>
  <c r="I94" i="105" s="1"/>
  <c r="H94" i="105" a="1"/>
  <c r="H94" i="105" s="1"/>
  <c r="G94" i="105" a="1"/>
  <c r="G94" i="105" s="1"/>
  <c r="F94" i="105" a="1"/>
  <c r="F94" i="105" s="1"/>
  <c r="E94" i="105" a="1"/>
  <c r="E94" i="105" s="1"/>
  <c r="D94" i="105" a="1"/>
  <c r="D94" i="105" s="1"/>
  <c r="S93" i="105" a="1"/>
  <c r="S93" i="105" s="1"/>
  <c r="R93" i="105" a="1"/>
  <c r="R93" i="105" s="1"/>
  <c r="Q93" i="105" a="1"/>
  <c r="Q93" i="105" s="1"/>
  <c r="P93" i="105" a="1"/>
  <c r="P93" i="105" s="1"/>
  <c r="O93" i="105" a="1"/>
  <c r="O93" i="105" s="1"/>
  <c r="N93" i="105" a="1"/>
  <c r="N93" i="105" s="1"/>
  <c r="M93" i="105" a="1"/>
  <c r="M93" i="105" s="1"/>
  <c r="L93" i="105" a="1"/>
  <c r="L93" i="105" s="1"/>
  <c r="K93" i="105" a="1"/>
  <c r="K93" i="105" s="1"/>
  <c r="J93" i="105" a="1"/>
  <c r="J93" i="105" s="1"/>
  <c r="I93" i="105" a="1"/>
  <c r="I93" i="105" s="1"/>
  <c r="H93" i="105" a="1"/>
  <c r="H93" i="105" s="1"/>
  <c r="G93" i="105" a="1"/>
  <c r="G93" i="105" s="1"/>
  <c r="F93" i="105" a="1"/>
  <c r="F93" i="105" s="1"/>
  <c r="E93" i="105" a="1"/>
  <c r="E93" i="105" s="1"/>
  <c r="D93" i="105" a="1"/>
  <c r="D93" i="105" s="1"/>
  <c r="S92" i="105" a="1"/>
  <c r="S92" i="105" s="1"/>
  <c r="R92" i="105" a="1"/>
  <c r="R92" i="105" s="1"/>
  <c r="Q92" i="105" a="1"/>
  <c r="Q92" i="105" s="1"/>
  <c r="P92" i="105" a="1"/>
  <c r="P92" i="105" s="1"/>
  <c r="O92" i="105" a="1"/>
  <c r="O92" i="105" s="1"/>
  <c r="N92" i="105" a="1"/>
  <c r="N92" i="105" s="1"/>
  <c r="M92" i="105" a="1"/>
  <c r="M92" i="105" s="1"/>
  <c r="L92" i="105" a="1"/>
  <c r="L92" i="105" s="1"/>
  <c r="K92" i="105" a="1"/>
  <c r="K92" i="105" s="1"/>
  <c r="J92" i="105" a="1"/>
  <c r="J92" i="105" s="1"/>
  <c r="I92" i="105" a="1"/>
  <c r="I92" i="105" s="1"/>
  <c r="H92" i="105" a="1"/>
  <c r="H92" i="105" s="1"/>
  <c r="G92" i="105" a="1"/>
  <c r="G92" i="105" s="1"/>
  <c r="F92" i="105" a="1"/>
  <c r="F92" i="105" s="1"/>
  <c r="E92" i="105" a="1"/>
  <c r="E92" i="105" s="1"/>
  <c r="D92" i="105" a="1"/>
  <c r="D92" i="105" s="1"/>
  <c r="S91" i="105" a="1"/>
  <c r="S91" i="105" s="1"/>
  <c r="R91" i="105" a="1"/>
  <c r="R91" i="105" s="1"/>
  <c r="Q91" i="105" a="1"/>
  <c r="Q91" i="105" s="1"/>
  <c r="P91" i="105" a="1"/>
  <c r="P91" i="105" s="1"/>
  <c r="O91" i="105" a="1"/>
  <c r="O91" i="105" s="1"/>
  <c r="N91" i="105" a="1"/>
  <c r="N91" i="105" s="1"/>
  <c r="M91" i="105" a="1"/>
  <c r="M91" i="105" s="1"/>
  <c r="L91" i="105" a="1"/>
  <c r="L91" i="105" s="1"/>
  <c r="K91" i="105" a="1"/>
  <c r="K91" i="105" s="1"/>
  <c r="J91" i="105" a="1"/>
  <c r="J91" i="105" s="1"/>
  <c r="I91" i="105" a="1"/>
  <c r="I91" i="105" s="1"/>
  <c r="H91" i="105" a="1"/>
  <c r="H91" i="105" s="1"/>
  <c r="G91" i="105" a="1"/>
  <c r="G91" i="105" s="1"/>
  <c r="F91" i="105" a="1"/>
  <c r="F91" i="105" s="1"/>
  <c r="E91" i="105" a="1"/>
  <c r="E91" i="105" s="1"/>
  <c r="D91" i="105" a="1"/>
  <c r="D91" i="105" s="1"/>
  <c r="S90" i="105" a="1"/>
  <c r="S90" i="105" s="1"/>
  <c r="R90" i="105" a="1"/>
  <c r="R90" i="105" s="1"/>
  <c r="Q90" i="105" a="1"/>
  <c r="Q90" i="105" s="1"/>
  <c r="P90" i="105" a="1"/>
  <c r="P90" i="105" s="1"/>
  <c r="O90" i="105" a="1"/>
  <c r="O90" i="105" s="1"/>
  <c r="N90" i="105" a="1"/>
  <c r="N90" i="105" s="1"/>
  <c r="M90" i="105" a="1"/>
  <c r="M90" i="105" s="1"/>
  <c r="L90" i="105" a="1"/>
  <c r="L90" i="105" s="1"/>
  <c r="K90" i="105" a="1"/>
  <c r="K90" i="105" s="1"/>
  <c r="J90" i="105" a="1"/>
  <c r="J90" i="105" s="1"/>
  <c r="I90" i="105" a="1"/>
  <c r="I90" i="105" s="1"/>
  <c r="H90" i="105" a="1"/>
  <c r="H90" i="105" s="1"/>
  <c r="G90" i="105" a="1"/>
  <c r="G90" i="105" s="1"/>
  <c r="F90" i="105" a="1"/>
  <c r="F90" i="105" s="1"/>
  <c r="E90" i="105" a="1"/>
  <c r="E90" i="105" s="1"/>
  <c r="D90" i="105" a="1"/>
  <c r="D90" i="105" s="1"/>
  <c r="D83" i="105" a="1"/>
  <c r="D83" i="105" s="1"/>
  <c r="D82" i="105" a="1"/>
  <c r="D82" i="105" s="1"/>
  <c r="D81" i="105" a="1"/>
  <c r="D81" i="105" s="1"/>
  <c r="E77" i="105" a="1"/>
  <c r="E77" i="105" s="1"/>
  <c r="D77" i="105" a="1"/>
  <c r="D77" i="105" s="1"/>
  <c r="E76" i="105" a="1"/>
  <c r="E76" i="105" s="1"/>
  <c r="D76" i="105" a="1"/>
  <c r="D76" i="105" s="1"/>
  <c r="E75" i="105" a="1"/>
  <c r="E75" i="105" s="1"/>
  <c r="D75" i="105" a="1"/>
  <c r="D75" i="105" s="1"/>
  <c r="E74" i="105" a="1"/>
  <c r="E74" i="105" s="1"/>
  <c r="D74" i="105" a="1"/>
  <c r="D74" i="105" s="1"/>
  <c r="E73" i="105" a="1"/>
  <c r="E73" i="105" s="1"/>
  <c r="D73" i="105" a="1"/>
  <c r="D73" i="105" s="1"/>
  <c r="E72" i="105" a="1"/>
  <c r="E72" i="105" s="1"/>
  <c r="D72" i="105" a="1"/>
  <c r="D72" i="105" s="1"/>
  <c r="E71" i="105" a="1"/>
  <c r="E71" i="105" s="1"/>
  <c r="D71" i="105" a="1"/>
  <c r="D71" i="105" s="1"/>
  <c r="E70" i="105" a="1"/>
  <c r="E70" i="105" s="1"/>
  <c r="D70" i="105" a="1"/>
  <c r="D70" i="105" s="1"/>
  <c r="E69" i="105" a="1"/>
  <c r="E69" i="105" s="1"/>
  <c r="D69" i="105" a="1"/>
  <c r="D69" i="105" s="1"/>
  <c r="E68" i="105" a="1"/>
  <c r="E68" i="105" s="1"/>
  <c r="D68" i="105" a="1"/>
  <c r="D68" i="105" s="1"/>
  <c r="E67" i="105" a="1"/>
  <c r="E67" i="105" s="1"/>
  <c r="D67" i="105" a="1"/>
  <c r="D67" i="105" s="1"/>
  <c r="E66" i="105" a="1"/>
  <c r="E66" i="105" s="1"/>
  <c r="D66" i="105" a="1"/>
  <c r="D66" i="105" s="1"/>
  <c r="E65" i="105" a="1"/>
  <c r="E65" i="105" s="1"/>
  <c r="D65" i="105" a="1"/>
  <c r="D65" i="105" s="1"/>
  <c r="E64" i="105" a="1"/>
  <c r="E64" i="105" s="1"/>
  <c r="D64" i="105" a="1"/>
  <c r="D64" i="105" s="1"/>
  <c r="D59" i="105" a="1"/>
  <c r="D59" i="105" s="1"/>
  <c r="D58" i="105" a="1"/>
  <c r="D58" i="105" s="1"/>
  <c r="D57" i="105" a="1"/>
  <c r="D57" i="105" s="1"/>
  <c r="G54" i="105" a="1"/>
  <c r="G54" i="105" s="1"/>
  <c r="F54" i="105" a="1"/>
  <c r="F54" i="105" s="1"/>
  <c r="E54" i="105" a="1"/>
  <c r="E54" i="105" s="1"/>
  <c r="D54" i="105" a="1"/>
  <c r="D54" i="105" s="1"/>
  <c r="G53" i="105" a="1"/>
  <c r="G53" i="105" s="1"/>
  <c r="F53" i="105" a="1"/>
  <c r="F53" i="105" s="1"/>
  <c r="E53" i="105" a="1"/>
  <c r="E53" i="105" s="1"/>
  <c r="D53" i="105" a="1"/>
  <c r="D53" i="105" s="1"/>
  <c r="G52" i="105" a="1"/>
  <c r="G52" i="105" s="1"/>
  <c r="F52" i="105" a="1"/>
  <c r="F52" i="105" s="1"/>
  <c r="E52" i="105" a="1"/>
  <c r="E52" i="105" s="1"/>
  <c r="D52" i="105" a="1"/>
  <c r="D52" i="105" s="1"/>
  <c r="G51" i="105" a="1"/>
  <c r="G51" i="105" s="1"/>
  <c r="F51" i="105" a="1"/>
  <c r="F51" i="105" s="1"/>
  <c r="E51" i="105" a="1"/>
  <c r="E51" i="105" s="1"/>
  <c r="D51" i="105" a="1"/>
  <c r="D51" i="105" s="1"/>
  <c r="G50" i="105" a="1"/>
  <c r="G50" i="105" s="1"/>
  <c r="F50" i="105" a="1"/>
  <c r="F50" i="105" s="1"/>
  <c r="E50" i="105" a="1"/>
  <c r="E50" i="105" s="1"/>
  <c r="D50" i="105" a="1"/>
  <c r="D50" i="105" s="1"/>
  <c r="G49" i="105" a="1"/>
  <c r="G49" i="105" s="1"/>
  <c r="F49" i="105" a="1"/>
  <c r="F49" i="105" s="1"/>
  <c r="E49" i="105" a="1"/>
  <c r="E49" i="105" s="1"/>
  <c r="D49" i="105" a="1"/>
  <c r="D49" i="105" s="1"/>
  <c r="G48" i="105" a="1"/>
  <c r="G48" i="105" s="1"/>
  <c r="F48" i="105" a="1"/>
  <c r="F48" i="105" s="1"/>
  <c r="E48" i="105" a="1"/>
  <c r="E48" i="105" s="1"/>
  <c r="D48" i="105" a="1"/>
  <c r="D48" i="105" s="1"/>
  <c r="D46" i="105" a="1"/>
  <c r="D46" i="105" s="1"/>
  <c r="D45" i="105" a="1"/>
  <c r="D45" i="105" s="1"/>
  <c r="E43" i="105" a="1"/>
  <c r="E43" i="105" s="1"/>
  <c r="D43" i="105" a="1"/>
  <c r="D43" i="105" s="1"/>
  <c r="E42" i="105" a="1"/>
  <c r="E42" i="105" s="1"/>
  <c r="D42" i="105" a="1"/>
  <c r="D42" i="105" s="1"/>
  <c r="E41" i="105" a="1"/>
  <c r="E41" i="105" s="1"/>
  <c r="D41" i="105" a="1"/>
  <c r="D41" i="105" s="1"/>
  <c r="E40" i="105" a="1"/>
  <c r="E40" i="105" s="1"/>
  <c r="D40" i="105" a="1"/>
  <c r="D40" i="105" s="1"/>
  <c r="E39" i="105" a="1"/>
  <c r="E39" i="105" s="1"/>
  <c r="D39" i="105" a="1"/>
  <c r="D39" i="105" s="1"/>
  <c r="E38" i="105" a="1"/>
  <c r="E38" i="105" s="1"/>
  <c r="D38" i="105" a="1"/>
  <c r="D38" i="105" s="1"/>
  <c r="E37" i="105" a="1"/>
  <c r="E37" i="105" s="1"/>
  <c r="D37" i="105" a="1"/>
  <c r="D37" i="105" s="1"/>
  <c r="D35" i="105" a="1"/>
  <c r="D35" i="105" s="1"/>
  <c r="D34" i="105" a="1"/>
  <c r="D34" i="105" s="1"/>
  <c r="D30" i="105" a="1"/>
  <c r="D30" i="105" s="1"/>
  <c r="D29" i="105" a="1"/>
  <c r="D29" i="105" s="1"/>
  <c r="D28" i="105" a="1"/>
  <c r="D28" i="105" s="1"/>
  <c r="D27" i="105" a="1"/>
  <c r="D27" i="105" s="1"/>
  <c r="D26" i="105" a="1"/>
  <c r="D26" i="105" s="1"/>
  <c r="D25" i="105" a="1"/>
  <c r="D25" i="105" s="1"/>
  <c r="D24" i="105" a="1"/>
  <c r="D24" i="105" s="1"/>
  <c r="D23" i="105" a="1"/>
  <c r="D23" i="105" s="1"/>
  <c r="D22" i="105" a="1"/>
  <c r="D22" i="105" s="1"/>
  <c r="D21" i="105" a="1"/>
  <c r="D21" i="105" s="1"/>
  <c r="D19" i="105" a="1"/>
  <c r="D19" i="105" s="1"/>
  <c r="D18" i="105" a="1"/>
  <c r="D18" i="105" s="1"/>
  <c r="F14" i="105" a="1"/>
  <c r="F14" i="105" s="1"/>
  <c r="E14" i="105" a="1"/>
  <c r="E14" i="105" s="1"/>
  <c r="D14" i="105" a="1"/>
  <c r="D14" i="105" s="1"/>
  <c r="F13" i="105" a="1"/>
  <c r="F13" i="105" s="1"/>
  <c r="E13" i="105" a="1"/>
  <c r="E13" i="105" s="1"/>
  <c r="D13" i="105" a="1"/>
  <c r="D13" i="105" s="1"/>
  <c r="F12" i="105" a="1"/>
  <c r="F12" i="105" s="1"/>
  <c r="E12" i="105" a="1"/>
  <c r="E12" i="105" s="1"/>
  <c r="D12" i="105" a="1"/>
  <c r="D12" i="105" s="1"/>
  <c r="F11" i="105" a="1"/>
  <c r="F11" i="105" s="1"/>
  <c r="E11" i="105" a="1"/>
  <c r="E11" i="105" s="1"/>
  <c r="D11" i="105" a="1"/>
  <c r="D11" i="105" s="1"/>
  <c r="F10" i="105" a="1"/>
  <c r="F10" i="105" s="1"/>
  <c r="E10" i="105" a="1"/>
  <c r="E10" i="105" s="1"/>
  <c r="D10" i="105" a="1"/>
  <c r="D10" i="105" s="1"/>
  <c r="F9" i="105" a="1"/>
  <c r="F9" i="105" s="1"/>
  <c r="E9" i="105" a="1"/>
  <c r="E9" i="105" s="1"/>
  <c r="D9" i="105" a="1"/>
  <c r="D9" i="105" s="1"/>
  <c r="F8" i="105" a="1"/>
  <c r="F8" i="105" s="1"/>
  <c r="E8" i="105" a="1"/>
  <c r="E8" i="105" s="1"/>
  <c r="D8" i="105" a="1"/>
  <c r="D8" i="105" s="1"/>
  <c r="F7" i="105" a="1"/>
  <c r="F7" i="105" s="1"/>
  <c r="E7" i="105" a="1"/>
  <c r="E7" i="105" s="1"/>
  <c r="D7" i="105" a="1"/>
  <c r="D7" i="105" s="1"/>
  <c r="D5" i="105" a="1"/>
  <c r="D5" i="105" s="1"/>
  <c r="F60" i="69"/>
  <c r="E60" i="69"/>
  <c r="D60" i="69"/>
  <c r="F55" i="69"/>
  <c r="E55" i="69"/>
  <c r="D55"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H49" i="105" l="1"/>
  <c r="H48" i="105"/>
  <c r="H51" i="105"/>
  <c r="H54" i="105"/>
  <c r="H50" i="105"/>
  <c r="H53" i="105"/>
  <c r="H52" i="105"/>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M20" i="69" s="1"/>
  <c r="G14" i="70" a="1"/>
  <c r="G14" i="70" s="1"/>
  <c r="E15" i="70" a="1"/>
  <c r="E15" i="70" s="1"/>
  <c r="F14" i="70" a="1"/>
  <c r="F14" i="70" s="1"/>
  <c r="E14" i="70" a="1"/>
  <c r="E14" i="70" s="1"/>
  <c r="G21" i="70" a="1"/>
  <c r="G21" i="70" s="1"/>
  <c r="O30" i="69" s="1"/>
  <c r="F19" i="70" a="1"/>
  <c r="F19" i="70" s="1"/>
  <c r="N20" i="69" s="1"/>
  <c r="G19" i="70" a="1"/>
  <c r="G19" i="70" s="1"/>
  <c r="O20" i="69" s="1"/>
  <c r="G15" i="70" a="1"/>
  <c r="G15" i="70" s="1"/>
  <c r="E16" i="70" a="1"/>
  <c r="E16" i="70" s="1"/>
  <c r="D30" i="69" s="1"/>
  <c r="F16" i="70" a="1"/>
  <c r="F16" i="70" s="1"/>
  <c r="E30" i="69" s="1"/>
  <c r="G16" i="70" a="1"/>
  <c r="G16" i="70" s="1"/>
  <c r="F30" i="69" s="1"/>
  <c r="E20" i="70" a="1"/>
  <c r="E20" i="70" s="1"/>
  <c r="M25" i="69" s="1"/>
  <c r="E21" i="70" a="1"/>
  <c r="E21" i="70" s="1"/>
  <c r="M30" i="69" s="1"/>
  <c r="F21" i="70" a="1"/>
  <c r="F21" i="70" s="1"/>
  <c r="N30" i="69" s="1"/>
  <c r="F15" i="70" a="1"/>
  <c r="F15" i="70" s="1"/>
  <c r="F20" i="70" a="1"/>
  <c r="F20" i="70" s="1"/>
  <c r="N25" i="69" s="1"/>
  <c r="G20" i="70" a="1"/>
  <c r="G20" i="70" s="1"/>
  <c r="O25" i="69" s="1"/>
  <c r="D69" i="69" a="1"/>
  <c r="D69" i="69" s="1"/>
  <c r="F72" i="69" a="1"/>
  <c r="F72" i="69" s="1"/>
  <c r="M35" i="69" l="1" a="1"/>
  <c r="M35" i="69" s="1"/>
  <c r="M65" i="69" s="1" a="1"/>
  <c r="M65" i="69" s="1"/>
  <c r="N35" i="69" a="1"/>
  <c r="N35" i="69" s="1"/>
  <c r="N65" i="69" s="1" a="1"/>
  <c r="N65" i="69" s="1"/>
  <c r="O35" i="69" a="1"/>
  <c r="O35" i="69" s="1"/>
  <c r="O65" i="69" s="1" a="1"/>
  <c r="O65" i="69" s="1"/>
  <c r="D8" i="70" l="1"/>
  <c r="D9" i="70"/>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N67" i="69"/>
  <c r="P69" i="69" s="1"/>
  <c r="N72" i="69" s="1" a="1"/>
  <c r="N72" i="69" s="1"/>
  <c r="I7" i="13" s="1"/>
  <c r="I8" i="13" s="1"/>
  <c r="G69" i="69" l="1"/>
  <c r="E72" i="69" s="1" a="1"/>
  <c r="E72" i="69" s="1"/>
  <c r="H7" i="13" s="1"/>
  <c r="H8" i="13" s="1"/>
  <c r="E7" i="13"/>
  <c r="F7"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<sst xmlns="http://schemas.openxmlformats.org/spreadsheetml/2006/main" count="287" uniqueCount="188">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</sst>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22/10/relationships/richValueRel" Target="richData/richValueRel.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0236E2-261B-480A-9CAB-503073DB3DEC}"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07A4258-804A-4B28-B5F8-39F172471C32}" name="State/Territory">
      <calculatedColumnFormula array="1">Common_InputFunctions.Utility_DisplayArrayInTable(Common_SourceData.Common_SourceData_AustralianStatesTerritories_Data(),Table_AustralianStates[[#Headers],[State/Territory]],0)</calculatedColumnFormula>
    </tableColumn>
    <tableColumn id="2" xr3:uid="{43ADADC8-D7D3-4403-9A2E-D1021A9426A2}" name="Common Name">
      <calculatedColumnFormula array="1">Common_InputFunctions.Utility_DisplayArrayInTable(Common_SourceData.Common_SourceData_AustralianStatesTerritories_Data(),Table_AustralianStates[[#Headers],[State/Territory]],0)</calculatedColumnFormula>
    </tableColumn>
    <tableColumn id="3" xr3:uid="{BA51BE2C-C24C-4848-807D-3FE320F74E7C}"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10D61DB-CBAF-4B9C-A0BE-39963F985600}" name="Table_WASA4Areas" displayName="Table_WASA4Areas" ref="D20:D30" totalsRowShown="0">
  <autoFilter ref="D20:D30" xr:uid="{5FA81339-C6C8-4D36-BEEA-6C4AEDD9E676}">
    <filterColumn colId="0" hiddenButton="1"/>
  </autoFilter>
  <tableColumns count="1">
    <tableColumn id="1" xr3:uid="{B2319C21-42C8-4AC8-8842-0F5AE807E14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01CF44C-35D3-4FD4-BCD4-7CF97FB38FBB}" name="Table_GWPData" displayName="Table_GWPData" ref="D36:E43" totalsRowShown="0">
  <autoFilter ref="D36:E43" xr:uid="{B8E87A66-3E41-4AD3-925D-01EE21B43D7A}">
    <filterColumn colId="0" hiddenButton="1"/>
    <filterColumn colId="1" hiddenButton="1"/>
  </autoFilter>
  <tableColumns count="2">
    <tableColumn id="1" xr3:uid="{AF5216EA-6755-4638-904D-10A8AC3D92B7}" name="Gas">
      <calculatedColumnFormula array="1">Common_InputFunctions.Utility_DisplayArrayInTable(Common_SourceData.Common_SourceData_GWP_Data(), Table_GWPData[[#Headers],[Gas]], 0)</calculatedColumnFormula>
    </tableColumn>
    <tableColumn id="2" xr3:uid="{8964723D-52B0-4800-8AAF-95397E09692D}"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BC79B2-628A-49CE-9B81-8727709CA90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B7D3443-18C5-4F41-8449-9900FF73333E}" name="Gas">
      <calculatedColumnFormula array="1">Common_InputFunctions.Utility_DisplayArrayInTable(Common_SourceData.Common_SourceData_ConvertGasElementalToMolecular_Data(),Table_GasToMolecularConversionFactor[[#Headers],[Gas]], 0)</calculatedColumnFormula>
    </tableColumn>
    <tableColumn id="5" xr3:uid="{6D0D4D0D-E4D8-4AD9-B667-C9788FECCB2F}" name="Conversion factor">
      <calculatedColumnFormula array="1">Common_InputFunctions.Utility_DisplayArrayInTable(Common_SourceData.Common_SourceData_ConvertGasElementalToMolecular_Data(),Table_GasToMolecularConversionFactor[[#Headers],[Gas]], 0)</calculatedColumnFormula>
    </tableColumn>
    <tableColumn id="2" xr3:uid="{C0F66B4E-FA40-416D-9E3F-5B6218CBDDE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19589E99-5936-4AAB-8F73-C0C633BABCA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727AC65-020F-4ACE-980F-B939458B897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1807BF5-FC29-439C-8851-CB6D8929B5C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C6A4ADF-2ABD-4D4C-B175-8587CEDCB6E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4090DC0-A1EA-41FE-963D-6C1DAF4B8D30}"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48BC807F-D1FB-4D3B-B6E0-0FAD6626AC3F}"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82CCE9BA-BED7-4690-B200-D7B4A52B0328}"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9B63AA0A-188D-4682-AC11-F40DA179DD5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79F3FDD5-82DE-4D09-9956-B109CE0E436A}"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296D6484-A30D-45F3-8369-56CA146C496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C3C3CC05-2132-4AC0-9C4D-18EF1CF1A91B}"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EF000082-0E04-4EB2-A038-4E6643C09EC9}"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B19CF6BE-6BE4-47EE-BDF6-9D4D4EA8D40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9927750F-82C1-42D1-A6A5-74C6BB92FCD9}"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90CB55BD-043B-4031-BCE1-D87C1DEB6B69}"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F9564817-FB02-405F-A09A-15BB09267E0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ADA61EC2-4169-415E-98A6-F717A995313E}"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2741DF78-01FA-49D7-8191-31A3FE090A29}"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3B85283B-6887-492D-BDBE-18E9BAFA08A4}"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F465E4C-BBC2-4577-8BF0-74C8C5B1E10C}"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56EAFAD-6C7D-457C-BB88-B5ED0874A36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4753EDB-FB7C-42A8-A847-B7AD32140E6A}"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2B8738-EDBF-41F4-AC74-8E301149560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2A3B060-EACB-4B24-A520-5F7FEABDFD06}" name="Temperature Zone">
      <calculatedColumnFormula array="1">Common_InputFunctions.Utility_DisplayArrayInTable(Common_SourceData.Common_SourceData_TemperatureZones_Data(),Table_SourceData_TemperatureZones[[#Headers],[Temperature Zone]],0)</calculatedColumnFormula>
    </tableColumn>
    <tableColumn id="2" xr3:uid="{91859C79-C408-44EA-92ED-D21A30D02EFD}" name="MAT">
      <calculatedColumnFormula array="1">Common_InputFunctions.Utility_DisplayArrayInTable(Common_SourceData.Common_SourceData_TemperatureZones_Data(),Table_SourceData_TemperatureZones[[#Headers],[Temperature Zone]],0)</calculatedColumnFormula>
    </tableColumn>
    <tableColumn id="3" xr3:uid="{C31539DF-EBD0-4C24-8C1F-F2E4C1040DB5}" name="Min MAT">
      <calculatedColumnFormula array="1">Common_InputFunctions.Utility_DisplayArrayInTable(Common_SourceData.Common_SourceData_TemperatureZones_Data(),Table_SourceData_TemperatureZones[[#Headers],[Temperature Zone]],0)</calculatedColumnFormula>
    </tableColumn>
    <tableColumn id="4" xr3:uid="{10142F14-3252-41D4-AE39-E8D32ADE7A5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B0A46B2-9C47-459F-B7F5-BB56D38945B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E7513FEE-8D65-4D7E-A4EC-45FDDD9B193B}" name="Rainfall Zone">
      <calculatedColumnFormula array="1">Common_InputFunctions.Utility_DisplayArrayInTable(Common_SourceData.Common_SourceData_RainfallZones_Data(),Table_SourceData_RainfallZones[[#Headers],[Rainfall Zone]],0)</calculatedColumnFormula>
    </tableColumn>
    <tableColumn id="2" xr3:uid="{219C9517-8041-4D30-BC29-53B6C6A211EC}" name="Annual rainfall">
      <calculatedColumnFormula array="1">Common_InputFunctions.Utility_DisplayArrayInTable(Common_SourceData.Common_SourceData_RainfallZones_Data(),Table_SourceData_RainfallZones[[#Headers],[Rainfall Zone]],0)</calculatedColumnFormula>
    </tableColumn>
    <tableColumn id="3" xr3:uid="{90A22E04-B0F2-4513-A2CA-76339DCD0F69}" name="Min rainfall">
      <calculatedColumnFormula array="1">Common_InputFunctions.Utility_DisplayArrayInTable(Common_SourceData.Common_SourceData_RainfallZones_Data(),Table_SourceData_RainfallZones[[#Headers],[Rainfall Zone]],0)</calculatedColumnFormula>
    </tableColumn>
    <tableColumn id="4" xr3:uid="{EEF649FE-4EA0-45FF-9DB2-04BB9A0982E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29C2CD3-01AD-4688-B0C7-078495056C48}"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4E938FB7-422E-42CC-8DE7-D766F2CB2B41}" name="Leaching Zone">
      <calculatedColumnFormula array="1">Common_InputFunctions.Utility_DisplayArrayInTable(Common_SourceData.Common_SourceData_LeachingZones_Data(), Table_SourceData_LeachingZones[[#Headers],[Leaching Zone]], 0)</calculatedColumnFormula>
    </tableColumn>
    <tableColumn id="2" xr3:uid="{88F0D2D1-2EC6-468F-B951-68B26E07EDC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AA18BBB-1FB4-4459-9A83-FA671CBCA64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6871042-1A4B-412F-9397-0AC964DFD2E5}" name="Data source">
      <calculatedColumnFormula array="1">Common_InputFunctions.Utility_DisplayArrayInTable(Common_SourceData.Common_SourceData_DataScores_Scope3_Data(), Table_SourceData_DataScores_Scope3[[#Headers],[Data source]], 0)</calculatedColumnFormula>
    </tableColumn>
    <tableColumn id="2" xr3:uid="{89ECF2E0-98DD-40C6-891E-9489A405599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14468F5-1372-433E-AC98-7FE49172704E}" name="Table_SourceData_FracWET" displayName="Table_SourceData_FracWET" ref="D134:E136" totalsRowShown="0">
  <autoFilter ref="D134:E136" xr:uid="{308E99BE-FE1F-47A4-B2CA-97217277C4E9}">
    <filterColumn colId="0" hiddenButton="1"/>
    <filterColumn colId="1" hiddenButton="1"/>
  </autoFilter>
  <tableColumns count="2">
    <tableColumn id="1" xr3:uid="{EB51D4A5-F21B-441B-960B-14482A05F2AB}" name="Is in leaching zone">
      <calculatedColumnFormula array="1">Common_InputFunctions.Utility_DisplayArrayInTable(Common_SourceData.Common_SourceData_FracWET_Data(),Table_SourceData_FracWET[[#Headers],[Is in leaching zone]],0)</calculatedColumnFormula>
    </tableColumn>
    <tableColumn id="2" xr3:uid="{2C15B4E9-0893-483F-B695-85A362EF88BE}"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72861F3-B917-4331-B22F-2091D6D4A4B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079DEED-7228-487D-B347-727F3CD8D584}" name="Production system j">
      <calculatedColumnFormula array="1">Common_InputFunctions.Utility_DisplayArrayInTable(Common_SourceData.Common_SourceData_EFN2O_Data(), Table_SourceData_Common_EFN2O[[#Headers],[Production system j]], 0)</calculatedColumnFormula>
    </tableColumn>
    <tableColumn id="2" xr3:uid="{9A793C15-F786-4AF9-99F8-92F146B10226}" name="EFN2O">
      <calculatedColumnFormula array="1">Common_InputFunctions.Utility_DisplayArrayInTable(Common_SourceData.Common_SourceData_EFN2O_Data(), Table_SourceData_Common_EFN2O[[#Headers],[Production system j]], 0)</calculatedColumnFormula>
    </tableColumn>
    <tableColumn id="3" xr3:uid="{6A278243-0D8E-45E9-82E1-15A472CB3FF5}" name="Production system only">
      <calculatedColumnFormula array="1">Common_InputFunctions.Utility_DisplayArrayInTable(Common_SourceData.Common_SourceData_EFN2O_Data(), Table_SourceData_Common_EFN2O[[#Headers],[Production system j]], 0)</calculatedColumnFormula>
    </tableColumn>
    <tableColumn id="4" xr3:uid="{BCAFF3CB-B7F6-4DCA-8326-57E92B5C52DA}" name="Irrigation method">
      <calculatedColumnFormula array="1">Common_InputFunctions.Utility_DisplayArrayInTable(Common_SourceData.Common_SourceData_EFN2O_Data(), Table_SourceData_Common_EFN2O[[#Headers],[Production system j]], 0)</calculatedColumnFormula>
    </tableColumn>
    <tableColumn id="5" xr3:uid="{1C604BA4-8400-4F58-8615-8FB36EB9EAB4}"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03CAAD-D56B-48CB-8881-81E6425A181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8430361-677C-4A6E-8F18-83A8F1AC14A9}" name="Irrigation type i">
      <calculatedColumnFormula array="1">Common_InputFunctions.Utility_DisplayArrayInTable(Common_SourceData.Common_SourceData_FracWETIrrigation_Data(), Table_SourceData_FracWETIrrigation[[#Headers],[Irrigation type i]], 0)</calculatedColumnFormula>
    </tableColumn>
    <tableColumn id="2" xr3:uid="{BE1D7F3F-EE1A-4DCC-878E-136307E44F51}"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5BF918F-330E-4CC7-BE08-1B2FEF7B36E2}"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1CED706-DC3F-4E50-B90A-72C8B6A31D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4E99A2F-5D73-4685-9A74-169E22D78399}"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4CDE284A-E6C2-4810-BFA2-C81FCFC26B4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29080C0-1F98-4766-A972-2308429B6DA4}" name="Month">
      <calculatedColumnFormula array="1">Common_InputFunctions.Utility_DisplayArrayInTable(Common_SourceData.Common_SourceData_MonthsToSeasons_Data(), Table_SourceData_Common_MonthToSeason[[#Headers],[Month]], 0)</calculatedColumnFormula>
    </tableColumn>
    <tableColumn id="2" xr3:uid="{3ABD20B9-980D-4171-AC61-504C7B3FD3C7}"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E0FB20FF-2466-46CD-97A0-3F3208A8EA0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E3FA295-9B0B-4903-A945-15B5D63E102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27F32027-4793-4BD0-B53B-3CAEB2FAE463}"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2E45325-E64D-4A4B-ABF8-3D790867BF6B}"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90758F9-30BC-457E-9794-3B79F5ED1D03}"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7FD523A-7777-40A8-98AD-DF994E02B6B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1922049-EA85-437B-AD46-D902B676AFC5}"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EE0761B-5317-4A59-89E1-49841C8D9BFB}"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4D1EB88-AC80-4643-8DED-84B17E687AA8}"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F74628B-BC19-45DE-B019-4EC58E8A805F}"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238BD82-738D-497C-8E68-1C2A5AAC0686}"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83942C7-772B-4822-A8E5-C5DA814AE6A6}"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F14B473D-1EB9-4BB0-82E7-4F2509AA1D94}"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4CEC72C-5887-4A04-BC78-9CC716C9E416}"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0024A0A-F0AD-43AF-8135-FB6BD2F03851}"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7E1E5F2-B58B-4190-B4F8-740129FCB792}"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6860B31-3952-4E18-9B17-A7AC54621183}"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E4F982B-A4DC-4357-8D92-DBF714BF05D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9FEB2FB-3CC5-423D-87D4-F289F7FC9E1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022FEA13-4755-4BE9-8C0C-58DA7136DC3D}"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VEERG_3_1_1_1__1_TotalAnnualMethaneFromEntericFermentation_Result</f>
        <v>35.420230000000004</v>
      </c>
      <c r="F7" s="98">
        <f>'3.1.1.1-2 Enteric Methane'!N67</f>
        <v>35.420230000000004</v>
      </c>
      <c r="G7" s="52" t="str">
        <f>'3.1.1.1-2 Enteric Methane'!F67</f>
        <v>t CH4</v>
      </c>
      <c r="H7" s="98">
        <f>'3.1.1.1-2 Enteric Methane'!E72</f>
        <v>991.7664400000001</v>
      </c>
      <c r="I7" s="98">
        <f>'3.1.1.1-2 Enteric Methane'!N72</f>
        <v>991.7664400000001</v>
      </c>
      <c r="J7" s="52" t="s">
        <v>140</v>
      </c>
      <c r="K7" s="24"/>
      <c r="L7" s="24"/>
    </row>
    <row r="8" spans="1:12" ht="20.100000000000001" customHeight="1" x14ac:dyDescent="0.3">
      <c r="A8" s="17" t="str">
        <f>HYPERLINK("#'Input - Site'!A1", "Site")</f>
        <v>Site</v>
      </c>
      <c r="C8" s="24"/>
      <c r="D8" s="31" t="s">
        <v>127</v>
      </c>
      <c r="E8" s="25"/>
      <c r="F8" s="31"/>
      <c r="G8" s="31"/>
      <c r="H8" s="99">
        <f>SUM(H7:H7)</f>
        <v>991.7664400000001</v>
      </c>
      <c r="I8" s="99">
        <f>SUM(I7:I7)</f>
        <v>991.7664400000001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58</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9</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21" t="str">
        <f>HYPERLINK("#'Input - Site'!A1", "Site")</f>
        <v>Site</v>
      </c>
      <c r="D8" s="10" t="s">
        <v>54</v>
      </c>
      <c r="E8" s="33" t="s">
        <v>55</v>
      </c>
    </row>
    <row r="9" spans="1:24" ht="20.100000000000001" customHeight="1" x14ac:dyDescent="0.25">
      <c r="A9" s="17" t="str">
        <f>HYPERLINK("#'Input - Feedlot'!A1", "Feedlot")</f>
        <v>Feedlot</v>
      </c>
      <c r="N9" s="42"/>
    </row>
    <row r="10" spans="1:24" ht="20.100000000000001" customHeight="1" x14ac:dyDescent="0.25">
      <c r="A10" s="17"/>
      <c r="D10" s="82" t="s">
        <v>72</v>
      </c>
      <c r="E10" s="80"/>
      <c r="F10" s="83"/>
      <c r="G10" s="77"/>
      <c r="N10" s="42"/>
    </row>
    <row r="11" spans="1:24" ht="20.100000000000001" customHeight="1" x14ac:dyDescent="0.25">
      <c r="A11" s="19" t="s">
        <v>58</v>
      </c>
      <c r="N11" s="43"/>
    </row>
    <row r="12" spans="1:24" ht="20.100000000000001" customHeight="1" x14ac:dyDescent="0.25">
      <c r="A12" s="17" t="str">
        <f>HYPERLINK("#'3.1.1.1-2 Enteric Methane'!A1", "3.1.1.1-2 Enteric Methane")</f>
        <v>3.1.1.1-2 Enteric Methane</v>
      </c>
      <c r="D12" s="10" t="s">
        <v>76</v>
      </c>
      <c r="E12" s="59">
        <v>45292</v>
      </c>
      <c r="F12" s="2" t="s">
        <v>53</v>
      </c>
    </row>
    <row r="13" spans="1:24" ht="20.100000000000001" customHeight="1" x14ac:dyDescent="0.25">
      <c r="A13"/>
      <c r="D13" s="10" t="s">
        <v>77</v>
      </c>
      <c r="E13" s="66">
        <f>DATE(YEAR(E12)+1,MONTH(E12),DAY(E12))-1</f>
        <v>45657</v>
      </c>
      <c r="F13" s="2" t="s">
        <v>10</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84</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87">
        <v>4300</v>
      </c>
      <c r="F8" s="87">
        <v>100</v>
      </c>
      <c r="G8" s="87">
        <v>100</v>
      </c>
      <c r="H8" s="2" t="s">
        <v>86</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87">
        <v>90</v>
      </c>
      <c r="F9" s="87">
        <v>140</v>
      </c>
      <c r="G9" s="87">
        <v>250</v>
      </c>
      <c r="H9" s="2" t="s">
        <v>143</v>
      </c>
      <c r="I9" s="2"/>
      <c r="J9" s="2"/>
      <c r="K9" s="2"/>
    </row>
    <row r="10" spans="1:21" ht="20.100000000000001" customHeight="1" x14ac:dyDescent="0.25">
      <c r="A10" s="17"/>
    </row>
    <row r="11" spans="1:21" ht="20.100000000000001" customHeight="1" x14ac:dyDescent="0.25">
      <c r="A11" s="19" t="s">
        <v>58</v>
      </c>
      <c r="D11" s="6" t="s">
        <v>79</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81</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81</v>
      </c>
      <c r="I19" s="2"/>
    </row>
    <row r="20" spans="1:11" ht="20.100000000000001" customHeight="1" x14ac:dyDescent="0.25">
      <c r="D20" s="1" t="s">
        <v>161</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144</v>
      </c>
      <c r="I20" s="2"/>
      <c r="J20" s="2"/>
      <c r="K20" s="2"/>
    </row>
    <row r="21" spans="1:11" ht="20.100000000000001" customHeight="1" x14ac:dyDescent="0.25">
      <c r="A21" s="17"/>
      <c r="D21" s="1" t="s">
        <v>162</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17</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20</v>
      </c>
      <c r="E10" s="1" t="str" cm="1">
        <f t="array" ref="E10">EntericMethane_Feedlot_Equations.VEERG_3_1_1_1__2_DailyEntericMethaneProduction_Variable()</f>
        <v>M_j</v>
      </c>
    </row>
    <row r="11" spans="1:19" ht="20.100000000000001" customHeight="1" x14ac:dyDescent="0.25">
      <c r="A11" s="19" t="s">
        <v>58</v>
      </c>
      <c r="D11" s="51" t="s">
        <v>11</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Input_Feedlot_FeedIntake_Domestic</f>
        <v>10.4</v>
      </c>
      <c r="N20" s="50">
        <f>Input_Feedlot_FeedIntake_MidFed</f>
        <v>10.8</v>
      </c>
      <c r="O20" s="50">
        <f>Input_Feedlot_FeedIntake_LongFed</f>
        <v>8.1999999999999993</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Input_Feedlot_EtherExtract_Domestic</f>
        <v>4.8</v>
      </c>
      <c r="N25" s="50">
        <f>Input_Feedlot_EtherExtract_MidFed</f>
        <v>5</v>
      </c>
      <c r="O25" s="50">
        <f>Input_Feedlot_EtherExtract_LongFed</f>
        <v>5.5</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Input_Feedlot_NDF_Domestic</f>
        <v>22</v>
      </c>
      <c r="N30" s="50">
        <f>Input_Feedlot_NDF_MidFed</f>
        <v>22</v>
      </c>
      <c r="O30" s="50">
        <f>Input_Feedlot_NDF_LongFed</f>
        <v>24</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8.3664000000000002E-2</v>
      </c>
      <c r="N35" s="50" cm="1">
        <f t="array" ref="N35">EntericMethane_Feedlot_Equations.VEERG_3_1_1_1__2_DailyEntericMethaneProduction(N20,N25,N30)</f>
        <v>8.4908000000000011E-2</v>
      </c>
      <c r="O35" s="50" cm="1">
        <f t="array" ref="O35">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17</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20</v>
      </c>
      <c r="E45" s="1" t="str" cm="1">
        <f t="array" ref="E45">EntericMethane_Feedlot_Equations.VEERG_3_1_1_1__1_TotalAnnualMethaneFromEntericFermentation_Variable()</f>
        <v>E_enteric</v>
      </c>
    </row>
    <row r="46" spans="3:18" ht="20.100000000000001" customHeight="1" x14ac:dyDescent="0.25">
      <c r="D46" s="51" t="s">
        <v>11</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87</v>
      </c>
    </row>
    <row r="53" spans="4:15" ht="20.100000000000001" customHeight="1" x14ac:dyDescent="0.25">
      <c r="D53" s="85" t="s">
        <v>85</v>
      </c>
    </row>
    <row r="54" spans="4:15" ht="20.100000000000001" customHeight="1" x14ac:dyDescent="0.25">
      <c r="D54" s="39" t="s">
        <v>96</v>
      </c>
      <c r="E54" s="39" t="s">
        <v>97</v>
      </c>
      <c r="F54" s="39" t="s">
        <v>98</v>
      </c>
    </row>
    <row r="55" spans="4:15" ht="20.100000000000001" customHeight="1" x14ac:dyDescent="0.25">
      <c r="D55" s="88">
        <f>Input_Feedlot_DurationOfStay_Domestic</f>
        <v>90</v>
      </c>
      <c r="E55" s="88">
        <f>Input_Feedlot_DurationOfStay_MidFed</f>
        <v>140</v>
      </c>
      <c r="F55" s="88">
        <f>Input_Feedlot_DurationOfStay_LongFed</f>
        <v>250</v>
      </c>
      <c r="G55" s="2" t="str">
        <f>G48</f>
        <v>days</v>
      </c>
    </row>
    <row r="56" spans="4:15" ht="20.100000000000001" customHeight="1" x14ac:dyDescent="0.25"/>
    <row r="57" spans="4:15" ht="20.100000000000001" customHeight="1" x14ac:dyDescent="0.25">
      <c r="D57" s="86" t="s">
        <v>88</v>
      </c>
    </row>
    <row r="58" spans="4:15" ht="20.100000000000001" customHeight="1" x14ac:dyDescent="0.25">
      <c r="D58" s="85" t="s">
        <v>89</v>
      </c>
    </row>
    <row r="59" spans="4:15" ht="20.100000000000001" customHeight="1" x14ac:dyDescent="0.25">
      <c r="D59" s="39" t="s">
        <v>96</v>
      </c>
      <c r="E59" s="39" t="s">
        <v>97</v>
      </c>
      <c r="F59" s="39" t="s">
        <v>98</v>
      </c>
    </row>
    <row r="60" spans="4:15" ht="20.100000000000001" customHeight="1" x14ac:dyDescent="0.25">
      <c r="D60" s="88">
        <f>Input_Feedlot_AverageHead_Domestic</f>
        <v>4300</v>
      </c>
      <c r="E60" s="88">
        <f>Input_Feedlot_AverageHead_MidFed</f>
        <v>100</v>
      </c>
      <c r="F60" s="88">
        <f>Input_Feedlot_AverageHead_LongFed</f>
        <v>100</v>
      </c>
      <c r="G60" s="2" t="str">
        <f>G50</f>
        <v>head</v>
      </c>
    </row>
    <row r="61" spans="4:15" ht="20.100000000000001" customHeight="1" x14ac:dyDescent="0.25"/>
    <row r="62" spans="4:15" ht="20.100000000000001" customHeight="1" x14ac:dyDescent="0.25">
      <c r="D62" s="86" t="s">
        <v>186</v>
      </c>
      <c r="M62" s="86" t="s">
        <v>184</v>
      </c>
    </row>
    <row r="63" spans="4:15" ht="20.100000000000001" customHeight="1" x14ac:dyDescent="0.25">
      <c r="D63" s="85" t="s">
        <v>187</v>
      </c>
      <c r="M63" s="85" t="s">
        <v>185</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32.377968000000003</v>
      </c>
      <c r="E65" s="50" cm="1">
        <f t="array" ref="E65">EntericMethane_Feedlot_Equations.VEERG_3_1_1_1__1_TotalAnnualMethaneFromEntericFermentation(E55,E35,E60)</f>
        <v>1.1887120000000002</v>
      </c>
      <c r="F65" s="50" cm="1">
        <f t="array" ref="F65">EntericMethane_Feedlot_Equations.VEERG_3_1_1_1__1_TotalAnnualMethaneFromEntericFermentation(F55,F35,F60)</f>
        <v>1.85355</v>
      </c>
      <c r="G65" s="2" t="str">
        <f>$E$46</f>
        <v>t CH4</v>
      </c>
      <c r="M65" s="50" cm="1">
        <f t="array" ref="M65">EntericMethane_Feedlot_Equations.VEERG_3_1_1_1__1_TotalAnnualMethaneFromEntericFermentation(D55,M35,D60)</f>
        <v>32.377968000000003</v>
      </c>
      <c r="N65" s="50" cm="1">
        <f t="array" ref="N65">EntericMethane_Feedlot_Equations.VEERG_3_1_1_1__1_TotalAnnualMethaneFromEntericFermentation(E55,N35,E60)</f>
        <v>1.1887120000000002</v>
      </c>
      <c r="O65" s="50" cm="1">
        <f t="array" ref="O65">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9" t="s">
        <v>175</v>
      </c>
      <c r="E67" s="90">
        <f>SUM(D65:F65)</f>
        <v>35.420230000000004</v>
      </c>
      <c r="F67" s="91" t="str">
        <f>$E$46</f>
        <v>t CH4</v>
      </c>
      <c r="M67" s="89" t="s">
        <v>176</v>
      </c>
      <c r="N67" s="90">
        <f>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35.420230000000004</v>
      </c>
      <c r="H69" s="2" t="str">
        <f>$E$46</f>
        <v>t CH4</v>
      </c>
      <c r="M69" s="55" t="str" cm="1">
        <f t="array" ref="M69:N70">Common_Equations.Common_ConvertCH4ToCO2e_Arguments()</f>
        <v>ECH4</v>
      </c>
      <c r="N69" s="56" t="str">
        <v>Methane emissions (t CH4)</v>
      </c>
      <c r="O69" s="92"/>
      <c r="P69" s="50">
        <f>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991.7664400000001</v>
      </c>
      <c r="F72" s="93" t="str" cm="1">
        <f t="array" ref="F72">Common_Equations.Common_ConvertN2OToCO2e_Unit()</f>
        <v>t CO2e</v>
      </c>
      <c r="M72" s="45" t="s">
        <v>113</v>
      </c>
      <c r="N72" s="45" cm="1">
        <f t="array" ref="N72">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58</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83</v>
      </c>
      <c r="G25" s="6" t="s">
        <v>119</v>
      </c>
      <c r="J25" s="6" t="s">
        <v>121</v>
      </c>
      <c r="M25" s="1"/>
    </row>
    <row r="26" spans="1:13" ht="20.100000000000001" customHeight="1" x14ac:dyDescent="0.25">
      <c r="M26" s="1"/>
    </row>
    <row r="27" spans="1:13" ht="20.100000000000001" customHeight="1" x14ac:dyDescent="0.25">
      <c r="D27" s="84" t="s">
        <v>50</v>
      </c>
      <c r="E27" s="37" t="s">
        <v>63</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11</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11</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82</v>
      </c>
      <c r="E88" s="37" t="s">
        <v>80</v>
      </c>
      <c r="F88" s="37" t="s">
        <v>65</v>
      </c>
      <c r="G88" s="37" t="s">
        <v>64</v>
      </c>
      <c r="H88" s="37" t="s">
        <v>67</v>
      </c>
      <c r="I88" s="37" t="s">
        <v>66</v>
      </c>
      <c r="J88" s="37" t="s">
        <v>68</v>
      </c>
      <c r="K88" s="37" t="s">
        <v>70</v>
      </c>
      <c r="L88" s="37" t="s">
        <v>71</v>
      </c>
      <c r="M88" s="37" t="s">
        <v>69</v>
      </c>
      <c r="N88" s="37" t="s">
        <v>78</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82</v>
      </c>
      <c r="E100" s="37" t="s">
        <v>80</v>
      </c>
      <c r="F100" s="37" t="s">
        <v>104</v>
      </c>
      <c r="G100" s="37" t="s">
        <v>78</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82</v>
      </c>
      <c r="E112" s="95" t="s">
        <v>80</v>
      </c>
      <c r="F112" s="95" t="s">
        <v>105</v>
      </c>
      <c r="G112" s="95" t="s">
        <v>78</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8588E-62BB-4F39-BBF3-961F1DB77150}">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13</v>
      </c>
      <c r="E6" s="37" t="s">
        <v>14</v>
      </c>
      <c r="F6" s="37" t="s">
        <v>15</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16</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18</v>
      </c>
      <c r="E36" s="37" t="s">
        <v>19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18</v>
      </c>
      <c r="E47" s="37" t="s">
        <v>21</v>
      </c>
      <c r="F47" s="37" t="s">
        <v>22</v>
      </c>
      <c r="G47" s="37" t="s">
        <v>23</v>
      </c>
      <c r="H47" s="37" t="s">
        <v>24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38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26</v>
      </c>
      <c r="F89" s="37" t="s">
        <v>27</v>
      </c>
      <c r="G89" s="37" t="s">
        <v>28</v>
      </c>
      <c r="H89" s="37" t="s">
        <v>29</v>
      </c>
      <c r="I89" s="37" t="s">
        <v>30</v>
      </c>
      <c r="J89" s="37" t="s">
        <v>31</v>
      </c>
      <c r="K89" s="37" t="s">
        <v>32</v>
      </c>
      <c r="L89" s="37" t="s">
        <v>33</v>
      </c>
      <c r="M89" s="37" t="s">
        <v>34</v>
      </c>
      <c r="N89" s="37" t="s">
        <v>35</v>
      </c>
      <c r="O89" s="37" t="s">
        <v>39</v>
      </c>
      <c r="P89" s="37" t="s">
        <v>36</v>
      </c>
      <c r="Q89" s="37" t="s">
        <v>40</v>
      </c>
      <c r="R89" s="37" t="s">
        <v>37</v>
      </c>
      <c r="S89" s="37" t="s">
        <v>41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43</v>
      </c>
      <c r="E109" s="37" t="s">
        <v>26</v>
      </c>
      <c r="F109" s="37" t="s">
        <v>44</v>
      </c>
      <c r="G109" s="37" t="s">
        <v>45</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46</v>
      </c>
      <c r="E119" s="37" t="s">
        <v>47</v>
      </c>
      <c r="F119" s="37" t="s">
        <v>33</v>
      </c>
      <c r="G119" s="37" t="s">
        <v>34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48</v>
      </c>
      <c r="E127" s="37" t="s">
        <v>49</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51</v>
      </c>
      <c r="E153" s="37" t="s">
        <v>52</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42</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61</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62</v>
      </c>
      <c r="E9" s="37" t="s">
        <v>12</v>
      </c>
      <c r="F9" s="37" t="s">
        <v>63</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58</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60</v>
      </c>
    </row>
    <row r="17" spans="1:1" ht="20.100000000000001" customHeight="1" x14ac:dyDescent="0.25">
      <c r="A17" s="62" t="s">
        <v>56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58</v>
      </c>
    </row>
    <row r="22" spans="1:1" ht="20.100000000000001" customHeight="1" x14ac:dyDescent="0.25">
      <c r="A22" s="62" t="s">
        <v>1</v>
      </c>
    </row>
    <row r="23" spans="1:1" ht="20.100000000000001" customHeight="1" x14ac:dyDescent="0.25">
      <c r="A23" s="62" t="s">
        <v>57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60</v>
      </c>
    </row>
    <row r="32" spans="1:1" ht="20.100000000000001" customHeight="1" x14ac:dyDescent="0.25">
      <c r="A32" s="62" t="s">
        <v>56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RQBuAHQAZQByAGkAYwBNAGUAdABoAGEAbgBlAF8ARgBlAGUAZABsAG8AdABfAEUAcQB1AGEAdABpAG8AbgBzAC4AVgBFAEUAUgBHAF8AMwBfADEAXwAxAF8AMQBfAF8AMQBfAFQAbwB0AGEAbABBAG4AbgB1AGEAbABNAGUAdABoAGEAbgBlAEYAcgBvAG0ARQBuAHQAZQByAGkAYwBGAGUAcgBtAGUAbgB0AGEAdABpAG8AbgAiACwAIgBFAG4AdABlAHIAaQBjAE0AZQB0AGgAYQBuAGUAXwBGAGUAZQBkAGwAbwB0AF8ARQBxAHUAYQB0AGkAbwBuAHMALgBWAEUARQBSAEcAXwAzAF8AMQBfADEAXwAxAF8AXwAxAF8AVABvAHQAYQBsAEEAbgBuAHUAYQBsAE0AZQB0AGgAYQBuAGUARgByAG8AbQBFAG4AdABlAHIAaQBjAEYAZQByAG0AZQBuAHQAYQB0AGkAbwBuAF8AVABpAHQAbABlACIALAAiAEUAbgB0AGUAcgBpAGMATQBlAHQAaABhAG4AZQBfAEYAZQBlAGQAbABvAHQAXwBFAHEAdQBhAHQAaQBvAG4AcwAuAFYARQBFAFIARwBfADMAXwAxAF8AMQBfADEAXwBfADEAXwBUAG8AdABhAGwAQQBuAG4AdQBhAGwATQBlAHQAaABhAG4AZQBGAHIAbwBtAEUAbgB0AGUAcgBpAGMARgBlAHIAbQBlAG4AdABhAHQAaQBvAG4AXwBWAGEAcgBpAGEAYgBsAGUAIgAsACIARQBuAHQAZQByAGkAYwBNAGUAdABoAGEAbgBlAF8ARgBlAGUAZABsAG8AdABfAEUAcQB1AGEAdABpAG8AbgBzAC4AVgBFAEUAUgBHAF8AMwBfADEAXwAxAF8AMQBfAF8AMQBfAFQAbwB0AGEAbABBAG4AbgB1AGEAbABNAGUAdABoAGEAbgBlAEYAcgBvAG0ARQBuAHQAZQByAGkAYwBGAGUAcgBtAGUAbgB0AGEAdABpAG8AbgBfAFUAbgBpAHQAIgAsACIARQBuAHQAZQByAGkAYwBNAGUAdABoAGEAbgBlAF8ARgBlAGUAZABsAG8AdABfAEUAcQB1AGEAdABpAG8AbgBzAC4AVgBFAEUAUgBHAF8AMwBfADEAXwAxAF8AMQBfAF8AMQBfAFQAbwB0AGEAbABBAG4AbgB1AGEAbABNAGUAdABoAGEAbgBlAEYAcgBvAG0ARQBuAHQAZQByAGkAYwBGAGUAcgBtAGUAbgB0AGEAdABpAG8AbgBfAFMAbwB1AHIAYwBlACIALAAiAEUAbgB0AGUAcgBpAGMATQBlAHQAaABhAG4AZQBfAEYAZQBlAGQAbABvAHQAXwBFAHEAdQBhAHQAaQBvAG4AcwAuAFYARQBFAFIARwBfADMAXwAxAF8AMQBfADEAXwBfADEAXwBUAG8AdABhAGwAQQBuAG4AdQBhAGwATQBlAHQAaABhAG4AZQBGAHIAbwBtAEUAbgB0AGUAcgBpAGMARgBlAHIAbQBlAG4AdABhAHQAaQBvAG4AXwBOAEkAUgBSAGUAZgBlAHIAZQBuAGMAZQAiACwAIgBFAG4AdABlAHIAaQBjAE0AZQB0AGgAYQBuAGUAXwBGAGUAZQBkAGwAbwB0AF8ARQBxAHUAYQB0AGkAbwBuAHMALgBWAEUARQBSAEcAXwAzAF8AMQBfADEAXwAxAF8AXwAxAF8AVABvAHQAYQBsAEEAbgBuAHUAYQBsAE0AZQB0AGgAYQBuAGUARgByAG8AbQBFAG4AdABlAHIAaQBjAEYAZQByAG0AZQBuAHQAYQB0AGkAbwBuAF8ATABhAHQAZQB4AEUAcQB1AGEAdABpAG8AbgAiACwAIgBFAG4AdABlAHIAaQBjAE0AZQB0AGgAYQBuAGUAXwBGAGUAZQBkAGwAbwB0AF8ARQBxAHUAYQB0AGkAbwBuAHMALgBWAEUARQBSAEcAXwAzAF8AMQBfADEAXwAxAF8AXwAxAF8AVABvAHQAYQBsAEEAbgBuAHUAYQBsAE0AZQB0AGgAYQBuAGUARgByAG8AbQBFAG4AdABlAHIAaQBjAEYAZQByAG0AZQBuAHQAYQB0AGkAbwBuAF8AQQByAGcAdQBtAGUAbgB0AHMAIgAsACIARQBuAHQAZQByAGkAYwBNAGUAdABoAGEAbgBlAF8ARgBlAGUAZABsAG8AdABfAEUAcQB1AGEAdABpAG8AbgBzAC4AVgBFAEUAUgBHAF8AMwBfADEAXwAxAF8AMQBfAF8AMgBfAEQAYQBpAGwAeQBFAG4AdABlAHIAaQBjAE0AZQB0AGgAYQBuAGUAUAByAG8AZAB1AGMAdABpAG8AbgAiACwAIgBFAG4AdABlAHIAaQBjAE0AZQB0AGgAYQBuAGUAXwBGAGUAZQBkAGwAbwB0AF8ARQBxAHUAYQB0AGkAbwBuAHMALgBWAEUARQBSAEcAXwAzAF8AMQBfADEAXwAxAF8AXwAyAF8ARABhAGkAbAB5AEUAbgB0AGUAcgBpAGMATQBlAHQAaABhAG4AZQBQAHIAbwBkAHUAYwB0AGkAbwBuAF8AVABpAHQAbABlACIALAAiAEUAbgB0AGUAcgBpAGMATQBlAHQAaABhAG4AZQBfAEYAZQBlAGQAbABvAHQAXwBFAHEAdQBhAHQAaQBvAG4AcwAuAFYARQBFAFIARwBfADMAXwAxAF8AMQBfADEAXwBfADIAXwBEAGEAaQBsAHkARQBuAHQAZQByAGkAYwBNAGUAdABoAGEAbgBlAFAAcgBvAGQAdQBjAHQAaQBvAG4AXwBWAGEAcgBpAGEAYgBsAGUAIgAsACIARQBuAHQAZQByAGkAYwBNAGUAdABoAGEAbgBlAF8ARgBlAGUAZABsAG8AdABfAEUAcQB1AGEAdABpAG8AbgBzAC4AVgBFAEUAUgBHAF8AMwBfADEAXwAxAF8AMQBfAF8AMgBfAEQAYQBpAGwAeQBFAG4AdABlAHIAaQBjAE0AZQB0AGgAYQBuAGUAUAByAG8AZAB1AGMAdABpAG8AbgBfAFUAbgBpAHQAIgAsACIARQBuAHQAZQByAGkAYwBNAGUAdABoAGEAbgBlAF8ARgBlAGUAZABsAG8AdABfAEUAcQB1AGEAdABpAG8AbgBzAC4AVgBFAEUAUgBHAF8AMwBfADEAXwAxAF8AMQBfAF8AMgBfAEQAYQBpAGwAeQBFAG4AdABlAHIAaQBjAE0AZQB0AGgAYQBuAGUAUAByAG8AZAB1AGMAdABpAG8AbgBfAFMAbwB1AHIAYwBlACIALAAiAEUAbgB0AGUAcgBpAGMATQBlAHQAaABhAG4AZQBfAEYAZQBlAGQAbABvAHQAXwBFAHEAdQBhAHQAaQBvAG4AcwAuAFYARQBFAFIARwBfADMAXwAxAF8AMQBfADEAXwBfADIAXwBEAGEAaQBsAHkARQBuAHQAZQByAGkAYwBNAGUAdABoAGEAbgBlAFAAcgBvAGQAdQBjAHQAaQBvAG4AXwBOAEkAUgBSAGUAZgBlAHIAZQBuAGMAZQAiACwAIgBFAG4AdABlAHIAaQBjAE0AZQB0AGgAYQBuAGUAXwBGAGUAZQBkAGwAbwB0AF8ARQBxAHUAYQB0AGkAbwBuAHMALgBWAEUARQBSAEcAXwAzAF8AMQBfADEAXwAxAF8AXwAyAF8ARABhAGkAbAB5AEUAbgB0AGUAcgBpAGMATQBlAHQAaABhAG4AZQBQAHIAbwBkAHUAYwB0AGkAbwBuAF8ATABhAHQAZQB4AEUAcQB1AGEAdABpAG8AbgAiACwAIgBFAG4AdABlAHIAaQBjAE0AZQB0AGgAYQBuAGUAXwBGAGUAZQBkAGwAbwB0AF8ARQBxAHUAYQB0AGkAbwBuAHMALgBWAEUARQBSAEcAXwAzAF8AMQBfADEAXwAxAF8AXwAyAF8ARABhAGkAbAB5AEUAbgB0AGUAcgBpAGMATQBlAHQAaABhAG4AZQ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32</vt:i4>
      </vt:variant>
    </vt:vector>
  </HeadingPairs>
  <TitlesOfParts>
    <vt:vector size="43"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Common_SourceData_DensityOfMethane_Data</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Table_D_j</vt:lpstr>
      <vt:lpstr>Table_N_j</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2026-07-23T06:16:56Z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