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374AE3A-8F48-4E24-958F-C4F43063A3CF}" xr6:coauthVersionLast="47" xr6:coauthVersionMax="47" xr10:uidLastSave="{00000000-0000-0000-0000-000000000000}"/>
  <bookViews>
    <workbookView xWindow="1755" yWindow="1020" windowWidth="36255" windowHeight="19140" firstSheet="2" activeTab="5"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8"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Dairy_MilkSolidsFatContent_Method1">'Input - Dairy'!$E$55</definedName>
    <definedName name="X_Cell_Dairy_MilkSolidsFatContent_Method2">'Input - Dairy'!$F$55</definedName>
    <definedName name="X_Cell_Dairy_MilkSolidsProteinContent_Method1">'Input - Dairy'!$F$56</definedName>
    <definedName name="X_Cell_Dairy_MilkSolidsProteinContent_Method2">'Input - Dairy'!$F$56</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4" i="69" l="1"/>
  <c r="I37" i="69"/>
  <c r="Q19" i="69"/>
  <c r="P19" i="69"/>
  <c r="O19" i="69"/>
  <c r="N19" i="69"/>
  <c r="M19" i="69"/>
  <c r="H19" i="69"/>
  <c r="G19" i="69"/>
  <c r="F19" i="69"/>
  <c r="E19" i="69"/>
  <c r="D19" i="69"/>
  <c r="I41" i="70"/>
  <c r="H41" i="70"/>
  <c r="G41" i="70"/>
  <c r="F41" i="70"/>
  <c r="E41" i="70"/>
  <c r="I40" i="70"/>
  <c r="H40" i="70"/>
  <c r="G40" i="70"/>
  <c r="F40" i="70"/>
  <c r="E40" i="70"/>
  <c r="G9" i="79" l="1"/>
  <c r="G8" i="79"/>
  <c r="E30" i="15"/>
  <c r="E33" i="15"/>
  <c r="E32" i="15"/>
  <c r="E31" i="15"/>
  <c r="P185" i="69"/>
  <c r="G185" i="69"/>
  <c r="E259" i="108" a="1"/>
  <c r="E259" i="108" s="1"/>
  <c r="D259" i="108" a="1"/>
  <c r="D259" i="108" s="1"/>
  <c r="E258" i="108" a="1"/>
  <c r="E258" i="108" s="1"/>
  <c r="D258" i="108" a="1"/>
  <c r="D258" i="108" s="1"/>
  <c r="D256" i="108" a="1"/>
  <c r="D256" i="108" s="1"/>
  <c r="D255" i="108"/>
  <c r="D255" i="108" a="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c r="D205" i="108" a="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c r="D46" i="108" a="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c r="D35" i="108" a="1"/>
  <c r="D34" i="108"/>
  <c r="D34" i="108" a="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c r="D5" i="108" a="1"/>
  <c r="D6" i="69" a="1"/>
  <c r="D6" i="69" s="1"/>
  <c r="D227" i="79" a="1"/>
  <c r="D227" i="79" s="1"/>
  <c r="F56" i="70" s="1"/>
  <c r="D226" i="79" a="1"/>
  <c r="D226" i="79" s="1"/>
  <c r="D225" i="79" a="1"/>
  <c r="D225" i="79" s="1"/>
  <c r="D224" i="79" a="1"/>
  <c r="D224" i="79" s="1"/>
  <c r="D223" i="79" a="1"/>
  <c r="D223" i="79" s="1"/>
  <c r="D221" i="79" a="1"/>
  <c r="D221" i="79" s="1"/>
  <c r="F55" i="70" s="1"/>
  <c r="D220" i="79" a="1"/>
  <c r="D220" i="79" s="1"/>
  <c r="D219" i="79" a="1"/>
  <c r="D219" i="79" s="1"/>
  <c r="D218" i="79" a="1"/>
  <c r="D218" i="79" s="1"/>
  <c r="D217" i="79" a="1"/>
  <c r="D217" i="79" s="1"/>
  <c r="H49" i="108" l="1"/>
  <c r="H50" i="108"/>
  <c r="H54" i="108"/>
  <c r="H48" i="108"/>
  <c r="H53" i="108"/>
  <c r="H51" i="108"/>
  <c r="H52" i="108"/>
  <c r="E55" i="70"/>
  <c r="I39" i="69" s="1"/>
  <c r="E56" i="70"/>
  <c r="I40" i="69" s="1"/>
  <c r="D56" i="69" a="1"/>
  <c r="D56" i="69" s="1"/>
  <c r="R40" i="69"/>
  <c r="R39" i="69"/>
  <c r="P37" i="69" a="1"/>
  <c r="P37" i="69" s="1"/>
  <c r="M37" i="69" a="1"/>
  <c r="M37" i="69" s="1"/>
  <c r="D75" i="69"/>
  <c r="I66" i="69" a="1"/>
  <c r="I66" i="69" s="1"/>
  <c r="I38" i="69" a="1"/>
  <c r="I38" i="69" s="1"/>
  <c r="D30" i="69" a="1"/>
  <c r="D30" i="69" s="1"/>
  <c r="D45" i="69"/>
  <c r="F52" i="70"/>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Q24" i="69" a="1"/>
  <c r="Q24" i="69" s="1"/>
  <c r="P24" i="69" a="1"/>
  <c r="P24" i="69" s="1"/>
  <c r="O24" i="69" a="1"/>
  <c r="O24" i="69" s="1"/>
  <c r="N24" i="69" a="1"/>
  <c r="N24" i="69" s="1"/>
  <c r="M24" i="69" a="1"/>
  <c r="M2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E36" i="70" s="1"/>
  <c r="D24" i="69" s="1" a="1"/>
  <c r="D24" i="69" s="1"/>
  <c r="D159" i="79" a="1"/>
  <c r="D159" i="79" s="1"/>
  <c r="D158" i="79" a="1"/>
  <c r="D158" i="79" s="1"/>
  <c r="D157" i="79" a="1"/>
  <c r="D157" i="79" s="1"/>
  <c r="D156" i="79" a="1"/>
  <c r="D156" i="79" s="1"/>
  <c r="D150" i="79" a="1"/>
  <c r="D150" i="79" s="1"/>
  <c r="D151" i="79" a="1"/>
  <c r="D151" i="79" s="1"/>
  <c r="D152" i="79" a="1"/>
  <c r="D152" i="79" s="1"/>
  <c r="D153" i="79" a="1"/>
  <c r="D153" i="79" s="1"/>
  <c r="F37" i="70" s="1"/>
  <c r="D149" i="79" a="1"/>
  <c r="D149" i="79" s="1"/>
  <c r="E86" i="69" a="1"/>
  <c r="E57" i="69" a="1"/>
  <c r="E8" i="69" a="1"/>
  <c r="M80" i="69" l="1" a="1"/>
  <c r="M80" i="69" s="1"/>
  <c r="D80" i="69" a="1"/>
  <c r="D80" i="69" s="1"/>
  <c r="R115" i="69"/>
  <c r="F36" i="70"/>
  <c r="G36" i="70"/>
  <c r="H36" i="70"/>
  <c r="G37" i="70"/>
  <c r="I37" i="70"/>
  <c r="H37" i="70"/>
  <c r="E37" i="70"/>
  <c r="I36" i="70"/>
  <c r="I24" i="69"/>
  <c r="R24" i="69"/>
  <c r="E86" i="69"/>
  <c r="P80" i="69" a="1"/>
  <c r="P80" i="69" s="1"/>
  <c r="N80" i="69" a="1"/>
  <c r="N80" i="69" s="1"/>
  <c r="Q80" i="69" a="1"/>
  <c r="Q80" i="69" s="1"/>
  <c r="I80" i="69"/>
  <c r="O80" i="69" a="1"/>
  <c r="O80" i="69" s="1"/>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<sst xmlns="http://schemas.openxmlformats.org/spreadsheetml/2006/main" count="522" uniqueCount="253">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</sst>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9D087D3-C39C-4ECF-9296-8C2C5BE8EE1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69F5BDD-487B-4F3E-ACA1-EFACD7C856E9}" name="State/Territory">
      <calculatedColumnFormula array="1">Common_InputFunctions.Utility_DisplayArrayInTable(Common_SourceData.Common_SourceData_AustralianStatesTerritories_Data(),Table_AustralianStates[[#Headers],[State/Territory]],0)</calculatedColumnFormula>
    </tableColumn>
    <tableColumn id="2" xr3:uid="{AF1BBA32-A027-4F49-8C27-67786F752701}" name="Common Name">
      <calculatedColumnFormula array="1">Common_InputFunctions.Utility_DisplayArrayInTable(Common_SourceData.Common_SourceData_AustralianStatesTerritories_Data(),Table_AustralianStates[[#Headers],[State/Territory]],0)</calculatedColumnFormula>
    </tableColumn>
    <tableColumn id="3" xr3:uid="{0DB3791F-01DF-4F72-B38D-C4988C5A54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4158F32-E265-4A59-AB6D-3DD119B51B2E}" name="Table_WASA4Areas" displayName="Table_WASA4Areas" ref="D20:D30" totalsRowShown="0">
  <autoFilter ref="D20:D30" xr:uid="{5FA81339-C6C8-4D36-BEEA-6C4AEDD9E676}">
    <filterColumn colId="0" hiddenButton="1"/>
  </autoFilter>
  <tableColumns count="1">
    <tableColumn id="1" xr3:uid="{A2B9D84A-A0D3-4183-BBFA-F3315B63AD8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D379F3C-93FE-49D1-A9DC-243D77BD56FD}" name="Table_GWPData" displayName="Table_GWPData" ref="D36:E43" totalsRowShown="0">
  <autoFilter ref="D36:E43" xr:uid="{B8E87A66-3E41-4AD3-925D-01EE21B43D7A}">
    <filterColumn colId="0" hiddenButton="1"/>
    <filterColumn colId="1" hiddenButton="1"/>
  </autoFilter>
  <tableColumns count="2">
    <tableColumn id="1" xr3:uid="{CBC8C518-F94B-428D-BD7A-9E5F6BC0BD6B}" name="Gas">
      <calculatedColumnFormula array="1">Common_InputFunctions.Utility_DisplayArrayInTable(Common_SourceData.Common_SourceData_GWP_Data(), Table_GWPData[[#Headers],[Gas]], 0)</calculatedColumnFormula>
    </tableColumn>
    <tableColumn id="2" xr3:uid="{76E24D37-684F-4F17-AE5B-4D3AB58E9B0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677D3E3-B30E-466C-B39E-A8BED4CDEEA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CDB05B-CC33-4FB9-9E7A-6150D67B2EEB}" name="Gas">
      <calculatedColumnFormula array="1">Common_InputFunctions.Utility_DisplayArrayInTable(Common_SourceData.Common_SourceData_ConvertGasElementalToMolecular_Data(),Table_GasToMolecularConversionFactor[[#Headers],[Gas]], 0)</calculatedColumnFormula>
    </tableColumn>
    <tableColumn id="5" xr3:uid="{04D931B1-A05A-46B4-8DEF-CE9AB9A484DA}" name="Conversion factor">
      <calculatedColumnFormula array="1">Common_InputFunctions.Utility_DisplayArrayInTable(Common_SourceData.Common_SourceData_ConvertGasElementalToMolecular_Data(),Table_GasToMolecularConversionFactor[[#Headers],[Gas]], 0)</calculatedColumnFormula>
    </tableColumn>
    <tableColumn id="2" xr3:uid="{B849BB12-2C5B-4627-BEC5-0BB60049DDD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47D044-2D2D-4BEB-953C-3E76EF21381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5044F31-B483-4A96-AC48-D9508428B5D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2F622CC-E107-46D4-B379-65E951FAD1E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7ECB6B-999A-4BD3-B047-A5AAC859AEA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A6488F9-231D-4939-BDFA-B7CBED91888F}"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ADC6FD29-BC7C-4785-98DB-9C4A3BCEB1D0}"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466645EB-B94B-4DF4-8EA0-096EA00E81FB}"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BE315AAD-BE19-47C8-AB5F-4B616B19F040}"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F314910-84DB-47B1-B381-B405E58B2391}"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2FDF8B6B-762F-4F7C-BAD1-E14E0BEE7BB6}"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07863784-E03B-4255-B45B-3F0FDC32B807}"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8A3A2332-0D79-4AF0-BFF9-195AC9D36A9B}"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1E8A1FA8-7602-40D4-9D62-C0743544DC8C}"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474010DE-FFE2-4FBE-837A-9ABC26E1FFA6}"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6222BDCD-C79D-473D-B3B9-61585F481A20}"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E30A3D94-830C-4D5F-9910-B32467D45A59}"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1C9BEB83-BFDD-4486-A2AF-1A8246AE2001}"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E9C2232B-89B7-4599-807F-84A1995BE780}"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B65144AE-98E9-4B77-A979-5D7E8FD05C90}"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875253-5CC5-4845-9C8E-854D56A6E3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264AE15-9D43-4230-8CF3-005ACA80737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A705B5-3BB9-4F52-AE9B-8647BEFF7A17}"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5C6C6F3-42C4-478B-8346-63E22AD7F87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7C6E4BE-3C22-45E4-A11F-84156B8A3DB9}" name="Temperature Zone">
      <calculatedColumnFormula array="1">Common_InputFunctions.Utility_DisplayArrayInTable(Common_SourceData.Common_SourceData_TemperatureZones_Data(),Table_SourceData_TemperatureZones[[#Headers],[Temperature Zone]],0)</calculatedColumnFormula>
    </tableColumn>
    <tableColumn id="2" xr3:uid="{A48E5EA9-E6CE-4D72-B6E7-3FFE5BDA2E65}" name="MAT">
      <calculatedColumnFormula array="1">Common_InputFunctions.Utility_DisplayArrayInTable(Common_SourceData.Common_SourceData_TemperatureZones_Data(),Table_SourceData_TemperatureZones[[#Headers],[Temperature Zone]],0)</calculatedColumnFormula>
    </tableColumn>
    <tableColumn id="3" xr3:uid="{D7D52AD2-6F75-4510-AEC8-4EAD116F1CAF}" name="Min MAT">
      <calculatedColumnFormula array="1">Common_InputFunctions.Utility_DisplayArrayInTable(Common_SourceData.Common_SourceData_TemperatureZones_Data(),Table_SourceData_TemperatureZones[[#Headers],[Temperature Zone]],0)</calculatedColumnFormula>
    </tableColumn>
    <tableColumn id="4" xr3:uid="{4018D7D4-DF55-44A4-A0F2-6A5A4BCDAB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1766D64-EB6A-4D38-A300-20E5731DD33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19B8F52-B5EA-4032-8B6D-4D220111F85B}" name="Rainfall Zone">
      <calculatedColumnFormula array="1">Common_InputFunctions.Utility_DisplayArrayInTable(Common_SourceData.Common_SourceData_RainfallZones_Data(),Table_SourceData_RainfallZones[[#Headers],[Rainfall Zone]],0)</calculatedColumnFormula>
    </tableColumn>
    <tableColumn id="2" xr3:uid="{FD4A3A19-FF3D-400B-A8C8-A68F33F8F8DA}" name="Annual rainfall">
      <calculatedColumnFormula array="1">Common_InputFunctions.Utility_DisplayArrayInTable(Common_SourceData.Common_SourceData_RainfallZones_Data(),Table_SourceData_RainfallZones[[#Headers],[Rainfall Zone]],0)</calculatedColumnFormula>
    </tableColumn>
    <tableColumn id="3" xr3:uid="{DF5FCECE-AE20-4C0D-BFFD-52B5EBCF500E}" name="Min rainfall">
      <calculatedColumnFormula array="1">Common_InputFunctions.Utility_DisplayArrayInTable(Common_SourceData.Common_SourceData_RainfallZones_Data(),Table_SourceData_RainfallZones[[#Headers],[Rainfall Zone]],0)</calculatedColumnFormula>
    </tableColumn>
    <tableColumn id="4" xr3:uid="{70B09D42-B19F-4924-BAF7-D2F5DBEA0DF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499DCAA-18C0-47FB-820F-1C75670123F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899F97-ECBA-4F0E-A172-2EC8376E16E9}" name="Leaching Zone">
      <calculatedColumnFormula array="1">Common_InputFunctions.Utility_DisplayArrayInTable(Common_SourceData.Common_SourceData_LeachingZones_Data(), Table_SourceData_LeachingZones[[#Headers],[Leaching Zone]], 0)</calculatedColumnFormula>
    </tableColumn>
    <tableColumn id="2" xr3:uid="{A5779332-5060-4201-8975-36DF50DA160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1D758DC-4439-42E7-AC34-1E1F5A0F77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C07B152-4ED2-4190-B16C-BBF4FC9F363C}" name="Data source">
      <calculatedColumnFormula array="1">Common_InputFunctions.Utility_DisplayArrayInTable(Common_SourceData.Common_SourceData_DataScores_Scope3_Data(), Table_SourceData_DataScores_Scope3[[#Headers],[Data source]], 0)</calculatedColumnFormula>
    </tableColumn>
    <tableColumn id="2" xr3:uid="{859033F3-598E-4959-8D88-127300FC8D7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F4B230-8E37-40DD-9E94-BC61E7E40F0B}" name="Table_SourceData_FracWET" displayName="Table_SourceData_FracWET" ref="D134:E136" totalsRowShown="0">
  <autoFilter ref="D134:E136" xr:uid="{308E99BE-FE1F-47A4-B2CA-97217277C4E9}">
    <filterColumn colId="0" hiddenButton="1"/>
    <filterColumn colId="1" hiddenButton="1"/>
  </autoFilter>
  <tableColumns count="2">
    <tableColumn id="1" xr3:uid="{627D4BA3-08BB-4BFD-80C4-18A175949150}" name="Is in leaching zone">
      <calculatedColumnFormula array="1">Common_InputFunctions.Utility_DisplayArrayInTable(Common_SourceData.Common_SourceData_FracWET_Data(),Table_SourceData_FracWET[[#Headers],[Is in leaching zone]],0)</calculatedColumnFormula>
    </tableColumn>
    <tableColumn id="2" xr3:uid="{21DB7D11-31D2-41AB-A91C-AB83B43E2E99}"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D9DD92F-8279-41CA-A21F-DD419B886E1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40C6BA-74D3-4060-9775-3EB0568758BA}" name="Production system j">
      <calculatedColumnFormula array="1">Common_InputFunctions.Utility_DisplayArrayInTable(Common_SourceData.Common_SourceData_EFN2O_Data(), Table_SourceData_Common_EFN2O[[#Headers],[Production system j]], 0)</calculatedColumnFormula>
    </tableColumn>
    <tableColumn id="2" xr3:uid="{A910253C-FA98-4A1C-9476-3F1AAA731272}" name="EFN2O">
      <calculatedColumnFormula array="1">Common_InputFunctions.Utility_DisplayArrayInTable(Common_SourceData.Common_SourceData_EFN2O_Data(), Table_SourceData_Common_EFN2O[[#Headers],[Production system j]], 0)</calculatedColumnFormula>
    </tableColumn>
    <tableColumn id="3" xr3:uid="{95BF6DA5-9C67-423C-801D-4D943EA26E64}" name="Production system only">
      <calculatedColumnFormula array="1">Common_InputFunctions.Utility_DisplayArrayInTable(Common_SourceData.Common_SourceData_EFN2O_Data(), Table_SourceData_Common_EFN2O[[#Headers],[Production system j]], 0)</calculatedColumnFormula>
    </tableColumn>
    <tableColumn id="4" xr3:uid="{B2B411F1-934F-4264-A685-88BBF75752D3}" name="Irrigation method">
      <calculatedColumnFormula array="1">Common_InputFunctions.Utility_DisplayArrayInTable(Common_SourceData.Common_SourceData_EFN2O_Data(), Table_SourceData_Common_EFN2O[[#Headers],[Production system j]], 0)</calculatedColumnFormula>
    </tableColumn>
    <tableColumn id="5" xr3:uid="{BC28A846-827F-49BE-8895-7AF07AC202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129F0C6-DD37-4F92-A9FF-804A02D640C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CEC1953-8E56-4FD4-BC26-3865CAACC286}" name="Irrigation type i">
      <calculatedColumnFormula array="1">Common_InputFunctions.Utility_DisplayArrayInTable(Common_SourceData.Common_SourceData_FracWETIrrigation_Data(), Table_SourceData_FracWETIrrigation[[#Headers],[Irrigation type i]], 0)</calculatedColumnFormula>
    </tableColumn>
    <tableColumn id="2" xr3:uid="{3F42D44F-1CF8-49F4-81D0-03F6A55595DF}"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4CDAAD-6977-4252-B238-B6746EE1D2D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3913DC5-18BF-4429-B563-93C6A8F4168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A849F0-4488-4D62-AD7E-B9EC4921BE0E}"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85EE619-A0C5-4C5C-9D4B-D2DB59E2624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BE0D823-5222-434D-9E2E-2F0E4EFE4D24}" name="Month">
      <calculatedColumnFormula array="1">Common_InputFunctions.Utility_DisplayArrayInTable(Common_SourceData.Common_SourceData_MonthsToSeasons_Data(), Table_SourceData_Common_MonthToSeason[[#Headers],[Month]], 0)</calculatedColumnFormula>
    </tableColumn>
    <tableColumn id="2" xr3:uid="{CAFE497D-DA77-442E-8064-29E27FA514E4}"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B86884D-E319-4505-86F6-43FE2BEEA59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4084F6-B587-4CAE-8739-AC4B37EFE76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BDA08BD-756F-4B06-BAEC-1C98826106F0}"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7303D30-0C89-45D2-B4E1-EA0EF1649503}"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7430C-F8AE-4940-BB83-93D2E45DAF4D}"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F1C7AF5-F58D-4463-857A-E226C8720E94}"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B0ACC6E-B49C-4D66-8D15-452C3D392828}"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3EDE90B-A287-40DA-BAB9-8974CE978C2F}"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E40E181-A636-450F-B6D8-50AAA25151B7}"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3264EAA-7EED-4B15-84F6-E857933D554C}"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6C1257-139D-4E34-B207-7A36AA4BD374}"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F40561E-7552-45AE-BD73-BD4FE67EFCBE}"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F8E8A90-DFE4-49D8-937A-D94686DE505C}"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55860C4-2725-4DA6-8D53-0AF45AFD38DB}"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31DBA3-DB30-4D87-BEA7-2ACCE4C7A076}"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D82C3C0-5829-41E9-9B97-A0692E3C9093}"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0CF46EB-58DB-48D5-9751-7E6B0D642CAB}"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36D9588-FBBA-47AF-B016-117A7CB4C0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DFBEF8F-8540-41EE-B08C-9E7C56290E4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94C142-CC61-437C-87D9-52B720B134A8}"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216</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235</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215</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193</v>
      </c>
      <c r="F6" s="113" t="s">
        <v>194</v>
      </c>
      <c r="G6" s="113" t="s">
        <v>123</v>
      </c>
      <c r="H6" s="113" t="s">
        <v>195</v>
      </c>
      <c r="I6" s="113" t="s">
        <v>196</v>
      </c>
      <c r="J6" s="113" t="s">
        <v>124</v>
      </c>
      <c r="K6" s="24"/>
    </row>
    <row r="7" spans="1:11" ht="20.100000000000001" customHeight="1" x14ac:dyDescent="0.25">
      <c r="A7" s="20" t="s">
        <v>1</v>
      </c>
      <c r="C7" s="24"/>
      <c r="D7" s="1" t="s">
        <v>234</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191</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191</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22" workbookViewId="0">
      <selection activeCell="E40" sqref="E40:I41"/>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163</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160</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161</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162</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161</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162</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159</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16</v>
      </c>
      <c r="E36" s="54">
        <f>'Constants - Dairy'!$D$160</f>
        <v>0.75</v>
      </c>
      <c r="F36" s="54">
        <f>'Constants - Dairy'!$D$160</f>
        <v>0.75</v>
      </c>
      <c r="G36" s="54">
        <f>'Constants - Dairy'!$D$160</f>
        <v>0.75</v>
      </c>
      <c r="H36" s="54">
        <f>'Constants - Dairy'!$D$160</f>
        <v>0.75</v>
      </c>
      <c r="I36" s="54">
        <f>'Constants - Dairy'!$D$160</f>
        <v>0.75</v>
      </c>
      <c r="J36" s="2" t="s">
        <v>93</v>
      </c>
      <c r="K36" s="2"/>
      <c r="L36" s="2"/>
      <c r="M36" s="2"/>
      <c r="R36" s="7"/>
    </row>
    <row r="37" spans="1:18" ht="20.100000000000001" customHeight="1" x14ac:dyDescent="0.25">
      <c r="D37" s="1" t="s">
        <v>101</v>
      </c>
      <c r="E37" s="54">
        <f>'Constants - Dairy'!$D$153</f>
        <v>0.2</v>
      </c>
      <c r="F37" s="54">
        <f>'Constants - Dairy'!$D$153</f>
        <v>0.2</v>
      </c>
      <c r="G37" s="54">
        <f>'Constants - Dairy'!$D$153</f>
        <v>0.2</v>
      </c>
      <c r="H37" s="54">
        <f>'Constants - Dairy'!$D$153</f>
        <v>0.2</v>
      </c>
      <c r="I37" s="54">
        <f>'Constants - Dairy'!$D$153</f>
        <v>0.2</v>
      </c>
      <c r="J37" s="2" t="s">
        <v>93</v>
      </c>
      <c r="K37" s="2"/>
      <c r="L37" s="2"/>
      <c r="M37" s="2"/>
      <c r="R37" s="7"/>
    </row>
    <row r="38" spans="1:18" ht="20.100000000000001" customHeight="1" x14ac:dyDescent="0.25">
      <c r="K38" s="2"/>
      <c r="L38" s="2"/>
      <c r="M38" s="2"/>
      <c r="R38" s="7"/>
    </row>
    <row r="39" spans="1:18" ht="20.100000000000001" customHeight="1" x14ac:dyDescent="0.25">
      <c r="A39" s="17"/>
      <c r="D39" s="64" t="s">
        <v>157</v>
      </c>
      <c r="E39" s="41" t="s">
        <v>128</v>
      </c>
      <c r="F39" s="41" t="s">
        <v>145</v>
      </c>
      <c r="G39" s="41" t="s">
        <v>146</v>
      </c>
      <c r="H39" s="41" t="s">
        <v>147</v>
      </c>
      <c r="I39" s="41" t="s">
        <v>148</v>
      </c>
      <c r="R39" s="7"/>
    </row>
    <row r="40" spans="1:18" ht="20.100000000000001" customHeight="1" x14ac:dyDescent="0.25">
      <c r="D40" s="1" t="s">
        <v>16</v>
      </c>
      <c r="E40" s="67">
        <f>'Constants - Dairy'!$D$160</f>
        <v>0.75</v>
      </c>
      <c r="F40" s="67">
        <f>'Constants - Dairy'!$D$160</f>
        <v>0.75</v>
      </c>
      <c r="G40" s="67">
        <f>'Constants - Dairy'!$D$160</f>
        <v>0.75</v>
      </c>
      <c r="H40" s="67">
        <f>'Constants - Dairy'!$D$160</f>
        <v>0.75</v>
      </c>
      <c r="I40" s="67">
        <f>'Constants - Dairy'!$D$160</f>
        <v>0.75</v>
      </c>
      <c r="J40" s="2" t="s">
        <v>93</v>
      </c>
      <c r="K40" s="2"/>
      <c r="R40" s="7"/>
    </row>
    <row r="41" spans="1:18" ht="20.100000000000001" customHeight="1" x14ac:dyDescent="0.25">
      <c r="A41" s="47"/>
      <c r="D41" s="1" t="s">
        <v>101</v>
      </c>
      <c r="E41" s="67">
        <f>'Constants - Dairy'!$D$153</f>
        <v>0.2</v>
      </c>
      <c r="F41" s="67">
        <f>'Constants - Dairy'!$D$153</f>
        <v>0.2</v>
      </c>
      <c r="G41" s="67">
        <f>'Constants - Dairy'!$D$153</f>
        <v>0.2</v>
      </c>
      <c r="H41" s="67">
        <f>'Constants - Dairy'!$D$153</f>
        <v>0.2</v>
      </c>
      <c r="I41" s="67">
        <f>'Constants - Dairy'!$D$153</f>
        <v>0.2</v>
      </c>
      <c r="J41" s="2" t="s">
        <v>93</v>
      </c>
      <c r="K41" s="2"/>
      <c r="L41" s="2"/>
      <c r="M41" s="2"/>
      <c r="R41" s="7"/>
    </row>
    <row r="42" spans="1:18" ht="20.100000000000001" customHeight="1" x14ac:dyDescent="0.25">
      <c r="K42" s="2"/>
      <c r="L42" s="2"/>
      <c r="M42" s="2"/>
      <c r="R42" s="7"/>
    </row>
    <row r="43" spans="1:18" ht="20.100000000000001" customHeight="1" x14ac:dyDescent="0.25">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237</v>
      </c>
      <c r="E49" s="42" t="s">
        <v>250</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247</v>
      </c>
      <c r="E54" s="41" t="s">
        <v>244</v>
      </c>
      <c r="F54" s="41" t="s">
        <v>245</v>
      </c>
      <c r="R54" s="7"/>
    </row>
    <row r="55" spans="4:18" ht="20.100000000000001" customHeight="1" x14ac:dyDescent="0.25">
      <c r="D55" s="1" t="s">
        <v>242</v>
      </c>
      <c r="E55" s="124">
        <f>'Constants - Dairy'!$D$221/100</f>
        <v>0.04</v>
      </c>
      <c r="F55" s="132">
        <f>'Constants - Dairy'!$D$221/100</f>
        <v>0.04</v>
      </c>
      <c r="G55" s="2" t="s">
        <v>246</v>
      </c>
      <c r="R55" s="7"/>
    </row>
    <row r="56" spans="4:18" ht="20.100000000000001" customHeight="1" x14ac:dyDescent="0.25">
      <c r="D56" s="1" t="s">
        <v>243</v>
      </c>
      <c r="E56" s="124">
        <f>'Constants - Dairy'!$D$227/100</f>
        <v>3.3000000000000002E-2</v>
      </c>
      <c r="F56" s="132">
        <f>'Constants - Dairy'!$D$227/100</f>
        <v>3.3000000000000002E-2</v>
      </c>
      <c r="G56" s="2" t="s">
        <v>246</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abSelected="1" topLeftCell="A167" zoomScaleNormal="100" workbookViewId="0">
      <selection activeCell="N182" sqref="N1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218</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185</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INDEX(X_Table_Dairy_Diet_Method1,2,2)</f>
        <v>0.75</v>
      </c>
      <c r="E19" s="54">
        <f>INDEX(X_Table_Dairy_Diet_Method1,2,3)</f>
        <v>0.75</v>
      </c>
      <c r="F19" s="54">
        <f>INDEX(X_Table_Dairy_Diet_Method1,2,4)</f>
        <v>0.75</v>
      </c>
      <c r="G19" s="54">
        <f>INDEX(X_Table_Dairy_Diet_Method1,2,5)</f>
        <v>0.75</v>
      </c>
      <c r="H19" s="54">
        <f>INDEX(X_Table_Dairy_Diet_Method1,2,6)</f>
        <v>0.75</v>
      </c>
      <c r="I19" s="2" t="s">
        <v>174</v>
      </c>
      <c r="M19" s="54">
        <f>INDEX(X_Table_Dairy_Diet_Method2,2,2)</f>
        <v>0.75</v>
      </c>
      <c r="N19" s="54">
        <f>INDEX(X_Table_Dairy_Diet_Method2,2,3)</f>
        <v>0.75</v>
      </c>
      <c r="O19" s="54">
        <f>INDEX(X_Table_Dairy_Diet_Method2,2,4)</f>
        <v>0.75</v>
      </c>
      <c r="P19" s="54">
        <f>INDEX(X_Table_Dairy_Diet_Method2,2,5)</f>
        <v>0.75</v>
      </c>
      <c r="Q19" s="54">
        <f>INDEX(X_Table_Dairy_Diet_Method2,2,6)</f>
        <v>0.75</v>
      </c>
      <c r="R19" s="2" t="s">
        <v>174</v>
      </c>
    </row>
    <row r="20" spans="1:19" ht="20.100000000000001" customHeight="1" x14ac:dyDescent="0.25"/>
    <row r="21" spans="1:19" ht="20.100000000000001" customHeight="1" x14ac:dyDescent="0.25">
      <c r="D21" s="101" t="s">
        <v>175</v>
      </c>
      <c r="M21" s="101" t="s">
        <v>177</v>
      </c>
    </row>
    <row r="22" spans="1:19" ht="20.100000000000001" customHeight="1" x14ac:dyDescent="0.25">
      <c r="D22" s="100" t="s">
        <v>176</v>
      </c>
      <c r="M22" s="100" t="s">
        <v>178</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X_Cell_Dairy_MilkProductionUnit</f>
        <v>Litres of milk</v>
      </c>
      <c r="M37" s="122" t="str" cm="1">
        <f t="array" ref="M37:N40">_xlfn.CHOOSECOLS(EntericMethane_Dairy_Equations.VEERG_3_3_1_1__5_MilkProductionFromMilkSolids_Arguments(),1,2)</f>
        <v>MPU</v>
      </c>
      <c r="N37" s="121" t="str">
        <v>input milk production unit</v>
      </c>
      <c r="O37" s="123"/>
      <c r="P37" s="122" t="str" cm="1">
        <f t="array" ref="P37:Q40">_xlfn.CHOOSECOLS(EntericMethane_Dairy_Equations.VEERG_3_3_1_1__5_MilkProductionFromMilkSolids_Arguments(),3,4)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18" t="str">
        <v>Constant</v>
      </c>
      <c r="I39" s="122">
        <f>'Input - Dairy'!$E$55*100</f>
        <v>4</v>
      </c>
      <c r="M39" s="122" t="str">
        <v>FC_j</v>
      </c>
      <c r="N39" s="121" t="str">
        <v>fat content in fat and protein corrected milk</v>
      </c>
      <c r="O39" s="123"/>
      <c r="P39" s="122" t="str">
        <v>per cent</v>
      </c>
      <c r="Q39" s="118" t="str">
        <v>Constant</v>
      </c>
      <c r="R39" s="122">
        <f>'Input - Dairy'!$F$55*100</f>
        <v>4</v>
      </c>
    </row>
    <row r="40" spans="4:18" ht="20.100000000000001" customHeight="1" x14ac:dyDescent="0.25">
      <c r="D40" s="122" t="str">
        <v>PC_j</v>
      </c>
      <c r="E40" s="122" t="str">
        <v>protein content in fat and protein corrected milk</v>
      </c>
      <c r="F40" s="122"/>
      <c r="G40" s="122" t="str">
        <v>per cent</v>
      </c>
      <c r="H40" s="118" t="str">
        <v>Constant</v>
      </c>
      <c r="I40" s="122">
        <f>'Input - Dairy'!$E$56*100</f>
        <v>3.3000000000000003</v>
      </c>
      <c r="M40" s="122" t="str">
        <v>PC_j</v>
      </c>
      <c r="N40" s="122" t="str">
        <v>protein content in fat and protein corrected milk</v>
      </c>
      <c r="O40" s="122"/>
      <c r="P40" s="122" t="str">
        <v>per cent</v>
      </c>
      <c r="Q40" s="118" t="str">
        <v>Constant</v>
      </c>
      <c r="R40" s="122">
        <f>'Input - Dairy'!$F$56*100</f>
        <v>3.3000000000000003</v>
      </c>
    </row>
    <row r="41" spans="4:18" ht="20.100000000000001" customHeight="1" x14ac:dyDescent="0.25"/>
    <row r="42" spans="4:18" ht="20.100000000000001" customHeight="1" x14ac:dyDescent="0.25">
      <c r="D42" s="101" t="s">
        <v>238</v>
      </c>
    </row>
    <row r="43" spans="4:18" ht="20.100000000000001" customHeight="1" x14ac:dyDescent="0.25">
      <c r="D43" s="100" t="s">
        <v>239</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181</v>
      </c>
    </row>
    <row r="46" spans="4:18" ht="20.100000000000001" customHeight="1" x14ac:dyDescent="0.25"/>
    <row r="47" spans="4:18" ht="20.100000000000001" customHeight="1" x14ac:dyDescent="0.25">
      <c r="D47" s="101" t="s">
        <v>240</v>
      </c>
      <c r="M47" s="101" t="s">
        <v>248</v>
      </c>
    </row>
    <row r="48" spans="4:18" ht="20.100000000000001" customHeight="1" x14ac:dyDescent="0.25">
      <c r="D48" s="100" t="s">
        <v>241</v>
      </c>
      <c r="M48" s="100" t="s">
        <v>249</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181</v>
      </c>
      <c r="M50" s="54" cm="1">
        <f t="array" ref="M50">EntericMethane_Dairy_Equations.VEERG_3_3_1_1__5_MilkProductionFromMilkSolids(D45,R39,R40)</f>
        <v>0</v>
      </c>
      <c r="N50" s="54">
        <v>0</v>
      </c>
      <c r="O50" s="54">
        <v>0</v>
      </c>
      <c r="P50" s="54">
        <v>0</v>
      </c>
      <c r="Q50" s="54">
        <v>0</v>
      </c>
      <c r="R50" s="2" t="s">
        <v>181</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X_Cell_Dairy_MilkProductionUnit</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'Constants - Dairy'!$D$167</f>
        <v>3.0539999999999998</v>
      </c>
    </row>
    <row r="68" spans="4:18" ht="20.100000000000001" customHeight="1" x14ac:dyDescent="0.25">
      <c r="D68" s="122" t="str">
        <v>GEC</v>
      </c>
      <c r="E68" s="121" t="str">
        <v>gross energy content</v>
      </c>
      <c r="F68" s="123"/>
      <c r="G68" s="122" t="str">
        <v>MJ/kgDM</v>
      </c>
      <c r="H68" s="118" t="str">
        <v>Constant</v>
      </c>
      <c r="I68" s="122">
        <f>'Constants - Dairy'!$D$174</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'Constants - Dairy'!$D$181</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184</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181</v>
      </c>
    </row>
    <row r="76" spans="4:18" ht="20.100000000000001" customHeight="1" x14ac:dyDescent="0.25"/>
    <row r="77" spans="4:18" ht="20.100000000000001" customHeight="1" x14ac:dyDescent="0.25">
      <c r="D77" s="101" t="s">
        <v>179</v>
      </c>
      <c r="M77" s="101" t="s">
        <v>182</v>
      </c>
    </row>
    <row r="78" spans="4:18" ht="20.100000000000001" customHeight="1" x14ac:dyDescent="0.25">
      <c r="D78" s="100" t="s">
        <v>180</v>
      </c>
      <c r="M78" s="100" t="s">
        <v>183</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164</v>
      </c>
      <c r="M97" s="101" t="s">
        <v>166</v>
      </c>
    </row>
    <row r="98" spans="1:18" ht="20.100000000000001" customHeight="1" x14ac:dyDescent="0.25">
      <c r="D98" s="100" t="s">
        <v>165</v>
      </c>
      <c r="M98" s="100" t="s">
        <v>167</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168</v>
      </c>
      <c r="M102" s="101" t="s">
        <v>170</v>
      </c>
    </row>
    <row r="103" spans="1:18" ht="20.100000000000001" customHeight="1" x14ac:dyDescent="0.25">
      <c r="D103" s="100" t="s">
        <v>169</v>
      </c>
      <c r="M103" s="100" t="s">
        <v>171</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172</v>
      </c>
    </row>
    <row r="108" spans="1:18" ht="20.100000000000001" customHeight="1" x14ac:dyDescent="0.25">
      <c r="D108" s="100" t="s">
        <v>173</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187</v>
      </c>
      <c r="M113" s="100" t="s">
        <v>186</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219</v>
      </c>
      <c r="M129" s="101" t="s">
        <v>221</v>
      </c>
    </row>
    <row r="130" spans="3:19" ht="20.100000000000001" customHeight="1" x14ac:dyDescent="0.25">
      <c r="D130" s="100" t="s">
        <v>220</v>
      </c>
      <c r="M130" s="100" t="s">
        <v>222</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223</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188</v>
      </c>
      <c r="M162" s="101" t="s">
        <v>189</v>
      </c>
    </row>
    <row r="163" spans="4:18" ht="20.100000000000001" customHeight="1" x14ac:dyDescent="0.25">
      <c r="D163" s="100" t="s">
        <v>224</v>
      </c>
      <c r="M163" s="100" t="s">
        <v>226</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229</v>
      </c>
      <c r="M167" s="101" t="s">
        <v>227</v>
      </c>
    </row>
    <row r="168" spans="4:18" ht="20.100000000000001" customHeight="1" x14ac:dyDescent="0.25">
      <c r="D168" s="100" t="s">
        <v>225</v>
      </c>
      <c r="M168" s="100" t="s">
        <v>228</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230</v>
      </c>
    </row>
    <row r="173" spans="4:18" ht="20.100000000000001" customHeight="1" x14ac:dyDescent="0.25">
      <c r="D173" s="100" t="s">
        <v>225</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231</v>
      </c>
      <c r="M177" s="101" t="s">
        <v>231</v>
      </c>
    </row>
    <row r="178" spans="1:18" ht="20.100000000000001" customHeight="1" x14ac:dyDescent="0.25">
      <c r="A178" s="125" t="str">
        <f>HYPERLINK("#A1", "▲ Back to top")</f>
        <v>▲ Back to top</v>
      </c>
      <c r="D178" s="100" t="s">
        <v>232</v>
      </c>
      <c r="M178" s="100" t="s">
        <v>232</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233</v>
      </c>
      <c r="E182" s="104">
        <f>SUM(D180:H180)</f>
        <v>32.464682683989999</v>
      </c>
      <c r="F182" s="105" t="str">
        <f>$E$146</f>
        <v>t CH4</v>
      </c>
      <c r="M182" s="103" t="s">
        <v>233</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C5093-53DA-454A-9B4A-8C21A9DD752C}">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190</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197</v>
      </c>
      <c r="E212" s="39" t="s">
        <v>198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200</v>
      </c>
      <c r="F231" s="38" t="s">
        <v>201</v>
      </c>
      <c r="G231" s="39" t="s">
        <v>202</v>
      </c>
      <c r="H231" s="39" t="s">
        <v>203</v>
      </c>
      <c r="I231" s="39" t="s">
        <v>204</v>
      </c>
      <c r="J231" s="39" t="s">
        <v>205</v>
      </c>
      <c r="K231" s="39" t="s">
        <v>206</v>
      </c>
      <c r="L231" s="39" t="s">
        <v>207</v>
      </c>
      <c r="M231" s="39" t="s">
        <v>208</v>
      </c>
      <c r="N231" s="39" t="s">
        <v>209</v>
      </c>
      <c r="O231" s="39" t="s">
        <v>210</v>
      </c>
      <c r="P231" s="39" t="s">
        <v>211</v>
      </c>
      <c r="Q231" s="39" t="s">
        <v>212</v>
      </c>
      <c r="R231" s="39" t="s">
        <v>213</v>
      </c>
      <c r="S231" s="39" t="s">
        <v>214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251</v>
      </c>
      <c r="E257" s="39" t="s">
        <v>252</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60</vt:i4>
      </vt:variant>
    </vt:vector>
  </HeadingPairs>
  <TitlesOfParts>
    <vt:vector size="7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2026-07-22T05:18:10Z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