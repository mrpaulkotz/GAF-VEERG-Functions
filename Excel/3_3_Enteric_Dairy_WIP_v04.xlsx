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2590345-C4B9-4651-B808-B580B2BAE45C}" xr6:coauthVersionLast="47" xr6:coauthVersionMax="47" xr10:uidLastSave="{00000000-0000-0000-0000-000000000000}"/>
  <bookViews>
    <workbookView xWindow="3900" yWindow="3900" windowWidth="28800" windowHeight="15345" firstSheet="7" activeTab="7"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8" r:id="rId8"/>
    <sheet name="Constants - Livestock" sheetId="43" r:id="rId9"/>
    <sheet name="Acknowledgements" sheetId="72" r:id="rId10"/>
  </sheets>
  <externalReferences>
    <externalReference r:id="rId11"/>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9" l="1"/>
  <c r="G8" i="79"/>
  <c r="E30" i="15"/>
  <c r="E33" i="15"/>
  <c r="E32" i="15"/>
  <c r="E31" i="15"/>
  <c r="P185" i="69"/>
  <c r="G185" i="69"/>
  <c r="E259" i="108" a="1"/>
  <c r="E259" i="108" s="1"/>
  <c r="D259" i="108" a="1"/>
  <c r="D259" i="108" s="1"/>
  <c r="E258" i="108" a="1"/>
  <c r="E258" i="108" s="1"/>
  <c r="D258" i="108" a="1"/>
  <c r="D258" i="108" s="1"/>
  <c r="D256" i="108" a="1"/>
  <c r="D256" i="108" s="1"/>
  <c r="D255" i="108"/>
  <c r="D255" i="108" a="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c r="D205" i="108" a="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c r="D46" i="108" a="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c r="D35" i="108" a="1"/>
  <c r="D34" i="108"/>
  <c r="D34" i="108" a="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c r="D5" i="108" a="1"/>
  <c r="D6" i="69" a="1"/>
  <c r="D6" i="69" s="1"/>
  <c r="D227" i="79" a="1"/>
  <c r="D227" i="79" s="1"/>
  <c r="F56" i="70" s="1"/>
  <c r="D226" i="79" a="1"/>
  <c r="D226" i="79" s="1"/>
  <c r="D225" i="79" a="1"/>
  <c r="D225" i="79" s="1"/>
  <c r="D224" i="79" a="1"/>
  <c r="D224" i="79" s="1"/>
  <c r="D223" i="79" a="1"/>
  <c r="D223" i="79" s="1"/>
  <c r="D221" i="79" a="1"/>
  <c r="D221" i="79" s="1"/>
  <c r="F55" i="70" s="1"/>
  <c r="D220" i="79" a="1"/>
  <c r="D220" i="79" s="1"/>
  <c r="D219" i="79" a="1"/>
  <c r="D219" i="79" s="1"/>
  <c r="D218" i="79" a="1"/>
  <c r="D218" i="79" s="1"/>
  <c r="D217" i="79" a="1"/>
  <c r="D217" i="79" s="1"/>
  <c r="H49" i="108" l="1"/>
  <c r="H50" i="108"/>
  <c r="H54" i="108"/>
  <c r="H48" i="108"/>
  <c r="H53" i="108"/>
  <c r="H51" i="108"/>
  <c r="H52" i="108"/>
  <c r="E55" i="70"/>
  <c r="I39" i="69" s="1"/>
  <c r="E56" i="70"/>
  <c r="I40" i="69" s="1"/>
  <c r="D56" i="69" a="1"/>
  <c r="D56" i="69" s="1"/>
  <c r="R40" i="69"/>
  <c r="R39" i="69"/>
  <c r="P37" i="69" a="1"/>
  <c r="P37" i="69" s="1"/>
  <c r="M37" i="69" a="1"/>
  <c r="M37" i="69" s="1"/>
  <c r="I64" i="69"/>
  <c r="D75" i="69" s="1"/>
  <c r="I66" i="69" a="1"/>
  <c r="I66" i="69" s="1"/>
  <c r="I38" i="69" a="1"/>
  <c r="I38" i="69" s="1"/>
  <c r="D30" i="69" a="1"/>
  <c r="D30" i="69" s="1"/>
  <c r="I37" i="69"/>
  <c r="D45" i="69" s="1"/>
  <c r="F52" i="70"/>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Q19" i="69"/>
  <c r="Q24" i="69" s="1" a="1"/>
  <c r="Q24" i="69" s="1"/>
  <c r="P19" i="69"/>
  <c r="P24" i="69" s="1" a="1"/>
  <c r="P24" i="69" s="1"/>
  <c r="O19" i="69"/>
  <c r="O24" i="69" s="1" a="1"/>
  <c r="O24" i="69" s="1"/>
  <c r="N19" i="69"/>
  <c r="N24" i="69" s="1" a="1"/>
  <c r="N24" i="69" s="1"/>
  <c r="M19" i="69"/>
  <c r="M24" i="69" s="1" a="1"/>
  <c r="M2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E37" i="70" s="1"/>
  <c r="D19" i="69" s="1"/>
  <c r="D24" i="69" s="1" a="1"/>
  <c r="D24" i="69" s="1"/>
  <c r="D159" i="79" a="1"/>
  <c r="D159" i="79" s="1"/>
  <c r="D158" i="79" a="1"/>
  <c r="D158" i="79" s="1"/>
  <c r="D157" i="79" a="1"/>
  <c r="D157" i="79" s="1"/>
  <c r="D156" i="79" a="1"/>
  <c r="D156" i="79" s="1"/>
  <c r="D150" i="79" a="1"/>
  <c r="D150" i="79" s="1"/>
  <c r="D151" i="79" a="1"/>
  <c r="D151" i="79" s="1"/>
  <c r="D152" i="79" a="1"/>
  <c r="D152" i="79" s="1"/>
  <c r="D153" i="79" a="1"/>
  <c r="D153" i="79" s="1"/>
  <c r="F38" i="70" s="1"/>
  <c r="D149" i="79" a="1"/>
  <c r="D149" i="79" s="1"/>
  <c r="E8" i="69" a="1"/>
  <c r="E57" i="69" a="1"/>
  <c r="E86" i="69" a="1"/>
  <c r="M80" i="69" l="1" a="1"/>
  <c r="M80" i="69" s="1"/>
  <c r="D80" i="69" a="1"/>
  <c r="D80" i="69" s="1"/>
  <c r="R115" i="69"/>
  <c r="F37" i="70"/>
  <c r="E19" i="69" s="1"/>
  <c r="G37" i="70"/>
  <c r="F19" i="69" s="1"/>
  <c r="H37" i="70"/>
  <c r="G19" i="69" s="1"/>
  <c r="G38" i="70"/>
  <c r="I38" i="70"/>
  <c r="H38" i="70"/>
  <c r="E38" i="70"/>
  <c r="I37" i="70"/>
  <c r="H19" i="69" s="1"/>
  <c r="I24" i="69"/>
  <c r="R24" i="69"/>
  <c r="E86" i="69"/>
  <c r="P80" i="69" a="1"/>
  <c r="P80" i="69" s="1"/>
  <c r="N80" i="69" a="1"/>
  <c r="N80" i="69" s="1"/>
  <c r="Q80" i="69" a="1"/>
  <c r="Q80" i="69" s="1"/>
  <c r="I80" i="69"/>
  <c r="O80" i="69" a="1"/>
  <c r="O80" i="69" s="1"/>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M165" i="69"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O165" i="69" s="1"/>
  <c r="H25" i="70" a="1"/>
  <c r="H25" i="70" s="1"/>
  <c r="H28" i="70" a="1"/>
  <c r="H28" i="70" s="1"/>
  <c r="P165" i="69" s="1"/>
  <c r="I25" i="70" a="1"/>
  <c r="I25" i="70" s="1"/>
  <c r="F25" i="70" a="1"/>
  <c r="F25" i="70" s="1"/>
  <c r="F28" i="70" a="1"/>
  <c r="F28" i="70" s="1"/>
  <c r="N165" i="69" s="1"/>
  <c r="E24" i="70" a="1"/>
  <c r="E24" i="70" s="1"/>
  <c r="D165" i="69" s="1"/>
  <c r="I28" i="70" a="1"/>
  <c r="I28" i="70" s="1"/>
  <c r="Q165" i="69" s="1"/>
  <c r="F24" i="70" a="1"/>
  <c r="F24" i="70" s="1"/>
  <c r="E165" i="69" s="1"/>
  <c r="G24" i="70" a="1"/>
  <c r="G24" i="70" s="1"/>
  <c r="F165" i="69" s="1"/>
  <c r="H24" i="70" a="1"/>
  <c r="H24" i="70" s="1"/>
  <c r="G165" i="69" s="1"/>
  <c r="I24" i="70" a="1"/>
  <c r="I24" i="70" s="1"/>
  <c r="H165" i="69" s="1"/>
  <c r="E25" i="70" a="1"/>
  <c r="E25" i="70" s="1"/>
  <c r="D170" i="69" s="1"/>
  <c r="G29" i="70" l="1"/>
  <c r="I29" i="70"/>
  <c r="F29" i="70"/>
  <c r="H29" i="70"/>
  <c r="E29" i="70"/>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P184" i="69" l="1"/>
  <c r="N187" i="69" s="1" a="1"/>
  <c r="N187" i="69" s="1"/>
  <c r="I7" i="13" s="1"/>
  <c r="I8" i="13" s="1"/>
  <c r="G184" i="69"/>
  <c r="E187" i="69" s="1" a="1"/>
  <c r="E187" i="69" s="1"/>
  <c r="H7" i="13" s="1"/>
  <c r="H8" i="13" s="1"/>
  <c r="E7" i="13"/>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 r="E29" i="15"/>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<sst xmlns="http://schemas.openxmlformats.org/spreadsheetml/2006/main" count="526" uniqueCount="255">
  <si>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</si>
  <si>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</si>
  <si>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</si>
  <si>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</si>
  <si>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</si>
  <si>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</si>
  <si>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</si>
  <si>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</si>
  <si>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</si>
  <si>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</si>
  <si>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</si>
  <si>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</si>
  <si>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</si>
  <si>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</si>
  <si>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</si>
  <si>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</si>
  <si>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</si>
  <si>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</si>
  <si>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</si>
  <si>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</si>
  <si>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</si>
  <si>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</si>
  <si>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</si>
  <si>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</si>
  <si>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</si>
  <si>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</si>
  <si>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</si>
  <si>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</si>
  <si>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</si>
  <si>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</si>
  <si>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</si>
  <si>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</si>
  <si>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</si>
  <si>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</si>
  <si>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</si>
  <si>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</si>
  <si>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</si>
  <si>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</si>
  <si>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</si>
  <si>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</si>
  <si>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</si>
  <si>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</si>
  <si>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</si>
  <si>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</si>
  <si>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</si>
  <si>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</si>
  <si>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</si>
  <si>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</si>
  <si>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</si>
  <si>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</si>
  <si>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</si>
  <si>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</si>
  <si>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</si>
  <si>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</si>
  <si>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</si>
  <si>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</si>
  <si>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</si>
  <si>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</si>
  <si>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</si>
  <si>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</si>
  <si>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</si>
  <si>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</si>
  <si>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</si>
  <si>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</si>
  <si>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</si>
  <si>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</si>
  <si>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</si>
  <si>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</si>
  <si>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</si>
  <si>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</si>
  <si>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</si>
  <si>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</si>
  <si>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</si>
  <si>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</si>
  <si>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</si>
  <si>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</si>
  <si>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</si>
  <si>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</si>
  <si>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</si>
  <si>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</si>
  <si>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</si>
  <si>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</si>
  <si>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</si>
  <si>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</si>
  <si>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</si>
  <si>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</si>
  <si>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</si>
  <si>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</si>
  <si>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</si>
  <si>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</si>
  <si>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</si>
  <si>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</si>
  <si>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</si>
  <si>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</si>
  <si>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</si>
  <si>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New South Wales</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</si>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</sst>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3"/>
      <tableStyleElement type="headerRow" dxfId="92"/>
      <tableStyleElement type="totalRow" dxfId="91"/>
      <tableStyleElement type="firstColumn" dxfId="90"/>
      <tableStyleElement type="firstRowStripe" dxfId="89"/>
      <tableStyleElement type="secondRowStripe" dxfId="88"/>
    </tableStyle>
    <tableStyle name="Equation table" pivot="0" count="6" xr9:uid="{B247698E-E41D-4CCD-AA0A-C14817E9DE65}">
      <tableStyleElement type="wholeTable" dxfId="87"/>
      <tableStyleElement type="headerRow" dxfId="86"/>
      <tableStyleElement type="totalRow" dxfId="85"/>
      <tableStyleElement type="firstColumn" dxfId="84"/>
      <tableStyleElement type="firstRowStripe" dxfId="83"/>
      <tableStyleElement type="secondRowStripe" dxfId="82"/>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sheetMetadata" Target="metadata.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1"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80"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7"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5"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4"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3"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70"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9"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5"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4"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3"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2"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1"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60"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9"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8"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6"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8"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6"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9D087D3-C39C-4ECF-9296-8C2C5BE8EE1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69F5BDD-487B-4F3E-ACA1-EFACD7C856E9}" name="State/Territory">
      <calculatedColumnFormula array="1">Common_InputFunctions.Utility_DisplayArrayInTable(Common_SourceData.Common_SourceData_AustralianStatesTerritories_Data(),Table_AustralianStates[[#Headers],[State/Territory]],0)</calculatedColumnFormula>
    </tableColumn>
    <tableColumn id="2" xr3:uid="{AF1BBA32-A027-4F49-8C27-67786F752701}" name="Common Name">
      <calculatedColumnFormula array="1">Common_InputFunctions.Utility_DisplayArrayInTable(Common_SourceData.Common_SourceData_AustralianStatesTerritories_Data(),Table_AustralianStates[[#Headers],[State/Territory]],0)</calculatedColumnFormula>
    </tableColumn>
    <tableColumn id="3" xr3:uid="{0DB3791F-01DF-4F72-B38D-C4988C5A54A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4158F32-E265-4A59-AB6D-3DD119B51B2E}" name="Table_WASA4Areas" displayName="Table_WASA4Areas" ref="D20:D30" totalsRowShown="0">
  <autoFilter ref="D20:D30" xr:uid="{5FA81339-C6C8-4D36-BEEA-6C4AEDD9E676}">
    <filterColumn colId="0" hiddenButton="1"/>
  </autoFilter>
  <tableColumns count="1">
    <tableColumn id="1" xr3:uid="{A2B9D84A-A0D3-4183-BBFA-F3315B63AD8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8D379F3C-93FE-49D1-A9DC-243D77BD56FD}" name="Table_GWPData" displayName="Table_GWPData" ref="D36:E43" totalsRowShown="0">
  <autoFilter ref="D36:E43" xr:uid="{B8E87A66-3E41-4AD3-925D-01EE21B43D7A}">
    <filterColumn colId="0" hiddenButton="1"/>
    <filterColumn colId="1" hiddenButton="1"/>
  </autoFilter>
  <tableColumns count="2">
    <tableColumn id="1" xr3:uid="{CBC8C518-F94B-428D-BD7A-9E5F6BC0BD6B}" name="Gas">
      <calculatedColumnFormula array="1">Common_InputFunctions.Utility_DisplayArrayInTable(Common_SourceData.Common_SourceData_GWP_Data(), Table_GWPData[[#Headers],[Gas]], 0)</calculatedColumnFormula>
    </tableColumn>
    <tableColumn id="2" xr3:uid="{76E24D37-684F-4F17-AE5B-4D3AB58E9B0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677D3E3-B30E-466C-B39E-A8BED4CDEEA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CDB05B-CC33-4FB9-9E7A-6150D67B2EEB}" name="Gas">
      <calculatedColumnFormula array="1">Common_InputFunctions.Utility_DisplayArrayInTable(Common_SourceData.Common_SourceData_ConvertGasElementalToMolecular_Data(),Table_GasToMolecularConversionFactor[[#Headers],[Gas]], 0)</calculatedColumnFormula>
    </tableColumn>
    <tableColumn id="5" xr3:uid="{04D931B1-A05A-46B4-8DEF-CE9AB9A484DA}" name="Conversion factor">
      <calculatedColumnFormula array="1">Common_InputFunctions.Utility_DisplayArrayInTable(Common_SourceData.Common_SourceData_ConvertGasElementalToMolecular_Data(),Table_GasToMolecularConversionFactor[[#Headers],[Gas]], 0)</calculatedColumnFormula>
    </tableColumn>
    <tableColumn id="2" xr3:uid="{B849BB12-2C5B-4627-BEC5-0BB60049DDD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47D044-2D2D-4BEB-953C-3E76EF21381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05044F31-B483-4A96-AC48-D9508428B5D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2F622CC-E107-46D4-B379-65E951FAD1E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27ECB6B-999A-4BD3-B047-A5AAC859AEA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A6488F9-231D-4939-BDFA-B7CBED91888F}"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ADC6FD29-BC7C-4785-98DB-9C4A3BCEB1D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466645EB-B94B-4DF4-8EA0-096EA00E81F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BE315AAD-BE19-47C8-AB5F-4B616B19F04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F314910-84DB-47B1-B381-B405E58B2391}"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2FDF8B6B-762F-4F7C-BAD1-E14E0BEE7BB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07863784-E03B-4255-B45B-3F0FDC32B80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8A3A2332-0D79-4AF0-BFF9-195AC9D36A9B}"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1E8A1FA8-7602-40D4-9D62-C0743544DC8C}"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474010DE-FFE2-4FBE-837A-9ABC26E1FFA6}"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222BDCD-C79D-473D-B3B9-61585F481A20}"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E30A3D94-830C-4D5F-9910-B32467D45A59}"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1C9BEB83-BFDD-4486-A2AF-1A8246AE200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E9C2232B-89B7-4599-807F-84A1995BE780}"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B65144AE-98E9-4B77-A979-5D7E8FD05C90}"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875253-5CC5-4845-9C8E-854D56A6E3F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264AE15-9D43-4230-8CF3-005ACA80737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A705B5-3BB9-4F52-AE9B-8647BEFF7A17}"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95C6C6F3-42C4-478B-8346-63E22AD7F87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7C6E4BE-3C22-45E4-A11F-84156B8A3DB9}" name="Temperature Zone">
      <calculatedColumnFormula array="1">Common_InputFunctions.Utility_DisplayArrayInTable(Common_SourceData.Common_SourceData_TemperatureZones_Data(),Table_SourceData_TemperatureZones[[#Headers],[Temperature Zone]],0)</calculatedColumnFormula>
    </tableColumn>
    <tableColumn id="2" xr3:uid="{A48E5EA9-E6CE-4D72-B6E7-3FFE5BDA2E65}" name="MAT">
      <calculatedColumnFormula array="1">Common_InputFunctions.Utility_DisplayArrayInTable(Common_SourceData.Common_SourceData_TemperatureZones_Data(),Table_SourceData_TemperatureZones[[#Headers],[Temperature Zone]],0)</calculatedColumnFormula>
    </tableColumn>
    <tableColumn id="3" xr3:uid="{D7D52AD2-6F75-4510-AEC8-4EAD116F1CAF}" name="Min MAT">
      <calculatedColumnFormula array="1">Common_InputFunctions.Utility_DisplayArrayInTable(Common_SourceData.Common_SourceData_TemperatureZones_Data(),Table_SourceData_TemperatureZones[[#Headers],[Temperature Zone]],0)</calculatedColumnFormula>
    </tableColumn>
    <tableColumn id="4" xr3:uid="{4018D7D4-DF55-44A4-A0F2-6A5A4BCDAB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1766D64-EB6A-4D38-A300-20E5731DD33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19B8F52-B5EA-4032-8B6D-4D220111F85B}" name="Rainfall Zone">
      <calculatedColumnFormula array="1">Common_InputFunctions.Utility_DisplayArrayInTable(Common_SourceData.Common_SourceData_RainfallZones_Data(),Table_SourceData_RainfallZones[[#Headers],[Rainfall Zone]],0)</calculatedColumnFormula>
    </tableColumn>
    <tableColumn id="2" xr3:uid="{FD4A3A19-FF3D-400B-A8C8-A68F33F8F8DA}" name="Annual rainfall">
      <calculatedColumnFormula array="1">Common_InputFunctions.Utility_DisplayArrayInTable(Common_SourceData.Common_SourceData_RainfallZones_Data(),Table_SourceData_RainfallZones[[#Headers],[Rainfall Zone]],0)</calculatedColumnFormula>
    </tableColumn>
    <tableColumn id="3" xr3:uid="{DF5FCECE-AE20-4C0D-BFFD-52B5EBCF500E}" name="Min rainfall">
      <calculatedColumnFormula array="1">Common_InputFunctions.Utility_DisplayArrayInTable(Common_SourceData.Common_SourceData_RainfallZones_Data(),Table_SourceData_RainfallZones[[#Headers],[Rainfall Zone]],0)</calculatedColumnFormula>
    </tableColumn>
    <tableColumn id="4" xr3:uid="{70B09D42-B19F-4924-BAF7-D2F5DBEA0DF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499DCAA-18C0-47FB-820F-1C75670123F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899F97-ECBA-4F0E-A172-2EC8376E16E9}" name="Leaching Zone">
      <calculatedColumnFormula array="1">Common_InputFunctions.Utility_DisplayArrayInTable(Common_SourceData.Common_SourceData_LeachingZones_Data(), Table_SourceData_LeachingZones[[#Headers],[Leaching Zone]], 0)</calculatedColumnFormula>
    </tableColumn>
    <tableColumn id="2" xr3:uid="{A5779332-5060-4201-8975-36DF50DA1602}"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1D758DC-4439-42E7-AC34-1E1F5A0F77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C07B152-4ED2-4190-B16C-BBF4FC9F363C}" name="Data source">
      <calculatedColumnFormula array="1">Common_InputFunctions.Utility_DisplayArrayInTable(Common_SourceData.Common_SourceData_DataScores_Scope3_Data(), Table_SourceData_DataScores_Scope3[[#Headers],[Data source]], 0)</calculatedColumnFormula>
    </tableColumn>
    <tableColumn id="2" xr3:uid="{859033F3-598E-4959-8D88-127300FC8D7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F4B230-8E37-40DD-9E94-BC61E7E40F0B}" name="Table_SourceData_FracWET" displayName="Table_SourceData_FracWET" ref="D134:E136" totalsRowShown="0">
  <autoFilter ref="D134:E136" xr:uid="{308E99BE-FE1F-47A4-B2CA-97217277C4E9}">
    <filterColumn colId="0" hiddenButton="1"/>
    <filterColumn colId="1" hiddenButton="1"/>
  </autoFilter>
  <tableColumns count="2">
    <tableColumn id="1" xr3:uid="{627D4BA3-08BB-4BFD-80C4-18A175949150}" name="Is in leaching zone">
      <calculatedColumnFormula array="1">Common_InputFunctions.Utility_DisplayArrayInTable(Common_SourceData.Common_SourceData_FracWET_Data(),Table_SourceData_FracWET[[#Headers],[Is in leaching zone]],0)</calculatedColumnFormula>
    </tableColumn>
    <tableColumn id="2" xr3:uid="{21DB7D11-31D2-41AB-A91C-AB83B43E2E99}"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D9DD92F-8279-41CA-A21F-DD419B886E1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E40C6BA-74D3-4060-9775-3EB0568758BA}" name="Production system j">
      <calculatedColumnFormula array="1">Common_InputFunctions.Utility_DisplayArrayInTable(Common_SourceData.Common_SourceData_EFN2O_Data(), Table_SourceData_Common_EFN2O[[#Headers],[Production system j]], 0)</calculatedColumnFormula>
    </tableColumn>
    <tableColumn id="2" xr3:uid="{A910253C-FA98-4A1C-9476-3F1AAA731272}" name="EFN2O">
      <calculatedColumnFormula array="1">Common_InputFunctions.Utility_DisplayArrayInTable(Common_SourceData.Common_SourceData_EFN2O_Data(), Table_SourceData_Common_EFN2O[[#Headers],[Production system j]], 0)</calculatedColumnFormula>
    </tableColumn>
    <tableColumn id="3" xr3:uid="{95BF6DA5-9C67-423C-801D-4D943EA26E64}" name="Production system only">
      <calculatedColumnFormula array="1">Common_InputFunctions.Utility_DisplayArrayInTable(Common_SourceData.Common_SourceData_EFN2O_Data(), Table_SourceData_Common_EFN2O[[#Headers],[Production system j]], 0)</calculatedColumnFormula>
    </tableColumn>
    <tableColumn id="4" xr3:uid="{B2B411F1-934F-4264-A685-88BBF75752D3}" name="Irrigation method">
      <calculatedColumnFormula array="1">Common_InputFunctions.Utility_DisplayArrayInTable(Common_SourceData.Common_SourceData_EFN2O_Data(), Table_SourceData_Common_EFN2O[[#Headers],[Production system j]], 0)</calculatedColumnFormula>
    </tableColumn>
    <tableColumn id="5" xr3:uid="{BC28A846-827F-49BE-8895-7AF07AC2023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129F0C6-DD37-4F92-A9FF-804A02D640C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CEC1953-8E56-4FD4-BC26-3865CAACC286}" name="Irrigation type i">
      <calculatedColumnFormula array="1">Common_InputFunctions.Utility_DisplayArrayInTable(Common_SourceData.Common_SourceData_FracWETIrrigation_Data(), Table_SourceData_FracWETIrrigation[[#Headers],[Irrigation type i]], 0)</calculatedColumnFormula>
    </tableColumn>
    <tableColumn id="2" xr3:uid="{3F42D44F-1CF8-49F4-81D0-03F6A55595D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E4CDAAD-6977-4252-B238-B6746EE1D2D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3913DC5-18BF-4429-B563-93C6A8F4168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84A849F0-4488-4D62-AD7E-B9EC4921BE0E}"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85EE619-A0C5-4C5C-9D4B-D2DB59E2624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BE0D823-5222-434D-9E2E-2F0E4EFE4D24}" name="Month">
      <calculatedColumnFormula array="1">Common_InputFunctions.Utility_DisplayArrayInTable(Common_SourceData.Common_SourceData_MonthsToSeasons_Data(), Table_SourceData_Common_MonthToSeason[[#Headers],[Month]], 0)</calculatedColumnFormula>
    </tableColumn>
    <tableColumn id="2" xr3:uid="{CAFE497D-DA77-442E-8064-29E27FA514E4}"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B86884D-E319-4505-86F6-43FE2BEEA59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44084F6-B587-4CAE-8739-AC4B37EFE76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BDA08BD-756F-4B06-BAEC-1C98826106F0}"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7303D30-0C89-45D2-B4E1-EA0EF1649503}"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6E7430C-F8AE-4940-BB83-93D2E45DAF4D}"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F1C7AF5-F58D-4463-857A-E226C8720E94}"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B0ACC6E-B49C-4D66-8D15-452C3D392828}"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3EDE90B-A287-40DA-BAB9-8974CE978C2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EE40E181-A636-450F-B6D8-50AAA25151B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3264EAA-7EED-4B15-84F6-E857933D554C}"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6C1257-139D-4E34-B207-7A36AA4BD37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F40561E-7552-45AE-BD73-BD4FE67EFCBE}"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F8E8A90-DFE4-49D8-937A-D94686DE505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55860C4-2725-4DA6-8D53-0AF45AFD38DB}"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31DBA3-DB30-4D87-BEA7-2ACCE4C7A076}"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D82C3C0-5829-41E9-9B97-A0692E3C9093}"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0CF46EB-58DB-48D5-9751-7E6B0D642CA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36D9588-FBBA-47AF-B016-117A7CB4C0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DFBEF8F-8540-41EE-B08C-9E7C56290E4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94C142-CC61-437C-87D9-52B720B134A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218</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237</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217</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219</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109</v>
      </c>
      <c r="E6" s="113" t="s">
        <v>195</v>
      </c>
      <c r="F6" s="113" t="s">
        <v>196</v>
      </c>
      <c r="G6" s="113" t="s">
        <v>123</v>
      </c>
      <c r="H6" s="113" t="s">
        <v>197</v>
      </c>
      <c r="I6" s="113" t="s">
        <v>198</v>
      </c>
      <c r="J6" s="113" t="s">
        <v>124</v>
      </c>
      <c r="K6" s="24"/>
    </row>
    <row r="7" spans="1:11" ht="20.100000000000001" customHeight="1" x14ac:dyDescent="0.25">
      <c r="A7" s="20" t="s">
        <v>1</v>
      </c>
      <c r="C7" s="24"/>
      <c r="D7" s="1" t="s">
        <v>236</v>
      </c>
      <c r="E7" s="111">
        <f>'3.3.1.1-2 Enteric Methane'!E182</f>
        <v>32.464682683989999</v>
      </c>
      <c r="F7" s="111">
        <f>'3.3.1.1-2 Enteric Methane'!N182</f>
        <v>32.464682683989999</v>
      </c>
      <c r="G7" s="56" t="str">
        <f>'3.3.1.1-2 Enteric Methane'!$F$182</f>
        <v>t CH4</v>
      </c>
      <c r="H7" s="111">
        <f>'3.3.1.1-2 Enteric Methane'!E187</f>
        <v>909.01111515171999</v>
      </c>
      <c r="I7" s="111">
        <f>'3.3.1.1-2 Enteric Methane'!N187</f>
        <v>909.01111515171999</v>
      </c>
      <c r="J7" s="56" t="s">
        <v>193</v>
      </c>
      <c r="K7" s="24"/>
    </row>
    <row r="8" spans="1:11" ht="20.100000000000001" customHeight="1" x14ac:dyDescent="0.3">
      <c r="A8" s="17" t="str">
        <f>HYPERLINK("#'Input - Site'!A1", "Site")</f>
        <v>Site</v>
      </c>
      <c r="C8" s="24"/>
      <c r="D8" s="31" t="s">
        <v>122</v>
      </c>
      <c r="E8" s="25"/>
      <c r="F8" s="25"/>
      <c r="G8" s="31"/>
      <c r="H8" s="112">
        <f>SUM(H7)</f>
        <v>909.01111515171999</v>
      </c>
      <c r="I8" s="112">
        <f>SUM(I7:I7)</f>
        <v>909.01111515171999</v>
      </c>
      <c r="J8" s="107" t="s">
        <v>193</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DATE(YEAR(E12)+1,MONTH(E12),DAY(E12))-1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95</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E26/E27</f>
        <v>0.45324283559577677</v>
      </c>
      <c r="F29" s="2"/>
    </row>
    <row r="30" spans="1:25" ht="20.100000000000001" customHeight="1" x14ac:dyDescent="0.25">
      <c r="A30"/>
      <c r="D30" s="10" t="s">
        <v>33</v>
      </c>
      <c r="E30" s="54" t="str">
        <f>Common_InputFunctions.Utility_LookupItemFromMinMax(E26,Table_SourceData_RainfallZones[Min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Common_InputFunctions.Utility_LookupItemFromMinMax(E25,Table_SourceData_TemperatureZones[Min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workbookViewId="0">
      <selection activeCell="D52" sqref="D5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149</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96</v>
      </c>
      <c r="N5" s="3"/>
      <c r="R5" s="7"/>
    </row>
    <row r="6" spans="1:23" ht="20.100000000000001" customHeight="1" x14ac:dyDescent="0.25">
      <c r="A6" s="16"/>
      <c r="N6" s="3"/>
      <c r="R6" s="7"/>
    </row>
    <row r="7" spans="1:23" ht="20.100000000000001" customHeight="1" x14ac:dyDescent="0.25">
      <c r="A7" s="20" t="s">
        <v>1</v>
      </c>
      <c r="D7" s="1" t="s">
        <v>127</v>
      </c>
      <c r="E7" s="42" t="s">
        <v>165</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128</v>
      </c>
      <c r="F9" s="41" t="s">
        <v>145</v>
      </c>
      <c r="G9" s="41" t="s">
        <v>146</v>
      </c>
      <c r="H9" s="41" t="s">
        <v>147</v>
      </c>
      <c r="I9" s="41" t="s">
        <v>148</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2">
        <v>100</v>
      </c>
      <c r="F10" s="102">
        <v>100</v>
      </c>
      <c r="G10" s="102">
        <v>100</v>
      </c>
      <c r="H10" s="102">
        <v>100</v>
      </c>
      <c r="I10" s="102">
        <v>100</v>
      </c>
      <c r="J10" s="2" t="s">
        <v>98</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162</v>
      </c>
      <c r="R12" s="7"/>
    </row>
    <row r="13" spans="1:23" ht="20.100000000000001" customHeight="1" x14ac:dyDescent="0.25">
      <c r="A13" s="17"/>
      <c r="D13" s="64" t="s">
        <v>158</v>
      </c>
      <c r="E13" s="41" t="s">
        <v>128</v>
      </c>
      <c r="F13" s="41" t="s">
        <v>145</v>
      </c>
      <c r="G13" s="41" t="s">
        <v>146</v>
      </c>
      <c r="H13" s="41" t="s">
        <v>147</v>
      </c>
      <c r="I13" s="41" t="s">
        <v>148</v>
      </c>
      <c r="R13" s="40"/>
    </row>
    <row r="14" spans="1:23" ht="20.100000000000001" customHeight="1" x14ac:dyDescent="0.25">
      <c r="A14" s="18" t="s">
        <v>2</v>
      </c>
      <c r="D14" s="1" t="s">
        <v>163</v>
      </c>
      <c r="E14" s="54" cm="1">
        <f t="array" ref="E14">Common_InputFunctions.Utility_LookupValueInTableNumber($E$7, Table_SourceData_Dairy_WjCowsHeifers[Breed],Table_SourceData_Dairy_WjCowsHeifers[Milking cows])</f>
        <v>550</v>
      </c>
      <c r="F14" s="54" cm="1">
        <f t="array" ref="F14">Common_InputFunctions.Utility_LookupValueInTableNumber($E$7, Table_SourceData_Dairy_WjCowsHeifers[Breed],Table_SourceData_Dairy_WjCowsHeifers[Heifers &gt; 1])</f>
        <v>380</v>
      </c>
      <c r="G14" s="54" cm="1">
        <f t="array" ref="G14">Common_InputFunctions.Utility_LookupValueInTableNumber($E$7, Table_SourceData_Dairy_WjCowsHeifers[Breed],Table_SourceData_Dairy_WjCowsHeifers[Heifers &lt; 1 (weaned)])</f>
        <v>155</v>
      </c>
      <c r="H14" s="54" cm="1">
        <f t="array" ref="H14">Table_SourceData_Dairy_WjBulls[Bulls &gt; 1]</f>
        <v>600</v>
      </c>
      <c r="I14" s="54" cm="1">
        <f t="array" ref="I14">Table_SourceData_Dairy_WjBulls[Bulls &lt; 1 (weaned)]</f>
        <v>225</v>
      </c>
      <c r="J14" s="2" t="s">
        <v>150</v>
      </c>
      <c r="K14" s="2"/>
      <c r="L14" s="2"/>
      <c r="M14" s="2"/>
      <c r="R14" s="40"/>
    </row>
    <row r="15" spans="1:23" ht="20.100000000000001" customHeight="1" x14ac:dyDescent="0.25">
      <c r="A15" s="17" t="str">
        <f>HYPERLINK("#'Constants - Dairy'!A1", "Constants - Dairy")</f>
        <v>Constants - Dairy</v>
      </c>
      <c r="D15" s="1" t="s">
        <v>164</v>
      </c>
      <c r="E15" s="54" cm="1">
        <f t="array" ref="E15">Table_SourceData_Dairy_LWGj[Milking cows]</f>
        <v>1.6E-2</v>
      </c>
      <c r="F15" s="54" cm="1">
        <f t="array" ref="F15">Table_SourceData_Dairy_LWGj[Heifers &gt; 1]</f>
        <v>0.6</v>
      </c>
      <c r="G15" s="54" cm="1">
        <f t="array" ref="G15">Table_SourceData_Dairy_LWGj[Heifers &lt; 1 (weaned)]</f>
        <v>0.56999999999999995</v>
      </c>
      <c r="H15" s="54" cm="1">
        <f t="array" ref="H15">Table_SourceData_Dairy_LWGj[Bulls &gt; 1]</f>
        <v>0.1</v>
      </c>
      <c r="I15" s="54" cm="1">
        <f t="array" ref="I15">Table_SourceData_Dairy_LWGj[Bulls &lt; 1 (weaned)]</f>
        <v>0.8</v>
      </c>
      <c r="J15" s="2" t="s">
        <v>151</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157</v>
      </c>
      <c r="E17" s="41" t="s">
        <v>128</v>
      </c>
      <c r="F17" s="41" t="s">
        <v>145</v>
      </c>
      <c r="G17" s="41" t="s">
        <v>146</v>
      </c>
      <c r="H17" s="41" t="s">
        <v>147</v>
      </c>
      <c r="I17" s="41" t="s">
        <v>148</v>
      </c>
      <c r="R17" s="7"/>
    </row>
    <row r="18" spans="1:18" ht="20.100000000000001" customHeight="1" x14ac:dyDescent="0.25">
      <c r="A18" s="17" t="str">
        <f>HYPERLINK("#'Acknowledgements'!A1", "Acknowledgements")</f>
        <v>Acknowledgements</v>
      </c>
      <c r="D18" s="1" t="s">
        <v>163</v>
      </c>
      <c r="E18" s="67" cm="1">
        <f t="array" ref="E18">Common_InputFunctions.Utility_LookupValueInTableNumber($E$7, Table_SourceData_Dairy_WjCowsHeifers[Breed],Table_SourceData_Dairy_WjCowsHeifers[Milking cows])</f>
        <v>550</v>
      </c>
      <c r="F18" s="67" cm="1">
        <f t="array" ref="F18">Common_InputFunctions.Utility_LookupValueInTableNumber($E$7, Table_SourceData_Dairy_WjCowsHeifers[Breed],Table_SourceData_Dairy_WjCowsHeifers[Heifers &gt; 1])</f>
        <v>380</v>
      </c>
      <c r="G18" s="67" cm="1">
        <f t="array" ref="G18">Common_InputFunctions.Utility_LookupValueInTableNumber($E$7, Table_SourceData_Dairy_WjCowsHeifers[Breed],Table_SourceData_Dairy_WjCowsHeifers[Heifers &lt; 1 (weaned)])</f>
        <v>155</v>
      </c>
      <c r="H18" s="67" cm="1">
        <f t="array" ref="H18">Table_SourceData_Dairy_WjBulls[Bulls &gt; 1]</f>
        <v>600</v>
      </c>
      <c r="I18" s="67" cm="1">
        <f t="array" ref="I18">Table_SourceData_Dairy_WjBulls[Bulls &lt; 1 (weaned)]</f>
        <v>225</v>
      </c>
      <c r="J18" s="2" t="s">
        <v>150</v>
      </c>
      <c r="K18" s="2"/>
      <c r="L18" s="2"/>
      <c r="M18" s="2"/>
      <c r="R18" s="7"/>
    </row>
    <row r="19" spans="1:18" ht="20.100000000000001" customHeight="1" x14ac:dyDescent="0.25">
      <c r="D19" s="1" t="s">
        <v>164</v>
      </c>
      <c r="E19" s="67" cm="1">
        <f t="array" ref="E19">Table_SourceData_Dairy_LWGj[Milking cows]</f>
        <v>1.6E-2</v>
      </c>
      <c r="F19" s="67" cm="1">
        <f t="array" ref="F19">Table_SourceData_Dairy_LWGj[Heifers &gt; 1]</f>
        <v>0.6</v>
      </c>
      <c r="G19" s="67" cm="1">
        <f t="array" ref="G19">Table_SourceData_Dairy_LWGj[Heifers &lt; 1 (weaned)]</f>
        <v>0.56999999999999995</v>
      </c>
      <c r="H19" s="67" cm="1">
        <f t="array" ref="H19">Table_SourceData_Dairy_LWGj[Bulls &gt; 1]</f>
        <v>0.1</v>
      </c>
      <c r="I19" s="67" cm="1">
        <f t="array" ref="I19">Table_SourceData_Dairy_LWGj[Bulls &lt; 1 (weaned)]</f>
        <v>0.8</v>
      </c>
      <c r="J19" s="2" t="s">
        <v>151</v>
      </c>
      <c r="K19" s="2"/>
      <c r="L19" s="2"/>
      <c r="M19" s="2"/>
      <c r="R19" s="7"/>
    </row>
    <row r="20" spans="1:18" ht="20.100000000000001" customHeight="1" x14ac:dyDescent="0.25">
      <c r="R20" s="7"/>
    </row>
    <row r="21" spans="1:18" ht="20.100000000000001" customHeight="1" x14ac:dyDescent="0.25">
      <c r="D21" s="50" t="s">
        <v>97</v>
      </c>
      <c r="R21" s="7"/>
    </row>
    <row r="22" spans="1:18" ht="20.100000000000001" customHeight="1" x14ac:dyDescent="0.25">
      <c r="R22" s="7"/>
    </row>
    <row r="23" spans="1:18" ht="20.100000000000001" customHeight="1" x14ac:dyDescent="0.25">
      <c r="D23" s="64" t="s">
        <v>158</v>
      </c>
      <c r="E23" s="41" t="s">
        <v>128</v>
      </c>
      <c r="F23" s="41" t="s">
        <v>145</v>
      </c>
      <c r="G23" s="41" t="s">
        <v>146</v>
      </c>
      <c r="H23" s="41" t="s">
        <v>147</v>
      </c>
      <c r="I23" s="41" t="s">
        <v>148</v>
      </c>
      <c r="R23" s="7"/>
    </row>
    <row r="24" spans="1:18" ht="20.100000000000001" customHeight="1" x14ac:dyDescent="0.25">
      <c r="D24" s="1" t="str">
        <f>"Average duration of stay between " &amp; TEXT('Input - Site'!$E$12, "dd mmm yy") &amp; " and " &amp; TEXT('Input - Site'!$E$13,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cm="1">
        <f t="array" ref="F24">Common_InputFunctions.Utility_LookupValueInTableNumber(F23,Table_SourceData_Dairy_Duration[Animal class j],Table_SourceData_Dairy_Duration[Duration (weaned)])</f>
        <v>365</v>
      </c>
      <c r="G24" s="54" cm="1">
        <f t="array" ref="G24">Common_InputFunctions.Utility_LookupValueInTableNumber(G23,Table_SourceData_Dairy_Duration[Animal class j],Table_SourceData_Dairy_Duration[Duration (weaned)])</f>
        <v>281</v>
      </c>
      <c r="H24" s="54" cm="1">
        <f t="array" ref="H24">Common_InputFunctions.Utility_LookupValueInTableNumber(H23,Table_SourceData_Dairy_Duration[Animal class j],Table_SourceData_Dairy_Duration[Duration (weaned)])</f>
        <v>365</v>
      </c>
      <c r="I24" s="54" cm="1">
        <f t="array" ref="I24">Common_InputFunctions.Utility_LookupValueInTableNumber(I23,Table_SourceData_Dairy_Duration[Animal class j],Table_SourceData_Dairy_Duration[Duration (weaned)])</f>
        <v>281</v>
      </c>
      <c r="J24" s="2" t="s">
        <v>52</v>
      </c>
      <c r="K24" s="2"/>
      <c r="L24" s="2"/>
      <c r="M24" s="2"/>
      <c r="R24" s="7"/>
    </row>
    <row r="25" spans="1:18" ht="20.100000000000001" customHeight="1" x14ac:dyDescent="0.25">
      <c r="D25" s="1" t="str">
        <f>"Average duration of stay between " &amp; TEXT('Input - Site'!$E$12, "dd mmm yy") &amp; " and " &amp; TEXT('Input - Site'!$E$13,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cm="1">
        <f t="array" ref="G25">Common_InputFunctions.Utility_LookupValueInTableNumber(G23,Table_SourceData_Dairy_Duration[Animal class j],Table_SourceData_Dairy_Duration[Duration (pre-weaned)])</f>
        <v>84</v>
      </c>
      <c r="H25" s="54" cm="1">
        <f t="array" ref="H25">Common_InputFunctions.Utility_LookupValueInTableNumber(H23,Table_SourceData_Dairy_Duration[Animal class j],Table_SourceData_Dairy_Duration[Duration (pre-weaned)])</f>
        <v>0</v>
      </c>
      <c r="I25" s="54" cm="1">
        <f t="array" ref="I25">Common_InputFunctions.Utility_LookupValueInTableNumber(I23,Table_SourceData_Dairy_Duration[Animal class j],Table_SourceData_Dairy_Duration[Duration (pre-weaned)])</f>
        <v>84</v>
      </c>
      <c r="J25" s="2" t="s">
        <v>52</v>
      </c>
      <c r="K25" s="2"/>
      <c r="L25" s="2"/>
      <c r="M25" s="2"/>
      <c r="R25" s="7"/>
    </row>
    <row r="26" spans="1:18" ht="20.100000000000001" customHeight="1" x14ac:dyDescent="0.25">
      <c r="R26" s="7"/>
    </row>
    <row r="27" spans="1:18" ht="20.100000000000001" customHeight="1" x14ac:dyDescent="0.25">
      <c r="D27" s="64" t="s">
        <v>157</v>
      </c>
      <c r="E27" s="41" t="s">
        <v>128</v>
      </c>
      <c r="F27" s="41" t="s">
        <v>145</v>
      </c>
      <c r="G27" s="41" t="s">
        <v>146</v>
      </c>
      <c r="H27" s="41" t="s">
        <v>147</v>
      </c>
      <c r="I27" s="41" t="s">
        <v>148</v>
      </c>
      <c r="R27" s="7"/>
    </row>
    <row r="28" spans="1:18" ht="20.100000000000001" customHeight="1" x14ac:dyDescent="0.25">
      <c r="D28" s="1" t="str">
        <f>"Average duration of stay between " &amp; TEXT('Input - Site'!$E$12, "dd mmm yy") &amp; " and " &amp; TEXT('Input - Site'!$E$13,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cm="1">
        <f t="array" ref="F28">Common_InputFunctions.Utility_LookupValueInTableNumber(F27,Table_SourceData_Dairy_Duration[Animal class j],Table_SourceData_Dairy_Duration[Duration (weaned)])</f>
        <v>365</v>
      </c>
      <c r="G28" s="67" cm="1">
        <f t="array" ref="G28">Common_InputFunctions.Utility_LookupValueInTableNumber(G27,Table_SourceData_Dairy_Duration[Animal class j],Table_SourceData_Dairy_Duration[Duration (weaned)])</f>
        <v>281</v>
      </c>
      <c r="H28" s="67" cm="1">
        <f t="array" ref="H28">Common_InputFunctions.Utility_LookupValueInTableNumber(H27,Table_SourceData_Dairy_Duration[Animal class j],Table_SourceData_Dairy_Duration[Duration (weaned)])</f>
        <v>365</v>
      </c>
      <c r="I28" s="67" cm="1">
        <f t="array" ref="I28">Common_InputFunctions.Utility_LookupValueInTableNumber(I27,Table_SourceData_Dairy_Duration[Animal class j],Table_SourceData_Dairy_Duration[Duration (weaned)])</f>
        <v>281</v>
      </c>
      <c r="J28" s="2" t="s">
        <v>52</v>
      </c>
      <c r="K28" s="2"/>
      <c r="L28" s="2"/>
      <c r="M28" s="2"/>
      <c r="R28" s="7"/>
    </row>
    <row r="29" spans="1:18" ht="20.100000000000001" customHeight="1" x14ac:dyDescent="0.25">
      <c r="D29" s="1" t="str">
        <f>"Average duration of stay between " &amp; TEXT('Input - Site'!$E$12, "dd mmm yy") &amp; " and " &amp; TEXT('Input - Site'!$E$13, "dd mmm yy") &amp; " pre-weaned livestock"</f>
        <v>Average duration of stay between 01 Jan 24 and 31 Dec 24 pre-weaned livestock</v>
      </c>
      <c r="E29" s="54">
        <f>365-E28</f>
        <v>0</v>
      </c>
      <c r="F29" s="54">
        <f t="shared" ref="F29:I29" si="0">365-F28</f>
        <v>0</v>
      </c>
      <c r="G29" s="54">
        <f t="shared" si="0"/>
        <v>84</v>
      </c>
      <c r="H29" s="54">
        <f t="shared" si="0"/>
        <v>0</v>
      </c>
      <c r="I29" s="54">
        <f t="shared" si="0"/>
        <v>84</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160</v>
      </c>
      <c r="R33" s="7"/>
    </row>
    <row r="34" spans="1:18" ht="20.100000000000001" customHeight="1" x14ac:dyDescent="0.25">
      <c r="D34" s="50"/>
      <c r="R34" s="7"/>
    </row>
    <row r="35" spans="1:18" ht="20.100000000000001" customHeight="1" x14ac:dyDescent="0.25">
      <c r="D35" s="64" t="s">
        <v>158</v>
      </c>
      <c r="E35" s="41" t="s">
        <v>128</v>
      </c>
      <c r="F35" s="41" t="s">
        <v>145</v>
      </c>
      <c r="G35" s="41" t="s">
        <v>146</v>
      </c>
      <c r="H35" s="41" t="s">
        <v>147</v>
      </c>
      <c r="I35" s="41" t="s">
        <v>148</v>
      </c>
      <c r="R35" s="7"/>
    </row>
    <row r="36" spans="1:18" ht="20.100000000000001" customHeight="1" x14ac:dyDescent="0.25">
      <c r="D36" s="1" t="s">
        <v>159</v>
      </c>
      <c r="E36" s="54" cm="1">
        <f t="array" ref="E36">Common_InputFunctions.Utility_LookupValueInTableNumber(E35,Table_SourceData_Dairy_Duration[Animal class j],Table_SourceData_Dairy_Duration[Duration (weaned)])</f>
        <v>365</v>
      </c>
      <c r="F36" s="54" cm="1">
        <f t="array" ref="F36">Common_InputFunctions.Utility_LookupValueInTableNumber(F35,Table_SourceData_Dairy_Duration[Animal class j],Table_SourceData_Dairy_Duration[Duration (weaned)])</f>
        <v>365</v>
      </c>
      <c r="G36" s="54" cm="1">
        <f t="array" ref="G36">Common_InputFunctions.Utility_LookupValueInTableNumber(G35,Table_SourceData_Dairy_Duration[Animal class j],Table_SourceData_Dairy_Duration[Duration (weaned)])</f>
        <v>281</v>
      </c>
      <c r="H36" s="54" cm="1">
        <f t="array" ref="H36">Common_InputFunctions.Utility_LookupValueInTableNumber(H35,Table_SourceData_Dairy_Duration[Animal class j],Table_SourceData_Dairy_Duration[Duration (weaned)])</f>
        <v>365</v>
      </c>
      <c r="I36" s="54" cm="1">
        <f t="array" ref="I36">Common_InputFunctions.Utility_LookupValueInTableNumber(I35,Table_SourceData_Dairy_Duration[Animal class j],Table_SourceData_Dairy_Duration[Duration (weaned)])</f>
        <v>281</v>
      </c>
      <c r="J36" s="2" t="s">
        <v>161</v>
      </c>
      <c r="K36" s="2"/>
      <c r="L36" s="2"/>
      <c r="M36" s="2"/>
      <c r="R36" s="7"/>
    </row>
    <row r="37" spans="1:18" ht="20.100000000000001" customHeight="1" x14ac:dyDescent="0.25">
      <c r="D37" s="1" t="s">
        <v>16</v>
      </c>
      <c r="E37" s="54">
        <f>'Constants - Dairy'!$D$160</f>
        <v>0.75</v>
      </c>
      <c r="F37" s="54">
        <f>'Constants - Dairy'!$D$160</f>
        <v>0.75</v>
      </c>
      <c r="G37" s="54">
        <f>'Constants - Dairy'!$D$160</f>
        <v>0.75</v>
      </c>
      <c r="H37" s="54">
        <f>'Constants - Dairy'!$D$160</f>
        <v>0.75</v>
      </c>
      <c r="I37" s="54">
        <f>'Constants - Dairy'!$D$160</f>
        <v>0.75</v>
      </c>
      <c r="J37" s="2" t="s">
        <v>93</v>
      </c>
      <c r="K37" s="2"/>
      <c r="L37" s="2"/>
      <c r="M37" s="2"/>
      <c r="R37" s="7"/>
    </row>
    <row r="38" spans="1:18" ht="20.100000000000001" customHeight="1" x14ac:dyDescent="0.25">
      <c r="D38" s="1" t="s">
        <v>101</v>
      </c>
      <c r="E38" s="54">
        <f>'Constants - Dairy'!$D$153</f>
        <v>0.2</v>
      </c>
      <c r="F38" s="54">
        <f>'Constants - Dairy'!$D$153</f>
        <v>0.2</v>
      </c>
      <c r="G38" s="54">
        <f>'Constants - Dairy'!$D$153</f>
        <v>0.2</v>
      </c>
      <c r="H38" s="54">
        <f>'Constants - Dairy'!$D$153</f>
        <v>0.2</v>
      </c>
      <c r="I38" s="54">
        <f>'Constants - Dairy'!$D$153</f>
        <v>0.2</v>
      </c>
      <c r="J38" s="2" t="s">
        <v>93</v>
      </c>
      <c r="K38" s="2"/>
      <c r="L38" s="2"/>
      <c r="M38" s="2"/>
      <c r="R38" s="7"/>
    </row>
    <row r="39" spans="1:18" ht="20.100000000000001" customHeight="1" x14ac:dyDescent="0.25">
      <c r="A39" s="17"/>
      <c r="R39" s="7"/>
    </row>
    <row r="40" spans="1:18" ht="20.100000000000001" customHeight="1" x14ac:dyDescent="0.25">
      <c r="D40" s="64" t="s">
        <v>157</v>
      </c>
      <c r="E40" s="41" t="s">
        <v>128</v>
      </c>
      <c r="F40" s="41" t="s">
        <v>145</v>
      </c>
      <c r="G40" s="41" t="s">
        <v>146</v>
      </c>
      <c r="H40" s="41" t="s">
        <v>147</v>
      </c>
      <c r="I40" s="41" t="s">
        <v>148</v>
      </c>
      <c r="R40" s="7"/>
    </row>
    <row r="41" spans="1:18" ht="20.100000000000001" customHeight="1" x14ac:dyDescent="0.25">
      <c r="A41" s="47"/>
      <c r="D41" s="1" t="s">
        <v>159</v>
      </c>
      <c r="E41" s="67" cm="1">
        <f t="array" ref="E41">Common_InputFunctions.Utility_LookupValueInTableNumber(E40,Table_SourceData_Dairy_Duration[Animal class j],Table_SourceData_Dairy_Duration[Duration (weaned)])</f>
        <v>365</v>
      </c>
      <c r="F41" s="67" cm="1">
        <f t="array" ref="F41">Common_InputFunctions.Utility_LookupValueInTableNumber(F40,Table_SourceData_Dairy_Duration[Animal class j],Table_SourceData_Dairy_Duration[Duration (weaned)])</f>
        <v>365</v>
      </c>
      <c r="G41" s="67" cm="1">
        <f t="array" ref="G41">Common_InputFunctions.Utility_LookupValueInTableNumber(G40,Table_SourceData_Dairy_Duration[Animal class j],Table_SourceData_Dairy_Duration[Duration (weaned)])</f>
        <v>281</v>
      </c>
      <c r="H41" s="67" cm="1">
        <f t="array" ref="H41">Common_InputFunctions.Utility_LookupValueInTableNumber(H40,Table_SourceData_Dairy_Duration[Animal class j],Table_SourceData_Dairy_Duration[Duration (weaned)])</f>
        <v>365</v>
      </c>
      <c r="I41" s="67" cm="1">
        <f t="array" ref="I41">Common_InputFunctions.Utility_LookupValueInTableNumber(I40,Table_SourceData_Dairy_Duration[Animal class j],Table_SourceData_Dairy_Duration[Duration (weaned)])</f>
        <v>281</v>
      </c>
      <c r="J41" s="2" t="s">
        <v>161</v>
      </c>
      <c r="K41" s="2"/>
      <c r="L41" s="2"/>
      <c r="M41" s="2"/>
      <c r="R41" s="7"/>
    </row>
    <row r="42" spans="1:18" ht="20.100000000000001" customHeight="1" x14ac:dyDescent="0.25">
      <c r="D42" s="1" t="s">
        <v>16</v>
      </c>
      <c r="E42" s="67">
        <v>0.75</v>
      </c>
      <c r="F42" s="67">
        <v>0.75</v>
      </c>
      <c r="G42" s="67">
        <v>0.75</v>
      </c>
      <c r="H42" s="67">
        <v>0.75</v>
      </c>
      <c r="I42" s="67">
        <v>0.75</v>
      </c>
      <c r="J42" s="2" t="s">
        <v>93</v>
      </c>
      <c r="K42" s="2"/>
      <c r="L42" s="2"/>
      <c r="M42" s="2"/>
      <c r="R42" s="7"/>
    </row>
    <row r="43" spans="1:18" ht="20.100000000000001" customHeight="1" x14ac:dyDescent="0.25">
      <c r="D43" s="1" t="s">
        <v>101</v>
      </c>
      <c r="E43" s="67">
        <v>0.2</v>
      </c>
      <c r="F43" s="67">
        <v>0.2</v>
      </c>
      <c r="G43" s="67">
        <v>0.2</v>
      </c>
      <c r="H43" s="67">
        <v>0.2</v>
      </c>
      <c r="I43" s="67">
        <v>0.2</v>
      </c>
      <c r="J43" s="2" t="s">
        <v>93</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152</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239</v>
      </c>
      <c r="E49" s="42" t="s">
        <v>252</v>
      </c>
      <c r="F49" s="2" t="s">
        <v>9</v>
      </c>
      <c r="H49" s="3"/>
      <c r="I49" s="3"/>
      <c r="J49" s="3"/>
      <c r="K49" s="3"/>
      <c r="L49" s="3"/>
      <c r="M49" s="3"/>
      <c r="R49" s="7"/>
    </row>
    <row r="50" spans="4:18" ht="20.100000000000001" customHeight="1" x14ac:dyDescent="0.25">
      <c r="R50" s="7"/>
    </row>
    <row r="51" spans="4:18" ht="20.100000000000001" customHeight="1" x14ac:dyDescent="0.25">
      <c r="E51" s="41" t="s">
        <v>128</v>
      </c>
      <c r="R51" s="7"/>
    </row>
    <row r="52" spans="4:18" ht="20.100000000000001" customHeight="1" x14ac:dyDescent="0.25">
      <c r="D52" s="1" t="s">
        <v>153</v>
      </c>
      <c r="E52" s="67">
        <v>20</v>
      </c>
      <c r="F52" s="2" t="str">
        <f>IF(E49="Litres of milk", "litres/head/day", "kg milk solids/head/day")</f>
        <v>litres/head/day</v>
      </c>
      <c r="R52" s="7"/>
    </row>
    <row r="53" spans="4:18" ht="20.100000000000001" customHeight="1" x14ac:dyDescent="0.25">
      <c r="E53" s="6"/>
      <c r="F53" s="6"/>
      <c r="R53" s="7"/>
    </row>
    <row r="54" spans="4:18" ht="20.100000000000001" customHeight="1" x14ac:dyDescent="0.25">
      <c r="D54" s="55" t="s">
        <v>249</v>
      </c>
      <c r="E54" s="41" t="s">
        <v>246</v>
      </c>
      <c r="F54" s="41" t="s">
        <v>247</v>
      </c>
      <c r="R54" s="7"/>
    </row>
    <row r="55" spans="4:18" ht="20.100000000000001" customHeight="1" x14ac:dyDescent="0.25">
      <c r="D55" s="1" t="s">
        <v>244</v>
      </c>
      <c r="E55" s="124">
        <f>'Constants - Dairy'!$D$221/100</f>
        <v>0.04</v>
      </c>
      <c r="F55" s="132">
        <f>'Constants - Dairy'!$D$221/100</f>
        <v>0.04</v>
      </c>
      <c r="G55" s="2" t="s">
        <v>248</v>
      </c>
      <c r="R55" s="7"/>
    </row>
    <row r="56" spans="4:18" ht="20.100000000000001" customHeight="1" x14ac:dyDescent="0.25">
      <c r="D56" s="1" t="s">
        <v>245</v>
      </c>
      <c r="E56" s="124">
        <f>'Constants - Dairy'!$D$227/100</f>
        <v>3.3000000000000002E-2</v>
      </c>
      <c r="F56" s="132">
        <f>'Constants - Dairy'!$D$227/100</f>
        <v>3.3000000000000002E-2</v>
      </c>
      <c r="G56" s="2" t="s">
        <v>248</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23:M123">
    <cfRule type="cellIs" dxfId="44" priority="30" operator="lessThan">
      <formula>0</formula>
    </cfRule>
  </conditionalFormatting>
  <conditionalFormatting sqref="E14:M15">
    <cfRule type="cellIs" dxfId="43" priority="2" operator="lessThan">
      <formula>0</formula>
    </cfRule>
  </conditionalFormatting>
  <conditionalFormatting sqref="E18:M19">
    <cfRule type="cellIs" dxfId="42" priority="1" operator="lessThan">
      <formula>0</formula>
    </cfRule>
  </conditionalFormatting>
  <conditionalFormatting sqref="E36:M38">
    <cfRule type="cellIs" dxfId="41" priority="6" operator="lessThan">
      <formula>0</formula>
    </cfRule>
  </conditionalFormatting>
  <conditionalFormatting sqref="E41:M43">
    <cfRule type="cellIs" dxfId="40" priority="3" operator="lessThan">
      <formula>0</formula>
    </cfRule>
  </conditionalFormatting>
  <conditionalFormatting sqref="F87:F88">
    <cfRule type="cellIs" dxfId="39" priority="21" operator="lessThan">
      <formula>0</formula>
    </cfRule>
  </conditionalFormatting>
  <conditionalFormatting sqref="F91">
    <cfRule type="cellIs" dxfId="38" priority="20" operator="lessThan">
      <formula>0</formula>
    </cfRule>
  </conditionalFormatting>
  <conditionalFormatting sqref="K65:M67">
    <cfRule type="cellIs" dxfId="37" priority="24" operator="lessThan">
      <formula>0</formula>
    </cfRule>
  </conditionalFormatting>
  <conditionalFormatting sqref="K70:M72">
    <cfRule type="cellIs" dxfId="36"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zoomScaleNormal="100" workbookViewId="0">
      <selection activeCell="G190" sqref="G190"/>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220</v>
      </c>
      <c r="K1"/>
    </row>
    <row r="2" spans="1:19" s="9" customFormat="1" ht="20.100000000000001" customHeight="1" x14ac:dyDescent="0.25">
      <c r="K2"/>
    </row>
    <row r="3" spans="1:19" ht="20.100000000000001" customHeight="1" x14ac:dyDescent="0.25">
      <c r="A3" s="17" t="str">
        <f>HYPERLINK("#'Home'!A1", "Home")</f>
        <v>Home</v>
      </c>
      <c r="C3" s="4"/>
      <c r="D3" s="4" t="s">
        <v>104</v>
      </c>
      <c r="E3" s="4"/>
      <c r="F3" s="4"/>
      <c r="G3" s="4"/>
      <c r="H3" s="4"/>
      <c r="I3" s="4"/>
      <c r="J3" s="4"/>
      <c r="L3" s="4"/>
      <c r="M3" s="4" t="s">
        <v>105</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106</v>
      </c>
      <c r="M16" s="101" t="s">
        <v>108</v>
      </c>
    </row>
    <row r="17" spans="1:19" ht="20.100000000000001" customHeight="1" x14ac:dyDescent="0.25">
      <c r="A17" s="17" t="str">
        <f>HYPERLINK("#'Constants - Common'!A1", "Constants - Common")</f>
        <v>Constants - Common</v>
      </c>
      <c r="D17" s="100" t="s">
        <v>107</v>
      </c>
      <c r="M17" s="100" t="s">
        <v>187</v>
      </c>
    </row>
    <row r="18" spans="1:19" ht="20.100000000000001" customHeight="1" x14ac:dyDescent="0.25">
      <c r="A18" s="17" t="str">
        <f>HYPERLINK("#'Acknowledgements'!A1", "Acknowledgements")</f>
        <v>Acknowledgements</v>
      </c>
      <c r="D18" s="41" t="s">
        <v>128</v>
      </c>
      <c r="E18" s="41" t="s">
        <v>145</v>
      </c>
      <c r="F18" s="41" t="s">
        <v>146</v>
      </c>
      <c r="G18" s="41" t="s">
        <v>147</v>
      </c>
      <c r="H18" s="41" t="s">
        <v>148</v>
      </c>
      <c r="M18" s="41" t="s">
        <v>128</v>
      </c>
      <c r="N18" s="41" t="s">
        <v>145</v>
      </c>
      <c r="O18" s="41" t="s">
        <v>146</v>
      </c>
      <c r="P18" s="41" t="s">
        <v>147</v>
      </c>
      <c r="Q18" s="41" t="s">
        <v>148</v>
      </c>
    </row>
    <row r="19" spans="1:19" ht="20.100000000000001" customHeight="1" x14ac:dyDescent="0.25">
      <c r="D19" s="54">
        <f>'Input - Dairy'!$E$37</f>
        <v>0.75</v>
      </c>
      <c r="E19" s="54">
        <f>'Input - Dairy'!$F$37</f>
        <v>0.75</v>
      </c>
      <c r="F19" s="54">
        <f>'Input - Dairy'!$G$37</f>
        <v>0.75</v>
      </c>
      <c r="G19" s="54">
        <f>'Input - Dairy'!$H$37</f>
        <v>0.75</v>
      </c>
      <c r="H19" s="54">
        <f>'Input - Dairy'!$I$37</f>
        <v>0.75</v>
      </c>
      <c r="I19" s="2" t="s">
        <v>176</v>
      </c>
      <c r="M19" s="54">
        <f>'Input - Dairy'!$E$42</f>
        <v>0.75</v>
      </c>
      <c r="N19" s="54">
        <f>'Input - Dairy'!$F$42</f>
        <v>0.75</v>
      </c>
      <c r="O19" s="54">
        <f>'Input - Dairy'!$G$42</f>
        <v>0.75</v>
      </c>
      <c r="P19" s="54">
        <f>'Input - Dairy'!$H$42</f>
        <v>0.75</v>
      </c>
      <c r="Q19" s="54">
        <f>'Input - Dairy'!$I$42</f>
        <v>0.75</v>
      </c>
      <c r="R19" s="2" t="s">
        <v>176</v>
      </c>
    </row>
    <row r="20" spans="1:19" ht="20.100000000000001" customHeight="1" x14ac:dyDescent="0.25"/>
    <row r="21" spans="1:19" ht="20.100000000000001" customHeight="1" x14ac:dyDescent="0.25">
      <c r="D21" s="101" t="s">
        <v>177</v>
      </c>
      <c r="M21" s="101" t="s">
        <v>179</v>
      </c>
    </row>
    <row r="22" spans="1:19" ht="20.100000000000001" customHeight="1" x14ac:dyDescent="0.25">
      <c r="D22" s="100" t="s">
        <v>178</v>
      </c>
      <c r="M22" s="100" t="s">
        <v>180</v>
      </c>
    </row>
    <row r="23" spans="1:19" ht="20.100000000000001" customHeight="1" x14ac:dyDescent="0.25">
      <c r="D23" s="53" t="s">
        <v>128</v>
      </c>
      <c r="E23" s="53" t="s">
        <v>145</v>
      </c>
      <c r="F23" s="53" t="s">
        <v>146</v>
      </c>
      <c r="G23" s="53" t="s">
        <v>147</v>
      </c>
      <c r="H23" s="53" t="s">
        <v>148</v>
      </c>
      <c r="M23" s="53" t="s">
        <v>128</v>
      </c>
      <c r="N23" s="53" t="s">
        <v>145</v>
      </c>
      <c r="O23" s="53" t="s">
        <v>146</v>
      </c>
      <c r="P23" s="53" t="s">
        <v>147</v>
      </c>
      <c r="Q23" s="53" t="s">
        <v>148</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'Input - Dairy'!$E$49</f>
        <v>Litres of milk</v>
      </c>
      <c r="M37" s="122" t="str" cm="1">
        <f t="array" ref="M37:N40">_xlfn.CHOOSECOLS(EntericMethane_Dairy_Equations.VEERG_3_3_1_1__5_MilkProductionFromMilkSolids_Arguments(),1,2)</f>
        <v>MPU</v>
      </c>
      <c r="N37" s="121" t="str">
        <v>input milk production unit</v>
      </c>
      <c r="O37" s="123"/>
      <c r="P37" s="122" t="str" cm="1">
        <f t="array" ref="P37:Q40">_xlfn.CHOOSECOLS(EntericMethane_Dairy_Equations.VEERG_3_3_1_1__5_MilkProductionFromMilkSolids_Arguments(),3,4)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18" t="str">
        <v>Constant</v>
      </c>
      <c r="I39" s="122">
        <f>'Input - Dairy'!$E$55*100</f>
        <v>4</v>
      </c>
      <c r="M39" s="122" t="str">
        <v>FC_j</v>
      </c>
      <c r="N39" s="121" t="str">
        <v>fat content in fat and protein corrected milk</v>
      </c>
      <c r="O39" s="123"/>
      <c r="P39" s="122" t="str">
        <v>per cent</v>
      </c>
      <c r="Q39" s="118" t="str">
        <v>Constant</v>
      </c>
      <c r="R39" s="122">
        <f>'Input - Dairy'!$F$55*100</f>
        <v>4</v>
      </c>
    </row>
    <row r="40" spans="4:18" ht="20.100000000000001" customHeight="1" x14ac:dyDescent="0.25">
      <c r="D40" s="122" t="str">
        <v>PC_j</v>
      </c>
      <c r="E40" s="122" t="str">
        <v>protein content in fat and protein corrected milk</v>
      </c>
      <c r="F40" s="122"/>
      <c r="G40" s="122" t="str">
        <v>per cent</v>
      </c>
      <c r="H40" s="118" t="str">
        <v>Constant</v>
      </c>
      <c r="I40" s="122">
        <f>'Input - Dairy'!$E$56*100</f>
        <v>3.3000000000000003</v>
      </c>
      <c r="M40" s="122" t="str">
        <v>PC_j</v>
      </c>
      <c r="N40" s="122" t="str">
        <v>protein content in fat and protein corrected milk</v>
      </c>
      <c r="O40" s="122"/>
      <c r="P40" s="122" t="str">
        <v>per cent</v>
      </c>
      <c r="Q40" s="118" t="str">
        <v>Constant</v>
      </c>
      <c r="R40" s="122">
        <f>'Input - Dairy'!$F$56*100</f>
        <v>3.3000000000000003</v>
      </c>
    </row>
    <row r="41" spans="4:18" ht="20.100000000000001" customHeight="1" x14ac:dyDescent="0.25"/>
    <row r="42" spans="4:18" ht="20.100000000000001" customHeight="1" x14ac:dyDescent="0.25">
      <c r="D42" s="101" t="s">
        <v>240</v>
      </c>
    </row>
    <row r="43" spans="4:18" ht="20.100000000000001" customHeight="1" x14ac:dyDescent="0.25">
      <c r="D43" s="100" t="s">
        <v>241</v>
      </c>
    </row>
    <row r="44" spans="4:18" ht="20.100000000000001" customHeight="1" x14ac:dyDescent="0.25">
      <c r="D44" s="41" t="s">
        <v>128</v>
      </c>
      <c r="E44" s="41" t="s">
        <v>145</v>
      </c>
      <c r="F44" s="41" t="s">
        <v>146</v>
      </c>
      <c r="G44" s="41" t="s">
        <v>147</v>
      </c>
      <c r="H44" s="41" t="s">
        <v>148</v>
      </c>
    </row>
    <row r="45" spans="4:18" ht="20.100000000000001" customHeight="1" x14ac:dyDescent="0.25">
      <c r="D45" s="54">
        <f>IF($I$37="Milk solids", 'Input - Dairy'!$E$52, 0)</f>
        <v>0</v>
      </c>
      <c r="E45" s="54">
        <v>0</v>
      </c>
      <c r="F45" s="54">
        <v>0</v>
      </c>
      <c r="G45" s="54">
        <v>0</v>
      </c>
      <c r="H45" s="54">
        <v>0</v>
      </c>
      <c r="I45" s="2" t="s">
        <v>183</v>
      </c>
    </row>
    <row r="46" spans="4:18" ht="20.100000000000001" customHeight="1" x14ac:dyDescent="0.25"/>
    <row r="47" spans="4:18" ht="20.100000000000001" customHeight="1" x14ac:dyDescent="0.25">
      <c r="D47" s="101" t="s">
        <v>242</v>
      </c>
      <c r="M47" s="101" t="s">
        <v>250</v>
      </c>
    </row>
    <row r="48" spans="4:18" ht="20.100000000000001" customHeight="1" x14ac:dyDescent="0.25">
      <c r="D48" s="100" t="s">
        <v>243</v>
      </c>
      <c r="M48" s="100" t="s">
        <v>251</v>
      </c>
    </row>
    <row r="49" spans="1:19" ht="20.100000000000001" customHeight="1" x14ac:dyDescent="0.25">
      <c r="D49" s="53" t="s">
        <v>128</v>
      </c>
      <c r="E49" s="53" t="s">
        <v>145</v>
      </c>
      <c r="F49" s="53" t="s">
        <v>146</v>
      </c>
      <c r="G49" s="53" t="s">
        <v>147</v>
      </c>
      <c r="H49" s="53" t="s">
        <v>148</v>
      </c>
      <c r="M49" s="53" t="s">
        <v>128</v>
      </c>
      <c r="N49" s="53" t="s">
        <v>145</v>
      </c>
      <c r="O49" s="53" t="s">
        <v>146</v>
      </c>
      <c r="P49" s="53" t="s">
        <v>147</v>
      </c>
      <c r="Q49" s="53" t="s">
        <v>148</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183</v>
      </c>
      <c r="M50" s="54" cm="1">
        <f t="array" ref="M50">EntericMethane_Dairy_Equations.VEERG_3_3_1_1__5_MilkProductionFromMilkSolids(D45,R39,R40)</f>
        <v>0</v>
      </c>
      <c r="N50" s="54">
        <v>0</v>
      </c>
      <c r="O50" s="54">
        <v>0</v>
      </c>
      <c r="P50" s="54">
        <v>0</v>
      </c>
      <c r="Q50" s="54">
        <v>0</v>
      </c>
      <c r="R50" s="2" t="s">
        <v>183</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'Input - Dairy'!$E$49</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'Constants - Dairy'!$D$167</f>
        <v>3.0539999999999998</v>
      </c>
    </row>
    <row r="68" spans="4:18" ht="20.100000000000001" customHeight="1" x14ac:dyDescent="0.25">
      <c r="D68" s="122" t="str">
        <v>GEC</v>
      </c>
      <c r="E68" s="121" t="str">
        <v>gross energy content</v>
      </c>
      <c r="F68" s="123"/>
      <c r="G68" s="122" t="str">
        <v>MJ/kgDM</v>
      </c>
      <c r="H68" s="118" t="str">
        <v>Constant</v>
      </c>
      <c r="I68" s="122">
        <f>'Constants - Dairy'!$D$174</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'Constants - Dairy'!$D$181</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186</v>
      </c>
    </row>
    <row r="73" spans="4:18" ht="20.100000000000001" customHeight="1" x14ac:dyDescent="0.25">
      <c r="D73" s="100" t="s">
        <v>152</v>
      </c>
    </row>
    <row r="74" spans="4:18" ht="20.100000000000001" customHeight="1" x14ac:dyDescent="0.25">
      <c r="D74" s="41" t="s">
        <v>128</v>
      </c>
      <c r="E74" s="41" t="s">
        <v>145</v>
      </c>
      <c r="F74" s="41" t="s">
        <v>146</v>
      </c>
      <c r="G74" s="41" t="s">
        <v>147</v>
      </c>
      <c r="H74" s="41" t="s">
        <v>148</v>
      </c>
    </row>
    <row r="75" spans="4:18" ht="20.100000000000001" customHeight="1" x14ac:dyDescent="0.25">
      <c r="D75" s="54">
        <f>IF(I64="Milk solids", 0, 'Input - Dairy'!$E$52)</f>
        <v>20</v>
      </c>
      <c r="E75" s="54">
        <v>0</v>
      </c>
      <c r="F75" s="54">
        <v>0</v>
      </c>
      <c r="G75" s="54">
        <v>0</v>
      </c>
      <c r="H75" s="54">
        <v>0</v>
      </c>
      <c r="I75" s="2" t="s">
        <v>183</v>
      </c>
    </row>
    <row r="76" spans="4:18" ht="20.100000000000001" customHeight="1" x14ac:dyDescent="0.25"/>
    <row r="77" spans="4:18" ht="20.100000000000001" customHeight="1" x14ac:dyDescent="0.25">
      <c r="D77" s="101" t="s">
        <v>181</v>
      </c>
      <c r="M77" s="101" t="s">
        <v>184</v>
      </c>
    </row>
    <row r="78" spans="4:18" ht="20.100000000000001" customHeight="1" x14ac:dyDescent="0.25">
      <c r="D78" s="100" t="s">
        <v>182</v>
      </c>
      <c r="M78" s="100" t="s">
        <v>185</v>
      </c>
    </row>
    <row r="79" spans="4:18" ht="20.100000000000001" customHeight="1" x14ac:dyDescent="0.25">
      <c r="D79" s="53" t="s">
        <v>128</v>
      </c>
      <c r="E79" s="53" t="s">
        <v>145</v>
      </c>
      <c r="F79" s="53" t="s">
        <v>146</v>
      </c>
      <c r="G79" s="53" t="s">
        <v>147</v>
      </c>
      <c r="H79" s="53" t="s">
        <v>148</v>
      </c>
      <c r="M79" s="53" t="s">
        <v>128</v>
      </c>
      <c r="N79" s="53" t="s">
        <v>145</v>
      </c>
      <c r="O79" s="53" t="s">
        <v>146</v>
      </c>
      <c r="P79" s="53" t="s">
        <v>147</v>
      </c>
      <c r="Q79" s="53" t="s">
        <v>148</v>
      </c>
    </row>
    <row r="80" spans="4:18" ht="20.100000000000001" customHeight="1" x14ac:dyDescent="0.25">
      <c r="D80" s="54" cm="1">
        <f t="array" ref="D80">EntericMethane_Dairy_Equations.VEERG_3_3_1_1__4_AdditionalIntakeForMilkProduction(IF(I64="Milk solids", D50, D75),$I$67,$I$68,$I$69,D24)</f>
        <v>9.5798721636071917</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9.5798721636071917</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166</v>
      </c>
      <c r="M97" s="101" t="s">
        <v>168</v>
      </c>
    </row>
    <row r="98" spans="1:18" ht="20.100000000000001" customHeight="1" x14ac:dyDescent="0.25">
      <c r="D98" s="100" t="s">
        <v>167</v>
      </c>
      <c r="M98" s="100" t="s">
        <v>169</v>
      </c>
    </row>
    <row r="99" spans="1:18" ht="20.100000000000001" customHeight="1" x14ac:dyDescent="0.25">
      <c r="D99" s="41" t="s">
        <v>128</v>
      </c>
      <c r="E99" s="41" t="s">
        <v>145</v>
      </c>
      <c r="F99" s="41" t="s">
        <v>146</v>
      </c>
      <c r="G99" s="41" t="s">
        <v>147</v>
      </c>
      <c r="H99" s="41" t="s">
        <v>148</v>
      </c>
      <c r="M99" s="41" t="s">
        <v>128</v>
      </c>
      <c r="N99" s="41" t="s">
        <v>145</v>
      </c>
      <c r="O99" s="41" t="s">
        <v>146</v>
      </c>
      <c r="P99" s="41" t="s">
        <v>147</v>
      </c>
      <c r="Q99" s="41" t="s">
        <v>148</v>
      </c>
    </row>
    <row r="100" spans="1:18" ht="20.100000000000001" customHeight="1" x14ac:dyDescent="0.25">
      <c r="D100" s="54">
        <f>'Input - Dairy'!$E$14</f>
        <v>550</v>
      </c>
      <c r="E100" s="54">
        <f>'Input - Dairy'!$F$14</f>
        <v>380</v>
      </c>
      <c r="F100" s="54">
        <f>'Input - Dairy'!$G$14</f>
        <v>155</v>
      </c>
      <c r="G100" s="54">
        <f>'Input - Dairy'!$H$14</f>
        <v>600</v>
      </c>
      <c r="H100" s="54">
        <f>'Input - Dairy'!$I$14</f>
        <v>225</v>
      </c>
      <c r="I100" s="2" t="s">
        <v>150</v>
      </c>
      <c r="M100" s="54">
        <f>'Input - Dairy'!$E$18</f>
        <v>550</v>
      </c>
      <c r="N100" s="54">
        <f>'Input - Dairy'!$F$18</f>
        <v>380</v>
      </c>
      <c r="O100" s="54">
        <f>'Input - Dairy'!$G$18</f>
        <v>155</v>
      </c>
      <c r="P100" s="54">
        <f>'Input - Dairy'!$H$18</f>
        <v>600</v>
      </c>
      <c r="Q100" s="54">
        <f>'Input - Dairy'!$I$18</f>
        <v>225</v>
      </c>
      <c r="R100" s="2" t="s">
        <v>150</v>
      </c>
    </row>
    <row r="101" spans="1:18" ht="20.100000000000001" customHeight="1" x14ac:dyDescent="0.25"/>
    <row r="102" spans="1:18" ht="20.100000000000001" customHeight="1" x14ac:dyDescent="0.25">
      <c r="D102" s="101" t="s">
        <v>170</v>
      </c>
      <c r="M102" s="101" t="s">
        <v>172</v>
      </c>
    </row>
    <row r="103" spans="1:18" ht="20.100000000000001" customHeight="1" x14ac:dyDescent="0.25">
      <c r="D103" s="100" t="s">
        <v>171</v>
      </c>
      <c r="M103" s="100" t="s">
        <v>173</v>
      </c>
    </row>
    <row r="104" spans="1:18" ht="20.100000000000001" customHeight="1" x14ac:dyDescent="0.25">
      <c r="D104" s="41" t="s">
        <v>128</v>
      </c>
      <c r="E104" s="41" t="s">
        <v>145</v>
      </c>
      <c r="F104" s="41" t="s">
        <v>146</v>
      </c>
      <c r="G104" s="41" t="s">
        <v>147</v>
      </c>
      <c r="H104" s="41" t="s">
        <v>148</v>
      </c>
      <c r="M104" s="41" t="s">
        <v>128</v>
      </c>
      <c r="N104" s="41" t="s">
        <v>145</v>
      </c>
      <c r="O104" s="41" t="s">
        <v>146</v>
      </c>
      <c r="P104" s="41" t="s">
        <v>147</v>
      </c>
      <c r="Q104" s="41" t="s">
        <v>148</v>
      </c>
    </row>
    <row r="105" spans="1:18" ht="20.100000000000001" customHeight="1" x14ac:dyDescent="0.25">
      <c r="A105" s="125" t="str">
        <f>HYPERLINK("#A1", "▲ Back to top")</f>
        <v>▲ Back to top</v>
      </c>
      <c r="D105" s="54">
        <f>'Input - Dairy'!$E$15</f>
        <v>1.6E-2</v>
      </c>
      <c r="E105" s="54">
        <f>'Input - Dairy'!$F$15</f>
        <v>0.6</v>
      </c>
      <c r="F105" s="54">
        <f>'Input - Dairy'!$G$15</f>
        <v>0.56999999999999995</v>
      </c>
      <c r="G105" s="54">
        <f>'Input - Dairy'!$H$15</f>
        <v>0.1</v>
      </c>
      <c r="H105" s="54">
        <f>'Input - Dairy'!$I$15</f>
        <v>0.8</v>
      </c>
      <c r="I105" s="2" t="s">
        <v>151</v>
      </c>
      <c r="M105" s="54">
        <f>'Input - Dairy'!$E$19</f>
        <v>1.6E-2</v>
      </c>
      <c r="N105" s="54">
        <f>'Input - Dairy'!$F$19</f>
        <v>0.6</v>
      </c>
      <c r="O105" s="54">
        <f>'Input - Dairy'!$G$19</f>
        <v>0.56999999999999995</v>
      </c>
      <c r="P105" s="54">
        <f>'Input - Dairy'!$H$19</f>
        <v>0.1</v>
      </c>
      <c r="Q105" s="54">
        <f>'Input - Dairy'!$I$19</f>
        <v>0.8</v>
      </c>
      <c r="R105" s="2" t="s">
        <v>151</v>
      </c>
    </row>
    <row r="106" spans="1:18" ht="20.100000000000001" customHeight="1" x14ac:dyDescent="0.25"/>
    <row r="107" spans="1:18" ht="20.100000000000001" customHeight="1" x14ac:dyDescent="0.25">
      <c r="D107" s="101" t="s">
        <v>174</v>
      </c>
    </row>
    <row r="108" spans="1:18" ht="20.100000000000001" customHeight="1" x14ac:dyDescent="0.25">
      <c r="D108" s="100" t="s">
        <v>175</v>
      </c>
    </row>
    <row r="109" spans="1:18" ht="20.100000000000001" customHeight="1" x14ac:dyDescent="0.25">
      <c r="D109" s="53" t="s">
        <v>128</v>
      </c>
      <c r="E109" s="53" t="s">
        <v>145</v>
      </c>
      <c r="F109" s="53" t="s">
        <v>146</v>
      </c>
      <c r="G109" s="53" t="s">
        <v>147</v>
      </c>
      <c r="H109" s="53" t="s">
        <v>148</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102</v>
      </c>
      <c r="M112" s="101" t="s">
        <v>103</v>
      </c>
    </row>
    <row r="113" spans="3:19" ht="20.100000000000001" customHeight="1" x14ac:dyDescent="0.25">
      <c r="D113" s="100" t="s">
        <v>189</v>
      </c>
      <c r="M113" s="100" t="s">
        <v>188</v>
      </c>
    </row>
    <row r="114" spans="3:19" ht="20.100000000000001" customHeight="1" x14ac:dyDescent="0.25">
      <c r="D114" s="53" t="s">
        <v>128</v>
      </c>
      <c r="E114" s="53" t="s">
        <v>145</v>
      </c>
      <c r="F114" s="53" t="s">
        <v>146</v>
      </c>
      <c r="G114" s="53" t="s">
        <v>147</v>
      </c>
      <c r="H114" s="53" t="s">
        <v>148</v>
      </c>
      <c r="M114" s="53" t="s">
        <v>128</v>
      </c>
      <c r="N114" s="53" t="s">
        <v>145</v>
      </c>
      <c r="O114" s="53" t="s">
        <v>146</v>
      </c>
      <c r="P114" s="53" t="s">
        <v>147</v>
      </c>
      <c r="Q114" s="53" t="s">
        <v>148</v>
      </c>
    </row>
    <row r="115" spans="3:19" ht="20.100000000000001" customHeight="1" x14ac:dyDescent="0.25">
      <c r="D115" s="54" cm="1">
        <f t="array" ref="D115">EntericMethane_Dairy_Equations.VEERG_3_3_1_1__3_DryMatterFeedIntake(D100,D105,D110,D80)</f>
        <v>18.834317684367193</v>
      </c>
      <c r="E115" s="54" cm="1">
        <f t="array" ref="E115">EntericMethane_Dairy_Equations.VEERG_3_3_1_1__3_DryMatterFeedIntake(E100,E105,E110,E80)</f>
        <v>7.4188685375999972</v>
      </c>
      <c r="F115" s="54" cm="1">
        <f t="array" ref="F115">EntericMethane_Dairy_Equations.VEERG_3_3_1_1__3_DryMatterFeedIntake(F100,F105,F110,F80)</f>
        <v>4.0231734662249998</v>
      </c>
      <c r="G115" s="54" cm="1">
        <f t="array" ref="G115">EntericMethane_Dairy_Equations.VEERG_3_3_1_1__3_DryMatterFeedIntake(G100,G105,G110,G80)</f>
        <v>9.0270202499999979</v>
      </c>
      <c r="H115" s="54" cm="1">
        <f t="array" ref="H115">EntericMethane_Dairy_Equations.VEERG_3_3_1_1__3_DryMatterFeedIntake(H100,H105,H110,H80)</f>
        <v>5.4143472656250013</v>
      </c>
      <c r="I115" s="2" t="str">
        <f>$E$90</f>
        <v>kg DM/head/day</v>
      </c>
      <c r="M115" s="54" cm="1">
        <f t="array" ref="M115">EntericMethane_Dairy_Equations.VEERG_3_3_1_1__3_DryMatterFeedIntake(M100,M105,D110,M80)</f>
        <v>18.834317684367193</v>
      </c>
      <c r="N115" s="54" cm="1">
        <f t="array" ref="N115">EntericMethane_Dairy_Equations.VEERG_3_3_1_1__3_DryMatterFeedIntake(N100,N105,E110,N80)</f>
        <v>7.4188685375999972</v>
      </c>
      <c r="O115" s="54" cm="1">
        <f t="array" ref="O115">EntericMethane_Dairy_Equations.VEERG_3_3_1_1__3_DryMatterFeedIntake(O100,O105,F110,O80)</f>
        <v>4.0231734662249998</v>
      </c>
      <c r="P115" s="54" cm="1">
        <f t="array" ref="P115">EntericMethane_Dairy_Equations.VEERG_3_3_1_1__3_DryMatterFeedIntake(P100,P105,G110,P80)</f>
        <v>9.0270202499999979</v>
      </c>
      <c r="Q115" s="54" cm="1">
        <f t="array" ref="Q115">EntericMethane_Dairy_Equations.VEERG_3_3_1_1__3_DryMatterFeedIntake(Q100,Q105,H110,Q80)</f>
        <v>5.4143472656250013</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221</v>
      </c>
      <c r="M129" s="101" t="s">
        <v>223</v>
      </c>
    </row>
    <row r="130" spans="3:19" ht="20.100000000000001" customHeight="1" x14ac:dyDescent="0.25">
      <c r="D130" s="100" t="s">
        <v>222</v>
      </c>
      <c r="M130" s="100" t="s">
        <v>224</v>
      </c>
    </row>
    <row r="131" spans="3:19" ht="20.100000000000001" customHeight="1" x14ac:dyDescent="0.25">
      <c r="D131" s="53" t="s">
        <v>128</v>
      </c>
      <c r="E131" s="53" t="s">
        <v>145</v>
      </c>
      <c r="F131" s="53" t="s">
        <v>146</v>
      </c>
      <c r="G131" s="53" t="s">
        <v>147</v>
      </c>
      <c r="H131" s="53" t="s">
        <v>148</v>
      </c>
      <c r="M131" s="53" t="s">
        <v>128</v>
      </c>
      <c r="N131" s="53" t="s">
        <v>145</v>
      </c>
      <c r="O131" s="53" t="s">
        <v>146</v>
      </c>
      <c r="P131" s="53" t="s">
        <v>147</v>
      </c>
      <c r="Q131" s="53" t="s">
        <v>148</v>
      </c>
    </row>
    <row r="132" spans="3:19" ht="20.100000000000001" customHeight="1" x14ac:dyDescent="0.25">
      <c r="D132" s="54" cm="1">
        <f t="array" ref="D132">EntericMethane_Dairy_Equations.VEERG_3_3_1_1__2_DailyEntericMethaneProduction(D115)</f>
        <v>0.38987037606640085</v>
      </c>
      <c r="E132" s="54" cm="1">
        <f t="array" ref="E132">EntericMethane_Dairy_Equations.VEERG_3_3_1_1__2_DailyEntericMethaneProduction(E115)</f>
        <v>0.15357057872831995</v>
      </c>
      <c r="F132" s="54" cm="1">
        <f t="array" ref="F132">EntericMethane_Dairy_Equations.VEERG_3_3_1_1__2_DailyEntericMethaneProduction(F115)</f>
        <v>8.3279690750857505E-2</v>
      </c>
      <c r="G132" s="54" cm="1">
        <f t="array" ref="G132">EntericMethane_Dairy_Equations.VEERG_3_3_1_1__2_DailyEntericMethaneProduction(G115)</f>
        <v>0.18685931917499995</v>
      </c>
      <c r="H132" s="54" cm="1">
        <f t="array" ref="H132">EntericMethane_Dairy_Equations.VEERG_3_3_1_1__2_DailyEntericMethaneProduction(H115)</f>
        <v>0.11207698839843752</v>
      </c>
      <c r="I132" s="2" t="str">
        <f>$E$125</f>
        <v>kg CH4/head/day</v>
      </c>
      <c r="M132" s="54" cm="1">
        <f t="array" ref="M132">EntericMethane_Dairy_Equations.VEERG_3_3_1_1__2_DailyEntericMethaneProduction(M115)</f>
        <v>0.38987037606640085</v>
      </c>
      <c r="N132" s="54" cm="1">
        <f t="array" ref="N132">EntericMethane_Dairy_Equations.VEERG_3_3_1_1__2_DailyEntericMethaneProduction(N115)</f>
        <v>0.15357057872831995</v>
      </c>
      <c r="O132" s="54" cm="1">
        <f t="array" ref="O132">EntericMethane_Dairy_Equations.VEERG_3_3_1_1__2_DailyEntericMethaneProduction(O115)</f>
        <v>8.3279690750857505E-2</v>
      </c>
      <c r="P132" s="54" cm="1">
        <f t="array" ref="P132">EntericMethane_Dairy_Equations.VEERG_3_3_1_1__2_DailyEntericMethaneProduction(P115)</f>
        <v>0.18685931917499995</v>
      </c>
      <c r="Q132" s="54" cm="1">
        <f t="array" ref="Q132">EntericMethane_Dairy_Equations.VEERG_3_3_1_1__2_DailyEntericMethaneProduction(Q115)</f>
        <v>0.11207698839843752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99</v>
      </c>
    </row>
    <row r="158" spans="1:9" ht="20.100000000000001" customHeight="1" x14ac:dyDescent="0.25">
      <c r="D158" s="100" t="s">
        <v>225</v>
      </c>
    </row>
    <row r="159" spans="1:9" ht="20.100000000000001" customHeight="1" x14ac:dyDescent="0.25">
      <c r="D159" s="41" t="s">
        <v>128</v>
      </c>
      <c r="E159" s="41" t="s">
        <v>145</v>
      </c>
      <c r="F159" s="41" t="s">
        <v>146</v>
      </c>
      <c r="G159" s="41" t="s">
        <v>147</v>
      </c>
      <c r="H159" s="41" t="s">
        <v>148</v>
      </c>
    </row>
    <row r="160" spans="1:9" ht="20.100000000000001" customHeight="1" x14ac:dyDescent="0.25">
      <c r="D160" s="54">
        <f>'Input - Dairy'!E10</f>
        <v>100</v>
      </c>
      <c r="E160" s="54">
        <f>'Input - Dairy'!F10</f>
        <v>100</v>
      </c>
      <c r="F160" s="54">
        <f>'Input - Dairy'!G10</f>
        <v>100</v>
      </c>
      <c r="G160" s="54">
        <f>'Input - Dairy'!H10</f>
        <v>100</v>
      </c>
      <c r="H160" s="54">
        <f>'Input - Dairy'!I10</f>
        <v>100</v>
      </c>
      <c r="I160" s="56" t="str">
        <f>$G$148</f>
        <v>head</v>
      </c>
    </row>
    <row r="161" spans="4:18" ht="20.100000000000001" customHeight="1" x14ac:dyDescent="0.25"/>
    <row r="162" spans="4:18" ht="20.100000000000001" customHeight="1" x14ac:dyDescent="0.25">
      <c r="D162" s="101" t="s">
        <v>190</v>
      </c>
      <c r="M162" s="101" t="s">
        <v>191</v>
      </c>
    </row>
    <row r="163" spans="4:18" ht="20.100000000000001" customHeight="1" x14ac:dyDescent="0.25">
      <c r="D163" s="100" t="s">
        <v>226</v>
      </c>
      <c r="M163" s="100" t="s">
        <v>228</v>
      </c>
    </row>
    <row r="164" spans="4:18" ht="20.100000000000001" customHeight="1" x14ac:dyDescent="0.25">
      <c r="D164" s="41" t="s">
        <v>128</v>
      </c>
      <c r="E164" s="41" t="s">
        <v>145</v>
      </c>
      <c r="F164" s="41" t="s">
        <v>146</v>
      </c>
      <c r="G164" s="41" t="s">
        <v>147</v>
      </c>
      <c r="H164" s="41" t="s">
        <v>148</v>
      </c>
      <c r="M164" s="41" t="s">
        <v>128</v>
      </c>
      <c r="N164" s="41" t="s">
        <v>145</v>
      </c>
      <c r="O164" s="41" t="s">
        <v>146</v>
      </c>
      <c r="P164" s="41" t="s">
        <v>147</v>
      </c>
      <c r="Q164" s="41" t="s">
        <v>148</v>
      </c>
    </row>
    <row r="165" spans="4:18" ht="20.100000000000001" customHeight="1" x14ac:dyDescent="0.25">
      <c r="D165" s="54">
        <f>'Input - Dairy'!E24</f>
        <v>365</v>
      </c>
      <c r="E165" s="54">
        <f>'Input - Dairy'!F24</f>
        <v>365</v>
      </c>
      <c r="F165" s="54">
        <f>'Input - Dairy'!G24</f>
        <v>281</v>
      </c>
      <c r="G165" s="54">
        <f>'Input - Dairy'!H24</f>
        <v>365</v>
      </c>
      <c r="H165" s="54">
        <f>'Input - Dairy'!I24</f>
        <v>281</v>
      </c>
      <c r="I165" s="56" t="str">
        <f>$G$150</f>
        <v>days</v>
      </c>
      <c r="M165" s="54">
        <f>'Input - Dairy'!E28</f>
        <v>365</v>
      </c>
      <c r="N165" s="54">
        <f>'Input - Dairy'!F28</f>
        <v>365</v>
      </c>
      <c r="O165" s="54">
        <f>'Input - Dairy'!G28</f>
        <v>281</v>
      </c>
      <c r="P165" s="54">
        <f>'Input - Dairy'!H28</f>
        <v>365</v>
      </c>
      <c r="Q165" s="54">
        <f>'Input - Dairy'!I28</f>
        <v>281</v>
      </c>
      <c r="R165" s="56" t="str">
        <f>$G$150</f>
        <v>days</v>
      </c>
    </row>
    <row r="166" spans="4:18" ht="20.100000000000001" customHeight="1" x14ac:dyDescent="0.25"/>
    <row r="167" spans="4:18" ht="20.100000000000001" customHeight="1" x14ac:dyDescent="0.25">
      <c r="D167" s="101" t="s">
        <v>231</v>
      </c>
      <c r="M167" s="101" t="s">
        <v>229</v>
      </c>
    </row>
    <row r="168" spans="4:18" ht="20.100000000000001" customHeight="1" x14ac:dyDescent="0.25">
      <c r="D168" s="100" t="s">
        <v>227</v>
      </c>
      <c r="M168" s="100" t="s">
        <v>230</v>
      </c>
    </row>
    <row r="169" spans="4:18" ht="20.100000000000001" customHeight="1" x14ac:dyDescent="0.25">
      <c r="D169" s="41" t="s">
        <v>128</v>
      </c>
      <c r="E169" s="41" t="s">
        <v>145</v>
      </c>
      <c r="F169" s="41" t="s">
        <v>146</v>
      </c>
      <c r="G169" s="41" t="s">
        <v>147</v>
      </c>
      <c r="H169" s="41" t="s">
        <v>148</v>
      </c>
      <c r="M169" s="41" t="s">
        <v>128</v>
      </c>
      <c r="N169" s="41" t="s">
        <v>145</v>
      </c>
      <c r="O169" s="41" t="s">
        <v>146</v>
      </c>
      <c r="P169" s="41" t="s">
        <v>147</v>
      </c>
      <c r="Q169" s="41" t="s">
        <v>148</v>
      </c>
    </row>
    <row r="170" spans="4:18" ht="20.100000000000001" customHeight="1" x14ac:dyDescent="0.25">
      <c r="D170" s="54">
        <f>'Input - Dairy'!E25</f>
        <v>0</v>
      </c>
      <c r="E170" s="54">
        <f>'Input - Dairy'!F29</f>
        <v>0</v>
      </c>
      <c r="F170" s="54">
        <f>'Input - Dairy'!G29</f>
        <v>84</v>
      </c>
      <c r="G170" s="54">
        <f>'Input - Dairy'!H29</f>
        <v>0</v>
      </c>
      <c r="H170" s="54">
        <f>'Input - Dairy'!I29</f>
        <v>84</v>
      </c>
      <c r="I170" s="56" t="str">
        <f>$G$150</f>
        <v>days</v>
      </c>
      <c r="M170" s="54">
        <f>'Input - Dairy'!E29</f>
        <v>0</v>
      </c>
      <c r="N170" s="54">
        <f>'Input - Dairy'!F29</f>
        <v>0</v>
      </c>
      <c r="O170" s="54">
        <f>'Input - Dairy'!G29</f>
        <v>84</v>
      </c>
      <c r="P170" s="54">
        <f>'Input - Dairy'!H29</f>
        <v>0</v>
      </c>
      <c r="Q170" s="54">
        <f>'Input - Dairy'!I29</f>
        <v>84</v>
      </c>
      <c r="R170" s="56" t="str">
        <f>$G$150</f>
        <v>days</v>
      </c>
    </row>
    <row r="171" spans="4:18" ht="20.100000000000001" customHeight="1" x14ac:dyDescent="0.25"/>
    <row r="172" spans="4:18" ht="20.100000000000001" customHeight="1" x14ac:dyDescent="0.25">
      <c r="D172" s="101" t="s">
        <v>232</v>
      </c>
    </row>
    <row r="173" spans="4:18" ht="20.100000000000001" customHeight="1" x14ac:dyDescent="0.25">
      <c r="D173" s="100" t="s">
        <v>227</v>
      </c>
    </row>
    <row r="174" spans="4:18" ht="20.100000000000001" customHeight="1" x14ac:dyDescent="0.25">
      <c r="D174" s="53" t="s">
        <v>146</v>
      </c>
      <c r="E174" s="53" t="s">
        <v>148</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233</v>
      </c>
      <c r="M177" s="101" t="s">
        <v>233</v>
      </c>
    </row>
    <row r="178" spans="1:18" ht="20.100000000000001" customHeight="1" x14ac:dyDescent="0.25">
      <c r="A178" s="125" t="str">
        <f>HYPERLINK("#A1", "▲ Back to top")</f>
        <v>▲ Back to top</v>
      </c>
      <c r="D178" s="100" t="s">
        <v>234</v>
      </c>
      <c r="M178" s="100" t="s">
        <v>234</v>
      </c>
    </row>
    <row r="179" spans="1:18" ht="20.100000000000001" customHeight="1" x14ac:dyDescent="0.25">
      <c r="D179" s="53" t="s">
        <v>128</v>
      </c>
      <c r="E179" s="53" t="s">
        <v>145</v>
      </c>
      <c r="F179" s="53" t="s">
        <v>146</v>
      </c>
      <c r="G179" s="53" t="s">
        <v>147</v>
      </c>
      <c r="H179" s="53" t="s">
        <v>148</v>
      </c>
      <c r="M179" s="53" t="s">
        <v>128</v>
      </c>
      <c r="N179" s="53" t="s">
        <v>145</v>
      </c>
      <c r="O179" s="53" t="s">
        <v>146</v>
      </c>
      <c r="P179" s="53" t="s">
        <v>147</v>
      </c>
      <c r="Q179" s="53" t="s">
        <v>148</v>
      </c>
    </row>
    <row r="180" spans="1:18" ht="20.100000000000001" customHeight="1" x14ac:dyDescent="0.25">
      <c r="D180" s="54" cm="1">
        <f t="array" ref="D180">EntericMethane_Dairy_Equations.VEERG_3_3_1_1__1_TotalAnnualMethaneFromEntericFermentationVariation(D160,D132,D165,0,0,0,0,0)</f>
        <v>14.230268726423633</v>
      </c>
      <c r="E180" s="54" cm="1">
        <f t="array" ref="E180">EntericMethane_Dairy_Equations.VEERG_3_3_1_1__1_TotalAnnualMethaneFromEntericFermentationVariation(E160,E132,E165,0,0,0,0,0)</f>
        <v>5.6053261235836782</v>
      </c>
      <c r="F180" s="54" cm="1">
        <f t="array" ref="F180">EntericMethane_Dairy_Equations.VEERG_3_3_1_1__1_TotalAnnualMethaneFromEntericFermentationVariation(0,0,0,F160,F132,F165,F170,$D$175)</f>
        <v>2.487999310099096</v>
      </c>
      <c r="G180" s="54" cm="1">
        <f t="array" ref="G180">EntericMethane_Dairy_Equations.VEERG_3_3_1_1__1_TotalAnnualMethaneFromEntericFermentationVariation(G160,G132,G165,0,0,0,0,0)</f>
        <v>6.8203651498874986</v>
      </c>
      <c r="H180" s="54" cm="1">
        <f t="array" ref="H180">EntericMethane_Dairy_Equations.VEERG_3_3_1_1__1_TotalAnnualMethaneFromEntericFermentationVariation(0,0,0,H160,H132,H165,H170,$E$175)</f>
        <v>3.3207233739960946</v>
      </c>
      <c r="I180" s="56" t="str">
        <f>$E$146</f>
        <v>t CH4</v>
      </c>
      <c r="M180" s="54" cm="1">
        <f t="array" ref="M180">EntericMethane_Dairy_Equations.VEERG_3_3_1_1__1_TotalAnnualMethaneFromEntericFermentationVariation(D160,M132,M165,0,0,0,0,0)</f>
        <v>14.230268726423633</v>
      </c>
      <c r="N180" s="54" cm="1">
        <f t="array" ref="N180">EntericMethane_Dairy_Equations.VEERG_3_3_1_1__1_TotalAnnualMethaneFromEntericFermentationVariation(E160,N132,N165,0,0,0,0,0)</f>
        <v>5.6053261235836782</v>
      </c>
      <c r="O180" s="54" cm="1">
        <f t="array" ref="O180">EntericMethane_Dairy_Equations.VEERG_3_3_1_1__1_TotalAnnualMethaneFromEntericFermentationVariation(0,0,0,F160,O132,O165,O170,$D$175)</f>
        <v>2.487999310099096</v>
      </c>
      <c r="P180" s="54" cm="1">
        <f t="array" ref="P180">EntericMethane_Dairy_Equations.VEERG_3_3_1_1__1_TotalAnnualMethaneFromEntericFermentationVariation(G160,P132,P165,0,0,0,0,0)</f>
        <v>6.8203651498874986</v>
      </c>
      <c r="Q180" s="54" cm="1">
        <f t="array" ref="Q180">EntericMethane_Dairy_Equations.VEERG_3_3_1_1__1_TotalAnnualMethaneFromEntericFermentationVariation(0,0,0,H160,Q132,Q165,Q170,$E$175)</f>
        <v>3.3207233739960946</v>
      </c>
      <c r="R180" s="56" t="str">
        <f>$E$146</f>
        <v>t CH4</v>
      </c>
    </row>
    <row r="181" spans="1:18" ht="20.100000000000001" customHeight="1" x14ac:dyDescent="0.25"/>
    <row r="182" spans="1:18" ht="20.100000000000001" customHeight="1" x14ac:dyDescent="0.25">
      <c r="D182" s="103" t="s">
        <v>235</v>
      </c>
      <c r="E182" s="104">
        <f>SUM(D180:H180)</f>
        <v>32.464682683989999</v>
      </c>
      <c r="F182" s="105" t="str">
        <f>$E$146</f>
        <v>t CH4</v>
      </c>
      <c r="M182" s="103" t="s">
        <v>235</v>
      </c>
      <c r="N182" s="104">
        <f>SUM(M180:Q180)</f>
        <v>32.464682683989999</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E182</f>
        <v>32.464682683989999</v>
      </c>
      <c r="M184" s="59" t="str" cm="1">
        <f t="array" ref="M184:N185">Common_Equations.Common_ConvertCH4ToCO2e_Arguments()</f>
        <v>ECH4</v>
      </c>
      <c r="N184" s="60" t="str">
        <v>Methane emissions (t CH4)</v>
      </c>
      <c r="O184" s="106"/>
      <c r="P184" s="54">
        <f>N182</f>
        <v>32.464682683989999</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100</v>
      </c>
      <c r="E187" s="48" cm="1">
        <f t="array" ref="E187">Common_Equations.Common_ConvertN2OToCO2e(G184,G185)</f>
        <v>909.01111515171999</v>
      </c>
      <c r="F187" s="107" t="str" cm="1">
        <f t="array" ref="F187">Common_Equations.Common_ConvertN2OToCO2e_Unit()</f>
        <v>t CO2e</v>
      </c>
      <c r="M187" s="48" t="s">
        <v>100</v>
      </c>
      <c r="N187" s="48" cm="1">
        <f t="array" ref="N187">Common_Equations.Common_ConvertN2OToCO2e(P184,P185)</f>
        <v>909.01111515171999</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125</v>
      </c>
      <c r="G5" s="6" t="s">
        <v>126</v>
      </c>
      <c r="J5" s="6" t="s">
        <v>116</v>
      </c>
      <c r="M5" s="1"/>
    </row>
    <row r="6" spans="1:21" ht="20.100000000000001" customHeight="1" x14ac:dyDescent="0.25">
      <c r="A6" s="16"/>
      <c r="M6" s="1"/>
    </row>
    <row r="7" spans="1:21" ht="20.100000000000001" customHeight="1" x14ac:dyDescent="0.25">
      <c r="A7" s="20" t="s">
        <v>1</v>
      </c>
      <c r="D7" s="99" t="s">
        <v>65</v>
      </c>
      <c r="E7" s="39" t="s">
        <v>76</v>
      </c>
      <c r="G7" s="39" t="s">
        <v>115</v>
      </c>
      <c r="J7" s="39" t="s">
        <v>113</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117</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118</v>
      </c>
      <c r="M9" s="1"/>
    </row>
    <row r="10" spans="1:21" ht="20.100000000000001" customHeight="1" x14ac:dyDescent="0.25">
      <c r="A10" s="17"/>
      <c r="D10" s="39" t="str">
        <f>'Constants - Livestock'!$E$13</f>
        <v>Drains to paddock</v>
      </c>
      <c r="E10" s="39" t="str">
        <f>'Constants - Livestock'!$F$13</f>
        <v>Drains to paddock (m=3b)</v>
      </c>
      <c r="J10" s="1" t="s">
        <v>119</v>
      </c>
      <c r="M10" s="1"/>
    </row>
    <row r="11" spans="1:21" ht="20.100000000000001" customHeight="1" x14ac:dyDescent="0.25">
      <c r="A11" s="19" t="s">
        <v>72</v>
      </c>
      <c r="D11" s="39" t="str">
        <f>'Constants - Livestock'!$E$14</f>
        <v>Solid storage</v>
      </c>
      <c r="E11" s="39" t="str">
        <f>'Constants - Livestock'!$F$14</f>
        <v>Solid storage (m=4)</v>
      </c>
      <c r="J11" s="1" t="s">
        <v>120</v>
      </c>
      <c r="M11" s="1"/>
    </row>
    <row r="12" spans="1:21" ht="20.100000000000001" customHeight="1" x14ac:dyDescent="0.25">
      <c r="A12" s="17" t="str">
        <f>HYPERLINK("#'3.3.1.1-2 Enteric Methane'!A1", "3.3.1.1-2 Enteric Methane")</f>
        <v>3.3.1.1-2 Enteric Methane</v>
      </c>
      <c r="J12" s="1" t="s">
        <v>121</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127</v>
      </c>
      <c r="E21" s="39" t="s">
        <v>128</v>
      </c>
      <c r="F21" s="39" t="s">
        <v>129</v>
      </c>
      <c r="G21" s="39" t="s">
        <v>130</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127</v>
      </c>
      <c r="E38" s="39" t="s">
        <v>132</v>
      </c>
      <c r="F38" s="39" t="s">
        <v>131</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128</v>
      </c>
      <c r="E46" s="39" t="s">
        <v>129</v>
      </c>
      <c r="F46" s="39" t="s">
        <v>130</v>
      </c>
      <c r="G46" s="39" t="s">
        <v>132</v>
      </c>
      <c r="H46" s="39" t="s">
        <v>131</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128</v>
      </c>
      <c r="E54" s="116" t="s">
        <v>129</v>
      </c>
      <c r="F54" s="116" t="s">
        <v>130</v>
      </c>
      <c r="G54" s="116" t="s">
        <v>132</v>
      </c>
      <c r="H54" s="116" t="s">
        <v>131</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133</v>
      </c>
      <c r="E62" s="39" t="s">
        <v>134</v>
      </c>
      <c r="F62" s="39" t="s">
        <v>135</v>
      </c>
      <c r="G62" s="39" t="s">
        <v>136</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144</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137</v>
      </c>
      <c r="F86" s="39" t="s">
        <v>138</v>
      </c>
      <c r="G86" s="39" t="s">
        <v>144</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133</v>
      </c>
      <c r="E98" s="39" t="s">
        <v>139</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133</v>
      </c>
      <c r="E107" s="39" t="s">
        <v>140</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141</v>
      </c>
      <c r="E116" s="39" t="s">
        <v>114</v>
      </c>
      <c r="F116" s="39" t="s">
        <v>142</v>
      </c>
      <c r="G116" s="39" t="s">
        <v>143</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137</v>
      </c>
      <c r="F128" s="39" t="s">
        <v>144</v>
      </c>
      <c r="G128" s="108" t="s">
        <v>156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133</v>
      </c>
      <c r="E141" s="39" t="s">
        <v>154</v>
      </c>
      <c r="F141" s="39" t="s">
        <v>155</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Dimensionless</v>
      </c>
      <c r="M208" s="24"/>
    </row>
    <row r="209" spans="1:13" x14ac:dyDescent="0.25">
      <c r="D209" s="55"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DC5093-53DA-454A-9B4A-8C21A9DD752C}">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192</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110</v>
      </c>
      <c r="E186" s="39" t="s">
        <v>111</v>
      </c>
      <c r="F186" s="39" t="s">
        <v>112</v>
      </c>
      <c r="G186" s="39" t="s">
        <v>113</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199</v>
      </c>
      <c r="E212" s="39" t="s">
        <v>200</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202</v>
      </c>
      <c r="F231" s="38" t="s">
        <v>203</v>
      </c>
      <c r="G231" s="39" t="s">
        <v>204</v>
      </c>
      <c r="H231" s="39" t="s">
        <v>205</v>
      </c>
      <c r="I231" s="39" t="s">
        <v>206</v>
      </c>
      <c r="J231" s="39" t="s">
        <v>207</v>
      </c>
      <c r="K231" s="39" t="s">
        <v>208</v>
      </c>
      <c r="L231" s="39" t="s">
        <v>209</v>
      </c>
      <c r="M231" s="39" t="s">
        <v>210</v>
      </c>
      <c r="N231" s="39" t="s">
        <v>211</v>
      </c>
      <c r="O231" s="39" t="s">
        <v>212</v>
      </c>
      <c r="P231" s="39" t="s">
        <v>213</v>
      </c>
      <c r="Q231" s="39" t="s">
        <v>214</v>
      </c>
      <c r="R231" s="39" t="s">
        <v>215</v>
      </c>
      <c r="S231" s="39" t="s">
        <v>216</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253</v>
      </c>
      <c r="E257" s="39" t="s">
        <v>254</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QwBvAG4AcwB0AGEAbgB0AFwAIgA7AFwAbgAgACAAIAAgACAAIAAgACAAIAAgAFwAIgBQAEMAXwBqAFwAIgAsACAAXAAiAHAAcgBvAHQAZQBpAG4AIABjAG8AbgB0AGUAbgB0ACAAaQBuACAAZgBhAHQAIABhAG4AZAAgAHAAcgBvAHQAZQBpAG4AIABjAG8AcgByAGUAYwB0AGUAZAAgAG0AaQBsAGsAXAAiACwAIABcACIAcABlAHIAIABjAGUAbgB0AFwAIgAsACAAXAAiAEMAbwBuAHMAdABhAG4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YAYQByAGkAYQB0AGkAbwBuACIALAAiAEUAbgB0AGUAcgBpAGMATQBlAHQAaABhAG4AZQBfAEQAYQBpAHIAeQBfAEUAcQB1AGEAdABpAG8AbgBzAC4AVgBFAEUAUgBHAF8AMwBfADMAXwAxAF8AMQBfAF8ANgBfAE0AZQB0AGEAYgBvAGwAaQBzAGEAYgBpAGwAaQB0AHkATwBmAEQAaQBlAHQAXwBUAGkAdABsAGUAIgAsACIARQBuAHQAZQByAGkAYwBNAGUAdABoAGEAbgBlAF8ARABhAGkAcgB5AF8ARQBxAHUAYQB0AGkAbwBuAHMALgBWAEUARQBSAEcAXwAzAF8AMwBfADEAXwAxAF8AXwA2AF8ATQBlAHQAYQBiAG8AbABpAHMAYQBiAGkAbABpAHQAeQBPAGYARABpAGUAdABfAFYAYQByAGkAYQBiAGwAZQAiACwAIgBFAG4AdABlAHIAaQBjAE0AZQB0AGgAYQBuAGUAXwBEAGEAaQByAHkAXwBFAHEAdQBhAHQAaQBvAG4AcwAuAFYARQBFAFIARwBfADMAXwAzAF8AMQBfADEAXwBfADYAXwBNAGUAdABhAGIAbwBsAGkAcwBhAGIAaQBsAGkAdAB5AE8AZgBEAGkAZQB0AF8AVQBuAGkAdAAiACwAIgBFAG4AdABlAHIAaQBjAE0AZQB0AGgAYQBuAGUAXwBEAGEAaQByAHkAXwBFAHEAdQBhAHQAaQBvAG4AcwAuAFYARQBFAFIARwBfADMAXwAzAF8AMQBfADEAXwBfADYAXwBNAGUAdABhAGIAbwBsAGkAcwBhAGIAaQBsAGkAdAB5AE8AZgBEAGkAZQB0AF8AUwBvAHUAcgBjAGUAIgAsACIARQBuAHQAZQByAGkAYwBNAGUAdABoAGEAbgBlAF8ARABhAGkAcgB5AF8ARQBxAHUAYQB0AGkAbwBuAHMALgBWAEUARQBSAEcAXwAzAF8AMwBfADEAXwAxAF8AXwA2AF8ATQBlAHQAYQBiAG8AbABpAHMAYQBiAGkAbABpAHQAeQBPAGYARABpAGUAdABfAE4ASQBSAFIAZQBmAGUAcgBlAG4AYwBlACIALAAiAEUAbgB0AGUAcgBpAGMATQBlAHQAaABhAG4AZQBfAEQAYQBpAHIAeQBfAEUAcQB1AGEAdABpAG8AbgBzAC4AVgBFAEUAUgBHAF8AMwBfADMAXwAxAF8AMQBfAF8ANgBfAE0AZQB0AGEAYgBvAGwAaQBzAGEAYgBpAGwAaQB0AHkATwBmAEQAaQBlAHQAXwBMAGEAdABlAHgARQBxAHUAYQB0AGkAbwBuACIALAAiAEUAbgB0AGUAcgBpAGMATQBlAHQAaABhAG4AZQBfAEQAYQBpAHIAeQBfAEUAcQB1AGEAdABpAG8AbgBzAC4AVgBFAEUAUgBHAF8AMwBfADMAXwAxAF8AMQBfAF8ANgBfAE0AZQB0AGEAYgBvAGwAaQBzAGEAYgBpAGwAaQB0AHkATwBmAEQAaQBlAHQAXwBMAGEAdABlAHgARQBxAHUAYQB0AGkAbwBuAFYAYQByAGkAYQB0AGkAbwBuACIALAAiAEUAbgB0AGUAcgBpAGMATQBlAHQAaABhAG4AZQBfAEQAYQBpAHIAeQBfAEUAcQB1AGEAdABpAG8AbgBzAC4AVgBFAEUAUgBHAF8AMwBfADMAXwAxAF8AMQBfAF8ANgBfAE0AZQB0AGEAYgBvAGwAaQBzAGEAYgBpAGwAaQB0AHkATwBmAEQAaQBlAHQAXwBBAHIAZwB1AG0AZQBuAHQAcwAiACwAIgBFAG4AdABlAHIAaQBjAE0AZQB0AGgAYQBuAGUAXwBEAGEAaQByAHkAXwBFAHEAdQBhAHQAaQBvAG4AcwAuAFYARQBFAFIARwBfADMAXwAzAF8AMQBfADEAXwBfADYAXwBNAGUAdABhAGIAbwBsAGkAcwBhAGIAaQBsAGkAdAB5AE8AZgBEAGkAZQB0AF8AVgBhAHIAaQBhAHQAaQBvAG4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2026-06-10T00:28:38Z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