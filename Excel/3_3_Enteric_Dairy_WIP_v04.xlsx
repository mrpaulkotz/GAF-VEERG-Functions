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FDF0584-D9EA-46A0-A1D5-EA2A25CB2009}"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9"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E30" i="15"/>
  <c r="E33" i="15"/>
  <c r="E32" i="15"/>
  <c r="E31" i="15"/>
  <c r="P185" i="69"/>
  <c r="G185"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c r="E175" i="109" a="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c r="D139" i="109" a="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P37" i="69" a="1"/>
  <c r="P37" i="69" s="1"/>
  <c r="M37" i="69" a="1"/>
  <c r="M37" i="69" s="1"/>
  <c r="I64" i="69"/>
  <c r="I37" i="69"/>
  <c r="H52" i="109" l="1"/>
  <c r="H50" i="109"/>
  <c r="H51" i="109"/>
  <c r="H53" i="109"/>
  <c r="H48" i="109"/>
  <c r="H54" i="109"/>
  <c r="H49" i="109"/>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5" i="70" l="1"/>
  <c r="R39" i="69" s="1"/>
  <c r="E55" i="70"/>
  <c r="I39" i="69" s="1"/>
  <c r="E56" i="70"/>
  <c r="I40" i="69" s="1"/>
  <c r="F56" i="70"/>
  <c r="R40" i="69" s="1"/>
  <c r="D56" i="69" a="1"/>
  <c r="D56" i="69" s="1"/>
  <c r="D75" i="69"/>
  <c r="I66" i="69" a="1"/>
  <c r="I66" i="69" s="1"/>
  <c r="I38" i="69" a="1"/>
  <c r="I38" i="69" s="1"/>
  <c r="D30" i="69" a="1"/>
  <c r="D30" i="69" s="1"/>
  <c r="D45" i="69"/>
  <c r="F52" i="70"/>
  <c r="G37" i="69" a="1"/>
  <c r="G37" i="69" s="1"/>
  <c r="D37" i="69" a="1"/>
  <c r="D37" i="69" s="1"/>
  <c r="E35" i="69" a="1"/>
  <c r="E35" i="69" s="1"/>
  <c r="E34" i="69" a="1"/>
  <c r="E34" i="69" s="1"/>
  <c r="D29" i="69" a="1"/>
  <c r="D29" i="69" s="1"/>
  <c r="D28" i="69" a="1"/>
  <c r="D28" i="69" s="1"/>
  <c r="E31" i="69" a="1"/>
  <c r="E139"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 i="69" a="1"/>
  <c r="E57" i="69" a="1"/>
  <c r="E86" i="69" a="1"/>
  <c r="H37" i="70" l="1"/>
  <c r="G37" i="70"/>
  <c r="I41" i="70"/>
  <c r="E37" i="70"/>
  <c r="H41" i="70"/>
  <c r="I37" i="70"/>
  <c r="F37" i="70"/>
  <c r="G41" i="70"/>
  <c r="F41" i="70"/>
  <c r="E41" i="70"/>
  <c r="D24" i="69" a="1"/>
  <c r="D24" i="69" s="1"/>
  <c r="F40" i="70"/>
  <c r="N19" i="69" s="1"/>
  <c r="N24" i="69" s="1" a="1"/>
  <c r="N24" i="69" s="1"/>
  <c r="I40" i="70"/>
  <c r="Q19" i="69" s="1"/>
  <c r="Q24" i="69" s="1" a="1"/>
  <c r="Q24" i="69" s="1"/>
  <c r="E36" i="70"/>
  <c r="D19"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M80" i="69" a="1"/>
  <c r="M80" i="69" s="1"/>
  <c r="D80" i="69" a="1"/>
  <c r="D80" i="69" s="1"/>
  <c r="R115" i="69"/>
  <c r="I24" i="69"/>
  <c r="R24" i="69"/>
  <c r="E86" i="69"/>
  <c r="N80" i="69" a="1"/>
  <c r="N80" i="69" s="1"/>
  <c r="Q80" i="69" a="1"/>
  <c r="Q80" i="69" s="1"/>
  <c r="I80" i="69"/>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<sst xmlns="http://schemas.openxmlformats.org/spreadsheetml/2006/main" count="522" uniqueCount="253">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</sst>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4AC6DCF-248C-4332-8ED6-D6794E57D7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273393C-70CF-4B29-B056-8B0C85705174}" name="State/Territory">
      <calculatedColumnFormula array="1">Common_InputFunctions.Utility_DisplayArrayInTable(Common_SourceData.Common_SourceData_AustralianStatesTerritories_Data(),Table_AustralianStates[[#Headers],[State/Territory]],0)</calculatedColumnFormula>
    </tableColumn>
    <tableColumn id="2" xr3:uid="{28123822-6FBA-4B3B-98F0-498C879302E6}" name="Common Name">
      <calculatedColumnFormula array="1">Common_InputFunctions.Utility_DisplayArrayInTable(Common_SourceData.Common_SourceData_AustralianStatesTerritories_Data(),Table_AustralianStates[[#Headers],[State/Territory]],0)</calculatedColumnFormula>
    </tableColumn>
    <tableColumn id="3" xr3:uid="{7D0B7619-0C7E-4581-9ABB-93B28A66AEF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839DB19-D58D-462C-BCEF-22557C99F96F}" name="Table_WASA4Areas" displayName="Table_WASA4Areas" ref="D20:D30" totalsRowShown="0">
  <autoFilter ref="D20:D30" xr:uid="{5FA81339-C6C8-4D36-BEEA-6C4AEDD9E676}">
    <filterColumn colId="0" hiddenButton="1"/>
  </autoFilter>
  <tableColumns count="1">
    <tableColumn id="1" xr3:uid="{43DDF9E4-2D74-481C-A7C0-AAAF622E353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4DBA8DF-FC7C-47DE-A436-9DA6053EE6EA}" name="Table_GWPData" displayName="Table_GWPData" ref="D36:E43" totalsRowShown="0">
  <autoFilter ref="D36:E43" xr:uid="{B8E87A66-3E41-4AD3-925D-01EE21B43D7A}">
    <filterColumn colId="0" hiddenButton="1"/>
    <filterColumn colId="1" hiddenButton="1"/>
  </autoFilter>
  <tableColumns count="2">
    <tableColumn id="1" xr3:uid="{F6E0E967-10FA-49BF-9FD8-36E25721A174}" name="Gas">
      <calculatedColumnFormula array="1">Common_InputFunctions.Utility_DisplayArrayInTable(Common_SourceData.Common_SourceData_GWP_Data(), Table_GWPData[[#Headers],[Gas]], 0)</calculatedColumnFormula>
    </tableColumn>
    <tableColumn id="2" xr3:uid="{F31B7A04-87DE-4BB3-9376-B0FB16EE3B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3EBE8EA-35CD-4319-A2F2-DD5C9C2449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27D612-4B2F-4B9A-9F2A-80300772C1FD}" name="Gas">
      <calculatedColumnFormula array="1">Common_InputFunctions.Utility_DisplayArrayInTable(Common_SourceData.Common_SourceData_ConvertGasElementalToMolecular_Data(),Table_GasToMolecularConversionFactor[[#Headers],[Gas]], 0)</calculatedColumnFormula>
    </tableColumn>
    <tableColumn id="5" xr3:uid="{81C4F0B1-891D-4376-A126-D5DCAD295229}" name="Conversion factor">
      <calculatedColumnFormula array="1">Common_InputFunctions.Utility_DisplayArrayInTable(Common_SourceData.Common_SourceData_ConvertGasElementalToMolecular_Data(),Table_GasToMolecularConversionFactor[[#Headers],[Gas]], 0)</calculatedColumnFormula>
    </tableColumn>
    <tableColumn id="2" xr3:uid="{1F9F8721-1464-4820-B2A3-47A8B0B9D80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4DDAF44-5E4B-4897-B55B-1C7EC1A88D6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2FCCDD7-C029-444C-B457-646E0537FF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71320A0-B051-4096-99D7-AF877DE28CB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AEF881-C78E-463C-9D79-93DBE58994F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B78F69E-B830-4E3C-8C54-4166BB60014C}"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A332F63B-3583-45CD-98F9-8A429C3D0404}"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45D7E57D-EFEE-4636-9BAE-87B85A891D2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4FE3980A-CA88-4805-BFAB-284E9055F95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A43BA0F-B3C5-4A16-B602-E8469677E4D8}"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624CED45-8896-4722-B1BA-F86CB8DE28A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91D449BB-0250-4400-BF07-C8F7F2E53E09}"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B24AC653-90F3-496B-8305-5326EFF32B58}"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CF3F4B6A-490B-4062-9F5D-E4F1664118EA}"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414BFBE4-3CE5-475C-9C53-B6449B7CFA1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1691ED3-192C-473E-85D9-F130906DBE7B}"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86CBA35-E770-4C7F-8D89-853C37D574B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F00DA484-529F-4278-BBCB-9ECC48BEAD6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C2782B1B-C69E-4F1F-BF78-7262E6A3760B}"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4D5B925-03AF-481E-8061-DE49433E2C0C}"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40B9888-E468-4914-B7DA-5619708BE7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09F652-7823-447A-968D-E6EAACCF13E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15D54D4-3334-432C-B6B6-BFE4F53B0703}"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29668F6-8F14-44C8-B44E-7FE27CEECEF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1E9061F-FF35-4D28-842A-025195FBFF69}" name="Temperature Zone">
      <calculatedColumnFormula array="1">Common_InputFunctions.Utility_DisplayArrayInTable(Common_SourceData.Common_SourceData_TemperatureZones_Data(),Table_SourceData_TemperatureZones[[#Headers],[Temperature Zone]],0)</calculatedColumnFormula>
    </tableColumn>
    <tableColumn id="2" xr3:uid="{D1593F29-449E-4C78-8517-539E52FBD23F}" name="MAT">
      <calculatedColumnFormula array="1">Common_InputFunctions.Utility_DisplayArrayInTable(Common_SourceData.Common_SourceData_TemperatureZones_Data(),Table_SourceData_TemperatureZones[[#Headers],[Temperature Zone]],0)</calculatedColumnFormula>
    </tableColumn>
    <tableColumn id="3" xr3:uid="{0D7FCB20-B7ED-408D-BD67-138CF7AB731E}" name="Min MAT">
      <calculatedColumnFormula array="1">Common_InputFunctions.Utility_DisplayArrayInTable(Common_SourceData.Common_SourceData_TemperatureZones_Data(),Table_SourceData_TemperatureZones[[#Headers],[Temperature Zone]],0)</calculatedColumnFormula>
    </tableColumn>
    <tableColumn id="4" xr3:uid="{8A371676-8979-4B1E-A622-767EDC2CB2E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0C6061B-1C11-4AD9-9EC3-38C9D2C194A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E06CD35-16EF-4FC7-BB5D-83C96A639A13}" name="Rainfall Zone">
      <calculatedColumnFormula array="1">Common_InputFunctions.Utility_DisplayArrayInTable(Common_SourceData.Common_SourceData_RainfallZones_Data(),Table_SourceData_RainfallZones[[#Headers],[Rainfall Zone]],0)</calculatedColumnFormula>
    </tableColumn>
    <tableColumn id="2" xr3:uid="{0F123CCF-2EEC-4246-98EC-86970C4CA2D2}" name="Annual rainfall">
      <calculatedColumnFormula array="1">Common_InputFunctions.Utility_DisplayArrayInTable(Common_SourceData.Common_SourceData_RainfallZones_Data(),Table_SourceData_RainfallZones[[#Headers],[Rainfall Zone]],0)</calculatedColumnFormula>
    </tableColumn>
    <tableColumn id="3" xr3:uid="{68EF4B8E-3B1D-4DD6-AB30-33FB1D46A21A}" name="Min rainfall">
      <calculatedColumnFormula array="1">Common_InputFunctions.Utility_DisplayArrayInTable(Common_SourceData.Common_SourceData_RainfallZones_Data(),Table_SourceData_RainfallZones[[#Headers],[Rainfall Zone]],0)</calculatedColumnFormula>
    </tableColumn>
    <tableColumn id="4" xr3:uid="{CB4CF9F9-5516-439E-8CF2-E1DD0CB0194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F26D4FC-461D-45A8-95F2-64C4FB1A7D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CA5E06-B6A8-47C2-B379-562813E6CF49}" name="Leaching Zone">
      <calculatedColumnFormula array="1">Common_InputFunctions.Utility_DisplayArrayInTable(Common_SourceData.Common_SourceData_LeachingZones_Data(), Table_SourceData_LeachingZones[[#Headers],[Leaching Zone]], 0)</calculatedColumnFormula>
    </tableColumn>
    <tableColumn id="2" xr3:uid="{547E3892-5DAC-4656-822F-BF05782AC4A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390359F-E172-4D19-B70D-A5FE0C92390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02B4D61-F994-4673-9E29-110F111AF0A9}" name="Data source">
      <calculatedColumnFormula array="1">Common_InputFunctions.Utility_DisplayArrayInTable(Common_SourceData.Common_SourceData_DataScores_Scope3_Data(), Table_SourceData_DataScores_Scope3[[#Headers],[Data source]], 0)</calculatedColumnFormula>
    </tableColumn>
    <tableColumn id="2" xr3:uid="{1FBD5037-159C-4AC0-8D4C-27514F1DAEF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AA365A-0066-48B8-88D9-BF34D233C5A2}" name="Table_SourceData_FracWET" displayName="Table_SourceData_FracWET" ref="D134:E136" totalsRowShown="0">
  <autoFilter ref="D134:E136" xr:uid="{308E99BE-FE1F-47A4-B2CA-97217277C4E9}">
    <filterColumn colId="0" hiddenButton="1"/>
    <filterColumn colId="1" hiddenButton="1"/>
  </autoFilter>
  <tableColumns count="2">
    <tableColumn id="1" xr3:uid="{E8AA0B84-C69A-45E6-AB9D-54E6A3AF2EA5}" name="Is in leaching zone">
      <calculatedColumnFormula array="1">Common_InputFunctions.Utility_DisplayArrayInTable(Common_SourceData.Common_SourceData_FracWET_Data(),Table_SourceData_FracWET[[#Headers],[Is in leaching zone]],0)</calculatedColumnFormula>
    </tableColumn>
    <tableColumn id="2" xr3:uid="{269C2655-5902-4A7B-8BA1-DFD2E5DADAD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BB50AC9-02F5-47EA-92A4-E30A8F2CDA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FC37806-D141-4899-A4BD-A8ABAD58A7FC}" name="Production system j">
      <calculatedColumnFormula array="1">Common_InputFunctions.Utility_DisplayArrayInTable(Common_SourceData.Common_SourceData_EFN2O_Data(), Table_SourceData_Common_EFN2O[[#Headers],[Production system j]], 0)</calculatedColumnFormula>
    </tableColumn>
    <tableColumn id="2" xr3:uid="{14869C20-E8C3-47C8-A847-FF3CCF4EFE2C}" name="EFN2O">
      <calculatedColumnFormula array="1">Common_InputFunctions.Utility_DisplayArrayInTable(Common_SourceData.Common_SourceData_EFN2O_Data(), Table_SourceData_Common_EFN2O[[#Headers],[Production system j]], 0)</calculatedColumnFormula>
    </tableColumn>
    <tableColumn id="3" xr3:uid="{E85502C0-C9B5-4B7E-830E-4EB3810AA827}" name="Production system only">
      <calculatedColumnFormula array="1">Common_InputFunctions.Utility_DisplayArrayInTable(Common_SourceData.Common_SourceData_EFN2O_Data(), Table_SourceData_Common_EFN2O[[#Headers],[Production system j]], 0)</calculatedColumnFormula>
    </tableColumn>
    <tableColumn id="4" xr3:uid="{99EB316A-2134-470A-9405-5606D97F8BC6}" name="Irrigation method">
      <calculatedColumnFormula array="1">Common_InputFunctions.Utility_DisplayArrayInTable(Common_SourceData.Common_SourceData_EFN2O_Data(), Table_SourceData_Common_EFN2O[[#Headers],[Production system j]], 0)</calculatedColumnFormula>
    </tableColumn>
    <tableColumn id="5" xr3:uid="{D5373DE8-3F33-4908-8B23-503F9DCB593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881BCB5-E20A-40F7-9688-570E8419DD2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4D43B8B-75F9-4162-9CCE-D1E4C8AFEAE1}" name="Irrigation type i">
      <calculatedColumnFormula array="1">Common_InputFunctions.Utility_DisplayArrayInTable(Common_SourceData.Common_SourceData_FracWETIrrigation_Data(), Table_SourceData_FracWETIrrigation[[#Headers],[Irrigation type i]], 0)</calculatedColumnFormula>
    </tableColumn>
    <tableColumn id="2" xr3:uid="{01C73BC3-D8AF-4E26-9BDD-992DC124FF48}"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13775CC-849E-43A4-8067-1E93BE383F6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0135C64-981E-42DE-AD55-B9C89F3F4B9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783DD98-27DE-47E6-8BCD-F7237704841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8668388-68F6-48E1-BF02-12A39DAE49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EAD7A6C-C9F9-4C51-989E-DE4080A2849C}" name="Month">
      <calculatedColumnFormula array="1">Common_InputFunctions.Utility_DisplayArrayInTable(Common_SourceData.Common_SourceData_MonthsToSeasons_Data(), Table_SourceData_Common_MonthToSeason[[#Headers],[Month]], 0)</calculatedColumnFormula>
    </tableColumn>
    <tableColumn id="2" xr3:uid="{C63A9FC0-656D-4CFF-A096-D43F2CDFDDB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B7DC37C-E15E-43D9-9AF9-AB31797774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E64ADE5-6FA4-42B3-ABD4-D7193A5137E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58BD6D7-7B55-4F4B-80D5-34C8E1778C7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199DBFB-8E87-4693-B5BD-405C5A892C2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D7B9966-8FA0-44A9-94D0-9514C7F577C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1BD9FEB-788F-4844-A71C-E5C58AD4110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8B2BE4B-9943-40D8-AC14-D8D4927EF10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63697D9-6582-4F80-8454-EF209259E92C}"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A1D0F4C-5313-47F4-AC70-26E5E01BE21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F9D3E6-1F72-462E-95DD-0CD72808DDC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BA8FEAD-0E09-4C0D-86DA-260F8276A1AA}"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D2700ED-581F-4384-981F-D8FB0E72EA1B}"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F21037D-FB61-4065-B277-EC90AD2F4CEF}"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7050E6-D05C-46C6-BB94-64276D5986C8}"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B2D3346-C68A-4E0E-AC51-F32EB19DF39B}"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DB0D3E8-3CCE-4D93-87FE-453FC9118BFA}"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491F767-B6F1-4EAF-9546-4754B46788A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9BA8F05-E723-40B3-B60A-67DA1870553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85A76DE-267B-43F4-A0D3-5D4E85A474C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5969726-1D0F-4741-B2E4-58D0A856BABF}"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216</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235</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215</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193</v>
      </c>
      <c r="F6" s="113" t="s">
        <v>194</v>
      </c>
      <c r="G6" s="113" t="s">
        <v>123</v>
      </c>
      <c r="H6" s="113" t="s">
        <v>195</v>
      </c>
      <c r="I6" s="113" t="s">
        <v>196</v>
      </c>
      <c r="J6" s="113" t="s">
        <v>124</v>
      </c>
      <c r="K6" s="24"/>
    </row>
    <row r="7" spans="1:11" ht="20.100000000000001" customHeight="1" x14ac:dyDescent="0.25">
      <c r="A7" s="20" t="s">
        <v>1</v>
      </c>
      <c r="C7" s="24"/>
      <c r="D7" s="1" t="s">
        <v>234</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191</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191</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9" workbookViewId="0">
      <selection activeCell="E55" sqref="E55"/>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163</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160</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161</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162</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161</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162</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159</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16</v>
      </c>
      <c r="E36" s="54">
        <f>SourceData_Dairy_DryMatterDigestibility_Data</f>
        <v>0.75</v>
      </c>
      <c r="F36" s="54">
        <f>SourceData_Dairy_DryMatterDigestibility_Data</f>
        <v>0.75</v>
      </c>
      <c r="G36" s="54">
        <f>SourceData_Dairy_DryMatterDigestibility_Data</f>
        <v>0.75</v>
      </c>
      <c r="H36" s="54">
        <f>SourceData_Dairy_DryMatterDigestibility_Data</f>
        <v>0.75</v>
      </c>
      <c r="I36" s="54">
        <f>SourceData_Dairy_DryMatterDigestibility_Data</f>
        <v>0.75</v>
      </c>
      <c r="J36" s="2" t="s">
        <v>93</v>
      </c>
      <c r="K36" s="2"/>
      <c r="L36" s="2"/>
      <c r="M36" s="2"/>
      <c r="R36" s="7"/>
    </row>
    <row r="37" spans="1:18" ht="20.100000000000001" customHeight="1" x14ac:dyDescent="0.25">
      <c r="D37" s="1" t="s">
        <v>101</v>
      </c>
      <c r="E37" s="54">
        <f>SourceData_Dairy_CrudeProtein_Data</f>
        <v>0.2</v>
      </c>
      <c r="F37" s="54">
        <f>SourceData_Dairy_CrudeProtein_Data</f>
        <v>0.2</v>
      </c>
      <c r="G37" s="54">
        <f>SourceData_Dairy_CrudeProtein_Data</f>
        <v>0.2</v>
      </c>
      <c r="H37" s="54">
        <f>SourceData_Dairy_CrudeProtein_Data</f>
        <v>0.2</v>
      </c>
      <c r="I37" s="54">
        <f>SourceData_Dairy_CrudeProtein_Data</f>
        <v>0.2</v>
      </c>
      <c r="J37" s="2" t="s">
        <v>93</v>
      </c>
      <c r="K37" s="2"/>
      <c r="L37" s="2"/>
      <c r="M37" s="2"/>
      <c r="R37" s="7"/>
    </row>
    <row r="38" spans="1:18" ht="20.100000000000001" customHeight="1" x14ac:dyDescent="0.25">
      <c r="K38" s="2"/>
      <c r="L38" s="2"/>
      <c r="M38" s="2"/>
      <c r="R38" s="7"/>
    </row>
    <row r="39" spans="1:18" ht="20.100000000000001" customHeight="1" x14ac:dyDescent="0.25">
      <c r="A39" s="17"/>
      <c r="D39" s="64" t="s">
        <v>157</v>
      </c>
      <c r="E39" s="41" t="s">
        <v>128</v>
      </c>
      <c r="F39" s="41" t="s">
        <v>145</v>
      </c>
      <c r="G39" s="41" t="s">
        <v>146</v>
      </c>
      <c r="H39" s="41" t="s">
        <v>147</v>
      </c>
      <c r="I39" s="41" t="s">
        <v>148</v>
      </c>
      <c r="R39" s="7"/>
    </row>
    <row r="40" spans="1:18" ht="20.100000000000001" customHeight="1" x14ac:dyDescent="0.25">
      <c r="D40" s="1" t="s">
        <v>16</v>
      </c>
      <c r="E40" s="67">
        <f>SourceData_Dairy_DryMatterDigestibility_Data</f>
        <v>0.75</v>
      </c>
      <c r="F40" s="67">
        <f>SourceData_Dairy_DryMatterDigestibility_Data</f>
        <v>0.75</v>
      </c>
      <c r="G40" s="67">
        <f>SourceData_Dairy_DryMatterDigestibility_Data</f>
        <v>0.75</v>
      </c>
      <c r="H40" s="67">
        <f>SourceData_Dairy_DryMatterDigestibility_Data</f>
        <v>0.75</v>
      </c>
      <c r="I40" s="67">
        <f>SourceData_Dairy_DryMatterDigestibility_Data</f>
        <v>0.75</v>
      </c>
      <c r="J40" s="2" t="s">
        <v>93</v>
      </c>
      <c r="K40" s="2"/>
      <c r="R40" s="7"/>
    </row>
    <row r="41" spans="1:18" ht="20.100000000000001" customHeight="1" x14ac:dyDescent="0.25">
      <c r="A41" s="47"/>
      <c r="D41" s="1" t="s">
        <v>101</v>
      </c>
      <c r="E41" s="67">
        <f>SourceData_Dairy_CrudeProtein_Data</f>
        <v>0.2</v>
      </c>
      <c r="F41" s="67">
        <f>SourceData_Dairy_CrudeProtein_Data</f>
        <v>0.2</v>
      </c>
      <c r="G41" s="67">
        <f>SourceData_Dairy_CrudeProtein_Data</f>
        <v>0.2</v>
      </c>
      <c r="H41" s="67">
        <f>SourceData_Dairy_CrudeProtein_Data</f>
        <v>0.2</v>
      </c>
      <c r="I41" s="67">
        <f>SourceData_Dairy_CrudeProtein_Data</f>
        <v>0.2</v>
      </c>
      <c r="J41" s="2" t="s">
        <v>93</v>
      </c>
      <c r="K41" s="2"/>
      <c r="L41" s="2"/>
      <c r="M41" s="2"/>
      <c r="R41" s="7"/>
    </row>
    <row r="42" spans="1:18" ht="20.100000000000001" customHeight="1" x14ac:dyDescent="0.25">
      <c r="K42" s="2"/>
      <c r="L42" s="2"/>
      <c r="M42" s="2"/>
      <c r="R42" s="7"/>
    </row>
    <row r="43" spans="1:18" ht="20.100000000000001" customHeight="1" x14ac:dyDescent="0.25">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237</v>
      </c>
      <c r="E49" s="42" t="s">
        <v>250</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247</v>
      </c>
      <c r="E54" s="41" t="s">
        <v>244</v>
      </c>
      <c r="F54" s="41" t="s">
        <v>245</v>
      </c>
      <c r="R54" s="7"/>
    </row>
    <row r="55" spans="4:18" ht="20.100000000000001" customHeight="1" x14ac:dyDescent="0.25">
      <c r="D55" s="1" t="s">
        <v>242</v>
      </c>
      <c r="E55" s="124">
        <f>SourceData_Dairy_FatContentInMilk_Data/100</f>
        <v>0.04</v>
      </c>
      <c r="F55" s="132">
        <f>SourceData_Dairy_FatContentInMilk_Data/100</f>
        <v>0.04</v>
      </c>
      <c r="G55" s="2" t="s">
        <v>246</v>
      </c>
      <c r="R55" s="7"/>
    </row>
    <row r="56" spans="4:18" ht="20.100000000000001" customHeight="1" x14ac:dyDescent="0.25">
      <c r="D56" s="1" t="s">
        <v>243</v>
      </c>
      <c r="E56" s="124">
        <f>SourceData_Dairy_ProteinContentInMilk_Data/100</f>
        <v>3.3000000000000002E-2</v>
      </c>
      <c r="F56" s="132">
        <f>SourceData_Dairy_ProteinContentInMilk_Data/100</f>
        <v>3.3000000000000002E-2</v>
      </c>
      <c r="G56" s="2" t="s">
        <v>246</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42" priority="30" operator="lessThan">
      <formula>0</formula>
    </cfRule>
  </conditionalFormatting>
  <conditionalFormatting sqref="E14:M15">
    <cfRule type="cellIs" dxfId="41" priority="2" operator="lessThan">
      <formula>0</formula>
    </cfRule>
  </conditionalFormatting>
  <conditionalFormatting sqref="E18:M19">
    <cfRule type="cellIs" dxfId="40" priority="1" operator="lessThan">
      <formula>0</formula>
    </cfRule>
  </conditionalFormatting>
  <conditionalFormatting sqref="F87:F88">
    <cfRule type="cellIs" dxfId="39" priority="21" operator="lessThan">
      <formula>0</formula>
    </cfRule>
  </conditionalFormatting>
  <conditionalFormatting sqref="F91">
    <cfRule type="cellIs" dxfId="38" priority="20" operator="lessThan">
      <formula>0</formula>
    </cfRule>
  </conditionalFormatting>
  <conditionalFormatting sqref="K65:M67">
    <cfRule type="cellIs" dxfId="37" priority="24" operator="lessThan">
      <formula>0</formula>
    </cfRule>
  </conditionalFormatting>
  <conditionalFormatting sqref="K70:M72">
    <cfRule type="cellIs" dxfId="36"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opLeftCell="A24" zoomScaleNormal="100" workbookViewId="0">
      <selection activeCell="R41" sqref="R4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218</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185</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INDEX(X_Table_Dairy_Diet_Method1,2,2)</f>
        <v>0.75</v>
      </c>
      <c r="E19" s="54">
        <f>INDEX(X_Table_Dairy_Diet_Method1,2,3)</f>
        <v>0.75</v>
      </c>
      <c r="F19" s="54">
        <f>INDEX(X_Table_Dairy_Diet_Method1,2,4)</f>
        <v>0.75</v>
      </c>
      <c r="G19" s="54">
        <f>INDEX(X_Table_Dairy_Diet_Method1,2,5)</f>
        <v>0.75</v>
      </c>
      <c r="H19" s="54">
        <f>INDEX(X_Table_Dairy_Diet_Method1,2,6)</f>
        <v>0.75</v>
      </c>
      <c r="I19" s="2" t="s">
        <v>174</v>
      </c>
      <c r="M19" s="54">
        <f>INDEX(X_Table_Dairy_Diet_Method2,2,2)</f>
        <v>0.75</v>
      </c>
      <c r="N19" s="54">
        <f>INDEX(X_Table_Dairy_Diet_Method2,2,3)</f>
        <v>0.75</v>
      </c>
      <c r="O19" s="54">
        <f>INDEX(X_Table_Dairy_Diet_Method2,2,4)</f>
        <v>0.75</v>
      </c>
      <c r="P19" s="54">
        <f>INDEX(X_Table_Dairy_Diet_Method2,2,5)</f>
        <v>0.75</v>
      </c>
      <c r="Q19" s="54">
        <f>INDEX(X_Table_Dairy_Diet_Method2,2,6)</f>
        <v>0.75</v>
      </c>
      <c r="R19" s="2" t="s">
        <v>174</v>
      </c>
    </row>
    <row r="20" spans="1:19" ht="20.100000000000001" customHeight="1" x14ac:dyDescent="0.25"/>
    <row r="21" spans="1:19" ht="20.100000000000001" customHeight="1" x14ac:dyDescent="0.25">
      <c r="D21" s="101" t="s">
        <v>175</v>
      </c>
      <c r="M21" s="101" t="s">
        <v>177</v>
      </c>
    </row>
    <row r="22" spans="1:19" ht="20.100000000000001" customHeight="1" x14ac:dyDescent="0.25">
      <c r="D22" s="100" t="s">
        <v>176</v>
      </c>
      <c r="M22" s="100" t="s">
        <v>178</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X_Cell_Dairy_MilkProductionUnit</f>
        <v>Litres of milk</v>
      </c>
      <c r="M37" s="122" t="str" cm="1">
        <f t="array" ref="M37:N40">_xlfn.CHOOSECOLS(EntericMethane_Dairy_Equations.VEERG_3_3_1_1__5_MilkProductionFromMilkSolids_Arguments_Method2(),1,2)</f>
        <v>MPU</v>
      </c>
      <c r="N37" s="121" t="str">
        <v>milk production unit</v>
      </c>
      <c r="O37" s="123"/>
      <c r="P37" s="122" t="str" cm="1">
        <f t="array" ref="P37:Q40">_xlfn.CHOOSECOLS(EntericMethane_Dairy_Equations.VEERG_3_3_1_1__5_MilkProductionFromMilkSolids_Arguments_Method2(),3,4)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20" t="str">
        <v>Input</v>
      </c>
      <c r="I39" s="122">
        <f>INDEX(X_Table_Dairy_MilkSolidAttributes,2,2)*100</f>
        <v>4</v>
      </c>
      <c r="M39" s="122" t="str">
        <v>FC_j</v>
      </c>
      <c r="N39" s="121" t="str">
        <v>fat content in fat and protein corrected milk</v>
      </c>
      <c r="O39" s="123"/>
      <c r="P39" s="122" t="str">
        <v>per cent</v>
      </c>
      <c r="Q39" s="120" t="str">
        <v>Input</v>
      </c>
      <c r="R39" s="122">
        <f>INDEX(X_Table_Dairy_MilkSolidAttributes,2,3)*100</f>
        <v>4</v>
      </c>
    </row>
    <row r="40" spans="4:18" ht="20.100000000000001" customHeight="1" x14ac:dyDescent="0.25">
      <c r="D40" s="122" t="str">
        <v>PC_j</v>
      </c>
      <c r="E40" s="122" t="str">
        <v>protein content in fat and protein corrected milk</v>
      </c>
      <c r="F40" s="122"/>
      <c r="G40" s="122" t="str">
        <v>per cent</v>
      </c>
      <c r="H40" s="120" t="str">
        <v>Input</v>
      </c>
      <c r="I40" s="122">
        <f>INDEX(X_Table_Dairy_MilkSolidAttributes,3,2)*100</f>
        <v>3.3000000000000003</v>
      </c>
      <c r="M40" s="122" t="str">
        <v>PC_j</v>
      </c>
      <c r="N40" s="122" t="str">
        <v>protein content in fat and protein corrected milk</v>
      </c>
      <c r="O40" s="122"/>
      <c r="P40" s="122" t="str">
        <v>per cent</v>
      </c>
      <c r="Q40" s="120" t="str">
        <v>Input</v>
      </c>
      <c r="R40" s="122">
        <f>INDEX(X_Table_Dairy_MilkSolidAttributes,3,3)*100</f>
        <v>3.3000000000000003</v>
      </c>
    </row>
    <row r="41" spans="4:18" ht="20.100000000000001" customHeight="1" x14ac:dyDescent="0.25"/>
    <row r="42" spans="4:18" ht="20.100000000000001" customHeight="1" x14ac:dyDescent="0.25">
      <c r="D42" s="101" t="s">
        <v>238</v>
      </c>
    </row>
    <row r="43" spans="4:18" ht="20.100000000000001" customHeight="1" x14ac:dyDescent="0.25">
      <c r="D43" s="100" t="s">
        <v>239</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181</v>
      </c>
    </row>
    <row r="46" spans="4:18" ht="20.100000000000001" customHeight="1" x14ac:dyDescent="0.25"/>
    <row r="47" spans="4:18" ht="20.100000000000001" customHeight="1" x14ac:dyDescent="0.25">
      <c r="D47" s="101" t="s">
        <v>240</v>
      </c>
      <c r="M47" s="101" t="s">
        <v>248</v>
      </c>
    </row>
    <row r="48" spans="4:18" ht="20.100000000000001" customHeight="1" x14ac:dyDescent="0.25">
      <c r="D48" s="100" t="s">
        <v>241</v>
      </c>
      <c r="M48" s="100" t="s">
        <v>249</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181</v>
      </c>
      <c r="M50" s="54" cm="1">
        <f t="array" ref="M50">EntericMethane_Dairy_Equations.VEERG_3_3_1_1__5_MilkProductionFromMilkSolids(D45,R39,R40)</f>
        <v>0</v>
      </c>
      <c r="N50" s="54">
        <v>0</v>
      </c>
      <c r="O50" s="54">
        <v>0</v>
      </c>
      <c r="P50" s="54">
        <v>0</v>
      </c>
      <c r="Q50" s="54">
        <v>0</v>
      </c>
      <c r="R50" s="2" t="s">
        <v>181</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X_Cell_Dairy_MilkProductionUnit</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SourceData_Dairy_NetEnergy_Data</f>
        <v>3.0539999999999998</v>
      </c>
    </row>
    <row r="68" spans="4:18" ht="20.100000000000001" customHeight="1" x14ac:dyDescent="0.25">
      <c r="D68" s="122" t="str">
        <v>GEC</v>
      </c>
      <c r="E68" s="121" t="str">
        <v>gross energy content</v>
      </c>
      <c r="F68" s="123"/>
      <c r="G68" s="122" t="str">
        <v>MJ/kgDM</v>
      </c>
      <c r="H68" s="118" t="str">
        <v>Constant</v>
      </c>
      <c r="I68" s="122">
        <f>SourceData_Dairy_GrossEnergyContent_Data</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SourceData_Dairy_EfficiencyOfUseOfMetabolizableEnergy_Data</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184</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181</v>
      </c>
    </row>
    <row r="76" spans="4:18" ht="20.100000000000001" customHeight="1" x14ac:dyDescent="0.25"/>
    <row r="77" spans="4:18" ht="20.100000000000001" customHeight="1" x14ac:dyDescent="0.25">
      <c r="D77" s="101" t="s">
        <v>179</v>
      </c>
      <c r="M77" s="101" t="s">
        <v>182</v>
      </c>
    </row>
    <row r="78" spans="4:18" ht="20.100000000000001" customHeight="1" x14ac:dyDescent="0.25">
      <c r="D78" s="100" t="s">
        <v>180</v>
      </c>
      <c r="M78" s="100" t="s">
        <v>183</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164</v>
      </c>
      <c r="M97" s="101" t="s">
        <v>166</v>
      </c>
    </row>
    <row r="98" spans="1:18" ht="20.100000000000001" customHeight="1" x14ac:dyDescent="0.25">
      <c r="D98" s="100" t="s">
        <v>165</v>
      </c>
      <c r="M98" s="100" t="s">
        <v>167</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168</v>
      </c>
      <c r="M102" s="101" t="s">
        <v>170</v>
      </c>
    </row>
    <row r="103" spans="1:18" ht="20.100000000000001" customHeight="1" x14ac:dyDescent="0.25">
      <c r="D103" s="100" t="s">
        <v>169</v>
      </c>
      <c r="M103" s="100" t="s">
        <v>171</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172</v>
      </c>
    </row>
    <row r="108" spans="1:18" ht="20.100000000000001" customHeight="1" x14ac:dyDescent="0.25">
      <c r="D108" s="100" t="s">
        <v>173</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187</v>
      </c>
      <c r="M113" s="100" t="s">
        <v>186</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219</v>
      </c>
      <c r="M129" s="101" t="s">
        <v>221</v>
      </c>
    </row>
    <row r="130" spans="3:19" ht="20.100000000000001" customHeight="1" x14ac:dyDescent="0.25">
      <c r="D130" s="100" t="s">
        <v>220</v>
      </c>
      <c r="M130" s="100" t="s">
        <v>222</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223</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188</v>
      </c>
      <c r="M162" s="101" t="s">
        <v>189</v>
      </c>
    </row>
    <row r="163" spans="4:18" ht="20.100000000000001" customHeight="1" x14ac:dyDescent="0.25">
      <c r="D163" s="100" t="s">
        <v>224</v>
      </c>
      <c r="M163" s="100" t="s">
        <v>226</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229</v>
      </c>
      <c r="M167" s="101" t="s">
        <v>227</v>
      </c>
    </row>
    <row r="168" spans="4:18" ht="20.100000000000001" customHeight="1" x14ac:dyDescent="0.25">
      <c r="D168" s="100" t="s">
        <v>225</v>
      </c>
      <c r="M168" s="100" t="s">
        <v>228</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230</v>
      </c>
    </row>
    <row r="173" spans="4:18" ht="20.100000000000001" customHeight="1" x14ac:dyDescent="0.25">
      <c r="D173" s="100" t="s">
        <v>225</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231</v>
      </c>
      <c r="M177" s="101" t="s">
        <v>231</v>
      </c>
    </row>
    <row r="178" spans="1:18" ht="20.100000000000001" customHeight="1" x14ac:dyDescent="0.25">
      <c r="A178" s="125" t="str">
        <f>HYPERLINK("#A1", "▲ Back to top")</f>
        <v>▲ Back to top</v>
      </c>
      <c r="D178" s="100" t="s">
        <v>232</v>
      </c>
      <c r="M178" s="100" t="s">
        <v>232</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233</v>
      </c>
      <c r="E182" s="104">
        <f>SUM(D180:H180)</f>
        <v>32.464682683989999</v>
      </c>
      <c r="F182" s="105" t="str">
        <f>$E$146</f>
        <v>t CH4</v>
      </c>
      <c r="M182" s="103" t="s">
        <v>233</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998E4-AA99-4383-8E5C-160A6F0F5CFF}">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190</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197</v>
      </c>
      <c r="E212" s="39" t="s">
        <v>198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200</v>
      </c>
      <c r="F231" s="38" t="s">
        <v>201</v>
      </c>
      <c r="G231" s="39" t="s">
        <v>202</v>
      </c>
      <c r="H231" s="39" t="s">
        <v>203</v>
      </c>
      <c r="I231" s="39" t="s">
        <v>204</v>
      </c>
      <c r="J231" s="39" t="s">
        <v>205</v>
      </c>
      <c r="K231" s="39" t="s">
        <v>206</v>
      </c>
      <c r="L231" s="39" t="s">
        <v>207</v>
      </c>
      <c r="M231" s="39" t="s">
        <v>208</v>
      </c>
      <c r="N231" s="39" t="s">
        <v>209</v>
      </c>
      <c r="O231" s="39" t="s">
        <v>210</v>
      </c>
      <c r="P231" s="39" t="s">
        <v>211</v>
      </c>
      <c r="Q231" s="39" t="s">
        <v>212</v>
      </c>
      <c r="R231" s="39" t="s">
        <v>213</v>
      </c>
      <c r="S231" s="39" t="s">
        <v>214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251</v>
      </c>
      <c r="E257" s="39" t="s">
        <v>252</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